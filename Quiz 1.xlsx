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manthkumarkottapalli/Desktop/Finance/"/>
    </mc:Choice>
  </mc:AlternateContent>
  <xr:revisionPtr revIDLastSave="0" documentId="13_ncr:1_{20EBDE95-92F3-B24C-AF28-DC63BF79D30B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tock Price" sheetId="2" r:id="rId1"/>
    <sheet name="Income Statement" sheetId="1" r:id="rId2"/>
    <sheet name="Common Size IS" sheetId="4" r:id="rId3"/>
    <sheet name="Balance Sheet" sheetId="5" r:id="rId4"/>
    <sheet name="Ratios" sheetId="6" r:id="rId5"/>
    <sheet name="Valuation" sheetId="7" r:id="rId6"/>
  </sheets>
  <externalReferences>
    <externalReference r:id="rId7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C9" i="7"/>
  <c r="K41" i="1"/>
  <c r="K35" i="1"/>
  <c r="C19" i="7"/>
  <c r="C16" i="7"/>
  <c r="D35" i="1"/>
  <c r="C35" i="1"/>
  <c r="D37" i="1"/>
  <c r="E35" i="1"/>
  <c r="E37" i="1"/>
  <c r="F35" i="1"/>
  <c r="F37" i="1"/>
  <c r="G35" i="1"/>
  <c r="G37" i="1"/>
  <c r="H35" i="1"/>
  <c r="H37" i="1"/>
  <c r="I35" i="1"/>
  <c r="I37" i="1"/>
  <c r="J35" i="1"/>
  <c r="J37" i="1"/>
  <c r="K37" i="1"/>
  <c r="B35" i="1"/>
  <c r="C37" i="1"/>
  <c r="D44" i="1"/>
  <c r="E44" i="1"/>
  <c r="F44" i="1"/>
  <c r="G44" i="1"/>
  <c r="H44" i="1"/>
  <c r="I44" i="1"/>
  <c r="J44" i="1"/>
  <c r="K44" i="1"/>
  <c r="C44" i="1"/>
  <c r="C41" i="1"/>
  <c r="C42" i="1"/>
  <c r="D41" i="1"/>
  <c r="D42" i="1"/>
  <c r="E41" i="1"/>
  <c r="E42" i="1"/>
  <c r="F41" i="1"/>
  <c r="F42" i="1"/>
  <c r="G41" i="1"/>
  <c r="G42" i="1"/>
  <c r="H41" i="1"/>
  <c r="H42" i="1"/>
  <c r="I41" i="1"/>
  <c r="I42" i="1"/>
  <c r="J41" i="1"/>
  <c r="J42" i="1"/>
  <c r="K42" i="1"/>
  <c r="B41" i="1"/>
  <c r="B42" i="1"/>
  <c r="C39" i="1"/>
  <c r="D39" i="1"/>
  <c r="E39" i="1"/>
  <c r="F39" i="1"/>
  <c r="G39" i="1"/>
  <c r="H39" i="1"/>
  <c r="I39" i="1"/>
  <c r="J39" i="1"/>
  <c r="K39" i="1"/>
  <c r="B39" i="1"/>
  <c r="D15" i="4"/>
  <c r="C15" i="4"/>
  <c r="D29" i="4"/>
  <c r="E15" i="4"/>
  <c r="E29" i="4"/>
  <c r="F15" i="4"/>
  <c r="F29" i="4"/>
  <c r="G15" i="4"/>
  <c r="G29" i="4"/>
  <c r="H15" i="4"/>
  <c r="H29" i="4"/>
  <c r="I15" i="4"/>
  <c r="I29" i="4"/>
  <c r="J15" i="4"/>
  <c r="J29" i="4"/>
  <c r="K15" i="4"/>
  <c r="K29" i="4"/>
  <c r="B15" i="4"/>
  <c r="C29" i="4"/>
  <c r="D13" i="4"/>
  <c r="C13" i="4"/>
  <c r="D28" i="4"/>
  <c r="E13" i="4"/>
  <c r="E28" i="4"/>
  <c r="F13" i="4"/>
  <c r="F28" i="4"/>
  <c r="G13" i="4"/>
  <c r="G28" i="4"/>
  <c r="H13" i="4"/>
  <c r="H28" i="4"/>
  <c r="I13" i="4"/>
  <c r="I28" i="4"/>
  <c r="J13" i="4"/>
  <c r="J28" i="4"/>
  <c r="K13" i="4"/>
  <c r="K28" i="4"/>
  <c r="B13" i="4"/>
  <c r="C28" i="4"/>
  <c r="B14" i="4"/>
  <c r="C14" i="4"/>
  <c r="D14" i="4"/>
  <c r="E14" i="4"/>
  <c r="F14" i="4"/>
  <c r="G14" i="4"/>
  <c r="H14" i="4"/>
  <c r="I14" i="4"/>
  <c r="J14" i="4"/>
  <c r="K14" i="4"/>
  <c r="B16" i="4"/>
  <c r="C16" i="4"/>
  <c r="D16" i="4"/>
  <c r="E16" i="4"/>
  <c r="F16" i="4"/>
  <c r="G16" i="4"/>
  <c r="H16" i="4"/>
  <c r="I16" i="4"/>
  <c r="J16" i="4"/>
  <c r="K16" i="4"/>
  <c r="B17" i="4"/>
  <c r="C17" i="4"/>
  <c r="D17" i="4"/>
  <c r="E17" i="4"/>
  <c r="F17" i="4"/>
  <c r="G17" i="4"/>
  <c r="H17" i="4"/>
  <c r="I17" i="4"/>
  <c r="J17" i="4"/>
  <c r="K17" i="4"/>
  <c r="B18" i="4"/>
  <c r="C18" i="4"/>
  <c r="D18" i="4"/>
  <c r="E18" i="4"/>
  <c r="F18" i="4"/>
  <c r="G18" i="4"/>
  <c r="H18" i="4"/>
  <c r="I18" i="4"/>
  <c r="J18" i="4"/>
  <c r="K18" i="4"/>
  <c r="B19" i="4"/>
  <c r="C19" i="4"/>
  <c r="D19" i="4"/>
  <c r="E19" i="4"/>
  <c r="F19" i="4"/>
  <c r="G19" i="4"/>
  <c r="H19" i="4"/>
  <c r="I19" i="4"/>
  <c r="J19" i="4"/>
  <c r="K19" i="4"/>
  <c r="B20" i="4"/>
  <c r="C20" i="4"/>
  <c r="D20" i="4"/>
  <c r="E20" i="4"/>
  <c r="F20" i="4"/>
  <c r="G20" i="4"/>
  <c r="H20" i="4"/>
  <c r="I20" i="4"/>
  <c r="J20" i="4"/>
  <c r="K20" i="4"/>
  <c r="B21" i="4"/>
  <c r="C21" i="4"/>
  <c r="D21" i="4"/>
  <c r="E21" i="4"/>
  <c r="F21" i="4"/>
  <c r="G21" i="4"/>
  <c r="H21" i="4"/>
  <c r="I21" i="4"/>
  <c r="J21" i="4"/>
  <c r="K21" i="4"/>
  <c r="B22" i="4"/>
  <c r="C22" i="4"/>
  <c r="D22" i="4"/>
  <c r="E22" i="4"/>
  <c r="F22" i="4"/>
  <c r="G22" i="4"/>
  <c r="H22" i="4"/>
  <c r="I22" i="4"/>
  <c r="J22" i="4"/>
  <c r="K22" i="4"/>
  <c r="B23" i="4"/>
  <c r="C23" i="4"/>
  <c r="D23" i="4"/>
  <c r="E23" i="4"/>
  <c r="F23" i="4"/>
  <c r="G23" i="4"/>
  <c r="H23" i="4"/>
  <c r="I23" i="4"/>
  <c r="J23" i="4"/>
  <c r="K23" i="4"/>
  <c r="B24" i="4"/>
  <c r="C24" i="4"/>
  <c r="D24" i="4"/>
  <c r="E24" i="4"/>
  <c r="F24" i="4"/>
  <c r="G24" i="4"/>
  <c r="H24" i="4"/>
  <c r="I24" i="4"/>
  <c r="J24" i="4"/>
  <c r="K24" i="4"/>
  <c r="C12" i="4"/>
  <c r="D12" i="4"/>
  <c r="E12" i="4"/>
  <c r="F12" i="4"/>
  <c r="G12" i="4"/>
  <c r="H12" i="4"/>
  <c r="I12" i="4"/>
  <c r="J12" i="4"/>
  <c r="K12" i="4"/>
  <c r="B12" i="4"/>
  <c r="D37" i="6"/>
  <c r="E37" i="6"/>
  <c r="F37" i="6"/>
  <c r="G37" i="6"/>
  <c r="H37" i="6"/>
  <c r="I37" i="6"/>
  <c r="J37" i="6"/>
  <c r="K37" i="6"/>
  <c r="L37" i="6"/>
  <c r="C37" i="6"/>
  <c r="D33" i="6"/>
  <c r="E33" i="6"/>
  <c r="F33" i="6"/>
  <c r="G33" i="6"/>
  <c r="H33" i="6"/>
  <c r="I33" i="6"/>
  <c r="J33" i="6"/>
  <c r="K33" i="6"/>
  <c r="L33" i="6"/>
  <c r="C33" i="6"/>
  <c r="D27" i="6"/>
  <c r="E27" i="6"/>
  <c r="F27" i="6"/>
  <c r="G27" i="6"/>
  <c r="H27" i="6"/>
  <c r="I27" i="6"/>
  <c r="J27" i="6"/>
  <c r="K27" i="6"/>
  <c r="L27" i="6"/>
  <c r="C27" i="6"/>
  <c r="D25" i="6"/>
  <c r="E25" i="6"/>
  <c r="F25" i="6"/>
  <c r="G25" i="6"/>
  <c r="H25" i="6"/>
  <c r="I25" i="6"/>
  <c r="J25" i="6"/>
  <c r="K25" i="6"/>
  <c r="L25" i="6"/>
  <c r="C25" i="6"/>
  <c r="D21" i="6"/>
  <c r="E21" i="6"/>
  <c r="F21" i="6"/>
  <c r="G21" i="6"/>
  <c r="H21" i="6"/>
  <c r="I21" i="6"/>
  <c r="J21" i="6"/>
  <c r="K21" i="6"/>
  <c r="L21" i="6"/>
  <c r="C21" i="6"/>
  <c r="D18" i="6"/>
  <c r="E18" i="6"/>
  <c r="F18" i="6"/>
  <c r="G18" i="6"/>
  <c r="H18" i="6"/>
  <c r="I18" i="6"/>
  <c r="J18" i="6"/>
  <c r="K18" i="6"/>
  <c r="L18" i="6"/>
  <c r="C18" i="6"/>
  <c r="D14" i="6"/>
  <c r="E14" i="6"/>
  <c r="F14" i="6"/>
  <c r="G14" i="6"/>
  <c r="H14" i="6"/>
  <c r="I14" i="6"/>
  <c r="J14" i="6"/>
  <c r="K14" i="6"/>
  <c r="L14" i="6"/>
  <c r="C14" i="6"/>
  <c r="D11" i="6"/>
  <c r="E11" i="6"/>
  <c r="F11" i="6"/>
  <c r="G11" i="6"/>
  <c r="H11" i="6"/>
  <c r="I11" i="6"/>
  <c r="J11" i="6"/>
  <c r="K11" i="6"/>
  <c r="L11" i="6"/>
  <c r="C11" i="6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E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2" i="2"/>
  <c r="H3" i="2"/>
  <c r="H2" i="2"/>
  <c r="L8" i="6"/>
  <c r="K8" i="6"/>
  <c r="J8" i="6"/>
  <c r="I8" i="6"/>
  <c r="H8" i="6"/>
  <c r="G8" i="6"/>
  <c r="F8" i="6"/>
  <c r="E8" i="6"/>
  <c r="D8" i="6"/>
  <c r="C8" i="6"/>
  <c r="C10" i="4"/>
  <c r="D10" i="4"/>
  <c r="E10" i="4"/>
  <c r="F10" i="4"/>
  <c r="G10" i="4"/>
  <c r="H10" i="4"/>
  <c r="I10" i="4"/>
  <c r="J10" i="4"/>
  <c r="K10" i="4"/>
  <c r="B10" i="4"/>
</calcChain>
</file>

<file path=xl/sharedStrings.xml><?xml version="1.0" encoding="utf-8"?>
<sst xmlns="http://schemas.openxmlformats.org/spreadsheetml/2006/main" count="295" uniqueCount="131">
  <si>
    <t>Powered by Clearbit</t>
  </si>
  <si>
    <t>NIKE Inc (NYS: NKE)</t>
  </si>
  <si>
    <t xml:space="preserve">Exchange rate used is that of the Year End reported date </t>
  </si>
  <si>
    <t xml:space="preserve">Standardized Annual Income Statement </t>
  </si>
  <si>
    <t>Report Date</t>
  </si>
  <si>
    <t>05/31/2024</t>
  </si>
  <si>
    <t>05/31/2023</t>
  </si>
  <si>
    <t>05/31/2022</t>
  </si>
  <si>
    <t>05/31/2021</t>
  </si>
  <si>
    <t>05/31/2020</t>
  </si>
  <si>
    <t>05/31/2019</t>
  </si>
  <si>
    <t>05/31/2018</t>
  </si>
  <si>
    <t>05/31/2017</t>
  </si>
  <si>
    <t>05/31/2016</t>
  </si>
  <si>
    <t>05/31/2015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</si>
  <si>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</si>
  <si>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</si>
  <si>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</si>
  <si>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</si>
  <si>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</si>
  <si>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</si>
  <si>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</si>
  <si>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</si>
  <si>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-</t>
  </si>
  <si>
    <t>Total Revenue</t>
  </si>
  <si>
    <t>Direct Costs</t>
  </si>
  <si>
    <t>Gross Profit</t>
  </si>
  <si>
    <t>Selling General &amp; Admin</t>
  </si>
  <si>
    <t>Other Operating Expense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</si>
  <si>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</si>
  <si>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</si>
  <si>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</si>
  <si>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</si>
  <si>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</si>
  <si>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</si>
  <si>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Taxation</t>
  </si>
  <si>
    <t>Net Income</t>
  </si>
  <si>
    <t>Shares Outstanding</t>
  </si>
  <si>
    <t>Max Points:</t>
  </si>
  <si>
    <t>Total Max Quiz Points</t>
  </si>
  <si>
    <t>Points</t>
  </si>
  <si>
    <t>Total Points</t>
  </si>
  <si>
    <t>Date</t>
  </si>
  <si>
    <t>Price</t>
  </si>
  <si>
    <t xml:space="preserve">Please compute the following: </t>
  </si>
  <si>
    <t>Max Points</t>
  </si>
  <si>
    <t>Average Stock Price (for the year - June to May for each year)</t>
  </si>
  <si>
    <t>Year over Year return based on above average prices for the year</t>
  </si>
  <si>
    <t>Earnings Per Share</t>
  </si>
  <si>
    <t>Price to Earnings (Year Avg.)</t>
  </si>
  <si>
    <t>Please graph the level of sales and net income using a bar chart, make sure to proparly label the axis. Provide a comment regarding your obeservations. Feel free to provide additional visuals if needed.</t>
  </si>
  <si>
    <t>Please create a common size Income Statement</t>
  </si>
  <si>
    <t>Please Comment as to the historic dynamics of the direct cost and selling general and administrative expenses of Nike. Feel free to inlcude visuals.</t>
  </si>
  <si>
    <t xml:space="preserve">Standardized Annual Balance Sheet </t>
  </si>
  <si>
    <t>Cash &amp; Equivalents</t>
  </si>
  <si>
    <t>Short Term Investments</t>
  </si>
  <si>
    <t>Cash &amp; Equivs &amp; ST Investments</t>
  </si>
  <si>
    <t>Receivables (ST)</t>
  </si>
  <si>
    <t>Inventories</t>
  </si>
  <si>
    <t>Current Tax Assets</t>
  </si>
  <si>
    <t>Prepayments (ST)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</si>
  <si>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</si>
  <si>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</si>
  <si>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</si>
  <si>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</si>
  <si>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</si>
  <si>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</si>
  <si>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</si>
  <si>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</si>
  <si>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</si>
  <si>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</si>
  <si>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</si>
  <si>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</si>
  <si>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Other Current Liabilities</t>
  </si>
  <si>
    <t>Total Current Liabilities</t>
  </si>
  <si>
    <t>LT Debt &amp; Leases</t>
  </si>
  <si>
    <t>Deferred LT Liabilities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</si>
  <si>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</si>
  <si>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</si>
  <si>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</si>
  <si>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</si>
  <si>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</si>
  <si>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</si>
  <si>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</si>
  <si>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</si>
  <si>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</si>
  <si>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</si>
  <si>
    <t>Please compute the Total Asset Turnover ratio and 
comment on what this ratio represents and what your results indicate</t>
  </si>
  <si>
    <t>Please compute the Inventory Turnover and the Days in Inventory ratios and comment on what these ratios represent and what your results indicate.</t>
  </si>
  <si>
    <t>Feel free to use visuals if/where appropriate</t>
  </si>
  <si>
    <t>Please compute at least two long-term solvency 
ratios and comment on the long-term financial position of Nike's duringthe period</t>
  </si>
  <si>
    <t>Please compute at least two short-term solvency 
ratios and comment on the short-term financial position of Nike during the period.</t>
  </si>
  <si>
    <t>Please compute at least two profitability 
ratios and comment on the profitability of Nike during the period</t>
  </si>
  <si>
    <t>Please look up today's stock price:</t>
  </si>
  <si>
    <t>Bonus Question - 1 extra point</t>
  </si>
  <si>
    <t>3. Assume that the net income (dividend) of Nike will grow at a rate 
of 5% in 2026, at a rate of 7% in 2027, at a rate of 8% in 2028, at a rate of 5% in 2029, and at a rate of 4% thereafter and forever into the future</t>
  </si>
  <si>
    <t>At what rate of return (approximatelly) would you be indifferent about buying or not buying the stock of Nike under above assumptions?</t>
  </si>
  <si>
    <t>4. Assume that you are considering investing in Nike and 
that you want to make a 13% annual return on your investment. Based on your analysis, would you be willing to invest in Nike? Why? Please provide both a mathematical solution and a written explanation.</t>
  </si>
  <si>
    <t>Average Market Cap (for the year June to May)</t>
  </si>
  <si>
    <t>Please compute the annual sales growth of Nike
for 2015-2024</t>
  </si>
  <si>
    <t>Please graph the historic stock price of Nike stock and provide a brief comment on the general stock performance of Nike</t>
  </si>
  <si>
    <t>Please compute monthly returns of the stock of Nike for the period of June 2014 to July 2024</t>
  </si>
  <si>
    <t>Below are historic monthly stock prices for Nike stock for 6-1-2014 to 7-1-2024</t>
  </si>
  <si>
    <t>Throughout the test, where appropriate, please provide your commentary and visuals</t>
  </si>
  <si>
    <t>Assume that the Net Income of Nike represents the dividends that 
Nike pays. In other words, assume that Net Income = Dividend</t>
  </si>
  <si>
    <t>1. Assume that Nike's 2025 net income (dividend) 
will be 4% higher than its 2024 net income. For the purposes of this question, assume that the year ending May 31, 2024 is the full year 2024 of Nike.</t>
  </si>
  <si>
    <t>2. Assume that you are conducting this analysis on 
June 1, 2024 and that the dividends are paid on May 31 of each year;</t>
  </si>
  <si>
    <t>Please use the Number of Shares Outstanding from the 2024 statements provided in this file for the calculations:</t>
  </si>
  <si>
    <t xml:space="preserve">note that this is an assumption for the purposes of this question only, it is not actualy true for Nike. </t>
  </si>
  <si>
    <t>Monthly Return on Nike Stock</t>
  </si>
  <si>
    <t>Average Monthly Return on Nike stock</t>
  </si>
  <si>
    <t>Standard Deviation</t>
  </si>
  <si>
    <t>Current Ratio</t>
  </si>
  <si>
    <t>Ratio Name</t>
  </si>
  <si>
    <t>Acid test Ratio</t>
  </si>
  <si>
    <t>Solvency ratio</t>
  </si>
  <si>
    <t>Debt Equity Ratio</t>
  </si>
  <si>
    <t>Gross Profit Margin</t>
  </si>
  <si>
    <t>Net Profit Margin</t>
  </si>
  <si>
    <t>Total Asset Turnover ratio</t>
  </si>
  <si>
    <t>Inventory Turnover Ratio</t>
  </si>
  <si>
    <t>Increase in Direct cost</t>
  </si>
  <si>
    <t>Increase in Selling &amp; Admin Expenses</t>
  </si>
  <si>
    <t>Gross profit margin in between 43% to 46% it means Gross profit margin is constant</t>
  </si>
  <si>
    <t>Net profit margin in between 5% to 13% it means Net profit margin is not constant</t>
  </si>
  <si>
    <t>This ratio shows how assets are utilised to generate revenue and the results indicate that their exist under utilization of Assets</t>
  </si>
  <si>
    <t>INVENTORY TURNOVER RATIO indicate number of times inventory is sold and replenished over the period,results indicate that there is decrease in number of times over a period from 2015 to 2024</t>
  </si>
  <si>
    <t xml:space="preserve">The current ratio is a financial metric that helps assess a company's liquidity and ability to meet its short-term obligations </t>
  </si>
  <si>
    <t>A higher solvency ratio indicates a higher level of debt financing, which may lead to financial distress</t>
  </si>
  <si>
    <t>The Debt-to-Equity (D/E) Ratio is a financial metric that calculates the proportion of debt and equity used to finance a company's assets. It's a key indicator of a company's financial leverage and solvency.</t>
  </si>
  <si>
    <t>Comment : The Total Revenue is gradually increased and income is not increased gradually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</si>
</sst>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"/>
    <numFmt numFmtId="167" formatCode="_(&quot;$&quot;* #,##0_);_(&quot;$&quot;* \(#,##0\);_(&quot;$&quot;* &quot;-&quot;??_);_(@_)"/>
  </numFmts>
  <fonts count="11" x14ac:knownFonts="1">
    <font>
      <sz val="10"/>
      <color rgb="FF000000"/>
      <name val="Arial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32A31"/>
      <name val="Arial"/>
      <family val="2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5" fillId="0" borderId="1" xfId="0" applyFont="1" applyBorder="1"/>
    <xf numFmtId="0" fontId="0" fillId="0" borderId="1" xfId="0" applyBorder="1"/>
    <xf numFmtId="15" fontId="7" fillId="3" borderId="2" xfId="0" applyNumberFormat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right" vertical="center"/>
    </xf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1" fontId="5" fillId="0" borderId="0" xfId="0" applyNumberFormat="1" applyFont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 wrapText="1"/>
    </xf>
    <xf numFmtId="0" fontId="10" fillId="0" borderId="0" xfId="0" applyFont="1"/>
    <xf numFmtId="0" fontId="6" fillId="0" borderId="0" xfId="0" applyFont="1" applyAlignment="1">
      <alignment wrapText="1"/>
    </xf>
    <xf numFmtId="9" fontId="0" fillId="0" borderId="0" xfId="0" applyNumberFormat="1"/>
    <xf numFmtId="10" fontId="0" fillId="0" borderId="0" xfId="0" applyNumberFormat="1"/>
    <xf numFmtId="1" fontId="6" fillId="0" borderId="0" xfId="0" applyNumberFormat="1" applyFont="1"/>
    <xf numFmtId="165" fontId="5" fillId="0" borderId="0" xfId="0" applyNumberFormat="1" applyFont="1"/>
    <xf numFmtId="9" fontId="0" fillId="0" borderId="0" xfId="2" applyFont="1"/>
    <xf numFmtId="167" fontId="0" fillId="0" borderId="0" xfId="1" applyNumberFormat="1" applyFont="1"/>
    <xf numFmtId="167" fontId="0" fillId="0" borderId="0" xfId="0" applyNumberFormat="1"/>
    <xf numFmtId="164" fontId="0" fillId="0" borderId="0" xfId="0" applyNumberForma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3" fillId="0" borderId="0" xfId="0" applyFont="1"/>
    <xf numFmtId="0" fontId="4" fillId="4" borderId="0" xfId="0" applyFont="1" applyFill="1" applyAlignment="1">
      <alignment horizontal="left" vertical="top" wrapText="1"/>
    </xf>
    <xf numFmtId="10" fontId="0" fillId="0" borderId="0" xfId="2" applyNumberFormat="1" applyFont="1"/>
    <xf numFmtId="0" fontId="0" fillId="4" borderId="0" xfId="0" applyFill="1" applyAlignment="1">
      <alignment wrapText="1"/>
    </xf>
    <xf numFmtId="0" fontId="0" fillId="0" borderId="3" xfId="0" applyBorder="1"/>
    <xf numFmtId="9" fontId="0" fillId="0" borderId="3" xfId="2" applyFont="1" applyBorder="1"/>
    <xf numFmtId="0" fontId="4" fillId="2" borderId="0" xfId="0" applyFont="1" applyFill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Historic</a:t>
            </a:r>
            <a:r>
              <a:rPr lang="en-GB" baseline="0"/>
              <a:t> Stock Price of Nike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'Stock Price'!$B$10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 Price'!$A$11:$A$132</c:f>
              <c:numCache>
                <c:formatCode>d\-mmm\-yy</c:formatCode>
                <c:ptCount val="122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  <c:pt idx="18">
                  <c:v>42339</c:v>
                </c:pt>
                <c:pt idx="19">
                  <c:v>42370</c:v>
                </c:pt>
                <c:pt idx="20">
                  <c:v>42401</c:v>
                </c:pt>
                <c:pt idx="21">
                  <c:v>42430</c:v>
                </c:pt>
                <c:pt idx="22">
                  <c:v>42461</c:v>
                </c:pt>
                <c:pt idx="23">
                  <c:v>42491</c:v>
                </c:pt>
                <c:pt idx="24">
                  <c:v>42522</c:v>
                </c:pt>
                <c:pt idx="25">
                  <c:v>42552</c:v>
                </c:pt>
                <c:pt idx="26">
                  <c:v>42583</c:v>
                </c:pt>
                <c:pt idx="27">
                  <c:v>42614</c:v>
                </c:pt>
                <c:pt idx="28">
                  <c:v>42644</c:v>
                </c:pt>
                <c:pt idx="29">
                  <c:v>42675</c:v>
                </c:pt>
                <c:pt idx="30">
                  <c:v>42705</c:v>
                </c:pt>
                <c:pt idx="31">
                  <c:v>42736</c:v>
                </c:pt>
                <c:pt idx="32">
                  <c:v>42767</c:v>
                </c:pt>
                <c:pt idx="33">
                  <c:v>42795</c:v>
                </c:pt>
                <c:pt idx="34">
                  <c:v>42826</c:v>
                </c:pt>
                <c:pt idx="35">
                  <c:v>42856</c:v>
                </c:pt>
                <c:pt idx="36">
                  <c:v>42887</c:v>
                </c:pt>
                <c:pt idx="37">
                  <c:v>42917</c:v>
                </c:pt>
                <c:pt idx="38">
                  <c:v>42948</c:v>
                </c:pt>
                <c:pt idx="39">
                  <c:v>42979</c:v>
                </c:pt>
                <c:pt idx="40">
                  <c:v>43009</c:v>
                </c:pt>
                <c:pt idx="41">
                  <c:v>43040</c:v>
                </c:pt>
                <c:pt idx="42">
                  <c:v>43070</c:v>
                </c:pt>
                <c:pt idx="43">
                  <c:v>43101</c:v>
                </c:pt>
                <c:pt idx="44">
                  <c:v>43132</c:v>
                </c:pt>
                <c:pt idx="45">
                  <c:v>43160</c:v>
                </c:pt>
                <c:pt idx="46">
                  <c:v>43191</c:v>
                </c:pt>
                <c:pt idx="47">
                  <c:v>43221</c:v>
                </c:pt>
                <c:pt idx="48">
                  <c:v>43252</c:v>
                </c:pt>
                <c:pt idx="49">
                  <c:v>43282</c:v>
                </c:pt>
                <c:pt idx="50">
                  <c:v>43313</c:v>
                </c:pt>
                <c:pt idx="51">
                  <c:v>43344</c:v>
                </c:pt>
                <c:pt idx="52">
                  <c:v>43374</c:v>
                </c:pt>
                <c:pt idx="53">
                  <c:v>43405</c:v>
                </c:pt>
                <c:pt idx="54">
                  <c:v>43435</c:v>
                </c:pt>
                <c:pt idx="55">
                  <c:v>43466</c:v>
                </c:pt>
                <c:pt idx="56">
                  <c:v>43497</c:v>
                </c:pt>
                <c:pt idx="57">
                  <c:v>43525</c:v>
                </c:pt>
                <c:pt idx="58">
                  <c:v>43556</c:v>
                </c:pt>
                <c:pt idx="59">
                  <c:v>43586</c:v>
                </c:pt>
                <c:pt idx="60">
                  <c:v>43617</c:v>
                </c:pt>
                <c:pt idx="61">
                  <c:v>43647</c:v>
                </c:pt>
                <c:pt idx="62">
                  <c:v>43678</c:v>
                </c:pt>
                <c:pt idx="63">
                  <c:v>43709</c:v>
                </c:pt>
                <c:pt idx="64">
                  <c:v>43739</c:v>
                </c:pt>
                <c:pt idx="65">
                  <c:v>43770</c:v>
                </c:pt>
                <c:pt idx="66">
                  <c:v>43800</c:v>
                </c:pt>
                <c:pt idx="67">
                  <c:v>43831</c:v>
                </c:pt>
                <c:pt idx="68">
                  <c:v>43862</c:v>
                </c:pt>
                <c:pt idx="69">
                  <c:v>43891</c:v>
                </c:pt>
                <c:pt idx="70">
                  <c:v>43922</c:v>
                </c:pt>
                <c:pt idx="71">
                  <c:v>43952</c:v>
                </c:pt>
                <c:pt idx="72">
                  <c:v>43983</c:v>
                </c:pt>
                <c:pt idx="73">
                  <c:v>44013</c:v>
                </c:pt>
                <c:pt idx="74">
                  <c:v>44044</c:v>
                </c:pt>
                <c:pt idx="75">
                  <c:v>44075</c:v>
                </c:pt>
                <c:pt idx="76">
                  <c:v>44105</c:v>
                </c:pt>
                <c:pt idx="77">
                  <c:v>44136</c:v>
                </c:pt>
                <c:pt idx="78">
                  <c:v>44166</c:v>
                </c:pt>
                <c:pt idx="79">
                  <c:v>44197</c:v>
                </c:pt>
                <c:pt idx="80">
                  <c:v>44228</c:v>
                </c:pt>
                <c:pt idx="81">
                  <c:v>44256</c:v>
                </c:pt>
                <c:pt idx="82">
                  <c:v>44287</c:v>
                </c:pt>
                <c:pt idx="83">
                  <c:v>44317</c:v>
                </c:pt>
                <c:pt idx="84">
                  <c:v>44348</c:v>
                </c:pt>
                <c:pt idx="85">
                  <c:v>44378</c:v>
                </c:pt>
                <c:pt idx="86">
                  <c:v>44409</c:v>
                </c:pt>
                <c:pt idx="87">
                  <c:v>44440</c:v>
                </c:pt>
                <c:pt idx="88">
                  <c:v>44470</c:v>
                </c:pt>
                <c:pt idx="89">
                  <c:v>44501</c:v>
                </c:pt>
                <c:pt idx="90">
                  <c:v>44531</c:v>
                </c:pt>
                <c:pt idx="91">
                  <c:v>44562</c:v>
                </c:pt>
                <c:pt idx="92">
                  <c:v>44593</c:v>
                </c:pt>
                <c:pt idx="93">
                  <c:v>44621</c:v>
                </c:pt>
                <c:pt idx="94">
                  <c:v>44652</c:v>
                </c:pt>
                <c:pt idx="95">
                  <c:v>44682</c:v>
                </c:pt>
                <c:pt idx="96">
                  <c:v>44713</c:v>
                </c:pt>
                <c:pt idx="97">
                  <c:v>44743</c:v>
                </c:pt>
                <c:pt idx="98">
                  <c:v>44774</c:v>
                </c:pt>
                <c:pt idx="99">
                  <c:v>44805</c:v>
                </c:pt>
                <c:pt idx="100">
                  <c:v>44835</c:v>
                </c:pt>
                <c:pt idx="101">
                  <c:v>44866</c:v>
                </c:pt>
                <c:pt idx="102">
                  <c:v>44896</c:v>
                </c:pt>
                <c:pt idx="103">
                  <c:v>44927</c:v>
                </c:pt>
                <c:pt idx="104">
                  <c:v>44958</c:v>
                </c:pt>
                <c:pt idx="105">
                  <c:v>44986</c:v>
                </c:pt>
                <c:pt idx="106">
                  <c:v>45017</c:v>
                </c:pt>
                <c:pt idx="107">
                  <c:v>45047</c:v>
                </c:pt>
                <c:pt idx="108">
                  <c:v>45078</c:v>
                </c:pt>
                <c:pt idx="109">
                  <c:v>45108</c:v>
                </c:pt>
                <c:pt idx="110">
                  <c:v>45139</c:v>
                </c:pt>
                <c:pt idx="111">
                  <c:v>45170</c:v>
                </c:pt>
                <c:pt idx="112">
                  <c:v>45200</c:v>
                </c:pt>
                <c:pt idx="113">
                  <c:v>45231</c:v>
                </c:pt>
                <c:pt idx="114">
                  <c:v>45261</c:v>
                </c:pt>
                <c:pt idx="115">
                  <c:v>45292</c:v>
                </c:pt>
                <c:pt idx="116">
                  <c:v>45323</c:v>
                </c:pt>
                <c:pt idx="117">
                  <c:v>45352</c:v>
                </c:pt>
                <c:pt idx="118">
                  <c:v>45383</c:v>
                </c:pt>
                <c:pt idx="119">
                  <c:v>45413</c:v>
                </c:pt>
                <c:pt idx="120">
                  <c:v>45444</c:v>
                </c:pt>
                <c:pt idx="121">
                  <c:v>45474</c:v>
                </c:pt>
              </c:numCache>
            </c:numRef>
          </c:cat>
          <c:val>
            <c:numRef>
              <c:f>'Stock Price'!$B$11:$B$132</c:f>
              <c:numCache>
                <c:formatCode>General</c:formatCode>
                <c:ptCount val="122"/>
                <c:pt idx="0">
                  <c:v>34.54</c:v>
                </c:pt>
                <c:pt idx="1">
                  <c:v>34.35</c:v>
                </c:pt>
                <c:pt idx="2">
                  <c:v>34.979999999999997</c:v>
                </c:pt>
                <c:pt idx="3">
                  <c:v>39.840000000000003</c:v>
                </c:pt>
                <c:pt idx="4">
                  <c:v>41.53</c:v>
                </c:pt>
                <c:pt idx="5">
                  <c:v>44.35</c:v>
                </c:pt>
                <c:pt idx="6">
                  <c:v>42.95</c:v>
                </c:pt>
                <c:pt idx="7">
                  <c:v>41.32</c:v>
                </c:pt>
                <c:pt idx="8">
                  <c:v>43.51</c:v>
                </c:pt>
                <c:pt idx="9">
                  <c:v>45.07</c:v>
                </c:pt>
                <c:pt idx="10">
                  <c:v>44.4</c:v>
                </c:pt>
                <c:pt idx="11">
                  <c:v>45.68</c:v>
                </c:pt>
                <c:pt idx="12">
                  <c:v>48.66</c:v>
                </c:pt>
                <c:pt idx="13">
                  <c:v>51.91</c:v>
                </c:pt>
                <c:pt idx="14">
                  <c:v>50.34</c:v>
                </c:pt>
                <c:pt idx="15">
                  <c:v>55.4</c:v>
                </c:pt>
                <c:pt idx="16">
                  <c:v>59.18</c:v>
                </c:pt>
                <c:pt idx="17">
                  <c:v>59.74</c:v>
                </c:pt>
                <c:pt idx="18">
                  <c:v>56.45</c:v>
                </c:pt>
                <c:pt idx="19">
                  <c:v>56.15</c:v>
                </c:pt>
                <c:pt idx="20">
                  <c:v>55.77</c:v>
                </c:pt>
                <c:pt idx="21">
                  <c:v>55.66</c:v>
                </c:pt>
                <c:pt idx="22">
                  <c:v>53.5</c:v>
                </c:pt>
                <c:pt idx="23">
                  <c:v>50.13</c:v>
                </c:pt>
                <c:pt idx="24">
                  <c:v>50.11</c:v>
                </c:pt>
                <c:pt idx="25">
                  <c:v>50.53</c:v>
                </c:pt>
                <c:pt idx="26">
                  <c:v>52.48</c:v>
                </c:pt>
                <c:pt idx="27">
                  <c:v>47.93</c:v>
                </c:pt>
                <c:pt idx="28">
                  <c:v>45.81</c:v>
                </c:pt>
                <c:pt idx="29">
                  <c:v>45.71</c:v>
                </c:pt>
                <c:pt idx="30">
                  <c:v>46.41</c:v>
                </c:pt>
                <c:pt idx="31">
                  <c:v>48.47</c:v>
                </c:pt>
                <c:pt idx="32">
                  <c:v>52.37</c:v>
                </c:pt>
                <c:pt idx="33">
                  <c:v>51.06</c:v>
                </c:pt>
                <c:pt idx="34">
                  <c:v>50.93</c:v>
                </c:pt>
                <c:pt idx="35">
                  <c:v>48.7</c:v>
                </c:pt>
                <c:pt idx="36">
                  <c:v>54.23</c:v>
                </c:pt>
                <c:pt idx="37">
                  <c:v>54.46</c:v>
                </c:pt>
                <c:pt idx="38">
                  <c:v>48.7</c:v>
                </c:pt>
                <c:pt idx="39">
                  <c:v>47.98</c:v>
                </c:pt>
                <c:pt idx="40">
                  <c:v>50.89</c:v>
                </c:pt>
                <c:pt idx="41">
                  <c:v>55.91</c:v>
                </c:pt>
                <c:pt idx="42">
                  <c:v>57.89</c:v>
                </c:pt>
                <c:pt idx="43">
                  <c:v>63.34</c:v>
                </c:pt>
                <c:pt idx="44">
                  <c:v>62.24</c:v>
                </c:pt>
                <c:pt idx="45">
                  <c:v>61.69</c:v>
                </c:pt>
                <c:pt idx="46">
                  <c:v>63.69</c:v>
                </c:pt>
                <c:pt idx="47">
                  <c:v>66.87</c:v>
                </c:pt>
                <c:pt idx="48">
                  <c:v>74.209999999999994</c:v>
                </c:pt>
                <c:pt idx="49">
                  <c:v>71.83</c:v>
                </c:pt>
                <c:pt idx="50">
                  <c:v>76.77</c:v>
                </c:pt>
                <c:pt idx="51">
                  <c:v>79.319999999999993</c:v>
                </c:pt>
                <c:pt idx="52">
                  <c:v>70.25</c:v>
                </c:pt>
                <c:pt idx="53">
                  <c:v>70.33</c:v>
                </c:pt>
                <c:pt idx="54">
                  <c:v>69.62</c:v>
                </c:pt>
                <c:pt idx="55">
                  <c:v>76.88</c:v>
                </c:pt>
                <c:pt idx="56">
                  <c:v>80.5</c:v>
                </c:pt>
                <c:pt idx="57">
                  <c:v>79.069999999999993</c:v>
                </c:pt>
                <c:pt idx="58">
                  <c:v>82.68</c:v>
                </c:pt>
                <c:pt idx="59">
                  <c:v>72.62</c:v>
                </c:pt>
                <c:pt idx="60">
                  <c:v>79.25</c:v>
                </c:pt>
                <c:pt idx="61">
                  <c:v>81.209999999999994</c:v>
                </c:pt>
                <c:pt idx="62">
                  <c:v>79.77</c:v>
                </c:pt>
                <c:pt idx="63">
                  <c:v>88.89</c:v>
                </c:pt>
                <c:pt idx="64">
                  <c:v>84.76</c:v>
                </c:pt>
                <c:pt idx="65">
                  <c:v>88.48</c:v>
                </c:pt>
                <c:pt idx="66">
                  <c:v>96.14</c:v>
                </c:pt>
                <c:pt idx="67">
                  <c:v>91.38</c:v>
                </c:pt>
                <c:pt idx="68">
                  <c:v>84.82</c:v>
                </c:pt>
                <c:pt idx="69">
                  <c:v>78.73</c:v>
                </c:pt>
                <c:pt idx="70">
                  <c:v>82.96</c:v>
                </c:pt>
                <c:pt idx="71">
                  <c:v>93.8</c:v>
                </c:pt>
                <c:pt idx="72">
                  <c:v>93.53</c:v>
                </c:pt>
                <c:pt idx="73">
                  <c:v>93.11</c:v>
                </c:pt>
                <c:pt idx="74">
                  <c:v>106.74</c:v>
                </c:pt>
                <c:pt idx="75">
                  <c:v>120.02</c:v>
                </c:pt>
                <c:pt idx="76">
                  <c:v>114.8</c:v>
                </c:pt>
                <c:pt idx="77">
                  <c:v>128.78</c:v>
                </c:pt>
                <c:pt idx="78">
                  <c:v>135.25</c:v>
                </c:pt>
                <c:pt idx="79">
                  <c:v>127.98</c:v>
                </c:pt>
                <c:pt idx="80">
                  <c:v>129.12</c:v>
                </c:pt>
                <c:pt idx="81">
                  <c:v>127.56</c:v>
                </c:pt>
                <c:pt idx="82">
                  <c:v>127.3</c:v>
                </c:pt>
                <c:pt idx="83">
                  <c:v>130.99</c:v>
                </c:pt>
                <c:pt idx="84">
                  <c:v>148.6</c:v>
                </c:pt>
                <c:pt idx="85">
                  <c:v>161.12</c:v>
                </c:pt>
                <c:pt idx="86">
                  <c:v>158.46</c:v>
                </c:pt>
                <c:pt idx="87">
                  <c:v>139.91999999999999</c:v>
                </c:pt>
                <c:pt idx="88">
                  <c:v>161.16999999999999</c:v>
                </c:pt>
                <c:pt idx="89">
                  <c:v>163.05000000000001</c:v>
                </c:pt>
                <c:pt idx="90">
                  <c:v>160.58000000000001</c:v>
                </c:pt>
                <c:pt idx="91">
                  <c:v>142.91</c:v>
                </c:pt>
                <c:pt idx="92">
                  <c:v>131.79</c:v>
                </c:pt>
                <c:pt idx="93">
                  <c:v>129.87</c:v>
                </c:pt>
                <c:pt idx="94">
                  <c:v>120.63</c:v>
                </c:pt>
                <c:pt idx="95">
                  <c:v>114.97</c:v>
                </c:pt>
                <c:pt idx="96">
                  <c:v>98.87</c:v>
                </c:pt>
                <c:pt idx="97">
                  <c:v>111.45</c:v>
                </c:pt>
                <c:pt idx="98">
                  <c:v>103.23</c:v>
                </c:pt>
                <c:pt idx="99">
                  <c:v>80.61</c:v>
                </c:pt>
                <c:pt idx="100">
                  <c:v>90.14</c:v>
                </c:pt>
                <c:pt idx="101">
                  <c:v>106.68</c:v>
                </c:pt>
                <c:pt idx="102">
                  <c:v>113.8</c:v>
                </c:pt>
                <c:pt idx="103">
                  <c:v>124.22</c:v>
                </c:pt>
                <c:pt idx="104">
                  <c:v>115.88</c:v>
                </c:pt>
                <c:pt idx="105">
                  <c:v>119.64</c:v>
                </c:pt>
                <c:pt idx="106">
                  <c:v>123.97</c:v>
                </c:pt>
                <c:pt idx="107">
                  <c:v>102.98</c:v>
                </c:pt>
                <c:pt idx="108">
                  <c:v>107.98</c:v>
                </c:pt>
                <c:pt idx="109">
                  <c:v>108.35</c:v>
                </c:pt>
                <c:pt idx="110">
                  <c:v>99.83</c:v>
                </c:pt>
                <c:pt idx="111">
                  <c:v>93.86</c:v>
                </c:pt>
                <c:pt idx="112">
                  <c:v>101.21</c:v>
                </c:pt>
                <c:pt idx="113">
                  <c:v>108.6</c:v>
                </c:pt>
                <c:pt idx="114">
                  <c:v>106.92</c:v>
                </c:pt>
                <c:pt idx="115">
                  <c:v>100.33</c:v>
                </c:pt>
                <c:pt idx="116">
                  <c:v>102.7</c:v>
                </c:pt>
                <c:pt idx="117">
                  <c:v>92.87</c:v>
                </c:pt>
                <c:pt idx="118">
                  <c:v>91.49</c:v>
                </c:pt>
                <c:pt idx="119">
                  <c:v>94.26</c:v>
                </c:pt>
                <c:pt idx="120">
                  <c:v>74.739999999999995</c:v>
                </c:pt>
                <c:pt idx="121">
                  <c:v>74.53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8-4EFF-B96F-A5CD86C14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69551"/>
        <c:axId val="50170031"/>
      </c:lineChart>
      <c:dateAx>
        <c:axId val="5016955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70031"/>
        <c:crosses val="autoZero"/>
        <c:auto val="1"/>
        <c:lblOffset val="100"/>
        <c:baseTimeUnit val="months"/>
      </c:dateAx>
      <c:valAx>
        <c:axId val="5017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and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Statement'!$A$16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Statement'!$B$11:$K$11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'Income Statement'!$B$16:$K$16</c:f>
              <c:numCache>
                <c:formatCode>"$"#,##0</c:formatCode>
                <c:ptCount val="10"/>
                <c:pt idx="0">
                  <c:v>30601000</c:v>
                </c:pt>
                <c:pt idx="1">
                  <c:v>32376000</c:v>
                </c:pt>
                <c:pt idx="2">
                  <c:v>34350000</c:v>
                </c:pt>
                <c:pt idx="3">
                  <c:v>36397000</c:v>
                </c:pt>
                <c:pt idx="4">
                  <c:v>39117000</c:v>
                </c:pt>
                <c:pt idx="5">
                  <c:v>37403000</c:v>
                </c:pt>
                <c:pt idx="6">
                  <c:v>44538000</c:v>
                </c:pt>
                <c:pt idx="7">
                  <c:v>46710000</c:v>
                </c:pt>
                <c:pt idx="8">
                  <c:v>51217000</c:v>
                </c:pt>
                <c:pt idx="9">
                  <c:v>51362000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6-4F4D-B546-413AA0EDBA33}"/>
            </c:ext>
          </c:extLst>
        </c:ser>
        <c:ser>
          <c:idx val="1"/>
          <c:order val="1"/>
          <c:tx>
            <c:strRef>
              <c:f>'Income Statement'!$A$28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Statement'!$B$11:$K$11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'Income Statement'!$B$28:$K$28</c:f>
              <c:numCache>
                <c:formatCode>"$"#,##0</c:formatCode>
                <c:ptCount val="10"/>
                <c:pt idx="0">
                  <c:v>3273000</c:v>
                </c:pt>
                <c:pt idx="1">
                  <c:v>3760000</c:v>
                </c:pt>
                <c:pt idx="2">
                  <c:v>4240000</c:v>
                </c:pt>
                <c:pt idx="3">
                  <c:v>1933000</c:v>
                </c:pt>
                <c:pt idx="4">
                  <c:v>4029000</c:v>
                </c:pt>
                <c:pt idx="5">
                  <c:v>2539000</c:v>
                </c:pt>
                <c:pt idx="6">
                  <c:v>5727000</c:v>
                </c:pt>
                <c:pt idx="7">
                  <c:v>6046000</c:v>
                </c:pt>
                <c:pt idx="8">
                  <c:v>5070000</c:v>
                </c:pt>
                <c:pt idx="9">
                  <c:v>5700000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6-4F4D-B546-413AA0EDB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722592"/>
        <c:axId val="641721632"/>
      </c:barChart>
      <c:catAx>
        <c:axId val="64172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21632"/>
        <c:crosses val="autoZero"/>
        <c:auto val="1"/>
        <c:lblAlgn val="ctr"/>
        <c:lblOffset val="100"/>
        <c:noMultiLvlLbl val="0"/>
      </c:catAx>
      <c:valAx>
        <c:axId val="6417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2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Statement'!$A$16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Statement'!$B$11:$K$11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'Income Statement'!$B$16:$K$16</c:f>
              <c:numCache>
                <c:formatCode>"$"#,##0</c:formatCode>
                <c:ptCount val="10"/>
                <c:pt idx="0">
                  <c:v>30601000</c:v>
                </c:pt>
                <c:pt idx="1">
                  <c:v>32376000</c:v>
                </c:pt>
                <c:pt idx="2">
                  <c:v>34350000</c:v>
                </c:pt>
                <c:pt idx="3">
                  <c:v>36397000</c:v>
                </c:pt>
                <c:pt idx="4">
                  <c:v>39117000</c:v>
                </c:pt>
                <c:pt idx="5">
                  <c:v>37403000</c:v>
                </c:pt>
                <c:pt idx="6">
                  <c:v>44538000</c:v>
                </c:pt>
                <c:pt idx="7">
                  <c:v>46710000</c:v>
                </c:pt>
                <c:pt idx="8">
                  <c:v>51217000</c:v>
                </c:pt>
                <c:pt idx="9">
                  <c:v>51362000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A-4E1D-9C33-CA7D47509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715872"/>
        <c:axId val="641708192"/>
      </c:barChart>
      <c:catAx>
        <c:axId val="6417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08192"/>
        <c:crosses val="autoZero"/>
        <c:auto val="1"/>
        <c:lblAlgn val="ctr"/>
        <c:lblOffset val="100"/>
        <c:noMultiLvlLbl val="0"/>
      </c:catAx>
      <c:valAx>
        <c:axId val="64170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1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Statement'!$A$28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Statement'!$B$11:$K$11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'Income Statement'!$B$28:$K$28</c:f>
              <c:numCache>
                <c:formatCode>"$"#,##0</c:formatCode>
                <c:ptCount val="10"/>
                <c:pt idx="0">
                  <c:v>3273000</c:v>
                </c:pt>
                <c:pt idx="1">
                  <c:v>3760000</c:v>
                </c:pt>
                <c:pt idx="2">
                  <c:v>4240000</c:v>
                </c:pt>
                <c:pt idx="3">
                  <c:v>1933000</c:v>
                </c:pt>
                <c:pt idx="4">
                  <c:v>4029000</c:v>
                </c:pt>
                <c:pt idx="5">
                  <c:v>2539000</c:v>
                </c:pt>
                <c:pt idx="6">
                  <c:v>5727000</c:v>
                </c:pt>
                <c:pt idx="7">
                  <c:v>6046000</c:v>
                </c:pt>
                <c:pt idx="8">
                  <c:v>5070000</c:v>
                </c:pt>
                <c:pt idx="9">
                  <c:v>5700000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5-4F57-8DE1-EAFF87F5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716832"/>
        <c:axId val="641709632"/>
      </c:barChart>
      <c:catAx>
        <c:axId val="64171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09632"/>
        <c:crosses val="autoZero"/>
        <c:auto val="1"/>
        <c:lblAlgn val="ctr"/>
        <c:lblOffset val="100"/>
        <c:noMultiLvlLbl val="0"/>
      </c:catAx>
      <c:valAx>
        <c:axId val="64170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1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'Common Size IS'!$A$28</c:f>
              <c:strCache>
                <c:ptCount val="1"/>
                <c:pt idx="0">
                  <c:v>Increase in Direct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BA-422A-A2E9-52E31E362D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BA-422A-A2E9-52E31E362D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BA-422A-A2E9-52E31E362D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BA-422A-A2E9-52E31E362D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BA-422A-A2E9-52E31E362D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BA-422A-A2E9-52E31E362D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CBA-422A-A2E9-52E31E362D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CBA-422A-A2E9-52E31E362D9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CBA-422A-A2E9-52E31E362D9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CBA-422A-A2E9-52E31E362D90}"/>
              </c:ext>
            </c:extLst>
          </c:dPt>
          <c:val>
            <c:numRef>
              <c:f>'Common Size IS'!$B$28:$K$28</c:f>
              <c:numCache>
                <c:formatCode>General</c:formatCode>
                <c:ptCount val="10"/>
                <c:pt idx="1">
                  <c:v>871000</c:v>
                </c:pt>
                <c:pt idx="2">
                  <c:v>1633000</c:v>
                </c:pt>
                <c:pt idx="3">
                  <c:v>1403000</c:v>
                </c:pt>
                <c:pt idx="4">
                  <c:v>1202000</c:v>
                </c:pt>
                <c:pt idx="5">
                  <c:v>-481000</c:v>
                </c:pt>
                <c:pt idx="6">
                  <c:v>3414000</c:v>
                </c:pt>
                <c:pt idx="7">
                  <c:v>655000</c:v>
                </c:pt>
                <c:pt idx="8">
                  <c:v>3694000</c:v>
                </c:pt>
                <c:pt idx="9">
                  <c:v>-450000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3-480F-8A10-3EE78C5E3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'Common Size IS'!$A$29</c:f>
              <c:strCache>
                <c:ptCount val="1"/>
                <c:pt idx="0">
                  <c:v>Increase in Selling &amp; Admin 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6-487E-8CFC-11348F8E13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6-487E-8CFC-11348F8E13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6-487E-8CFC-11348F8E13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6-487E-8CFC-11348F8E13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46-487E-8CFC-11348F8E13C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46-487E-8CFC-11348F8E13C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46-487E-8CFC-11348F8E13C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46-487E-8CFC-11348F8E13C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46-487E-8CFC-11348F8E13C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46-487E-8CFC-11348F8E13C6}"/>
              </c:ext>
            </c:extLst>
          </c:dPt>
          <c:val>
            <c:numRef>
              <c:f>'Common Size IS'!$B$29:$K$29</c:f>
              <c:numCache>
                <c:formatCode>General</c:formatCode>
                <c:ptCount val="10"/>
                <c:pt idx="1">
                  <c:v>577000</c:v>
                </c:pt>
                <c:pt idx="2">
                  <c:v>94000</c:v>
                </c:pt>
                <c:pt idx="3">
                  <c:v>948000</c:v>
                </c:pt>
                <c:pt idx="4">
                  <c:v>1191000</c:v>
                </c:pt>
                <c:pt idx="5">
                  <c:v>424000</c:v>
                </c:pt>
                <c:pt idx="6">
                  <c:v>-101000</c:v>
                </c:pt>
                <c:pt idx="7">
                  <c:v>1779000</c:v>
                </c:pt>
                <c:pt idx="8">
                  <c:v>1573000</c:v>
                </c:pt>
                <c:pt idx="9">
                  <c:v>199000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3-46DA-B85C-497A124BD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140956654824479E-2"/>
          <c:y val="0.13867435158501443"/>
          <c:w val="0.94650987887727756"/>
          <c:h val="0.621369821567693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Ratios!$B$44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Ratios!$C$43:$L$43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Ratios!$C$44:$L$44</c:f>
              <c:numCache>
                <c:formatCode>General</c:formatCode>
                <c:ptCount val="10"/>
                <c:pt idx="0">
                  <c:v>2.5222608146510894</c:v>
                </c:pt>
                <c:pt idx="1">
                  <c:v>2.8042179917879806</c:v>
                </c:pt>
                <c:pt idx="2">
                  <c:v>2.9340518816222141</c:v>
                </c:pt>
                <c:pt idx="3">
                  <c:v>2.5056291390728478</c:v>
                </c:pt>
                <c:pt idx="4">
                  <c:v>2.1008136282735825</c:v>
                </c:pt>
                <c:pt idx="5">
                  <c:v>2.4814099468855626</c:v>
                </c:pt>
                <c:pt idx="6">
                  <c:v>2.717696919578251</c:v>
                </c:pt>
                <c:pt idx="7">
                  <c:v>2.6293569431500465</c:v>
                </c:pt>
                <c:pt idx="8">
                  <c:v>2.7227744165946413</c:v>
                </c:pt>
                <c:pt idx="9">
                  <c:v>2.3961106391012934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8-4C63-AD0E-8CB3D820508C}"/>
            </c:ext>
          </c:extLst>
        </c:ser>
        <c:ser>
          <c:idx val="1"/>
          <c:order val="1"/>
          <c:tx>
            <c:strRef>
              <c:f>Ratios!$B$45</c:f>
              <c:strCache>
                <c:ptCount val="1"/>
                <c:pt idx="0">
                  <c:v>Acid test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Ratios!$C$43:$L$43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Ratios!$C$45:$L$45</c:f>
              <c:numCache>
                <c:formatCode>General</c:formatCode>
                <c:ptCount val="10"/>
                <c:pt idx="0">
                  <c:v>1.8375434164824755</c:v>
                </c:pt>
                <c:pt idx="1">
                  <c:v>1.9012691302724898</c:v>
                </c:pt>
                <c:pt idx="2">
                  <c:v>2.0105955425648521</c:v>
                </c:pt>
                <c:pt idx="3">
                  <c:v>1.6346026490066226</c:v>
                </c:pt>
                <c:pt idx="4">
                  <c:v>1.386092041698449</c:v>
                </c:pt>
                <c:pt idx="5">
                  <c:v>1.5921052631578947</c:v>
                </c:pt>
                <c:pt idx="6">
                  <c:v>2.0091999173041142</c:v>
                </c:pt>
                <c:pt idx="7">
                  <c:v>1.844641192917055</c:v>
                </c:pt>
                <c:pt idx="8">
                  <c:v>1.8094209161624892</c:v>
                </c:pt>
                <c:pt idx="9">
                  <c:v>1.6863022750873218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8-4C63-AD0E-8CB3D820508C}"/>
            </c:ext>
          </c:extLst>
        </c:ser>
        <c:ser>
          <c:idx val="2"/>
          <c:order val="2"/>
          <c:tx>
            <c:strRef>
              <c:f>Ratios!$B$46</c:f>
              <c:strCache>
                <c:ptCount val="1"/>
                <c:pt idx="0">
                  <c:v>Solvency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Ratios!$C$43:$L$43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Ratios!$C$46:$L$46</c:f>
              <c:numCache>
                <c:formatCode>General</c:formatCode>
                <c:ptCount val="10"/>
                <c:pt idx="0">
                  <c:v>0.41971870870303946</c:v>
                </c:pt>
                <c:pt idx="1">
                  <c:v>0.43547464735036218</c:v>
                </c:pt>
                <c:pt idx="2">
                  <c:v>0.47519376450497003</c:v>
                </c:pt>
                <c:pt idx="3">
                  <c:v>0.57582477259356468</c:v>
                </c:pt>
                <c:pt idx="4">
                  <c:v>0.63045532646048108</c:v>
                </c:pt>
                <c:pt idx="5">
                  <c:v>0.75496839033879071</c:v>
                </c:pt>
                <c:pt idx="6">
                  <c:v>0.67079427328158159</c:v>
                </c:pt>
                <c:pt idx="7">
                  <c:v>0.62992125984251968</c:v>
                </c:pt>
                <c:pt idx="8">
                  <c:v>0.63627758546083946</c:v>
                </c:pt>
                <c:pt idx="9">
                  <c:v>0.62960304166334313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48-4C63-AD0E-8CB3D820508C}"/>
            </c:ext>
          </c:extLst>
        </c:ser>
        <c:ser>
          <c:idx val="3"/>
          <c:order val="3"/>
          <c:tx>
            <c:strRef>
              <c:f>Ratios!$B$47</c:f>
              <c:strCache>
                <c:ptCount val="1"/>
                <c:pt idx="0">
                  <c:v>Debt Equity Ratio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Ratios!$C$43:$L$43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Ratios!$C$47:$L$47</c:f>
              <c:numCache>
                <c:formatCode>General</c:formatCode>
                <c:ptCount val="10"/>
                <c:pt idx="0">
                  <c:v>8.4913827024474697E-2</c:v>
                </c:pt>
                <c:pt idx="1">
                  <c:v>0.16397454723445912</c:v>
                </c:pt>
                <c:pt idx="2">
                  <c:v>0.27976142500201501</c:v>
                </c:pt>
                <c:pt idx="3">
                  <c:v>0.35344476151651039</c:v>
                </c:pt>
                <c:pt idx="4">
                  <c:v>0.38318584070796458</c:v>
                </c:pt>
                <c:pt idx="5">
                  <c:v>1.1677219118559901</c:v>
                </c:pt>
                <c:pt idx="6">
                  <c:v>0.73729145453121325</c:v>
                </c:pt>
                <c:pt idx="7">
                  <c:v>0.58373143118905835</c:v>
                </c:pt>
                <c:pt idx="8">
                  <c:v>0.63746072550699795</c:v>
                </c:pt>
                <c:pt idx="9">
                  <c:v>0.54767844767844764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48-4C63-AD0E-8CB3D820508C}"/>
            </c:ext>
          </c:extLst>
        </c:ser>
        <c:ser>
          <c:idx val="4"/>
          <c:order val="4"/>
          <c:tx>
            <c:strRef>
              <c:f>Ratios!$B$48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Ratios!$C$43:$L$43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Ratios!$C$48:$L$48</c:f>
              <c:numCache>
                <c:formatCode>General</c:formatCode>
                <c:ptCount val="10"/>
                <c:pt idx="0">
                  <c:v>0.4596908597758243</c:v>
                </c:pt>
                <c:pt idx="1">
                  <c:v>0.46241042747714356</c:v>
                </c:pt>
                <c:pt idx="2">
                  <c:v>0.445764192139738</c:v>
                </c:pt>
                <c:pt idx="3">
                  <c:v>0.43838777921257244</c:v>
                </c:pt>
                <c:pt idx="4">
                  <c:v>0.44671114860546568</c:v>
                </c:pt>
                <c:pt idx="5">
                  <c:v>0.43421650669732376</c:v>
                </c:pt>
                <c:pt idx="6">
                  <c:v>0.44820153576721</c:v>
                </c:pt>
                <c:pt idx="7">
                  <c:v>0.45983729394134021</c:v>
                </c:pt>
                <c:pt idx="8">
                  <c:v>0.43524610969014194</c:v>
                </c:pt>
                <c:pt idx="9">
                  <c:v>0.44560180678322497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48-4C63-AD0E-8CB3D820508C}"/>
            </c:ext>
          </c:extLst>
        </c:ser>
        <c:ser>
          <c:idx val="5"/>
          <c:order val="5"/>
          <c:tx>
            <c:strRef>
              <c:f>Ratios!$B$49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Ratios!$C$43:$L$43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Ratios!$C$49:$L$49</c:f>
              <c:numCache>
                <c:formatCode>General</c:formatCode>
                <c:ptCount val="10"/>
                <c:pt idx="0">
                  <c:v>0.1069572889774844</c:v>
                </c:pt>
                <c:pt idx="1">
                  <c:v>0.11613540894489746</c:v>
                </c:pt>
                <c:pt idx="2">
                  <c:v>0.12343522561863174</c:v>
                </c:pt>
                <c:pt idx="3">
                  <c:v>5.3108772701046789E-2</c:v>
                </c:pt>
                <c:pt idx="4">
                  <c:v>0.10299869621903521</c:v>
                </c:pt>
                <c:pt idx="5">
                  <c:v>6.7882255434056085E-2</c:v>
                </c:pt>
                <c:pt idx="6">
                  <c:v>0.12858682473393507</c:v>
                </c:pt>
                <c:pt idx="7">
                  <c:v>0.12943695140226932</c:v>
                </c:pt>
                <c:pt idx="8">
                  <c:v>9.8990569537458259E-2</c:v>
                </c:pt>
                <c:pt idx="9">
                  <c:v>0.11097698687745804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48-4C63-AD0E-8CB3D820508C}"/>
            </c:ext>
          </c:extLst>
        </c:ser>
        <c:ser>
          <c:idx val="6"/>
          <c:order val="6"/>
          <c:tx>
            <c:strRef>
              <c:f>Ratios!$B$50</c:f>
              <c:strCache>
                <c:ptCount val="1"/>
                <c:pt idx="0">
                  <c:v>Total Asset Turnover ratio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Ratios!$C$43:$L$43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Ratios!$C$50:$L$50</c:f>
              <c:numCache>
                <c:formatCode>General</c:formatCode>
                <c:ptCount val="10"/>
                <c:pt idx="0">
                  <c:v>1.4167129629629629</c:v>
                </c:pt>
                <c:pt idx="1">
                  <c:v>1.5131800336511498</c:v>
                </c:pt>
                <c:pt idx="2">
                  <c:v>1.476847671868954</c:v>
                </c:pt>
                <c:pt idx="3">
                  <c:v>1.6150603478878238</c:v>
                </c:pt>
                <c:pt idx="4">
                  <c:v>1.6493232702281064</c:v>
                </c:pt>
                <c:pt idx="5">
                  <c:v>1.1933826813859996</c:v>
                </c:pt>
                <c:pt idx="6">
                  <c:v>1.180127186009539</c:v>
                </c:pt>
                <c:pt idx="7">
                  <c:v>1.1584534113737259</c:v>
                </c:pt>
                <c:pt idx="8">
                  <c:v>1.3646585489328822</c:v>
                </c:pt>
                <c:pt idx="9">
                  <c:v>1.347730254526371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48-4C63-AD0E-8CB3D820508C}"/>
            </c:ext>
          </c:extLst>
        </c:ser>
        <c:ser>
          <c:idx val="7"/>
          <c:order val="7"/>
          <c:tx>
            <c:strRef>
              <c:f>Ratios!$B$51</c:f>
              <c:strCache>
                <c:ptCount val="1"/>
                <c:pt idx="0">
                  <c:v>Inventory Turnover Ratio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Ratios!$C$43:$L$43</c:f>
              <c:strCache>
                <c:ptCount val="10"/>
                <c:pt idx="0">
                  <c:v>05/31/2015</c:v>
                </c:pt>
                <c:pt idx="1">
                  <c:v>05/31/2016</c:v>
                </c:pt>
                <c:pt idx="2">
                  <c:v>05/31/2017</c:v>
                </c:pt>
                <c:pt idx="3">
                  <c:v>05/31/2018</c:v>
                </c:pt>
                <c:pt idx="4">
                  <c:v>05/31/2019</c:v>
                </c:pt>
                <c:pt idx="5">
                  <c:v>05/31/2020</c:v>
                </c:pt>
                <c:pt idx="6">
                  <c:v>05/31/2021</c:v>
                </c:pt>
                <c:pt idx="7">
                  <c:v>05/31/2022</c:v>
                </c:pt>
                <c:pt idx="8">
                  <c:v>05/31/2023</c:v>
                </c:pt>
                <c:pt idx="9">
                  <c:v>05/31/2024</c:v>
                </c:pt>
              </c:strCache>
            </c:strRef>
          </c:cat>
          <c:val>
            <c:numRef>
              <c:f>Ratios!$C$51:$L$51</c:f>
              <c:numCache>
                <c:formatCode>General</c:formatCode>
                <c:ptCount val="10"/>
                <c:pt idx="0">
                  <c:v>7.0557989393590042</c:v>
                </c:pt>
                <c:pt idx="1">
                  <c:v>6.6920214964861513</c:v>
                </c:pt>
                <c:pt idx="2">
                  <c:v>6.7952522255192882</c:v>
                </c:pt>
                <c:pt idx="3">
                  <c:v>6.9182664892605965</c:v>
                </c:pt>
                <c:pt idx="4">
                  <c:v>6.9578441835645677</c:v>
                </c:pt>
                <c:pt idx="5">
                  <c:v>5.077100583683996</c:v>
                </c:pt>
                <c:pt idx="6">
                  <c:v>6.498103297344616</c:v>
                </c:pt>
                <c:pt idx="7">
                  <c:v>5.5475059382422804</c:v>
                </c:pt>
                <c:pt idx="8">
                  <c:v>6.0583155902531347</c:v>
                </c:pt>
                <c:pt idx="9">
                  <c:v>6.8309615640377706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48-4C63-AD0E-8CB3D8205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902079"/>
        <c:axId val="262907839"/>
      </c:barChart>
      <c:catAx>
        <c:axId val="26290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07839"/>
        <c:crosses val="autoZero"/>
        <c:auto val="1"/>
        <c:lblAlgn val="ctr"/>
        <c:lblOffset val="100"/>
        <c:noMultiLvlLbl val="0"/>
      </c:catAx>
      <c:valAx>
        <c:axId val="26290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0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80E37B03-D102-4146-A6C9-3612036D7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>
    <xdr:from>
      <xdr:col>7</xdr:col>
      <xdr:colOff>28575</xdr:colOff>
      <xdr:row>9</xdr:row>
      <xdr:rowOff>133350</xdr:rowOff>
    </xdr:from>
    <xdr:to>
      <xdr:col>17</xdr:col>
      <xdr:colOff>371475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6B943F-A5B0-F2E6-2AC3-800889727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330200</xdr:colOff>
      <xdr:row>30</xdr:row>
      <xdr:rowOff>139700</xdr:rowOff>
    </xdr:from>
    <xdr:ext cx="5156200" cy="14695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769FE4-2035-4E47-8656-A8B51F3B5EE8}"/>
            </a:ext>
          </a:extLst>
        </xdr:cNvPr>
        <xdr:cNvSpPr txBox="1"/>
      </xdr:nvSpPr>
      <xdr:spPr>
        <a:xfrm>
          <a:off x="7772400" y="5765800"/>
          <a:ext cx="5156200" cy="1469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/>
            <a:t>Nike’s stock price has generally gone up over the years.</a:t>
          </a:r>
        </a:p>
        <a:p>
          <a:r>
            <a:rPr lang="en-GB" b="1"/>
            <a:t>2014–2019</a:t>
          </a:r>
          <a:r>
            <a:rPr lang="en-GB"/>
            <a:t>: The price slowly increased in a steady way, showing that the company was doing well.</a:t>
          </a:r>
        </a:p>
        <a:p>
          <a:r>
            <a:rPr lang="en-GB" b="1"/>
            <a:t>2020–2021</a:t>
          </a:r>
          <a:r>
            <a:rPr lang="en-GB"/>
            <a:t>: There was a big jump in the price, likely due to the company’s strong performance during the pandemic.</a:t>
          </a:r>
        </a:p>
        <a:p>
          <a:r>
            <a:rPr lang="en-GB" b="1"/>
            <a:t>2022–2024</a:t>
          </a:r>
          <a:r>
            <a:rPr lang="en-GB"/>
            <a:t>: The stock price has been going up and down, but overall, it’s been falling since the peak in 2021.</a:t>
          </a:r>
        </a:p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</xdr:col>
      <xdr:colOff>238125</xdr:colOff>
      <xdr:row>49</xdr:row>
      <xdr:rowOff>104775</xdr:rowOff>
    </xdr:from>
    <xdr:to>
      <xdr:col>8</xdr:col>
      <xdr:colOff>238125</xdr:colOff>
      <xdr:row>71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027FC3-BF9A-CA0C-1D8E-A262D6F8E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361950</xdr:colOff>
      <xdr:row>72</xdr:row>
      <xdr:rowOff>133350</xdr:rowOff>
    </xdr:from>
    <xdr:to>
      <xdr:col>11</xdr:col>
      <xdr:colOff>133350</xdr:colOff>
      <xdr:row>89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1C881F-D25C-D540-C07B-490BBD796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1466850</xdr:colOff>
      <xdr:row>72</xdr:row>
      <xdr:rowOff>104775</xdr:rowOff>
    </xdr:from>
    <xdr:to>
      <xdr:col>4</xdr:col>
      <xdr:colOff>133350</xdr:colOff>
      <xdr:row>89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6CA0EE-F2F0-55ED-5ED3-323F484B2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3EF162-2CF6-4443-9185-FE7E25DD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>
    <xdr:from>
      <xdr:col>0</xdr:col>
      <xdr:colOff>1133475</xdr:colOff>
      <xdr:row>30</xdr:row>
      <xdr:rowOff>38100</xdr:rowOff>
    </xdr:from>
    <xdr:to>
      <xdr:col>4</xdr:col>
      <xdr:colOff>400050</xdr:colOff>
      <xdr:row>47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4716F4-4ED3-2AD7-451A-67ECDFBEF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590550</xdr:colOff>
      <xdr:row>29</xdr:row>
      <xdr:rowOff>152400</xdr:rowOff>
    </xdr:from>
    <xdr:to>
      <xdr:col>11</xdr:col>
      <xdr:colOff>561975</xdr:colOff>
      <xdr:row>46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7D6B0A-BBE7-12F5-8172-363B27B67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50800</xdr:colOff>
      <xdr:row>33</xdr:row>
      <xdr:rowOff>76200</xdr:rowOff>
    </xdr:from>
    <xdr:ext cx="5308600" cy="164121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948410-CC4F-5E47-BF05-F5176AE5CF4F}"/>
            </a:ext>
          </a:extLst>
        </xdr:cNvPr>
        <xdr:cNvSpPr txBox="1"/>
      </xdr:nvSpPr>
      <xdr:spPr>
        <a:xfrm>
          <a:off x="12026900" y="5981700"/>
          <a:ext cx="5308600" cy="1641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/>
            <a:t>Nike’s direct costs and Selling, General, and Administrative (SG&amp;A) expenses have gone up</a:t>
          </a:r>
          <a:r>
            <a:rPr lang="en-GB" baseline="0"/>
            <a:t> </a:t>
          </a:r>
          <a:r>
            <a:rPr lang="en-GB"/>
            <a:t>over the years as the company has grown. Direct costs rose from about $16.5 billion in 2015</a:t>
          </a:r>
          <a:r>
            <a:rPr lang="en-GB" baseline="0"/>
            <a:t> </a:t>
          </a:r>
          <a:r>
            <a:rPr lang="en-GB"/>
            <a:t> to $28.4 billion in 2024, with a small drop in 2020 during the pandemic. This shows that</a:t>
          </a:r>
          <a:r>
            <a:rPr lang="en-GB" baseline="0"/>
            <a:t> </a:t>
          </a:r>
          <a:r>
            <a:rPr lang="en-GB"/>
            <a:t>Nike’s costs for making and delivering products have increased as the company expanded.</a:t>
          </a:r>
          <a:r>
            <a:rPr lang="en-GB" baseline="0"/>
            <a:t> </a:t>
          </a:r>
          <a:r>
            <a:rPr lang="en-GB"/>
            <a:t>SG&amp;A expenses, which include things like marketing and office costs, also went up from $9.8</a:t>
          </a:r>
          <a:r>
            <a:rPr lang="en-GB" baseline="0"/>
            <a:t> </a:t>
          </a:r>
          <a:r>
            <a:rPr lang="en-GB"/>
            <a:t>billion in 2015 to $16.5 billion in 2022. There was a drop in 2023, possibly because Nike</a:t>
          </a:r>
          <a:r>
            <a:rPr lang="en-GB" baseline="0"/>
            <a:t> </a:t>
          </a:r>
          <a:r>
            <a:rPr lang="en-GB"/>
            <a:t>worked to cut some costs. Overall, Nike has been spending more on both making products and running the business, with some changes in recent years due to outside factors.</a:t>
          </a:r>
          <a:endParaRPr lang="en-GB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187FFC00-9D5B-40F4-A8B9-B61CB81F1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0F5DF8-96D1-4717-ADE3-D0A748F72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>
    <xdr:from>
      <xdr:col>1</xdr:col>
      <xdr:colOff>180975</xdr:colOff>
      <xdr:row>53</xdr:row>
      <xdr:rowOff>85726</xdr:rowOff>
    </xdr:from>
    <xdr:to>
      <xdr:col>12</xdr:col>
      <xdr:colOff>200025</xdr:colOff>
      <xdr:row>74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D6835-33B1-43F5-BB8C-72EB40C80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4" name="Logo" descr="Logo">
          <a:extLst>
            <a:ext uri="{FF2B5EF4-FFF2-40B4-BE49-F238E27FC236}">
              <a16:creationId xmlns:a16="http://schemas.microsoft.com/office/drawing/2014/main" id="{325918D0-8ABC-4BB7-859E-5BB7E3B6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96f827c0131ede2/Documents/Mercer/BDA%20632/Fall%201%202023/Fall%201%20Quiz.xlsx" TargetMode="External"/><Relationship Id="rId1" Type="http://schemas.openxmlformats.org/officeDocument/2006/relationships/externalLinkPath" Target="https://d.docs.live.net/e96f827c0131ede2/Documents/Mercer/BDA%20632/Fall%201%202023/Fall%201%20Qui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ice"/>
      <sheetName val="Income Statement"/>
      <sheetName val="Common Size IS"/>
      <sheetName val="Balance Sheet"/>
      <sheetName val="Ratios"/>
      <sheetName val="Valuatio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646B-B80B-400E-BA1C-B56EC09C2775}">
  <sheetPr>
    <tabColor rgb="FF92D050"/>
  </sheetPr>
  <dimension ref="A1:R132"/>
  <sheetViews>
    <sheetView tabSelected="1" workbookViewId="0">
      <selection activeCell="H49" sqref="H49"/>
    </sheetView>
  </sheetViews>
  <sheetFormatPr baseColWidth="10" defaultColWidth="8.83203125" defaultRowHeight="13" x14ac:dyDescent="0.15"/>
  <cols>
    <col min="1" max="1" width="17.5" customWidth="1"/>
    <col min="3" max="3" width="13.83203125" customWidth="1"/>
    <col min="4" max="4" width="14.33203125" customWidth="1"/>
    <col min="5" max="5" width="13.6640625" customWidth="1"/>
    <col min="6" max="6" width="11.83203125" customWidth="1"/>
  </cols>
  <sheetData>
    <row r="1" spans="1:11" ht="14" thickBot="1" x14ac:dyDescent="0.2"/>
    <row r="2" spans="1:11" ht="14" thickBot="1" x14ac:dyDescent="0.2">
      <c r="C2" s="10" t="s">
        <v>38</v>
      </c>
      <c r="D2" s="10">
        <v>2</v>
      </c>
      <c r="F2" s="12" t="s">
        <v>39</v>
      </c>
      <c r="H2" s="13">
        <f>D2+'Income Statement'!C2+'Common Size IS'!C2+Ratios!C2+Valuation!D2</f>
        <v>15</v>
      </c>
    </row>
    <row r="3" spans="1:11" ht="14" thickBot="1" x14ac:dyDescent="0.2">
      <c r="C3" s="10" t="s">
        <v>40</v>
      </c>
      <c r="D3" s="10"/>
      <c r="F3" s="12" t="s">
        <v>41</v>
      </c>
      <c r="H3" s="14">
        <f>D3+'[1]Income Statement'!C3+'[1]Common Size IS'!D3+[1]Ratios!C3+[1]Valuation!D3</f>
        <v>0</v>
      </c>
    </row>
    <row r="5" spans="1:11" x14ac:dyDescent="0.15">
      <c r="A5" s="43" t="s">
        <v>102</v>
      </c>
    </row>
    <row r="7" spans="1:11" x14ac:dyDescent="0.15">
      <c r="A7" s="41" t="s">
        <v>100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15">
      <c r="A8" s="41" t="s">
        <v>101</v>
      </c>
      <c r="B8" s="17"/>
      <c r="C8" s="17"/>
      <c r="D8" s="17"/>
      <c r="E8" s="17"/>
      <c r="F8" s="17"/>
      <c r="G8" s="17"/>
      <c r="H8" s="17"/>
      <c r="I8" s="17"/>
      <c r="J8" s="17"/>
      <c r="K8" s="17"/>
    </row>
    <row r="10" spans="1:11" ht="43" thickBot="1" x14ac:dyDescent="0.2">
      <c r="A10" s="12" t="s">
        <v>42</v>
      </c>
      <c r="B10" s="12" t="s">
        <v>43</v>
      </c>
      <c r="C10" s="46" t="s">
        <v>109</v>
      </c>
      <c r="D10" s="46" t="s">
        <v>110</v>
      </c>
      <c r="E10" s="46" t="s">
        <v>111</v>
      </c>
    </row>
    <row r="11" spans="1:11" ht="14" thickBot="1" x14ac:dyDescent="0.2">
      <c r="A11" s="15">
        <v>41791</v>
      </c>
      <c r="B11" s="16">
        <v>34.54</v>
      </c>
    </row>
    <row r="12" spans="1:11" ht="14" thickBot="1" x14ac:dyDescent="0.2">
      <c r="A12" s="15">
        <v>41821</v>
      </c>
      <c r="B12" s="16">
        <v>34.35</v>
      </c>
      <c r="C12" s="45">
        <f>+(B12-B11)/B11</f>
        <v>-5.5008685581933335E-3</v>
      </c>
      <c r="D12" s="36">
        <f>+(B12-B11)/B11</f>
        <v>-5.5008685581933335E-3</v>
      </c>
      <c r="E12">
        <f>_xlfn.STDEV.P(D12:D132)</f>
        <v>7.4663417863381099E-2</v>
      </c>
    </row>
    <row r="13" spans="1:11" ht="14" thickBot="1" x14ac:dyDescent="0.2">
      <c r="A13" s="15">
        <v>41852</v>
      </c>
      <c r="B13" s="16">
        <v>34.979999999999997</v>
      </c>
      <c r="C13" s="45">
        <f t="shared" ref="C13:C76" si="0">+(B13-B12)/B12</f>
        <v>1.8340611353711657E-2</v>
      </c>
      <c r="D13" s="36">
        <f t="shared" ref="D13:D76" si="1">+(B13-B12)/B12</f>
        <v>1.8340611353711657E-2</v>
      </c>
    </row>
    <row r="14" spans="1:11" ht="14" thickBot="1" x14ac:dyDescent="0.2">
      <c r="A14" s="15">
        <v>41883</v>
      </c>
      <c r="B14" s="16">
        <v>39.840000000000003</v>
      </c>
      <c r="C14" s="45">
        <f t="shared" si="0"/>
        <v>0.13893653516295046</v>
      </c>
      <c r="D14" s="36">
        <f t="shared" si="1"/>
        <v>0.13893653516295046</v>
      </c>
    </row>
    <row r="15" spans="1:11" ht="14" thickBot="1" x14ac:dyDescent="0.2">
      <c r="A15" s="15">
        <v>41913</v>
      </c>
      <c r="B15" s="16">
        <v>41.53</v>
      </c>
      <c r="C15" s="45">
        <f t="shared" si="0"/>
        <v>4.2419678714859375E-2</v>
      </c>
      <c r="D15" s="36">
        <f t="shared" si="1"/>
        <v>4.2419678714859375E-2</v>
      </c>
    </row>
    <row r="16" spans="1:11" ht="14" thickBot="1" x14ac:dyDescent="0.2">
      <c r="A16" s="15">
        <v>41944</v>
      </c>
      <c r="B16" s="16">
        <v>44.35</v>
      </c>
      <c r="C16" s="45">
        <f t="shared" si="0"/>
        <v>6.7902720924632801E-2</v>
      </c>
      <c r="D16" s="36">
        <f t="shared" si="1"/>
        <v>6.7902720924632801E-2</v>
      </c>
    </row>
    <row r="17" spans="1:18" ht="14" thickBot="1" x14ac:dyDescent="0.2">
      <c r="A17" s="15">
        <v>41974</v>
      </c>
      <c r="B17" s="16">
        <v>42.95</v>
      </c>
      <c r="C17" s="45">
        <f t="shared" si="0"/>
        <v>-3.1567080045095793E-2</v>
      </c>
      <c r="D17" s="36">
        <f t="shared" si="1"/>
        <v>-3.1567080045095793E-2</v>
      </c>
    </row>
    <row r="18" spans="1:18" ht="14" thickBot="1" x14ac:dyDescent="0.2">
      <c r="A18" s="15">
        <v>42005</v>
      </c>
      <c r="B18" s="16">
        <v>41.32</v>
      </c>
      <c r="C18" s="45">
        <f t="shared" si="0"/>
        <v>-3.7951105937136263E-2</v>
      </c>
      <c r="D18" s="36">
        <f t="shared" si="1"/>
        <v>-3.7951105937136263E-2</v>
      </c>
    </row>
    <row r="19" spans="1:18" ht="14" thickBot="1" x14ac:dyDescent="0.2">
      <c r="A19" s="15">
        <v>42036</v>
      </c>
      <c r="B19" s="16">
        <v>43.51</v>
      </c>
      <c r="C19" s="45">
        <f t="shared" si="0"/>
        <v>5.3000968054210978E-2</v>
      </c>
      <c r="D19" s="36">
        <f t="shared" si="1"/>
        <v>5.3000968054210978E-2</v>
      </c>
    </row>
    <row r="20" spans="1:18" ht="14" thickBot="1" x14ac:dyDescent="0.2">
      <c r="A20" s="15">
        <v>42064</v>
      </c>
      <c r="B20" s="16">
        <v>45.07</v>
      </c>
      <c r="C20" s="45">
        <f t="shared" si="0"/>
        <v>3.5853826706504305E-2</v>
      </c>
      <c r="D20" s="36">
        <f t="shared" si="1"/>
        <v>3.5853826706504305E-2</v>
      </c>
    </row>
    <row r="21" spans="1:18" ht="14" thickBot="1" x14ac:dyDescent="0.2">
      <c r="A21" s="15">
        <v>42095</v>
      </c>
      <c r="B21" s="16">
        <v>44.4</v>
      </c>
      <c r="C21" s="45">
        <f t="shared" si="0"/>
        <v>-1.4865764366540975E-2</v>
      </c>
      <c r="D21" s="36">
        <f t="shared" si="1"/>
        <v>-1.4865764366540975E-2</v>
      </c>
    </row>
    <row r="22" spans="1:18" ht="14" thickBot="1" x14ac:dyDescent="0.2">
      <c r="A22" s="15">
        <v>42125</v>
      </c>
      <c r="B22" s="16">
        <v>45.68</v>
      </c>
      <c r="C22" s="45">
        <f t="shared" si="0"/>
        <v>2.8828828828828857E-2</v>
      </c>
      <c r="D22" s="36">
        <f t="shared" si="1"/>
        <v>2.8828828828828857E-2</v>
      </c>
    </row>
    <row r="23" spans="1:18" ht="14" thickBot="1" x14ac:dyDescent="0.2">
      <c r="A23" s="15">
        <v>42156</v>
      </c>
      <c r="B23" s="16">
        <v>48.66</v>
      </c>
      <c r="C23" s="45">
        <f t="shared" si="0"/>
        <v>6.5236427320490301E-2</v>
      </c>
      <c r="D23" s="36">
        <f t="shared" si="1"/>
        <v>6.5236427320490301E-2</v>
      </c>
    </row>
    <row r="24" spans="1:18" ht="14" thickBot="1" x14ac:dyDescent="0.2">
      <c r="A24" s="15">
        <v>42186</v>
      </c>
      <c r="B24" s="16">
        <v>51.91</v>
      </c>
      <c r="C24" s="45">
        <f t="shared" si="0"/>
        <v>6.6789971228935471E-2</v>
      </c>
      <c r="D24" s="36">
        <f t="shared" si="1"/>
        <v>6.6789971228935471E-2</v>
      </c>
    </row>
    <row r="25" spans="1:18" ht="14" thickBot="1" x14ac:dyDescent="0.2">
      <c r="A25" s="15">
        <v>42217</v>
      </c>
      <c r="B25" s="16">
        <v>50.34</v>
      </c>
      <c r="C25" s="45">
        <f t="shared" si="0"/>
        <v>-3.0244654209208115E-2</v>
      </c>
      <c r="D25" s="36">
        <f t="shared" si="1"/>
        <v>-3.0244654209208115E-2</v>
      </c>
    </row>
    <row r="26" spans="1:18" ht="14" thickBot="1" x14ac:dyDescent="0.2">
      <c r="A26" s="15">
        <v>42248</v>
      </c>
      <c r="B26" s="16">
        <v>55.4</v>
      </c>
      <c r="C26" s="45">
        <f t="shared" si="0"/>
        <v>0.10051648788239959</v>
      </c>
      <c r="D26" s="36">
        <f t="shared" si="1"/>
        <v>0.10051648788239959</v>
      </c>
    </row>
    <row r="27" spans="1:18" ht="14" thickBot="1" x14ac:dyDescent="0.2">
      <c r="A27" s="15">
        <v>42278</v>
      </c>
      <c r="B27" s="16">
        <v>59.18</v>
      </c>
      <c r="C27" s="45">
        <f t="shared" si="0"/>
        <v>6.8231046931407968E-2</v>
      </c>
      <c r="D27" s="36">
        <f t="shared" si="1"/>
        <v>6.8231046931407968E-2</v>
      </c>
    </row>
    <row r="28" spans="1:18" ht="14" thickBot="1" x14ac:dyDescent="0.2">
      <c r="A28" s="15">
        <v>42309</v>
      </c>
      <c r="B28" s="16">
        <v>59.74</v>
      </c>
      <c r="C28" s="45">
        <f t="shared" si="0"/>
        <v>9.4626563028050396E-3</v>
      </c>
      <c r="D28" s="36">
        <f t="shared" si="1"/>
        <v>9.4626563028050396E-3</v>
      </c>
    </row>
    <row r="29" spans="1:18" ht="14" thickBot="1" x14ac:dyDescent="0.2">
      <c r="A29" s="15">
        <v>42339</v>
      </c>
      <c r="B29" s="16">
        <v>56.45</v>
      </c>
      <c r="C29" s="45">
        <f t="shared" si="0"/>
        <v>-5.5071978573819867E-2</v>
      </c>
      <c r="D29" s="36">
        <f t="shared" si="1"/>
        <v>-5.5071978573819867E-2</v>
      </c>
    </row>
    <row r="30" spans="1:18" ht="14" thickBot="1" x14ac:dyDescent="0.2">
      <c r="A30" s="15">
        <v>42370</v>
      </c>
      <c r="B30" s="16">
        <v>56.15</v>
      </c>
      <c r="C30" s="45">
        <f t="shared" si="0"/>
        <v>-5.3144375553587997E-3</v>
      </c>
      <c r="D30" s="36">
        <f t="shared" si="1"/>
        <v>-5.3144375553587997E-3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ht="14" thickBot="1" x14ac:dyDescent="0.2">
      <c r="A31" s="15">
        <v>42401</v>
      </c>
      <c r="B31" s="16">
        <v>55.77</v>
      </c>
      <c r="C31" s="45">
        <f t="shared" si="0"/>
        <v>-6.7675868210150571E-3</v>
      </c>
      <c r="D31" s="36">
        <f t="shared" si="1"/>
        <v>-6.7675868210150571E-3</v>
      </c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ht="14" thickBot="1" x14ac:dyDescent="0.2">
      <c r="A32" s="15">
        <v>42430</v>
      </c>
      <c r="B32" s="16">
        <v>55.66</v>
      </c>
      <c r="C32" s="45">
        <f t="shared" si="0"/>
        <v>-1.9723865877713203E-3</v>
      </c>
      <c r="D32" s="36">
        <f t="shared" si="1"/>
        <v>-1.9723865877713203E-3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1:18" ht="14" thickBot="1" x14ac:dyDescent="0.2">
      <c r="A33" s="15">
        <v>42461</v>
      </c>
      <c r="B33" s="16">
        <v>53.5</v>
      </c>
      <c r="C33" s="45">
        <f t="shared" si="0"/>
        <v>-3.8807042759611873E-2</v>
      </c>
      <c r="D33" s="36">
        <f t="shared" si="1"/>
        <v>-3.8807042759611873E-2</v>
      </c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ht="14" thickBot="1" x14ac:dyDescent="0.2">
      <c r="A34" s="15">
        <v>42491</v>
      </c>
      <c r="B34" s="16">
        <v>50.13</v>
      </c>
      <c r="C34" s="45">
        <f t="shared" si="0"/>
        <v>-6.2990654205607427E-2</v>
      </c>
      <c r="D34" s="36">
        <f t="shared" si="1"/>
        <v>-6.2990654205607427E-2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pans="1:18" ht="14" thickBot="1" x14ac:dyDescent="0.2">
      <c r="A35" s="15">
        <v>42522</v>
      </c>
      <c r="B35" s="16">
        <v>50.11</v>
      </c>
      <c r="C35" s="45">
        <f t="shared" si="0"/>
        <v>-3.9896269698789399E-4</v>
      </c>
      <c r="D35" s="36">
        <f t="shared" si="1"/>
        <v>-3.9896269698789399E-4</v>
      </c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 spans="1:18" ht="14" thickBot="1" x14ac:dyDescent="0.2">
      <c r="A36" s="15">
        <v>42552</v>
      </c>
      <c r="B36" s="16">
        <v>50.53</v>
      </c>
      <c r="C36" s="45">
        <f t="shared" si="0"/>
        <v>8.3815605667531771E-3</v>
      </c>
      <c r="D36" s="36">
        <f t="shared" si="1"/>
        <v>8.3815605667531771E-3</v>
      </c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</row>
    <row r="37" spans="1:18" ht="14" thickBot="1" x14ac:dyDescent="0.2">
      <c r="A37" s="15">
        <v>42583</v>
      </c>
      <c r="B37" s="16">
        <v>52.48</v>
      </c>
      <c r="C37" s="45">
        <f t="shared" si="0"/>
        <v>3.8590936077577589E-2</v>
      </c>
      <c r="D37" s="36">
        <f t="shared" si="1"/>
        <v>3.8590936077577589E-2</v>
      </c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</row>
    <row r="38" spans="1:18" ht="14" thickBot="1" x14ac:dyDescent="0.2">
      <c r="A38" s="15">
        <v>42614</v>
      </c>
      <c r="B38" s="16">
        <v>47.93</v>
      </c>
      <c r="C38" s="45">
        <f t="shared" si="0"/>
        <v>-8.6699695121951165E-2</v>
      </c>
      <c r="D38" s="36">
        <f t="shared" si="1"/>
        <v>-8.6699695121951165E-2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ht="14" thickBot="1" x14ac:dyDescent="0.2">
      <c r="A39" s="15">
        <v>42644</v>
      </c>
      <c r="B39" s="16">
        <v>45.81</v>
      </c>
      <c r="C39" s="45">
        <f t="shared" si="0"/>
        <v>-4.4231170456916283E-2</v>
      </c>
      <c r="D39" s="36">
        <f t="shared" si="1"/>
        <v>-4.4231170456916283E-2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ht="14" thickBot="1" x14ac:dyDescent="0.2">
      <c r="A40" s="15">
        <v>42675</v>
      </c>
      <c r="B40" s="16">
        <v>45.71</v>
      </c>
      <c r="C40" s="45">
        <f t="shared" si="0"/>
        <v>-2.1829294913774592E-3</v>
      </c>
      <c r="D40" s="36">
        <f t="shared" si="1"/>
        <v>-2.1829294913774592E-3</v>
      </c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</row>
    <row r="41" spans="1:18" ht="14" thickBot="1" x14ac:dyDescent="0.2">
      <c r="A41" s="15">
        <v>42705</v>
      </c>
      <c r="B41" s="16">
        <v>46.41</v>
      </c>
      <c r="C41" s="45">
        <f t="shared" si="0"/>
        <v>1.5313935681470044E-2</v>
      </c>
      <c r="D41" s="36">
        <f t="shared" si="1"/>
        <v>1.5313935681470044E-2</v>
      </c>
    </row>
    <row r="42" spans="1:18" ht="14" thickBot="1" x14ac:dyDescent="0.2">
      <c r="A42" s="15">
        <v>42736</v>
      </c>
      <c r="B42" s="16">
        <v>48.47</v>
      </c>
      <c r="C42" s="45">
        <f t="shared" si="0"/>
        <v>4.4386985563456202E-2</v>
      </c>
      <c r="D42" s="36">
        <f t="shared" si="1"/>
        <v>4.4386985563456202E-2</v>
      </c>
    </row>
    <row r="43" spans="1:18" ht="14" thickBot="1" x14ac:dyDescent="0.2">
      <c r="A43" s="15">
        <v>42767</v>
      </c>
      <c r="B43" s="16">
        <v>52.37</v>
      </c>
      <c r="C43" s="45">
        <f t="shared" si="0"/>
        <v>8.04621415308438E-2</v>
      </c>
      <c r="D43" s="36">
        <f t="shared" si="1"/>
        <v>8.04621415308438E-2</v>
      </c>
    </row>
    <row r="44" spans="1:18" ht="14" thickBot="1" x14ac:dyDescent="0.2">
      <c r="A44" s="15">
        <v>42795</v>
      </c>
      <c r="B44" s="16">
        <v>51.06</v>
      </c>
      <c r="C44" s="45">
        <f t="shared" si="0"/>
        <v>-2.501432117624585E-2</v>
      </c>
      <c r="D44" s="36">
        <f t="shared" si="1"/>
        <v>-2.501432117624585E-2</v>
      </c>
    </row>
    <row r="45" spans="1:18" ht="14" thickBot="1" x14ac:dyDescent="0.2">
      <c r="A45" s="15">
        <v>42826</v>
      </c>
      <c r="B45" s="16">
        <v>50.93</v>
      </c>
      <c r="C45" s="45">
        <f t="shared" si="0"/>
        <v>-2.5460242851547701E-3</v>
      </c>
      <c r="D45" s="36">
        <f t="shared" si="1"/>
        <v>-2.5460242851547701E-3</v>
      </c>
    </row>
    <row r="46" spans="1:18" ht="14" thickBot="1" x14ac:dyDescent="0.2">
      <c r="A46" s="15">
        <v>42856</v>
      </c>
      <c r="B46" s="16">
        <v>48.7</v>
      </c>
      <c r="C46" s="45">
        <f t="shared" si="0"/>
        <v>-4.3785588062045883E-2</v>
      </c>
      <c r="D46" s="36">
        <f t="shared" si="1"/>
        <v>-4.3785588062045883E-2</v>
      </c>
    </row>
    <row r="47" spans="1:18" ht="14" thickBot="1" x14ac:dyDescent="0.2">
      <c r="A47" s="15">
        <v>42887</v>
      </c>
      <c r="B47" s="16">
        <v>54.23</v>
      </c>
      <c r="C47" s="45">
        <f t="shared" si="0"/>
        <v>0.11355236139630377</v>
      </c>
      <c r="D47" s="36">
        <f t="shared" si="1"/>
        <v>0.11355236139630377</v>
      </c>
    </row>
    <row r="48" spans="1:18" ht="14" thickBot="1" x14ac:dyDescent="0.2">
      <c r="A48" s="15">
        <v>42917</v>
      </c>
      <c r="B48" s="16">
        <v>54.46</v>
      </c>
      <c r="C48" s="45">
        <f t="shared" si="0"/>
        <v>4.2411949105661808E-3</v>
      </c>
      <c r="D48" s="36">
        <f t="shared" si="1"/>
        <v>4.2411949105661808E-3</v>
      </c>
    </row>
    <row r="49" spans="1:4" ht="14" thickBot="1" x14ac:dyDescent="0.2">
      <c r="A49" s="15">
        <v>42948</v>
      </c>
      <c r="B49" s="16">
        <v>48.7</v>
      </c>
      <c r="C49" s="45">
        <f t="shared" si="0"/>
        <v>-0.10576569959603375</v>
      </c>
      <c r="D49" s="36">
        <f t="shared" si="1"/>
        <v>-0.10576569959603375</v>
      </c>
    </row>
    <row r="50" spans="1:4" ht="14" thickBot="1" x14ac:dyDescent="0.2">
      <c r="A50" s="15">
        <v>42979</v>
      </c>
      <c r="B50" s="16">
        <v>47.98</v>
      </c>
      <c r="C50" s="45">
        <f t="shared" si="0"/>
        <v>-1.4784394250513469E-2</v>
      </c>
      <c r="D50" s="36">
        <f t="shared" si="1"/>
        <v>-1.4784394250513469E-2</v>
      </c>
    </row>
    <row r="51" spans="1:4" ht="14" thickBot="1" x14ac:dyDescent="0.2">
      <c r="A51" s="15">
        <v>43009</v>
      </c>
      <c r="B51" s="16">
        <v>50.89</v>
      </c>
      <c r="C51" s="45">
        <f t="shared" si="0"/>
        <v>6.0650270946227679E-2</v>
      </c>
      <c r="D51" s="36">
        <f t="shared" si="1"/>
        <v>6.0650270946227679E-2</v>
      </c>
    </row>
    <row r="52" spans="1:4" ht="14" thickBot="1" x14ac:dyDescent="0.2">
      <c r="A52" s="15">
        <v>43040</v>
      </c>
      <c r="B52" s="16">
        <v>55.91</v>
      </c>
      <c r="C52" s="45">
        <f t="shared" si="0"/>
        <v>9.8644134407545603E-2</v>
      </c>
      <c r="D52" s="36">
        <f t="shared" si="1"/>
        <v>9.8644134407545603E-2</v>
      </c>
    </row>
    <row r="53" spans="1:4" ht="14" thickBot="1" x14ac:dyDescent="0.2">
      <c r="A53" s="15">
        <v>43070</v>
      </c>
      <c r="B53" s="16">
        <v>57.89</v>
      </c>
      <c r="C53" s="45">
        <f t="shared" si="0"/>
        <v>3.5414058307995065E-2</v>
      </c>
      <c r="D53" s="36">
        <f t="shared" si="1"/>
        <v>3.5414058307995065E-2</v>
      </c>
    </row>
    <row r="54" spans="1:4" ht="14" thickBot="1" x14ac:dyDescent="0.2">
      <c r="A54" s="15">
        <v>43101</v>
      </c>
      <c r="B54" s="16">
        <v>63.34</v>
      </c>
      <c r="C54" s="45">
        <f t="shared" si="0"/>
        <v>9.4144066332699991E-2</v>
      </c>
      <c r="D54" s="36">
        <f t="shared" si="1"/>
        <v>9.4144066332699991E-2</v>
      </c>
    </row>
    <row r="55" spans="1:4" ht="14" thickBot="1" x14ac:dyDescent="0.2">
      <c r="A55" s="15">
        <v>43132</v>
      </c>
      <c r="B55" s="16">
        <v>62.24</v>
      </c>
      <c r="C55" s="45">
        <f t="shared" si="0"/>
        <v>-1.736659299021158E-2</v>
      </c>
      <c r="D55" s="36">
        <f t="shared" si="1"/>
        <v>-1.736659299021158E-2</v>
      </c>
    </row>
    <row r="56" spans="1:4" ht="14" thickBot="1" x14ac:dyDescent="0.2">
      <c r="A56" s="15">
        <v>43160</v>
      </c>
      <c r="B56" s="16">
        <v>61.69</v>
      </c>
      <c r="C56" s="45">
        <f t="shared" si="0"/>
        <v>-8.8367609254499397E-3</v>
      </c>
      <c r="D56" s="36">
        <f t="shared" si="1"/>
        <v>-8.8367609254499397E-3</v>
      </c>
    </row>
    <row r="57" spans="1:4" ht="14" thickBot="1" x14ac:dyDescent="0.2">
      <c r="A57" s="15">
        <v>43191</v>
      </c>
      <c r="B57" s="16">
        <v>63.69</v>
      </c>
      <c r="C57" s="45">
        <f t="shared" si="0"/>
        <v>3.2420165342843248E-2</v>
      </c>
      <c r="D57" s="36">
        <f t="shared" si="1"/>
        <v>3.2420165342843248E-2</v>
      </c>
    </row>
    <row r="58" spans="1:4" ht="14" thickBot="1" x14ac:dyDescent="0.2">
      <c r="A58" s="15">
        <v>43221</v>
      </c>
      <c r="B58" s="16">
        <v>66.87</v>
      </c>
      <c r="C58" s="45">
        <f t="shared" si="0"/>
        <v>4.9929345266132942E-2</v>
      </c>
      <c r="D58" s="36">
        <f t="shared" si="1"/>
        <v>4.9929345266132942E-2</v>
      </c>
    </row>
    <row r="59" spans="1:4" ht="14" thickBot="1" x14ac:dyDescent="0.2">
      <c r="A59" s="15">
        <v>43252</v>
      </c>
      <c r="B59" s="16">
        <v>74.209999999999994</v>
      </c>
      <c r="C59" s="45">
        <f t="shared" si="0"/>
        <v>0.10976521609092252</v>
      </c>
      <c r="D59" s="36">
        <f t="shared" si="1"/>
        <v>0.10976521609092252</v>
      </c>
    </row>
    <row r="60" spans="1:4" ht="14" thickBot="1" x14ac:dyDescent="0.2">
      <c r="A60" s="15">
        <v>43282</v>
      </c>
      <c r="B60" s="16">
        <v>71.83</v>
      </c>
      <c r="C60" s="45">
        <f t="shared" si="0"/>
        <v>-3.2071149440776117E-2</v>
      </c>
      <c r="D60" s="36">
        <f t="shared" si="1"/>
        <v>-3.2071149440776117E-2</v>
      </c>
    </row>
    <row r="61" spans="1:4" ht="14" thickBot="1" x14ac:dyDescent="0.2">
      <c r="A61" s="15">
        <v>43313</v>
      </c>
      <c r="B61" s="16">
        <v>76.77</v>
      </c>
      <c r="C61" s="45">
        <f t="shared" si="0"/>
        <v>6.877349296951131E-2</v>
      </c>
      <c r="D61" s="36">
        <f t="shared" si="1"/>
        <v>6.877349296951131E-2</v>
      </c>
    </row>
    <row r="62" spans="1:4" ht="14" thickBot="1" x14ac:dyDescent="0.2">
      <c r="A62" s="15">
        <v>43344</v>
      </c>
      <c r="B62" s="16">
        <v>79.319999999999993</v>
      </c>
      <c r="C62" s="45">
        <f t="shared" si="0"/>
        <v>3.3216100039077733E-2</v>
      </c>
      <c r="D62" s="36">
        <f t="shared" si="1"/>
        <v>3.3216100039077733E-2</v>
      </c>
    </row>
    <row r="63" spans="1:4" ht="14" thickBot="1" x14ac:dyDescent="0.2">
      <c r="A63" s="15">
        <v>43374</v>
      </c>
      <c r="B63" s="16">
        <v>70.25</v>
      </c>
      <c r="C63" s="45">
        <f t="shared" si="0"/>
        <v>-0.11434694906707002</v>
      </c>
      <c r="D63" s="36">
        <f t="shared" si="1"/>
        <v>-0.11434694906707002</v>
      </c>
    </row>
    <row r="64" spans="1:4" ht="14" thickBot="1" x14ac:dyDescent="0.2">
      <c r="A64" s="15">
        <v>43405</v>
      </c>
      <c r="B64" s="16">
        <v>70.33</v>
      </c>
      <c r="C64" s="45">
        <f t="shared" si="0"/>
        <v>1.1387900355871643E-3</v>
      </c>
      <c r="D64" s="36">
        <f t="shared" si="1"/>
        <v>1.1387900355871643E-3</v>
      </c>
    </row>
    <row r="65" spans="1:4" ht="14" thickBot="1" x14ac:dyDescent="0.2">
      <c r="A65" s="15">
        <v>43435</v>
      </c>
      <c r="B65" s="16">
        <v>69.62</v>
      </c>
      <c r="C65" s="45">
        <f t="shared" si="0"/>
        <v>-1.0095265178444387E-2</v>
      </c>
      <c r="D65" s="36">
        <f t="shared" si="1"/>
        <v>-1.0095265178444387E-2</v>
      </c>
    </row>
    <row r="66" spans="1:4" ht="14" thickBot="1" x14ac:dyDescent="0.2">
      <c r="A66" s="15">
        <v>43466</v>
      </c>
      <c r="B66" s="16">
        <v>76.88</v>
      </c>
      <c r="C66" s="45">
        <f t="shared" si="0"/>
        <v>0.10428037920137878</v>
      </c>
      <c r="D66" s="36">
        <f t="shared" si="1"/>
        <v>0.10428037920137878</v>
      </c>
    </row>
    <row r="67" spans="1:4" ht="14" thickBot="1" x14ac:dyDescent="0.2">
      <c r="A67" s="15">
        <v>43497</v>
      </c>
      <c r="B67" s="16">
        <v>80.5</v>
      </c>
      <c r="C67" s="45">
        <f t="shared" si="0"/>
        <v>4.7086368366285179E-2</v>
      </c>
      <c r="D67" s="36">
        <f t="shared" si="1"/>
        <v>4.7086368366285179E-2</v>
      </c>
    </row>
    <row r="68" spans="1:4" ht="14" thickBot="1" x14ac:dyDescent="0.2">
      <c r="A68" s="15">
        <v>43525</v>
      </c>
      <c r="B68" s="16">
        <v>79.069999999999993</v>
      </c>
      <c r="C68" s="45">
        <f t="shared" si="0"/>
        <v>-1.7763975155279589E-2</v>
      </c>
      <c r="D68" s="36">
        <f t="shared" si="1"/>
        <v>-1.7763975155279589E-2</v>
      </c>
    </row>
    <row r="69" spans="1:4" ht="14" thickBot="1" x14ac:dyDescent="0.2">
      <c r="A69" s="15">
        <v>43556</v>
      </c>
      <c r="B69" s="16">
        <v>82.68</v>
      </c>
      <c r="C69" s="45">
        <f t="shared" si="0"/>
        <v>4.5655748071329376E-2</v>
      </c>
      <c r="D69" s="36">
        <f t="shared" si="1"/>
        <v>4.5655748071329376E-2</v>
      </c>
    </row>
    <row r="70" spans="1:4" ht="14" thickBot="1" x14ac:dyDescent="0.2">
      <c r="A70" s="15">
        <v>43586</v>
      </c>
      <c r="B70" s="16">
        <v>72.62</v>
      </c>
      <c r="C70" s="45">
        <f t="shared" si="0"/>
        <v>-0.12167392356071603</v>
      </c>
      <c r="D70" s="36">
        <f t="shared" si="1"/>
        <v>-0.12167392356071603</v>
      </c>
    </row>
    <row r="71" spans="1:4" ht="14" thickBot="1" x14ac:dyDescent="0.2">
      <c r="A71" s="15">
        <v>43617</v>
      </c>
      <c r="B71" s="16">
        <v>79.25</v>
      </c>
      <c r="C71" s="45">
        <f t="shared" si="0"/>
        <v>9.129716331589087E-2</v>
      </c>
      <c r="D71" s="36">
        <f t="shared" si="1"/>
        <v>9.129716331589087E-2</v>
      </c>
    </row>
    <row r="72" spans="1:4" ht="14" thickBot="1" x14ac:dyDescent="0.2">
      <c r="A72" s="15">
        <v>43647</v>
      </c>
      <c r="B72" s="16">
        <v>81.209999999999994</v>
      </c>
      <c r="C72" s="45">
        <f t="shared" si="0"/>
        <v>2.4731861198738093E-2</v>
      </c>
      <c r="D72" s="36">
        <f t="shared" si="1"/>
        <v>2.4731861198738093E-2</v>
      </c>
    </row>
    <row r="73" spans="1:4" ht="14" thickBot="1" x14ac:dyDescent="0.2">
      <c r="A73" s="15">
        <v>43678</v>
      </c>
      <c r="B73" s="16">
        <v>79.77</v>
      </c>
      <c r="C73" s="45">
        <f t="shared" si="0"/>
        <v>-1.7731806427779804E-2</v>
      </c>
      <c r="D73" s="36">
        <f t="shared" si="1"/>
        <v>-1.7731806427779804E-2</v>
      </c>
    </row>
    <row r="74" spans="1:4" ht="14" thickBot="1" x14ac:dyDescent="0.2">
      <c r="A74" s="15">
        <v>43709</v>
      </c>
      <c r="B74" s="16">
        <v>88.89</v>
      </c>
      <c r="C74" s="45">
        <f t="shared" si="0"/>
        <v>0.11432869499811965</v>
      </c>
      <c r="D74" s="36">
        <f t="shared" si="1"/>
        <v>0.11432869499811965</v>
      </c>
    </row>
    <row r="75" spans="1:4" ht="14" thickBot="1" x14ac:dyDescent="0.2">
      <c r="A75" s="15">
        <v>43739</v>
      </c>
      <c r="B75" s="16">
        <v>84.76</v>
      </c>
      <c r="C75" s="45">
        <f t="shared" si="0"/>
        <v>-4.6461919226009625E-2</v>
      </c>
      <c r="D75" s="36">
        <f t="shared" si="1"/>
        <v>-4.6461919226009625E-2</v>
      </c>
    </row>
    <row r="76" spans="1:4" ht="14" thickBot="1" x14ac:dyDescent="0.2">
      <c r="A76" s="15">
        <v>43770</v>
      </c>
      <c r="B76" s="16">
        <v>88.48</v>
      </c>
      <c r="C76" s="45">
        <f t="shared" si="0"/>
        <v>4.3888626710712586E-2</v>
      </c>
      <c r="D76" s="36">
        <f t="shared" si="1"/>
        <v>4.3888626710712586E-2</v>
      </c>
    </row>
    <row r="77" spans="1:4" ht="14" thickBot="1" x14ac:dyDescent="0.2">
      <c r="A77" s="15">
        <v>43800</v>
      </c>
      <c r="B77" s="16">
        <v>96.14</v>
      </c>
      <c r="C77" s="45">
        <f t="shared" ref="C77:C132" si="2">+(B77-B76)/B76</f>
        <v>8.657323688969254E-2</v>
      </c>
      <c r="D77" s="36">
        <f t="shared" ref="D77:D132" si="3">+(B77-B76)/B76</f>
        <v>8.657323688969254E-2</v>
      </c>
    </row>
    <row r="78" spans="1:4" ht="14" thickBot="1" x14ac:dyDescent="0.2">
      <c r="A78" s="15">
        <v>43831</v>
      </c>
      <c r="B78" s="16">
        <v>91.38</v>
      </c>
      <c r="C78" s="45">
        <f t="shared" si="2"/>
        <v>-4.9511129602662837E-2</v>
      </c>
      <c r="D78" s="36">
        <f t="shared" si="3"/>
        <v>-4.9511129602662837E-2</v>
      </c>
    </row>
    <row r="79" spans="1:4" ht="14" thickBot="1" x14ac:dyDescent="0.2">
      <c r="A79" s="15">
        <v>43862</v>
      </c>
      <c r="B79" s="16">
        <v>84.82</v>
      </c>
      <c r="C79" s="45">
        <f t="shared" si="2"/>
        <v>-7.178813744801929E-2</v>
      </c>
      <c r="D79" s="36">
        <f t="shared" si="3"/>
        <v>-7.178813744801929E-2</v>
      </c>
    </row>
    <row r="80" spans="1:4" ht="14" thickBot="1" x14ac:dyDescent="0.2">
      <c r="A80" s="15">
        <v>43891</v>
      </c>
      <c r="B80" s="16">
        <v>78.73</v>
      </c>
      <c r="C80" s="45">
        <f t="shared" si="2"/>
        <v>-7.1799103984909102E-2</v>
      </c>
      <c r="D80" s="36">
        <f t="shared" si="3"/>
        <v>-7.1799103984909102E-2</v>
      </c>
    </row>
    <row r="81" spans="1:4" ht="14" thickBot="1" x14ac:dyDescent="0.2">
      <c r="A81" s="15">
        <v>43922</v>
      </c>
      <c r="B81" s="16">
        <v>82.96</v>
      </c>
      <c r="C81" s="45">
        <f t="shared" si="2"/>
        <v>5.3727930903086363E-2</v>
      </c>
      <c r="D81" s="36">
        <f t="shared" si="3"/>
        <v>5.3727930903086363E-2</v>
      </c>
    </row>
    <row r="82" spans="1:4" ht="14" thickBot="1" x14ac:dyDescent="0.2">
      <c r="A82" s="15">
        <v>43952</v>
      </c>
      <c r="B82" s="16">
        <v>93.8</v>
      </c>
      <c r="C82" s="45">
        <f t="shared" si="2"/>
        <v>0.13066538090646099</v>
      </c>
      <c r="D82" s="36">
        <f t="shared" si="3"/>
        <v>0.13066538090646099</v>
      </c>
    </row>
    <row r="83" spans="1:4" ht="14" thickBot="1" x14ac:dyDescent="0.2">
      <c r="A83" s="15">
        <v>43983</v>
      </c>
      <c r="B83" s="16">
        <v>93.53</v>
      </c>
      <c r="C83" s="45">
        <f t="shared" si="2"/>
        <v>-2.878464818763284E-3</v>
      </c>
      <c r="D83" s="36">
        <f t="shared" si="3"/>
        <v>-2.878464818763284E-3</v>
      </c>
    </row>
    <row r="84" spans="1:4" ht="14" thickBot="1" x14ac:dyDescent="0.2">
      <c r="A84" s="15">
        <v>44013</v>
      </c>
      <c r="B84" s="16">
        <v>93.11</v>
      </c>
      <c r="C84" s="45">
        <f t="shared" si="2"/>
        <v>-4.4905377953597956E-3</v>
      </c>
      <c r="D84" s="36">
        <f t="shared" si="3"/>
        <v>-4.4905377953597956E-3</v>
      </c>
    </row>
    <row r="85" spans="1:4" ht="14" thickBot="1" x14ac:dyDescent="0.2">
      <c r="A85" s="15">
        <v>44044</v>
      </c>
      <c r="B85" s="16">
        <v>106.74</v>
      </c>
      <c r="C85" s="45">
        <f t="shared" si="2"/>
        <v>0.14638599505960687</v>
      </c>
      <c r="D85" s="36">
        <f t="shared" si="3"/>
        <v>0.14638599505960687</v>
      </c>
    </row>
    <row r="86" spans="1:4" ht="14" thickBot="1" x14ac:dyDescent="0.2">
      <c r="A86" s="15">
        <v>44075</v>
      </c>
      <c r="B86" s="16">
        <v>120.02</v>
      </c>
      <c r="C86" s="45">
        <f t="shared" si="2"/>
        <v>0.12441446505527451</v>
      </c>
      <c r="D86" s="36">
        <f t="shared" si="3"/>
        <v>0.12441446505527451</v>
      </c>
    </row>
    <row r="87" spans="1:4" ht="14" thickBot="1" x14ac:dyDescent="0.2">
      <c r="A87" s="15">
        <v>44105</v>
      </c>
      <c r="B87" s="16">
        <v>114.8</v>
      </c>
      <c r="C87" s="45">
        <f t="shared" si="2"/>
        <v>-4.3492751208131973E-2</v>
      </c>
      <c r="D87" s="36">
        <f t="shared" si="3"/>
        <v>-4.3492751208131973E-2</v>
      </c>
    </row>
    <row r="88" spans="1:4" ht="14" thickBot="1" x14ac:dyDescent="0.2">
      <c r="A88" s="15">
        <v>44136</v>
      </c>
      <c r="B88" s="16">
        <v>128.78</v>
      </c>
      <c r="C88" s="45">
        <f t="shared" si="2"/>
        <v>0.12177700348432059</v>
      </c>
      <c r="D88" s="36">
        <f t="shared" si="3"/>
        <v>0.12177700348432059</v>
      </c>
    </row>
    <row r="89" spans="1:4" ht="14" thickBot="1" x14ac:dyDescent="0.2">
      <c r="A89" s="15">
        <v>44166</v>
      </c>
      <c r="B89" s="16">
        <v>135.25</v>
      </c>
      <c r="C89" s="45">
        <f t="shared" si="2"/>
        <v>5.0240720608790174E-2</v>
      </c>
      <c r="D89" s="36">
        <f t="shared" si="3"/>
        <v>5.0240720608790174E-2</v>
      </c>
    </row>
    <row r="90" spans="1:4" ht="14" thickBot="1" x14ac:dyDescent="0.2">
      <c r="A90" s="15">
        <v>44197</v>
      </c>
      <c r="B90" s="16">
        <v>127.98</v>
      </c>
      <c r="C90" s="45">
        <f t="shared" si="2"/>
        <v>-5.3752310536044332E-2</v>
      </c>
      <c r="D90" s="36">
        <f t="shared" si="3"/>
        <v>-5.3752310536044332E-2</v>
      </c>
    </row>
    <row r="91" spans="1:4" ht="14" thickBot="1" x14ac:dyDescent="0.2">
      <c r="A91" s="15">
        <v>44228</v>
      </c>
      <c r="B91" s="16">
        <v>129.12</v>
      </c>
      <c r="C91" s="45">
        <f t="shared" si="2"/>
        <v>8.9076418190342285E-3</v>
      </c>
      <c r="D91" s="36">
        <f t="shared" si="3"/>
        <v>8.9076418190342285E-3</v>
      </c>
    </row>
    <row r="92" spans="1:4" ht="14" thickBot="1" x14ac:dyDescent="0.2">
      <c r="A92" s="15">
        <v>44256</v>
      </c>
      <c r="B92" s="16">
        <v>127.56</v>
      </c>
      <c r="C92" s="45">
        <f t="shared" si="2"/>
        <v>-1.2081784386617117E-2</v>
      </c>
      <c r="D92" s="36">
        <f t="shared" si="3"/>
        <v>-1.2081784386617117E-2</v>
      </c>
    </row>
    <row r="93" spans="1:4" ht="14" thickBot="1" x14ac:dyDescent="0.2">
      <c r="A93" s="15">
        <v>44287</v>
      </c>
      <c r="B93" s="16">
        <v>127.3</v>
      </c>
      <c r="C93" s="45">
        <f t="shared" si="2"/>
        <v>-2.0382565067419652E-3</v>
      </c>
      <c r="D93" s="36">
        <f t="shared" si="3"/>
        <v>-2.0382565067419652E-3</v>
      </c>
    </row>
    <row r="94" spans="1:4" ht="14" thickBot="1" x14ac:dyDescent="0.2">
      <c r="A94" s="15">
        <v>44317</v>
      </c>
      <c r="B94" s="16">
        <v>130.99</v>
      </c>
      <c r="C94" s="45">
        <f t="shared" si="2"/>
        <v>2.8986645718774642E-2</v>
      </c>
      <c r="D94" s="36">
        <f t="shared" si="3"/>
        <v>2.8986645718774642E-2</v>
      </c>
    </row>
    <row r="95" spans="1:4" ht="14" thickBot="1" x14ac:dyDescent="0.2">
      <c r="A95" s="15">
        <v>44348</v>
      </c>
      <c r="B95" s="16">
        <v>148.6</v>
      </c>
      <c r="C95" s="45">
        <f t="shared" si="2"/>
        <v>0.13443774333918607</v>
      </c>
      <c r="D95" s="36">
        <f t="shared" si="3"/>
        <v>0.13443774333918607</v>
      </c>
    </row>
    <row r="96" spans="1:4" ht="14" thickBot="1" x14ac:dyDescent="0.2">
      <c r="A96" s="15">
        <v>44378</v>
      </c>
      <c r="B96" s="16">
        <v>161.12</v>
      </c>
      <c r="C96" s="45">
        <f t="shared" si="2"/>
        <v>8.4253028263795493E-2</v>
      </c>
      <c r="D96" s="36">
        <f t="shared" si="3"/>
        <v>8.4253028263795493E-2</v>
      </c>
    </row>
    <row r="97" spans="1:4" ht="14" thickBot="1" x14ac:dyDescent="0.2">
      <c r="A97" s="15">
        <v>44409</v>
      </c>
      <c r="B97" s="16">
        <v>158.46</v>
      </c>
      <c r="C97" s="45">
        <f t="shared" si="2"/>
        <v>-1.650943396226413E-2</v>
      </c>
      <c r="D97" s="36">
        <f t="shared" si="3"/>
        <v>-1.650943396226413E-2</v>
      </c>
    </row>
    <row r="98" spans="1:4" ht="14" thickBot="1" x14ac:dyDescent="0.2">
      <c r="A98" s="15">
        <v>44440</v>
      </c>
      <c r="B98" s="16">
        <v>139.91999999999999</v>
      </c>
      <c r="C98" s="45">
        <f t="shared" si="2"/>
        <v>-0.1170011359333587</v>
      </c>
      <c r="D98" s="36">
        <f t="shared" si="3"/>
        <v>-0.1170011359333587</v>
      </c>
    </row>
    <row r="99" spans="1:4" ht="14" thickBot="1" x14ac:dyDescent="0.2">
      <c r="A99" s="15">
        <v>44470</v>
      </c>
      <c r="B99" s="16">
        <v>161.16999999999999</v>
      </c>
      <c r="C99" s="45">
        <f t="shared" si="2"/>
        <v>0.1518724985706118</v>
      </c>
      <c r="D99" s="36">
        <f t="shared" si="3"/>
        <v>0.1518724985706118</v>
      </c>
    </row>
    <row r="100" spans="1:4" ht="14" thickBot="1" x14ac:dyDescent="0.2">
      <c r="A100" s="15">
        <v>44501</v>
      </c>
      <c r="B100" s="16">
        <v>163.05000000000001</v>
      </c>
      <c r="C100" s="45">
        <f t="shared" si="2"/>
        <v>1.1664701867593373E-2</v>
      </c>
      <c r="D100" s="36">
        <f t="shared" si="3"/>
        <v>1.1664701867593373E-2</v>
      </c>
    </row>
    <row r="101" spans="1:4" ht="14" thickBot="1" x14ac:dyDescent="0.2">
      <c r="A101" s="15">
        <v>44531</v>
      </c>
      <c r="B101" s="16">
        <v>160.58000000000001</v>
      </c>
      <c r="C101" s="45">
        <f t="shared" si="2"/>
        <v>-1.5148727384237956E-2</v>
      </c>
      <c r="D101" s="36">
        <f t="shared" si="3"/>
        <v>-1.5148727384237956E-2</v>
      </c>
    </row>
    <row r="102" spans="1:4" ht="14" thickBot="1" x14ac:dyDescent="0.2">
      <c r="A102" s="15">
        <v>44562</v>
      </c>
      <c r="B102" s="16">
        <v>142.91</v>
      </c>
      <c r="C102" s="45">
        <f t="shared" si="2"/>
        <v>-0.11003861003861012</v>
      </c>
      <c r="D102" s="36">
        <f t="shared" si="3"/>
        <v>-0.11003861003861012</v>
      </c>
    </row>
    <row r="103" spans="1:4" ht="14" thickBot="1" x14ac:dyDescent="0.2">
      <c r="A103" s="15">
        <v>44593</v>
      </c>
      <c r="B103" s="16">
        <v>131.79</v>
      </c>
      <c r="C103" s="45">
        <f t="shared" si="2"/>
        <v>-7.7811209852354665E-2</v>
      </c>
      <c r="D103" s="36">
        <f t="shared" si="3"/>
        <v>-7.7811209852354665E-2</v>
      </c>
    </row>
    <row r="104" spans="1:4" ht="14" thickBot="1" x14ac:dyDescent="0.2">
      <c r="A104" s="15">
        <v>44621</v>
      </c>
      <c r="B104" s="16">
        <v>129.87</v>
      </c>
      <c r="C104" s="45">
        <f t="shared" si="2"/>
        <v>-1.4568631914409193E-2</v>
      </c>
      <c r="D104" s="36">
        <f t="shared" si="3"/>
        <v>-1.4568631914409193E-2</v>
      </c>
    </row>
    <row r="105" spans="1:4" ht="14" thickBot="1" x14ac:dyDescent="0.2">
      <c r="A105" s="15">
        <v>44652</v>
      </c>
      <c r="B105" s="16">
        <v>120.63</v>
      </c>
      <c r="C105" s="45">
        <f t="shared" si="2"/>
        <v>-7.1148071148071215E-2</v>
      </c>
      <c r="D105" s="36">
        <f t="shared" si="3"/>
        <v>-7.1148071148071215E-2</v>
      </c>
    </row>
    <row r="106" spans="1:4" ht="14" thickBot="1" x14ac:dyDescent="0.2">
      <c r="A106" s="15">
        <v>44682</v>
      </c>
      <c r="B106" s="16">
        <v>114.97</v>
      </c>
      <c r="C106" s="45">
        <f t="shared" si="2"/>
        <v>-4.6920334908397553E-2</v>
      </c>
      <c r="D106" s="36">
        <f t="shared" si="3"/>
        <v>-4.6920334908397553E-2</v>
      </c>
    </row>
    <row r="107" spans="1:4" ht="14" thickBot="1" x14ac:dyDescent="0.2">
      <c r="A107" s="15">
        <v>44713</v>
      </c>
      <c r="B107" s="16">
        <v>98.87</v>
      </c>
      <c r="C107" s="45">
        <f t="shared" si="2"/>
        <v>-0.14003653126902665</v>
      </c>
      <c r="D107" s="36">
        <f t="shared" si="3"/>
        <v>-0.14003653126902665</v>
      </c>
    </row>
    <row r="108" spans="1:4" ht="14" thickBot="1" x14ac:dyDescent="0.2">
      <c r="A108" s="15">
        <v>44743</v>
      </c>
      <c r="B108" s="16">
        <v>111.45</v>
      </c>
      <c r="C108" s="45">
        <f t="shared" si="2"/>
        <v>0.12723778699302113</v>
      </c>
      <c r="D108" s="36">
        <f t="shared" si="3"/>
        <v>0.12723778699302113</v>
      </c>
    </row>
    <row r="109" spans="1:4" ht="14" thickBot="1" x14ac:dyDescent="0.2">
      <c r="A109" s="15">
        <v>44774</v>
      </c>
      <c r="B109" s="16">
        <v>103.23</v>
      </c>
      <c r="C109" s="45">
        <f t="shared" si="2"/>
        <v>-7.3755047106325688E-2</v>
      </c>
      <c r="D109" s="36">
        <f t="shared" si="3"/>
        <v>-7.3755047106325688E-2</v>
      </c>
    </row>
    <row r="110" spans="1:4" ht="14" thickBot="1" x14ac:dyDescent="0.2">
      <c r="A110" s="15">
        <v>44805</v>
      </c>
      <c r="B110" s="16">
        <v>80.61</v>
      </c>
      <c r="C110" s="45">
        <f t="shared" si="2"/>
        <v>-0.21912234815460627</v>
      </c>
      <c r="D110" s="36">
        <f t="shared" si="3"/>
        <v>-0.21912234815460627</v>
      </c>
    </row>
    <row r="111" spans="1:4" ht="14" thickBot="1" x14ac:dyDescent="0.2">
      <c r="A111" s="15">
        <v>44835</v>
      </c>
      <c r="B111" s="16">
        <v>90.14</v>
      </c>
      <c r="C111" s="45">
        <f t="shared" si="2"/>
        <v>0.11822354546582312</v>
      </c>
      <c r="D111" s="36">
        <f t="shared" si="3"/>
        <v>0.11822354546582312</v>
      </c>
    </row>
    <row r="112" spans="1:4" ht="14" thickBot="1" x14ac:dyDescent="0.2">
      <c r="A112" s="15">
        <v>44866</v>
      </c>
      <c r="B112" s="16">
        <v>106.68</v>
      </c>
      <c r="C112" s="45">
        <f t="shared" si="2"/>
        <v>0.18349234524073671</v>
      </c>
      <c r="D112" s="36">
        <f t="shared" si="3"/>
        <v>0.18349234524073671</v>
      </c>
    </row>
    <row r="113" spans="1:4" ht="14" thickBot="1" x14ac:dyDescent="0.2">
      <c r="A113" s="15">
        <v>44896</v>
      </c>
      <c r="B113" s="16">
        <v>113.8</v>
      </c>
      <c r="C113" s="45">
        <f t="shared" si="2"/>
        <v>6.6741657292838305E-2</v>
      </c>
      <c r="D113" s="36">
        <f t="shared" si="3"/>
        <v>6.6741657292838305E-2</v>
      </c>
    </row>
    <row r="114" spans="1:4" ht="14" thickBot="1" x14ac:dyDescent="0.2">
      <c r="A114" s="15">
        <v>44927</v>
      </c>
      <c r="B114" s="16">
        <v>124.22</v>
      </c>
      <c r="C114" s="45">
        <f t="shared" si="2"/>
        <v>9.1564147627416534E-2</v>
      </c>
      <c r="D114" s="36">
        <f t="shared" si="3"/>
        <v>9.1564147627416534E-2</v>
      </c>
    </row>
    <row r="115" spans="1:4" ht="14" thickBot="1" x14ac:dyDescent="0.2">
      <c r="A115" s="15">
        <v>44958</v>
      </c>
      <c r="B115" s="16">
        <v>115.88</v>
      </c>
      <c r="C115" s="45">
        <f t="shared" si="2"/>
        <v>-6.713894702946388E-2</v>
      </c>
      <c r="D115" s="36">
        <f t="shared" si="3"/>
        <v>-6.713894702946388E-2</v>
      </c>
    </row>
    <row r="116" spans="1:4" ht="14" thickBot="1" x14ac:dyDescent="0.2">
      <c r="A116" s="15">
        <v>44986</v>
      </c>
      <c r="B116" s="16">
        <v>119.64</v>
      </c>
      <c r="C116" s="45">
        <f t="shared" si="2"/>
        <v>3.244735933724547E-2</v>
      </c>
      <c r="D116" s="36">
        <f t="shared" si="3"/>
        <v>3.244735933724547E-2</v>
      </c>
    </row>
    <row r="117" spans="1:4" ht="14" thickBot="1" x14ac:dyDescent="0.2">
      <c r="A117" s="15">
        <v>45017</v>
      </c>
      <c r="B117" s="16">
        <v>123.97</v>
      </c>
      <c r="C117" s="45">
        <f t="shared" si="2"/>
        <v>3.6191909060514865E-2</v>
      </c>
      <c r="D117" s="36">
        <f t="shared" si="3"/>
        <v>3.6191909060514865E-2</v>
      </c>
    </row>
    <row r="118" spans="1:4" ht="14" thickBot="1" x14ac:dyDescent="0.2">
      <c r="A118" s="15">
        <v>45047</v>
      </c>
      <c r="B118" s="16">
        <v>102.98</v>
      </c>
      <c r="C118" s="45">
        <f t="shared" si="2"/>
        <v>-0.16931515689279661</v>
      </c>
      <c r="D118" s="36">
        <f t="shared" si="3"/>
        <v>-0.16931515689279661</v>
      </c>
    </row>
    <row r="119" spans="1:4" ht="14" thickBot="1" x14ac:dyDescent="0.2">
      <c r="A119" s="15">
        <v>45078</v>
      </c>
      <c r="B119" s="16">
        <v>107.98</v>
      </c>
      <c r="C119" s="45">
        <f t="shared" si="2"/>
        <v>4.855311711011847E-2</v>
      </c>
      <c r="D119" s="36">
        <f t="shared" si="3"/>
        <v>4.855311711011847E-2</v>
      </c>
    </row>
    <row r="120" spans="1:4" ht="14" thickBot="1" x14ac:dyDescent="0.2">
      <c r="A120" s="15">
        <v>45108</v>
      </c>
      <c r="B120" s="16">
        <v>108.35</v>
      </c>
      <c r="C120" s="45">
        <f t="shared" si="2"/>
        <v>3.4265604741617922E-3</v>
      </c>
      <c r="D120" s="36">
        <f t="shared" si="3"/>
        <v>3.4265604741617922E-3</v>
      </c>
    </row>
    <row r="121" spans="1:4" ht="14" thickBot="1" x14ac:dyDescent="0.2">
      <c r="A121" s="15">
        <v>45139</v>
      </c>
      <c r="B121" s="16">
        <v>99.83</v>
      </c>
      <c r="C121" s="45">
        <f t="shared" si="2"/>
        <v>-7.8634056299030891E-2</v>
      </c>
      <c r="D121" s="36">
        <f t="shared" si="3"/>
        <v>-7.8634056299030891E-2</v>
      </c>
    </row>
    <row r="122" spans="1:4" ht="14" thickBot="1" x14ac:dyDescent="0.2">
      <c r="A122" s="15">
        <v>45170</v>
      </c>
      <c r="B122" s="16">
        <v>93.86</v>
      </c>
      <c r="C122" s="45">
        <f t="shared" si="2"/>
        <v>-5.980166282680556E-2</v>
      </c>
      <c r="D122" s="36">
        <f t="shared" si="3"/>
        <v>-5.980166282680556E-2</v>
      </c>
    </row>
    <row r="123" spans="1:4" ht="14" thickBot="1" x14ac:dyDescent="0.2">
      <c r="A123" s="15">
        <v>45200</v>
      </c>
      <c r="B123" s="16">
        <v>101.21</v>
      </c>
      <c r="C123" s="45">
        <f t="shared" si="2"/>
        <v>7.8308118474323396E-2</v>
      </c>
      <c r="D123" s="36">
        <f t="shared" si="3"/>
        <v>7.8308118474323396E-2</v>
      </c>
    </row>
    <row r="124" spans="1:4" ht="14" thickBot="1" x14ac:dyDescent="0.2">
      <c r="A124" s="15">
        <v>45231</v>
      </c>
      <c r="B124" s="16">
        <v>108.6</v>
      </c>
      <c r="C124" s="45">
        <f t="shared" si="2"/>
        <v>7.3016500345815638E-2</v>
      </c>
      <c r="D124" s="36">
        <f t="shared" si="3"/>
        <v>7.3016500345815638E-2</v>
      </c>
    </row>
    <row r="125" spans="1:4" ht="14" thickBot="1" x14ac:dyDescent="0.2">
      <c r="A125" s="15">
        <v>45261</v>
      </c>
      <c r="B125" s="16">
        <v>106.92</v>
      </c>
      <c r="C125" s="45">
        <f t="shared" si="2"/>
        <v>-1.5469613259668441E-2</v>
      </c>
      <c r="D125" s="36">
        <f t="shared" si="3"/>
        <v>-1.5469613259668441E-2</v>
      </c>
    </row>
    <row r="126" spans="1:4" ht="14" thickBot="1" x14ac:dyDescent="0.2">
      <c r="A126" s="15">
        <v>45292</v>
      </c>
      <c r="B126" s="16">
        <v>100.33</v>
      </c>
      <c r="C126" s="45">
        <f t="shared" si="2"/>
        <v>-6.1634867190422778E-2</v>
      </c>
      <c r="D126" s="36">
        <f t="shared" si="3"/>
        <v>-6.1634867190422778E-2</v>
      </c>
    </row>
    <row r="127" spans="1:4" ht="14" thickBot="1" x14ac:dyDescent="0.2">
      <c r="A127" s="15">
        <v>45323</v>
      </c>
      <c r="B127" s="16">
        <v>102.7</v>
      </c>
      <c r="C127" s="45">
        <f t="shared" si="2"/>
        <v>2.3622047244094533E-2</v>
      </c>
      <c r="D127" s="36">
        <f t="shared" si="3"/>
        <v>2.3622047244094533E-2</v>
      </c>
    </row>
    <row r="128" spans="1:4" ht="14" thickBot="1" x14ac:dyDescent="0.2">
      <c r="A128" s="15">
        <v>45352</v>
      </c>
      <c r="B128" s="16">
        <v>92.87</v>
      </c>
      <c r="C128" s="45">
        <f t="shared" si="2"/>
        <v>-9.5715676728334934E-2</v>
      </c>
      <c r="D128" s="36">
        <f t="shared" si="3"/>
        <v>-9.5715676728334934E-2</v>
      </c>
    </row>
    <row r="129" spans="1:4" ht="14" thickBot="1" x14ac:dyDescent="0.2">
      <c r="A129" s="15">
        <v>45383</v>
      </c>
      <c r="B129" s="16">
        <v>91.49</v>
      </c>
      <c r="C129" s="45">
        <f t="shared" si="2"/>
        <v>-1.4859480994939266E-2</v>
      </c>
      <c r="D129" s="36">
        <f t="shared" si="3"/>
        <v>-1.4859480994939266E-2</v>
      </c>
    </row>
    <row r="130" spans="1:4" ht="14" thickBot="1" x14ac:dyDescent="0.2">
      <c r="A130" s="15">
        <v>45413</v>
      </c>
      <c r="B130" s="16">
        <v>94.26</v>
      </c>
      <c r="C130" s="45">
        <f t="shared" si="2"/>
        <v>3.0276532954421363E-2</v>
      </c>
      <c r="D130" s="36">
        <f t="shared" si="3"/>
        <v>3.0276532954421363E-2</v>
      </c>
    </row>
    <row r="131" spans="1:4" ht="14" thickBot="1" x14ac:dyDescent="0.2">
      <c r="A131" s="15">
        <v>45444</v>
      </c>
      <c r="B131" s="16">
        <v>74.739999999999995</v>
      </c>
      <c r="C131" s="45">
        <f t="shared" si="2"/>
        <v>-0.20708678124336949</v>
      </c>
      <c r="D131" s="36">
        <f t="shared" si="3"/>
        <v>-0.20708678124336949</v>
      </c>
    </row>
    <row r="132" spans="1:4" x14ac:dyDescent="0.15">
      <c r="A132" s="15">
        <v>45474</v>
      </c>
      <c r="B132" s="16">
        <v>74.53</v>
      </c>
      <c r="C132" s="45">
        <f t="shared" si="2"/>
        <v>-2.8097404335027261E-3</v>
      </c>
      <c r="D132" s="36">
        <f t="shared" si="3"/>
        <v>-2.8097404335027261E-3</v>
      </c>
    </row>
  </sheetData>
  <sortState xmlns:xlrd2="http://schemas.microsoft.com/office/spreadsheetml/2017/richdata2" ref="A11:B132">
    <sortCondition ref="A10:A132"/>
  </sortState>
  <mergeCells count="1">
    <mergeCell ref="H30:R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U46"/>
  <sheetViews>
    <sheetView topLeftCell="A49" workbookViewId="0">
      <selection activeCell="B46" sqref="B46"/>
    </sheetView>
  </sheetViews>
  <sheetFormatPr baseColWidth="10" defaultColWidth="8.83203125" defaultRowHeight="13" x14ac:dyDescent="0.15"/>
  <cols>
    <col min="1" max="1" width="52.5" customWidth="1"/>
    <col min="2" max="200" width="12" customWidth="1"/>
  </cols>
  <sheetData>
    <row r="2" spans="1:21" x14ac:dyDescent="0.15">
      <c r="B2" s="10" t="s">
        <v>45</v>
      </c>
      <c r="C2" s="10">
        <v>3</v>
      </c>
    </row>
    <row r="3" spans="1:21" x14ac:dyDescent="0.15">
      <c r="B3" s="12" t="s">
        <v>40</v>
      </c>
    </row>
    <row r="4" spans="1:21" x14ac:dyDescent="0.15">
      <c r="A4" s="1" t="s">
        <v>0</v>
      </c>
    </row>
    <row r="5" spans="1:21" ht="20" x14ac:dyDescent="0.2">
      <c r="A5" s="2" t="s">
        <v>1</v>
      </c>
    </row>
    <row r="7" spans="1:21" ht="28" x14ac:dyDescent="0.15">
      <c r="A7" s="44" t="s">
        <v>103</v>
      </c>
    </row>
    <row r="10" spans="1:21" ht="14" x14ac:dyDescent="0.15">
      <c r="A10" s="4" t="s">
        <v>3</v>
      </c>
    </row>
    <row r="11" spans="1:21" ht="14" x14ac:dyDescent="0.15">
      <c r="A11" s="5" t="s">
        <v>4</v>
      </c>
      <c r="B11" s="6" t="s">
        <v>14</v>
      </c>
      <c r="C11" s="6" t="s">
        <v>13</v>
      </c>
      <c r="D11" s="6" t="s">
        <v>12</v>
      </c>
      <c r="E11" s="6" t="s">
        <v>11</v>
      </c>
      <c r="F11" s="6" t="s">
        <v>10</v>
      </c>
      <c r="G11" s="6" t="s">
        <v>9</v>
      </c>
      <c r="H11" s="6" t="s">
        <v>8</v>
      </c>
      <c r="I11" s="6" t="s">
        <v>7</v>
      </c>
      <c r="J11" s="6" t="s">
        <v>6</v>
      </c>
      <c r="K11" s="6" t="s">
        <v>5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4" x14ac:dyDescent="0.15">
      <c r="A12" s="5" t="s">
        <v>15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6" t="s">
        <v>16</v>
      </c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4" x14ac:dyDescent="0.15">
      <c r="A13" s="5" t="s">
        <v>17</v>
      </c>
      <c r="B13" s="6" t="s">
        <v>18</v>
      </c>
      <c r="C13" s="6" t="s">
        <v>18</v>
      </c>
      <c r="D13" s="6" t="s">
        <v>18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6" t="s">
        <v>18</v>
      </c>
      <c r="K13" s="6" t="s">
        <v>18</v>
      </c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4" x14ac:dyDescent="0.15">
      <c r="A14" s="5" t="s">
        <v>19</v>
      </c>
      <c r="B14" s="6" t="s">
        <v>20</v>
      </c>
      <c r="C14" s="6" t="s">
        <v>20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  <c r="K14" s="6" t="s">
        <v>20</v>
      </c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4" x14ac:dyDescent="0.15">
      <c r="A15" s="5" t="s">
        <v>21</v>
      </c>
      <c r="B15" s="6" t="s">
        <v>22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15">
      <c r="A16" s="7" t="s">
        <v>24</v>
      </c>
      <c r="B16" s="19">
        <v>30601000</v>
      </c>
      <c r="C16" s="19">
        <v>32376000</v>
      </c>
      <c r="D16" s="19">
        <v>34350000</v>
      </c>
      <c r="E16" s="19">
        <v>36397000</v>
      </c>
      <c r="F16" s="19">
        <v>39117000</v>
      </c>
      <c r="G16" s="19">
        <v>37403000</v>
      </c>
      <c r="H16" s="19">
        <v>44538000</v>
      </c>
      <c r="I16" s="19">
        <v>46710000</v>
      </c>
      <c r="J16" s="19">
        <v>51217000</v>
      </c>
      <c r="K16" s="19">
        <v>51362000</v>
      </c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15">
      <c r="A17" s="7" t="s">
        <v>25</v>
      </c>
      <c r="B17" s="19">
        <v>16534000</v>
      </c>
      <c r="C17" s="19">
        <v>17405000</v>
      </c>
      <c r="D17" s="19">
        <v>19038000</v>
      </c>
      <c r="E17" s="19">
        <v>20441000</v>
      </c>
      <c r="F17" s="19">
        <v>21643000</v>
      </c>
      <c r="G17" s="19">
        <v>21162000</v>
      </c>
      <c r="H17" s="19">
        <v>24576000</v>
      </c>
      <c r="I17" s="19">
        <v>25231000</v>
      </c>
      <c r="J17" s="19">
        <v>28925000</v>
      </c>
      <c r="K17" s="19">
        <v>28475000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15">
      <c r="A18" s="7" t="s">
        <v>26</v>
      </c>
      <c r="B18" s="19">
        <v>14067000</v>
      </c>
      <c r="C18" s="19">
        <v>14971000</v>
      </c>
      <c r="D18" s="19">
        <v>15312000</v>
      </c>
      <c r="E18" s="19">
        <v>15956000</v>
      </c>
      <c r="F18" s="19">
        <v>17474000</v>
      </c>
      <c r="G18" s="19">
        <v>16241000</v>
      </c>
      <c r="H18" s="19">
        <v>19962000</v>
      </c>
      <c r="I18" s="19">
        <v>21479000</v>
      </c>
      <c r="J18" s="19">
        <v>22292000</v>
      </c>
      <c r="K18" s="19">
        <v>22887000</v>
      </c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15">
      <c r="A19" s="7" t="s">
        <v>27</v>
      </c>
      <c r="B19" s="19">
        <v>9892000</v>
      </c>
      <c r="C19" s="19">
        <v>10469000</v>
      </c>
      <c r="D19" s="19">
        <v>10563000</v>
      </c>
      <c r="E19" s="19">
        <v>11511000</v>
      </c>
      <c r="F19" s="19">
        <v>12702000</v>
      </c>
      <c r="G19" s="19">
        <v>13126000</v>
      </c>
      <c r="H19" s="19">
        <v>13025000</v>
      </c>
      <c r="I19" s="19">
        <v>14804000</v>
      </c>
      <c r="J19" s="19">
        <v>16377000</v>
      </c>
      <c r="K19" s="19">
        <v>16576000</v>
      </c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15">
      <c r="A20" s="7" t="s">
        <v>28</v>
      </c>
      <c r="B20" s="19">
        <v>-58000</v>
      </c>
      <c r="C20" s="19">
        <v>-140000</v>
      </c>
      <c r="D20" s="19">
        <v>-196000</v>
      </c>
      <c r="E20" s="19">
        <v>66000</v>
      </c>
      <c r="F20" s="19">
        <v>-78000</v>
      </c>
      <c r="G20" s="19">
        <v>139000</v>
      </c>
      <c r="H20" s="19">
        <v>14000</v>
      </c>
      <c r="I20" s="19">
        <v>-181000</v>
      </c>
      <c r="J20" s="19">
        <v>-280000</v>
      </c>
      <c r="K20" s="19">
        <v>0</v>
      </c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15">
      <c r="A21" s="7" t="s">
        <v>29</v>
      </c>
      <c r="B21" s="19">
        <v>9834000</v>
      </c>
      <c r="C21" s="19">
        <v>10329000</v>
      </c>
      <c r="D21" s="19">
        <v>10367000</v>
      </c>
      <c r="E21" s="19">
        <v>11577000</v>
      </c>
      <c r="F21" s="19">
        <v>12624000</v>
      </c>
      <c r="G21" s="19">
        <v>13265000</v>
      </c>
      <c r="H21" s="19">
        <v>13039000</v>
      </c>
      <c r="I21" s="19">
        <v>14623000</v>
      </c>
      <c r="J21" s="19">
        <v>16097000</v>
      </c>
      <c r="K21" s="19">
        <v>16576000</v>
      </c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15">
      <c r="A22" s="7" t="s">
        <v>30</v>
      </c>
      <c r="B22" s="19">
        <v>4233000</v>
      </c>
      <c r="C22" s="19">
        <v>4642000</v>
      </c>
      <c r="D22" s="19">
        <v>4945000</v>
      </c>
      <c r="E22" s="19">
        <v>4379000</v>
      </c>
      <c r="F22" s="19">
        <v>4850000</v>
      </c>
      <c r="G22" s="19">
        <v>2976000</v>
      </c>
      <c r="H22" s="19">
        <v>6923000</v>
      </c>
      <c r="I22" s="19">
        <v>6856000</v>
      </c>
      <c r="J22" s="19">
        <v>6195000</v>
      </c>
      <c r="K22" s="19">
        <v>6311000</v>
      </c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15">
      <c r="A23" s="7" t="s">
        <v>31</v>
      </c>
      <c r="B23" s="19">
        <v>-28000</v>
      </c>
      <c r="C23" s="19">
        <v>-19000</v>
      </c>
      <c r="D23" s="19">
        <v>-59000</v>
      </c>
      <c r="E23" s="19">
        <v>-54000</v>
      </c>
      <c r="F23" s="19">
        <v>-49000</v>
      </c>
      <c r="G23" s="19">
        <v>-89000</v>
      </c>
      <c r="H23" s="19">
        <v>-262000</v>
      </c>
      <c r="I23" s="19">
        <v>-205000</v>
      </c>
      <c r="J23" s="19">
        <v>6000</v>
      </c>
      <c r="K23" s="19">
        <v>161000</v>
      </c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15">
      <c r="A24" s="7" t="s">
        <v>32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228000</v>
      </c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15">
      <c r="A25" s="7" t="s">
        <v>33</v>
      </c>
      <c r="B25" s="19">
        <v>-28000</v>
      </c>
      <c r="C25" s="19">
        <v>-19000</v>
      </c>
      <c r="D25" s="19">
        <v>-59000</v>
      </c>
      <c r="E25" s="19">
        <v>-54000</v>
      </c>
      <c r="F25" s="19">
        <v>-49000</v>
      </c>
      <c r="G25" s="19">
        <v>-89000</v>
      </c>
      <c r="H25" s="19">
        <v>-262000</v>
      </c>
      <c r="I25" s="19">
        <v>-205000</v>
      </c>
      <c r="J25" s="19">
        <v>6000</v>
      </c>
      <c r="K25" s="19">
        <v>389000</v>
      </c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15">
      <c r="A26" s="7" t="s">
        <v>34</v>
      </c>
      <c r="B26" s="19">
        <v>4205000</v>
      </c>
      <c r="C26" s="19">
        <v>4623000</v>
      </c>
      <c r="D26" s="19">
        <v>4886000</v>
      </c>
      <c r="E26" s="19">
        <v>4325000</v>
      </c>
      <c r="F26" s="19">
        <v>4801000</v>
      </c>
      <c r="G26" s="19">
        <v>2887000</v>
      </c>
      <c r="H26" s="19">
        <v>6661000</v>
      </c>
      <c r="I26" s="19">
        <v>6651000</v>
      </c>
      <c r="J26" s="19">
        <v>6201000</v>
      </c>
      <c r="K26" s="19">
        <v>6700000</v>
      </c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15">
      <c r="A27" s="7" t="s">
        <v>35</v>
      </c>
      <c r="B27" s="19">
        <v>932000</v>
      </c>
      <c r="C27" s="19">
        <v>863000</v>
      </c>
      <c r="D27" s="19">
        <v>646000</v>
      </c>
      <c r="E27" s="19">
        <v>2392000</v>
      </c>
      <c r="F27" s="19">
        <v>772000</v>
      </c>
      <c r="G27" s="19">
        <v>348000</v>
      </c>
      <c r="H27" s="19">
        <v>934000</v>
      </c>
      <c r="I27" s="19">
        <v>605000</v>
      </c>
      <c r="J27" s="19">
        <v>1131000</v>
      </c>
      <c r="K27" s="19">
        <v>1000000</v>
      </c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15">
      <c r="A28" s="7" t="s">
        <v>36</v>
      </c>
      <c r="B28" s="19">
        <v>3273000</v>
      </c>
      <c r="C28" s="19">
        <v>3760000</v>
      </c>
      <c r="D28" s="19">
        <v>4240000</v>
      </c>
      <c r="E28" s="19">
        <v>1933000</v>
      </c>
      <c r="F28" s="19">
        <v>4029000</v>
      </c>
      <c r="G28" s="19">
        <v>2539000</v>
      </c>
      <c r="H28" s="19">
        <v>5727000</v>
      </c>
      <c r="I28" s="19">
        <v>6046000</v>
      </c>
      <c r="J28" s="19">
        <v>5070000</v>
      </c>
      <c r="K28" s="19">
        <v>5700000</v>
      </c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1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1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15">
      <c r="A31" s="7" t="s">
        <v>37</v>
      </c>
      <c r="B31" s="8">
        <v>1714000</v>
      </c>
      <c r="C31" s="8">
        <v>1682000</v>
      </c>
      <c r="D31" s="8">
        <v>1643000</v>
      </c>
      <c r="E31" s="8">
        <v>1601000</v>
      </c>
      <c r="F31" s="8">
        <v>1568000</v>
      </c>
      <c r="G31" s="8">
        <v>1558000</v>
      </c>
      <c r="H31" s="8">
        <v>1578000</v>
      </c>
      <c r="I31" s="8">
        <v>1571000</v>
      </c>
      <c r="J31" s="8">
        <v>1532000</v>
      </c>
      <c r="K31" s="8">
        <v>1503000</v>
      </c>
      <c r="L31" s="7"/>
      <c r="M31" s="7"/>
      <c r="N31" s="7"/>
      <c r="O31" s="7"/>
      <c r="P31" s="7"/>
      <c r="Q31" s="7"/>
      <c r="R31" s="7"/>
      <c r="S31" s="7"/>
      <c r="T31" s="7"/>
      <c r="U31" s="7"/>
    </row>
    <row r="33" spans="1:11" x14ac:dyDescent="0.15">
      <c r="A33" s="21" t="s">
        <v>44</v>
      </c>
      <c r="B33" s="20">
        <v>2015</v>
      </c>
      <c r="C33" s="20">
        <v>2016</v>
      </c>
      <c r="D33" s="20">
        <v>2017</v>
      </c>
      <c r="E33" s="20">
        <v>2018</v>
      </c>
      <c r="F33" s="20">
        <v>2019</v>
      </c>
      <c r="G33" s="20">
        <v>2020</v>
      </c>
      <c r="H33" s="20">
        <v>2021</v>
      </c>
      <c r="I33" s="20">
        <v>2022</v>
      </c>
      <c r="J33" s="20">
        <v>2023</v>
      </c>
      <c r="K33" s="20">
        <v>2024</v>
      </c>
    </row>
    <row r="35" spans="1:11" x14ac:dyDescent="0.15">
      <c r="A35" s="22" t="s">
        <v>46</v>
      </c>
      <c r="B35">
        <f>+SUM('Stock Price'!$B$11:$B$22)/12</f>
        <v>41.043333333333329</v>
      </c>
      <c r="C35">
        <f>+SUM('Stock Price'!B23:B34)/12</f>
        <v>54.407499999999999</v>
      </c>
      <c r="D35">
        <f>+SUM('Stock Price'!$B$35:$B$46)/12</f>
        <v>49.209166666666675</v>
      </c>
      <c r="E35">
        <f>+SUM('Stock Price'!$B$47:$B$58)/12</f>
        <v>57.324166666666663</v>
      </c>
      <c r="F35">
        <f>+SUM('Stock Price'!$B$59:$B$70)/12</f>
        <v>75.34</v>
      </c>
      <c r="G35">
        <f>+SUM('Stock Price'!$B$71:$B$82)/12</f>
        <v>85.849166666666676</v>
      </c>
      <c r="H35">
        <f>+SUM('Stock Price'!$B$83:$B$94)/12</f>
        <v>119.59833333333331</v>
      </c>
      <c r="I35">
        <f>+SUM('Stock Price'!$B$95:$B$106)/12</f>
        <v>144.42249999999999</v>
      </c>
      <c r="J35">
        <f>+SUM('Stock Price'!$B$107:$B$118)/12</f>
        <v>107.6225</v>
      </c>
      <c r="K35">
        <f>+SUM('Stock Price'!$B$119:$B$130)/12</f>
        <v>100.69999999999999</v>
      </c>
    </row>
    <row r="36" spans="1:11" x14ac:dyDescent="0.15">
      <c r="A36" s="22"/>
    </row>
    <row r="37" spans="1:11" ht="28" x14ac:dyDescent="0.15">
      <c r="A37" s="49" t="s">
        <v>47</v>
      </c>
      <c r="C37" s="45">
        <f>+(C35-B35)/B35</f>
        <v>0.32561114269471303</v>
      </c>
      <c r="D37" s="45">
        <f t="shared" ref="D37:K37" si="0">+(D35-C35)/C35</f>
        <v>-9.5544425554074774E-2</v>
      </c>
      <c r="E37" s="45">
        <f t="shared" si="0"/>
        <v>0.16490829960542555</v>
      </c>
      <c r="F37" s="45">
        <f t="shared" si="0"/>
        <v>0.31427989940252088</v>
      </c>
      <c r="G37" s="45">
        <f t="shared" si="0"/>
        <v>0.13948986815326084</v>
      </c>
      <c r="H37" s="45">
        <f t="shared" si="0"/>
        <v>0.39312165717003622</v>
      </c>
      <c r="I37" s="45">
        <f t="shared" si="0"/>
        <v>0.20756281442049088</v>
      </c>
      <c r="J37" s="45">
        <f t="shared" si="0"/>
        <v>-0.25480794197580009</v>
      </c>
      <c r="K37" s="45">
        <f t="shared" si="0"/>
        <v>-6.432205161560095E-2</v>
      </c>
    </row>
    <row r="38" spans="1:11" x14ac:dyDescent="0.15">
      <c r="A38" s="23"/>
    </row>
    <row r="39" spans="1:11" x14ac:dyDescent="0.15">
      <c r="A39" s="40" t="s">
        <v>98</v>
      </c>
      <c r="B39">
        <f>+B35*B31</f>
        <v>70348273.333333328</v>
      </c>
      <c r="C39">
        <f t="shared" ref="C39:K39" si="1">+C35*C31</f>
        <v>91513415</v>
      </c>
      <c r="D39">
        <f t="shared" si="1"/>
        <v>80850660.833333343</v>
      </c>
      <c r="E39">
        <f t="shared" si="1"/>
        <v>91775990.833333328</v>
      </c>
      <c r="F39">
        <f t="shared" si="1"/>
        <v>118133120</v>
      </c>
      <c r="G39">
        <f t="shared" si="1"/>
        <v>133753001.66666669</v>
      </c>
      <c r="H39">
        <f t="shared" si="1"/>
        <v>188726169.99999997</v>
      </c>
      <c r="I39">
        <f t="shared" si="1"/>
        <v>226887747.49999997</v>
      </c>
      <c r="J39">
        <f t="shared" si="1"/>
        <v>164877670</v>
      </c>
      <c r="K39">
        <f t="shared" si="1"/>
        <v>151352099.99999997</v>
      </c>
    </row>
    <row r="41" spans="1:11" x14ac:dyDescent="0.15">
      <c r="A41" s="41" t="s">
        <v>48</v>
      </c>
      <c r="B41">
        <f>+B28/B31</f>
        <v>1.9095682613768961</v>
      </c>
      <c r="C41">
        <f t="shared" ref="C41:K41" si="2">+C28/C31</f>
        <v>2.2354340071343639</v>
      </c>
      <c r="D41">
        <f t="shared" si="2"/>
        <v>2.5806451612903225</v>
      </c>
      <c r="E41">
        <f t="shared" si="2"/>
        <v>1.2073703935040601</v>
      </c>
      <c r="F41">
        <f t="shared" si="2"/>
        <v>2.5695153061224492</v>
      </c>
      <c r="G41">
        <f t="shared" si="2"/>
        <v>1.6296534017971758</v>
      </c>
      <c r="H41">
        <f t="shared" si="2"/>
        <v>3.6292775665399239</v>
      </c>
      <c r="I41">
        <f t="shared" si="2"/>
        <v>3.8485041374920432</v>
      </c>
      <c r="J41">
        <f t="shared" si="2"/>
        <v>3.3093994778067883</v>
      </c>
      <c r="K41">
        <f t="shared" si="2"/>
        <v>3.7924151696606785</v>
      </c>
    </row>
    <row r="42" spans="1:11" x14ac:dyDescent="0.15">
      <c r="A42" s="17" t="s">
        <v>49</v>
      </c>
      <c r="B42">
        <f>+B35/B41</f>
        <v>21.493514614522862</v>
      </c>
      <c r="C42">
        <f t="shared" ref="C42:K42" si="3">+C35/C41</f>
        <v>24.33867420212766</v>
      </c>
      <c r="D42">
        <f t="shared" si="3"/>
        <v>19.068552083333337</v>
      </c>
      <c r="E42">
        <f t="shared" si="3"/>
        <v>47.478526038972227</v>
      </c>
      <c r="F42">
        <f t="shared" si="3"/>
        <v>29.320704889550758</v>
      </c>
      <c r="G42">
        <f t="shared" si="3"/>
        <v>52.67940199553631</v>
      </c>
      <c r="H42">
        <f t="shared" si="3"/>
        <v>32.953757639252657</v>
      </c>
      <c r="I42">
        <f t="shared" si="3"/>
        <v>37.526918210387031</v>
      </c>
      <c r="J42">
        <f t="shared" si="3"/>
        <v>32.520250493096647</v>
      </c>
      <c r="K42">
        <f t="shared" si="3"/>
        <v>26.552999999999997</v>
      </c>
    </row>
    <row r="44" spans="1:11" ht="28" x14ac:dyDescent="0.15">
      <c r="A44" s="42" t="s">
        <v>99</v>
      </c>
      <c r="C44" s="45">
        <f>+(C16-B16)/B16</f>
        <v>5.8004640371229696E-2</v>
      </c>
      <c r="D44" s="45">
        <f t="shared" ref="D44:K44" si="4">+(D16-C16)/C16</f>
        <v>6.0971089696071165E-2</v>
      </c>
      <c r="E44" s="45">
        <f t="shared" si="4"/>
        <v>5.9592430858806403E-2</v>
      </c>
      <c r="F44" s="45">
        <f t="shared" si="4"/>
        <v>7.4731433909388134E-2</v>
      </c>
      <c r="G44" s="45">
        <f t="shared" si="4"/>
        <v>-4.3817266150267146E-2</v>
      </c>
      <c r="H44" s="45">
        <f t="shared" si="4"/>
        <v>0.1907600994572628</v>
      </c>
      <c r="I44" s="45">
        <f t="shared" si="4"/>
        <v>4.8767344739323724E-2</v>
      </c>
      <c r="J44" s="45">
        <f t="shared" si="4"/>
        <v>9.6488974523656609E-2</v>
      </c>
      <c r="K44" s="45">
        <f t="shared" si="4"/>
        <v>2.8310912392369722E-3</v>
      </c>
    </row>
    <row r="45" spans="1:11" x14ac:dyDescent="0.15">
      <c r="C45" s="36"/>
      <c r="D45" s="36"/>
      <c r="E45" s="36"/>
    </row>
    <row r="46" spans="1:11" ht="56" x14ac:dyDescent="0.15">
      <c r="A46" s="24" t="s">
        <v>50</v>
      </c>
      <c r="B46" s="50" t="s">
        <v>130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ref="B11:T31">
    <sortCondition ref="B11:T1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5A28-8C03-4EDE-9625-0085B88ADFC0}">
  <sheetPr>
    <tabColor rgb="FF92D050"/>
  </sheetPr>
  <dimension ref="A2:T46"/>
  <sheetViews>
    <sheetView topLeftCell="A24" workbookViewId="0">
      <selection activeCell="M31" sqref="M31:T46"/>
    </sheetView>
  </sheetViews>
  <sheetFormatPr baseColWidth="10" defaultColWidth="8.83203125" defaultRowHeight="13" x14ac:dyDescent="0.15"/>
  <cols>
    <col min="1" max="1" width="50" customWidth="1"/>
    <col min="2" max="11" width="9.83203125" bestFit="1" customWidth="1"/>
  </cols>
  <sheetData>
    <row r="2" spans="1:12" x14ac:dyDescent="0.15">
      <c r="B2" s="10" t="s">
        <v>38</v>
      </c>
      <c r="C2" s="10">
        <v>2</v>
      </c>
    </row>
    <row r="3" spans="1:12" x14ac:dyDescent="0.15">
      <c r="B3" s="12" t="s">
        <v>40</v>
      </c>
    </row>
    <row r="4" spans="1:12" x14ac:dyDescent="0.15">
      <c r="A4" s="1" t="s">
        <v>0</v>
      </c>
    </row>
    <row r="5" spans="1:12" ht="20" x14ac:dyDescent="0.2">
      <c r="A5" s="2" t="s">
        <v>1</v>
      </c>
    </row>
    <row r="7" spans="1:12" x14ac:dyDescent="0.15">
      <c r="A7" s="17" t="s">
        <v>51</v>
      </c>
    </row>
    <row r="10" spans="1:12" x14ac:dyDescent="0.15">
      <c r="A10" s="5" t="s">
        <v>4</v>
      </c>
      <c r="B10" t="str">
        <f>'Income Statement'!B11</f>
        <v>05/31/2015</v>
      </c>
      <c r="C10" t="str">
        <f>'Income Statement'!C11</f>
        <v>05/31/2016</v>
      </c>
      <c r="D10" t="str">
        <f>'Income Statement'!D11</f>
        <v>05/31/2017</v>
      </c>
      <c r="E10" t="str">
        <f>'Income Statement'!E11</f>
        <v>05/31/2018</v>
      </c>
      <c r="F10" t="str">
        <f>'Income Statement'!F11</f>
        <v>05/31/2019</v>
      </c>
      <c r="G10" t="str">
        <f>'Income Statement'!G11</f>
        <v>05/31/2020</v>
      </c>
      <c r="H10" t="str">
        <f>'Income Statement'!H11</f>
        <v>05/31/2021</v>
      </c>
      <c r="I10" t="str">
        <f>'Income Statement'!I11</f>
        <v>05/31/2022</v>
      </c>
      <c r="J10" t="str">
        <f>'Income Statement'!J11</f>
        <v>05/31/2023</v>
      </c>
      <c r="K10" t="str">
        <f>'Income Statement'!K11</f>
        <v>05/31/2024</v>
      </c>
    </row>
    <row r="11" spans="1:12" x14ac:dyDescent="0.15">
      <c r="A11" s="5"/>
    </row>
    <row r="12" spans="1:12" x14ac:dyDescent="0.15">
      <c r="A12" s="7" t="s">
        <v>24</v>
      </c>
      <c r="B12">
        <f>+'Income Statement'!B16</f>
        <v>30601000</v>
      </c>
      <c r="C12">
        <f>+'Income Statement'!C16</f>
        <v>32376000</v>
      </c>
      <c r="D12">
        <f>+'Income Statement'!D16</f>
        <v>34350000</v>
      </c>
      <c r="E12">
        <f>+'Income Statement'!E16</f>
        <v>36397000</v>
      </c>
      <c r="F12">
        <f>+'Income Statement'!F16</f>
        <v>39117000</v>
      </c>
      <c r="G12">
        <f>+'Income Statement'!G16</f>
        <v>37403000</v>
      </c>
      <c r="H12">
        <f>+'Income Statement'!H16</f>
        <v>44538000</v>
      </c>
      <c r="I12">
        <f>+'Income Statement'!I16</f>
        <v>46710000</v>
      </c>
      <c r="J12">
        <f>+'Income Statement'!J16</f>
        <v>51217000</v>
      </c>
      <c r="K12">
        <f>+'Income Statement'!K16</f>
        <v>51362000</v>
      </c>
      <c r="L12" s="7"/>
    </row>
    <row r="13" spans="1:12" x14ac:dyDescent="0.15">
      <c r="A13" s="7" t="s">
        <v>25</v>
      </c>
      <c r="B13">
        <f>+'Income Statement'!B17</f>
        <v>16534000</v>
      </c>
      <c r="C13">
        <f>+'Income Statement'!C17</f>
        <v>17405000</v>
      </c>
      <c r="D13">
        <f>+'Income Statement'!D17</f>
        <v>19038000</v>
      </c>
      <c r="E13">
        <f>+'Income Statement'!E17</f>
        <v>20441000</v>
      </c>
      <c r="F13">
        <f>+'Income Statement'!F17</f>
        <v>21643000</v>
      </c>
      <c r="G13">
        <f>+'Income Statement'!G17</f>
        <v>21162000</v>
      </c>
      <c r="H13">
        <f>+'Income Statement'!H17</f>
        <v>24576000</v>
      </c>
      <c r="I13">
        <f>+'Income Statement'!I17</f>
        <v>25231000</v>
      </c>
      <c r="J13">
        <f>+'Income Statement'!J17</f>
        <v>28925000</v>
      </c>
      <c r="K13">
        <f>+'Income Statement'!K17</f>
        <v>28475000</v>
      </c>
      <c r="L13" s="7"/>
    </row>
    <row r="14" spans="1:12" x14ac:dyDescent="0.15">
      <c r="A14" s="7" t="s">
        <v>26</v>
      </c>
      <c r="B14">
        <f>+'Income Statement'!B18</f>
        <v>14067000</v>
      </c>
      <c r="C14">
        <f>+'Income Statement'!C18</f>
        <v>14971000</v>
      </c>
      <c r="D14">
        <f>+'Income Statement'!D18</f>
        <v>15312000</v>
      </c>
      <c r="E14">
        <f>+'Income Statement'!E18</f>
        <v>15956000</v>
      </c>
      <c r="F14">
        <f>+'Income Statement'!F18</f>
        <v>17474000</v>
      </c>
      <c r="G14">
        <f>+'Income Statement'!G18</f>
        <v>16241000</v>
      </c>
      <c r="H14">
        <f>+'Income Statement'!H18</f>
        <v>19962000</v>
      </c>
      <c r="I14">
        <f>+'Income Statement'!I18</f>
        <v>21479000</v>
      </c>
      <c r="J14">
        <f>+'Income Statement'!J18</f>
        <v>22292000</v>
      </c>
      <c r="K14">
        <f>+'Income Statement'!K18</f>
        <v>22887000</v>
      </c>
      <c r="L14" s="7"/>
    </row>
    <row r="15" spans="1:12" x14ac:dyDescent="0.15">
      <c r="A15" s="7" t="s">
        <v>27</v>
      </c>
      <c r="B15">
        <f>+'Income Statement'!B19</f>
        <v>9892000</v>
      </c>
      <c r="C15">
        <f>+'Income Statement'!C19</f>
        <v>10469000</v>
      </c>
      <c r="D15">
        <f>+'Income Statement'!D19</f>
        <v>10563000</v>
      </c>
      <c r="E15">
        <f>+'Income Statement'!E19</f>
        <v>11511000</v>
      </c>
      <c r="F15">
        <f>+'Income Statement'!F19</f>
        <v>12702000</v>
      </c>
      <c r="G15">
        <f>+'Income Statement'!G19</f>
        <v>13126000</v>
      </c>
      <c r="H15">
        <f>+'Income Statement'!H19</f>
        <v>13025000</v>
      </c>
      <c r="I15">
        <f>+'Income Statement'!I19</f>
        <v>14804000</v>
      </c>
      <c r="J15">
        <f>+'Income Statement'!J19</f>
        <v>16377000</v>
      </c>
      <c r="K15">
        <f>+'Income Statement'!K19</f>
        <v>16576000</v>
      </c>
      <c r="L15" s="7"/>
    </row>
    <row r="16" spans="1:12" x14ac:dyDescent="0.15">
      <c r="A16" s="7" t="s">
        <v>28</v>
      </c>
      <c r="B16">
        <f>+'Income Statement'!B20</f>
        <v>-58000</v>
      </c>
      <c r="C16">
        <f>+'Income Statement'!C20</f>
        <v>-140000</v>
      </c>
      <c r="D16">
        <f>+'Income Statement'!D20</f>
        <v>-196000</v>
      </c>
      <c r="E16">
        <f>+'Income Statement'!E20</f>
        <v>66000</v>
      </c>
      <c r="F16">
        <f>+'Income Statement'!F20</f>
        <v>-78000</v>
      </c>
      <c r="G16">
        <f>+'Income Statement'!G20</f>
        <v>139000</v>
      </c>
      <c r="H16">
        <f>+'Income Statement'!H20</f>
        <v>14000</v>
      </c>
      <c r="I16">
        <f>+'Income Statement'!I20</f>
        <v>-181000</v>
      </c>
      <c r="J16">
        <f>+'Income Statement'!J20</f>
        <v>-280000</v>
      </c>
      <c r="K16">
        <f>+'Income Statement'!K20</f>
        <v>0</v>
      </c>
      <c r="L16" s="7"/>
    </row>
    <row r="17" spans="1:20" x14ac:dyDescent="0.15">
      <c r="A17" s="7" t="s">
        <v>29</v>
      </c>
      <c r="B17">
        <f>+'Income Statement'!B21</f>
        <v>9834000</v>
      </c>
      <c r="C17">
        <f>+'Income Statement'!C21</f>
        <v>10329000</v>
      </c>
      <c r="D17">
        <f>+'Income Statement'!D21</f>
        <v>10367000</v>
      </c>
      <c r="E17">
        <f>+'Income Statement'!E21</f>
        <v>11577000</v>
      </c>
      <c r="F17">
        <f>+'Income Statement'!F21</f>
        <v>12624000</v>
      </c>
      <c r="G17">
        <f>+'Income Statement'!G21</f>
        <v>13265000</v>
      </c>
      <c r="H17">
        <f>+'Income Statement'!H21</f>
        <v>13039000</v>
      </c>
      <c r="I17">
        <f>+'Income Statement'!I21</f>
        <v>14623000</v>
      </c>
      <c r="J17">
        <f>+'Income Statement'!J21</f>
        <v>16097000</v>
      </c>
      <c r="K17">
        <f>+'Income Statement'!K21</f>
        <v>16576000</v>
      </c>
      <c r="L17" s="7"/>
    </row>
    <row r="18" spans="1:20" x14ac:dyDescent="0.15">
      <c r="A18" s="7" t="s">
        <v>30</v>
      </c>
      <c r="B18">
        <f>+'Income Statement'!B22</f>
        <v>4233000</v>
      </c>
      <c r="C18">
        <f>+'Income Statement'!C22</f>
        <v>4642000</v>
      </c>
      <c r="D18">
        <f>+'Income Statement'!D22</f>
        <v>4945000</v>
      </c>
      <c r="E18">
        <f>+'Income Statement'!E22</f>
        <v>4379000</v>
      </c>
      <c r="F18">
        <f>+'Income Statement'!F22</f>
        <v>4850000</v>
      </c>
      <c r="G18">
        <f>+'Income Statement'!G22</f>
        <v>2976000</v>
      </c>
      <c r="H18">
        <f>+'Income Statement'!H22</f>
        <v>6923000</v>
      </c>
      <c r="I18">
        <f>+'Income Statement'!I22</f>
        <v>6856000</v>
      </c>
      <c r="J18">
        <f>+'Income Statement'!J22</f>
        <v>6195000</v>
      </c>
      <c r="K18">
        <f>+'Income Statement'!K22</f>
        <v>6311000</v>
      </c>
      <c r="L18" s="7"/>
    </row>
    <row r="19" spans="1:20" x14ac:dyDescent="0.15">
      <c r="A19" s="7" t="s">
        <v>31</v>
      </c>
      <c r="B19">
        <f>+'Income Statement'!B23</f>
        <v>-28000</v>
      </c>
      <c r="C19">
        <f>+'Income Statement'!C23</f>
        <v>-19000</v>
      </c>
      <c r="D19">
        <f>+'Income Statement'!D23</f>
        <v>-59000</v>
      </c>
      <c r="E19">
        <f>+'Income Statement'!E23</f>
        <v>-54000</v>
      </c>
      <c r="F19">
        <f>+'Income Statement'!F23</f>
        <v>-49000</v>
      </c>
      <c r="G19">
        <f>+'Income Statement'!G23</f>
        <v>-89000</v>
      </c>
      <c r="H19">
        <f>+'Income Statement'!H23</f>
        <v>-262000</v>
      </c>
      <c r="I19">
        <f>+'Income Statement'!I23</f>
        <v>-205000</v>
      </c>
      <c r="J19">
        <f>+'Income Statement'!J23</f>
        <v>6000</v>
      </c>
      <c r="K19">
        <f>+'Income Statement'!K23</f>
        <v>161000</v>
      </c>
      <c r="L19" s="7"/>
    </row>
    <row r="20" spans="1:20" x14ac:dyDescent="0.15">
      <c r="A20" s="7" t="s">
        <v>32</v>
      </c>
      <c r="B20">
        <f>+'Income Statement'!B24</f>
        <v>0</v>
      </c>
      <c r="C20">
        <f>+'Income Statement'!C24</f>
        <v>0</v>
      </c>
      <c r="D20">
        <f>+'Income Statement'!D24</f>
        <v>0</v>
      </c>
      <c r="E20">
        <f>+'Income Statement'!E24</f>
        <v>0</v>
      </c>
      <c r="F20">
        <f>+'Income Statement'!F24</f>
        <v>0</v>
      </c>
      <c r="G20">
        <f>+'Income Statement'!G24</f>
        <v>0</v>
      </c>
      <c r="H20">
        <f>+'Income Statement'!H24</f>
        <v>0</v>
      </c>
      <c r="I20">
        <f>+'Income Statement'!I24</f>
        <v>0</v>
      </c>
      <c r="J20">
        <f>+'Income Statement'!J24</f>
        <v>0</v>
      </c>
      <c r="K20">
        <f>+'Income Statement'!K24</f>
        <v>228000</v>
      </c>
      <c r="L20" s="7"/>
    </row>
    <row r="21" spans="1:20" x14ac:dyDescent="0.15">
      <c r="A21" s="7" t="s">
        <v>33</v>
      </c>
      <c r="B21">
        <f>+'Income Statement'!B25</f>
        <v>-28000</v>
      </c>
      <c r="C21">
        <f>+'Income Statement'!C25</f>
        <v>-19000</v>
      </c>
      <c r="D21">
        <f>+'Income Statement'!D25</f>
        <v>-59000</v>
      </c>
      <c r="E21">
        <f>+'Income Statement'!E25</f>
        <v>-54000</v>
      </c>
      <c r="F21">
        <f>+'Income Statement'!F25</f>
        <v>-49000</v>
      </c>
      <c r="G21">
        <f>+'Income Statement'!G25</f>
        <v>-89000</v>
      </c>
      <c r="H21">
        <f>+'Income Statement'!H25</f>
        <v>-262000</v>
      </c>
      <c r="I21">
        <f>+'Income Statement'!I25</f>
        <v>-205000</v>
      </c>
      <c r="J21">
        <f>+'Income Statement'!J25</f>
        <v>6000</v>
      </c>
      <c r="K21">
        <f>+'Income Statement'!K25</f>
        <v>389000</v>
      </c>
      <c r="L21" s="7"/>
    </row>
    <row r="22" spans="1:20" x14ac:dyDescent="0.15">
      <c r="A22" s="7" t="s">
        <v>34</v>
      </c>
      <c r="B22">
        <f>+'Income Statement'!B26</f>
        <v>4205000</v>
      </c>
      <c r="C22">
        <f>+'Income Statement'!C26</f>
        <v>4623000</v>
      </c>
      <c r="D22">
        <f>+'Income Statement'!D26</f>
        <v>4886000</v>
      </c>
      <c r="E22">
        <f>+'Income Statement'!E26</f>
        <v>4325000</v>
      </c>
      <c r="F22">
        <f>+'Income Statement'!F26</f>
        <v>4801000</v>
      </c>
      <c r="G22">
        <f>+'Income Statement'!G26</f>
        <v>2887000</v>
      </c>
      <c r="H22">
        <f>+'Income Statement'!H26</f>
        <v>6661000</v>
      </c>
      <c r="I22">
        <f>+'Income Statement'!I26</f>
        <v>6651000</v>
      </c>
      <c r="J22">
        <f>+'Income Statement'!J26</f>
        <v>6201000</v>
      </c>
      <c r="K22">
        <f>+'Income Statement'!K26</f>
        <v>6700000</v>
      </c>
      <c r="L22" s="7"/>
    </row>
    <row r="23" spans="1:20" x14ac:dyDescent="0.15">
      <c r="A23" s="7" t="s">
        <v>35</v>
      </c>
      <c r="B23">
        <f>+'Income Statement'!B27</f>
        <v>932000</v>
      </c>
      <c r="C23">
        <f>+'Income Statement'!C27</f>
        <v>863000</v>
      </c>
      <c r="D23">
        <f>+'Income Statement'!D27</f>
        <v>646000</v>
      </c>
      <c r="E23">
        <f>+'Income Statement'!E27</f>
        <v>2392000</v>
      </c>
      <c r="F23">
        <f>+'Income Statement'!F27</f>
        <v>772000</v>
      </c>
      <c r="G23">
        <f>+'Income Statement'!G27</f>
        <v>348000</v>
      </c>
      <c r="H23">
        <f>+'Income Statement'!H27</f>
        <v>934000</v>
      </c>
      <c r="I23">
        <f>+'Income Statement'!I27</f>
        <v>605000</v>
      </c>
      <c r="J23">
        <f>+'Income Statement'!J27</f>
        <v>1131000</v>
      </c>
      <c r="K23">
        <f>+'Income Statement'!K27</f>
        <v>1000000</v>
      </c>
      <c r="L23" s="7"/>
    </row>
    <row r="24" spans="1:20" x14ac:dyDescent="0.15">
      <c r="A24" s="7" t="s">
        <v>36</v>
      </c>
      <c r="B24">
        <f>+'Income Statement'!B28</f>
        <v>3273000</v>
      </c>
      <c r="C24">
        <f>+'Income Statement'!C28</f>
        <v>3760000</v>
      </c>
      <c r="D24">
        <f>+'Income Statement'!D28</f>
        <v>4240000</v>
      </c>
      <c r="E24">
        <f>+'Income Statement'!E28</f>
        <v>1933000</v>
      </c>
      <c r="F24">
        <f>+'Income Statement'!F28</f>
        <v>4029000</v>
      </c>
      <c r="G24">
        <f>+'Income Statement'!G28</f>
        <v>2539000</v>
      </c>
      <c r="H24">
        <f>+'Income Statement'!H28</f>
        <v>5727000</v>
      </c>
      <c r="I24">
        <f>+'Income Statement'!I28</f>
        <v>6046000</v>
      </c>
      <c r="J24">
        <f>+'Income Statement'!J28</f>
        <v>5070000</v>
      </c>
      <c r="K24">
        <f>+'Income Statement'!K28</f>
        <v>5700000</v>
      </c>
      <c r="L24" s="7"/>
    </row>
    <row r="25" spans="1:20" x14ac:dyDescent="0.15">
      <c r="A25" s="7"/>
    </row>
    <row r="27" spans="1:20" ht="42" x14ac:dyDescent="0.15">
      <c r="A27" s="24" t="s">
        <v>52</v>
      </c>
    </row>
    <row r="28" spans="1:20" x14ac:dyDescent="0.15">
      <c r="A28" s="7" t="s">
        <v>121</v>
      </c>
      <c r="C28">
        <f>+C13-B13</f>
        <v>871000</v>
      </c>
      <c r="D28">
        <f t="shared" ref="D28:K28" si="0">+D13-C13</f>
        <v>1633000</v>
      </c>
      <c r="E28">
        <f t="shared" si="0"/>
        <v>1403000</v>
      </c>
      <c r="F28">
        <f t="shared" si="0"/>
        <v>1202000</v>
      </c>
      <c r="G28">
        <f t="shared" si="0"/>
        <v>-481000</v>
      </c>
      <c r="H28">
        <f t="shared" si="0"/>
        <v>3414000</v>
      </c>
      <c r="I28">
        <f t="shared" si="0"/>
        <v>655000</v>
      </c>
      <c r="J28">
        <f t="shared" si="0"/>
        <v>3694000</v>
      </c>
      <c r="K28">
        <f t="shared" si="0"/>
        <v>-450000</v>
      </c>
    </row>
    <row r="29" spans="1:20" x14ac:dyDescent="0.15">
      <c r="A29" s="7" t="s">
        <v>122</v>
      </c>
      <c r="C29">
        <f>+C15-B15</f>
        <v>577000</v>
      </c>
      <c r="D29">
        <f t="shared" ref="D29:K29" si="1">+D15-C15</f>
        <v>94000</v>
      </c>
      <c r="E29">
        <f t="shared" si="1"/>
        <v>948000</v>
      </c>
      <c r="F29">
        <f t="shared" si="1"/>
        <v>1191000</v>
      </c>
      <c r="G29">
        <f t="shared" si="1"/>
        <v>424000</v>
      </c>
      <c r="H29">
        <f t="shared" si="1"/>
        <v>-101000</v>
      </c>
      <c r="I29">
        <f t="shared" si="1"/>
        <v>1779000</v>
      </c>
      <c r="J29">
        <f t="shared" si="1"/>
        <v>1573000</v>
      </c>
      <c r="K29">
        <f t="shared" si="1"/>
        <v>199000</v>
      </c>
    </row>
    <row r="31" spans="1:20" x14ac:dyDescent="0.15">
      <c r="M31" s="51"/>
      <c r="N31" s="51"/>
      <c r="O31" s="51"/>
      <c r="P31" s="51"/>
      <c r="Q31" s="51"/>
      <c r="R31" s="51"/>
      <c r="S31" s="51"/>
      <c r="T31" s="51"/>
    </row>
    <row r="32" spans="1:20" x14ac:dyDescent="0.15">
      <c r="M32" s="51"/>
      <c r="N32" s="51"/>
      <c r="O32" s="51"/>
      <c r="P32" s="51"/>
      <c r="Q32" s="51"/>
      <c r="R32" s="51"/>
      <c r="S32" s="51"/>
      <c r="T32" s="51"/>
    </row>
    <row r="33" spans="13:20" x14ac:dyDescent="0.15">
      <c r="M33" s="51"/>
      <c r="N33" s="51"/>
      <c r="O33" s="51"/>
      <c r="P33" s="51"/>
      <c r="Q33" s="51"/>
      <c r="R33" s="51"/>
      <c r="S33" s="51"/>
      <c r="T33" s="51"/>
    </row>
    <row r="34" spans="13:20" x14ac:dyDescent="0.15">
      <c r="M34" s="51"/>
      <c r="N34" s="51"/>
      <c r="O34" s="51"/>
      <c r="P34" s="51"/>
      <c r="Q34" s="51"/>
      <c r="R34" s="51"/>
      <c r="S34" s="51"/>
      <c r="T34" s="51"/>
    </row>
    <row r="35" spans="13:20" x14ac:dyDescent="0.15">
      <c r="M35" s="51"/>
      <c r="N35" s="51"/>
      <c r="O35" s="51"/>
      <c r="P35" s="51"/>
      <c r="Q35" s="51"/>
      <c r="R35" s="51"/>
      <c r="S35" s="51"/>
      <c r="T35" s="51"/>
    </row>
    <row r="36" spans="13:20" x14ac:dyDescent="0.15">
      <c r="M36" s="51"/>
      <c r="N36" s="51"/>
      <c r="O36" s="51"/>
      <c r="P36" s="51"/>
      <c r="Q36" s="51"/>
      <c r="R36" s="51"/>
      <c r="S36" s="51"/>
      <c r="T36" s="51"/>
    </row>
    <row r="37" spans="13:20" x14ac:dyDescent="0.15">
      <c r="M37" s="51"/>
      <c r="N37" s="51"/>
      <c r="O37" s="51"/>
      <c r="P37" s="51"/>
      <c r="Q37" s="51"/>
      <c r="R37" s="51"/>
      <c r="S37" s="51"/>
      <c r="T37" s="51"/>
    </row>
    <row r="38" spans="13:20" x14ac:dyDescent="0.15">
      <c r="M38" s="51"/>
      <c r="N38" s="51"/>
      <c r="O38" s="51"/>
      <c r="P38" s="51"/>
      <c r="Q38" s="51"/>
      <c r="R38" s="51"/>
      <c r="S38" s="51"/>
      <c r="T38" s="51"/>
    </row>
    <row r="39" spans="13:20" x14ac:dyDescent="0.15">
      <c r="M39" s="51"/>
      <c r="N39" s="51"/>
      <c r="O39" s="51"/>
      <c r="P39" s="51"/>
      <c r="Q39" s="51"/>
      <c r="R39" s="51"/>
      <c r="S39" s="51"/>
      <c r="T39" s="51"/>
    </row>
    <row r="40" spans="13:20" x14ac:dyDescent="0.15">
      <c r="M40" s="51"/>
      <c r="N40" s="51"/>
      <c r="O40" s="51"/>
      <c r="P40" s="51"/>
      <c r="Q40" s="51"/>
      <c r="R40" s="51"/>
      <c r="S40" s="51"/>
      <c r="T40" s="51"/>
    </row>
    <row r="41" spans="13:20" x14ac:dyDescent="0.15">
      <c r="M41" s="51"/>
      <c r="N41" s="51"/>
      <c r="O41" s="51"/>
      <c r="P41" s="51"/>
      <c r="Q41" s="51"/>
      <c r="R41" s="51"/>
      <c r="S41" s="51"/>
      <c r="T41" s="51"/>
    </row>
    <row r="42" spans="13:20" x14ac:dyDescent="0.15">
      <c r="M42" s="51"/>
      <c r="N42" s="51"/>
      <c r="O42" s="51"/>
      <c r="P42" s="51"/>
      <c r="Q42" s="51"/>
      <c r="R42" s="51"/>
      <c r="S42" s="51"/>
      <c r="T42" s="51"/>
    </row>
    <row r="43" spans="13:20" x14ac:dyDescent="0.15">
      <c r="M43" s="51"/>
      <c r="N43" s="51"/>
      <c r="O43" s="51"/>
      <c r="P43" s="51"/>
      <c r="Q43" s="51"/>
      <c r="R43" s="51"/>
      <c r="S43" s="51"/>
      <c r="T43" s="51"/>
    </row>
    <row r="44" spans="13:20" x14ac:dyDescent="0.15">
      <c r="M44" s="51"/>
      <c r="N44" s="51"/>
      <c r="O44" s="51"/>
      <c r="P44" s="51"/>
      <c r="Q44" s="51"/>
      <c r="R44" s="51"/>
      <c r="S44" s="51"/>
      <c r="T44" s="51"/>
    </row>
    <row r="45" spans="13:20" x14ac:dyDescent="0.15">
      <c r="M45" s="51"/>
      <c r="N45" s="51"/>
      <c r="O45" s="51"/>
      <c r="P45" s="51"/>
      <c r="Q45" s="51"/>
      <c r="R45" s="51"/>
      <c r="S45" s="51"/>
      <c r="T45" s="51"/>
    </row>
    <row r="46" spans="13:20" x14ac:dyDescent="0.15">
      <c r="M46" s="51"/>
      <c r="N46" s="51"/>
      <c r="O46" s="51"/>
      <c r="P46" s="51"/>
      <c r="Q46" s="51"/>
      <c r="R46" s="51"/>
      <c r="S46" s="51"/>
      <c r="T46" s="51"/>
    </row>
  </sheetData>
  <mergeCells count="1">
    <mergeCell ref="M31:T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567-D7C9-4C16-A6F8-4BAB0C5B33D8}">
  <dimension ref="A4:U48"/>
  <sheetViews>
    <sheetView topLeftCell="A11" workbookViewId="0">
      <selection activeCell="B36" sqref="B36"/>
    </sheetView>
  </sheetViews>
  <sheetFormatPr baseColWidth="10" defaultColWidth="8.83203125" defaultRowHeight="13" x14ac:dyDescent="0.15"/>
  <cols>
    <col min="1" max="1" width="50" customWidth="1"/>
    <col min="2" max="200" width="12" customWidth="1"/>
  </cols>
  <sheetData>
    <row r="4" spans="1:21" x14ac:dyDescent="0.15">
      <c r="A4" s="25" t="s">
        <v>0</v>
      </c>
    </row>
    <row r="5" spans="1:21" ht="20" x14ac:dyDescent="0.2">
      <c r="A5" s="26" t="s">
        <v>1</v>
      </c>
    </row>
    <row r="7" spans="1:21" ht="14" x14ac:dyDescent="0.15">
      <c r="A7" s="3" t="s">
        <v>2</v>
      </c>
    </row>
    <row r="10" spans="1:21" ht="14" x14ac:dyDescent="0.15">
      <c r="A10" s="27" t="s">
        <v>53</v>
      </c>
    </row>
    <row r="11" spans="1:21" ht="14" x14ac:dyDescent="0.15">
      <c r="A11" s="28" t="s">
        <v>4</v>
      </c>
      <c r="B11" s="29" t="s">
        <v>14</v>
      </c>
      <c r="C11" s="29" t="s">
        <v>13</v>
      </c>
      <c r="D11" s="29" t="s">
        <v>12</v>
      </c>
      <c r="E11" s="29" t="s">
        <v>11</v>
      </c>
      <c r="F11" s="29" t="s">
        <v>10</v>
      </c>
      <c r="G11" s="29" t="s">
        <v>9</v>
      </c>
      <c r="H11" s="29" t="s">
        <v>8</v>
      </c>
      <c r="I11" s="29" t="s">
        <v>7</v>
      </c>
      <c r="J11" s="29" t="s">
        <v>6</v>
      </c>
      <c r="K11" s="29" t="s">
        <v>5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4" x14ac:dyDescent="0.15">
      <c r="A12" s="28" t="s">
        <v>15</v>
      </c>
      <c r="B12" s="29" t="s">
        <v>16</v>
      </c>
      <c r="C12" s="29" t="s">
        <v>16</v>
      </c>
      <c r="D12" s="29" t="s">
        <v>16</v>
      </c>
      <c r="E12" s="29" t="s">
        <v>16</v>
      </c>
      <c r="F12" s="29" t="s">
        <v>16</v>
      </c>
      <c r="G12" s="29" t="s">
        <v>16</v>
      </c>
      <c r="H12" s="29" t="s">
        <v>16</v>
      </c>
      <c r="I12" s="29" t="s">
        <v>16</v>
      </c>
      <c r="J12" s="29" t="s">
        <v>16</v>
      </c>
      <c r="K12" s="29" t="s">
        <v>16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 spans="1:21" ht="14" x14ac:dyDescent="0.15">
      <c r="A13" s="28" t="s">
        <v>17</v>
      </c>
      <c r="B13" s="29" t="s">
        <v>18</v>
      </c>
      <c r="C13" s="29" t="s">
        <v>18</v>
      </c>
      <c r="D13" s="29" t="s">
        <v>18</v>
      </c>
      <c r="E13" s="29" t="s">
        <v>18</v>
      </c>
      <c r="F13" s="29" t="s">
        <v>18</v>
      </c>
      <c r="G13" s="29" t="s">
        <v>18</v>
      </c>
      <c r="H13" s="29" t="s">
        <v>18</v>
      </c>
      <c r="I13" s="29" t="s">
        <v>18</v>
      </c>
      <c r="J13" s="29" t="s">
        <v>18</v>
      </c>
      <c r="K13" s="29" t="s">
        <v>18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1" ht="14" x14ac:dyDescent="0.15">
      <c r="A14" s="28" t="s">
        <v>19</v>
      </c>
      <c r="B14" s="29" t="s">
        <v>20</v>
      </c>
      <c r="C14" s="29" t="s">
        <v>20</v>
      </c>
      <c r="D14" s="29" t="s">
        <v>20</v>
      </c>
      <c r="E14" s="29" t="s">
        <v>20</v>
      </c>
      <c r="F14" s="29" t="s">
        <v>20</v>
      </c>
      <c r="G14" s="29" t="s">
        <v>20</v>
      </c>
      <c r="H14" s="29" t="s">
        <v>20</v>
      </c>
      <c r="I14" s="29" t="s">
        <v>20</v>
      </c>
      <c r="J14" s="29" t="s">
        <v>20</v>
      </c>
      <c r="K14" s="29" t="s">
        <v>20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 spans="1:21" ht="14" x14ac:dyDescent="0.15">
      <c r="A15" s="28" t="s">
        <v>21</v>
      </c>
      <c r="B15" s="29" t="s">
        <v>22</v>
      </c>
      <c r="C15" s="29" t="s">
        <v>22</v>
      </c>
      <c r="D15" s="29" t="s">
        <v>22</v>
      </c>
      <c r="E15" s="29" t="s">
        <v>22</v>
      </c>
      <c r="F15" s="29" t="s">
        <v>22</v>
      </c>
      <c r="G15" s="29" t="s">
        <v>22</v>
      </c>
      <c r="H15" s="29" t="s">
        <v>22</v>
      </c>
      <c r="I15" s="29" t="s">
        <v>22</v>
      </c>
      <c r="J15" s="29" t="s">
        <v>22</v>
      </c>
      <c r="K15" s="29" t="s">
        <v>22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 spans="1:21" x14ac:dyDescent="0.15">
      <c r="A16" s="7" t="s">
        <v>54</v>
      </c>
      <c r="B16" s="8">
        <v>3852000</v>
      </c>
      <c r="C16" s="8">
        <v>3138000</v>
      </c>
      <c r="D16" s="8">
        <v>3808000</v>
      </c>
      <c r="E16" s="8">
        <v>4249000</v>
      </c>
      <c r="F16" s="8">
        <v>4466000</v>
      </c>
      <c r="G16" s="8">
        <v>8348000</v>
      </c>
      <c r="H16" s="8">
        <v>9889000</v>
      </c>
      <c r="I16" s="8">
        <v>8574000</v>
      </c>
      <c r="J16" s="8">
        <v>7441000</v>
      </c>
      <c r="K16" s="8">
        <v>9860000</v>
      </c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15">
      <c r="A17" s="7" t="s">
        <v>55</v>
      </c>
      <c r="B17" s="8">
        <v>2072000</v>
      </c>
      <c r="C17" s="8">
        <v>2319000</v>
      </c>
      <c r="D17" s="8">
        <v>2371000</v>
      </c>
      <c r="E17" s="8">
        <v>996000</v>
      </c>
      <c r="F17" s="8">
        <v>197000</v>
      </c>
      <c r="G17" s="8">
        <v>439000</v>
      </c>
      <c r="H17" s="8">
        <v>3587000</v>
      </c>
      <c r="I17" s="8">
        <v>4423000</v>
      </c>
      <c r="J17" s="8">
        <v>3234000</v>
      </c>
      <c r="K17" s="8">
        <v>1722000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15">
      <c r="A18" s="7" t="s">
        <v>56</v>
      </c>
      <c r="B18" s="8">
        <v>5924000</v>
      </c>
      <c r="C18" s="8">
        <v>5457000</v>
      </c>
      <c r="D18" s="8">
        <v>6179000</v>
      </c>
      <c r="E18" s="8">
        <v>5245000</v>
      </c>
      <c r="F18" s="8">
        <v>4663000</v>
      </c>
      <c r="G18" s="8">
        <v>8787000</v>
      </c>
      <c r="H18" s="8">
        <v>13476000</v>
      </c>
      <c r="I18" s="8">
        <v>12997000</v>
      </c>
      <c r="J18" s="8">
        <v>10675000</v>
      </c>
      <c r="K18" s="8">
        <v>11582000</v>
      </c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15">
      <c r="A19" s="7" t="s">
        <v>57</v>
      </c>
      <c r="B19" s="8">
        <v>3358000</v>
      </c>
      <c r="C19" s="8">
        <v>3241000</v>
      </c>
      <c r="D19" s="8">
        <v>3677000</v>
      </c>
      <c r="E19" s="8">
        <v>3498000</v>
      </c>
      <c r="F19" s="8">
        <v>4272000</v>
      </c>
      <c r="G19" s="8">
        <v>2749000</v>
      </c>
      <c r="H19" s="8">
        <v>4463000</v>
      </c>
      <c r="I19" s="8">
        <v>4667000</v>
      </c>
      <c r="J19" s="8">
        <v>4131000</v>
      </c>
      <c r="K19" s="8">
        <v>4427000</v>
      </c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15">
      <c r="A20" s="7" t="s">
        <v>58</v>
      </c>
      <c r="B20" s="8">
        <v>4337000</v>
      </c>
      <c r="C20" s="8">
        <v>4838000</v>
      </c>
      <c r="D20" s="8">
        <v>5055000</v>
      </c>
      <c r="E20" s="8">
        <v>5261000</v>
      </c>
      <c r="F20" s="8">
        <v>5622000</v>
      </c>
      <c r="G20" s="8">
        <v>7367000</v>
      </c>
      <c r="H20" s="8">
        <v>6854000</v>
      </c>
      <c r="I20" s="8">
        <v>8420000</v>
      </c>
      <c r="J20" s="8">
        <v>8454000</v>
      </c>
      <c r="K20" s="8">
        <v>7519000</v>
      </c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15">
      <c r="A21" s="7" t="s">
        <v>59</v>
      </c>
      <c r="B21" s="8">
        <v>389000</v>
      </c>
      <c r="C21" s="9" t="s">
        <v>23</v>
      </c>
      <c r="D21" s="9" t="s">
        <v>23</v>
      </c>
      <c r="E21" s="9" t="s">
        <v>23</v>
      </c>
      <c r="F21" s="9" t="s">
        <v>23</v>
      </c>
      <c r="G21" s="9" t="s">
        <v>23</v>
      </c>
      <c r="H21" s="9" t="s">
        <v>23</v>
      </c>
      <c r="I21" s="9" t="s">
        <v>23</v>
      </c>
      <c r="J21" s="9" t="s">
        <v>23</v>
      </c>
      <c r="K21" s="9" t="s">
        <v>23</v>
      </c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15">
      <c r="A22" s="7" t="s">
        <v>60</v>
      </c>
      <c r="B22" s="9" t="s">
        <v>23</v>
      </c>
      <c r="C22" s="9" t="s">
        <v>23</v>
      </c>
      <c r="D22" s="9" t="s">
        <v>23</v>
      </c>
      <c r="E22" s="9" t="s">
        <v>23</v>
      </c>
      <c r="F22" s="9" t="s">
        <v>23</v>
      </c>
      <c r="G22" s="9" t="s">
        <v>23</v>
      </c>
      <c r="H22" s="9" t="s">
        <v>23</v>
      </c>
      <c r="I22" s="9" t="s">
        <v>23</v>
      </c>
      <c r="J22" s="9" t="s">
        <v>23</v>
      </c>
      <c r="K22" s="8">
        <v>1854000</v>
      </c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15">
      <c r="A23" s="7" t="s">
        <v>61</v>
      </c>
      <c r="B23" s="8">
        <v>1968000</v>
      </c>
      <c r="C23" s="8">
        <v>1489000</v>
      </c>
      <c r="D23" s="8">
        <v>1150000</v>
      </c>
      <c r="E23" s="8">
        <v>1130000</v>
      </c>
      <c r="F23" s="8">
        <v>1968000</v>
      </c>
      <c r="G23" s="8">
        <v>1653000</v>
      </c>
      <c r="H23" s="8">
        <v>1498000</v>
      </c>
      <c r="I23" s="8">
        <v>2129000</v>
      </c>
      <c r="J23" s="8">
        <v>1942000</v>
      </c>
      <c r="K23" s="8"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15">
      <c r="A24" s="7" t="s">
        <v>62</v>
      </c>
      <c r="B24" s="8">
        <v>15976000</v>
      </c>
      <c r="C24" s="8">
        <v>15025000</v>
      </c>
      <c r="D24" s="8">
        <v>16061000</v>
      </c>
      <c r="E24" s="8">
        <v>15134000</v>
      </c>
      <c r="F24" s="8">
        <v>16525000</v>
      </c>
      <c r="G24" s="8">
        <v>20556000</v>
      </c>
      <c r="H24" s="8">
        <v>26291000</v>
      </c>
      <c r="I24" s="8">
        <v>28213000</v>
      </c>
      <c r="J24" s="8">
        <v>25202000</v>
      </c>
      <c r="K24" s="8">
        <v>25382000</v>
      </c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15">
      <c r="A25" s="7" t="s">
        <v>63</v>
      </c>
      <c r="B25" s="8">
        <v>6352000</v>
      </c>
      <c r="C25" s="8">
        <v>7038000</v>
      </c>
      <c r="D25" s="8">
        <v>7958000</v>
      </c>
      <c r="E25" s="8">
        <v>8891000</v>
      </c>
      <c r="F25" s="8">
        <v>9469000</v>
      </c>
      <c r="G25" s="8">
        <v>9661000</v>
      </c>
      <c r="H25" s="8">
        <v>10061000</v>
      </c>
      <c r="I25" s="8">
        <v>10097000</v>
      </c>
      <c r="J25" s="8">
        <v>10715000</v>
      </c>
      <c r="K25" s="8">
        <v>10914000</v>
      </c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15">
      <c r="A26" s="7" t="s">
        <v>64</v>
      </c>
      <c r="B26" s="8">
        <v>3341000</v>
      </c>
      <c r="C26" s="8">
        <v>3518000</v>
      </c>
      <c r="D26" s="8">
        <v>3969000</v>
      </c>
      <c r="E26" s="8">
        <v>4437000</v>
      </c>
      <c r="F26" s="8">
        <v>4725000</v>
      </c>
      <c r="G26" s="8">
        <v>4795000</v>
      </c>
      <c r="H26" s="8">
        <v>5157000</v>
      </c>
      <c r="I26" s="8">
        <v>5306000</v>
      </c>
      <c r="J26" s="8">
        <v>5634000</v>
      </c>
      <c r="K26" s="8">
        <v>5914000</v>
      </c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15">
      <c r="A27" s="7" t="s">
        <v>65</v>
      </c>
      <c r="B27" s="8">
        <v>3011000</v>
      </c>
      <c r="C27" s="8">
        <v>3520000</v>
      </c>
      <c r="D27" s="8">
        <v>3989000</v>
      </c>
      <c r="E27" s="8">
        <v>4454000</v>
      </c>
      <c r="F27" s="8">
        <v>4744000</v>
      </c>
      <c r="G27" s="8">
        <v>4866000</v>
      </c>
      <c r="H27" s="8">
        <v>4904000</v>
      </c>
      <c r="I27" s="8">
        <v>4791000</v>
      </c>
      <c r="J27" s="8">
        <v>5081000</v>
      </c>
      <c r="K27" s="8">
        <v>5000000</v>
      </c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15">
      <c r="A28" s="7" t="s">
        <v>66</v>
      </c>
      <c r="B28" s="8">
        <v>412000</v>
      </c>
      <c r="C28" s="8">
        <v>412000</v>
      </c>
      <c r="D28" s="8">
        <v>422000</v>
      </c>
      <c r="E28" s="8">
        <v>439000</v>
      </c>
      <c r="F28" s="8">
        <v>437000</v>
      </c>
      <c r="G28" s="8">
        <v>497000</v>
      </c>
      <c r="H28" s="8">
        <v>511000</v>
      </c>
      <c r="I28" s="8">
        <v>570000</v>
      </c>
      <c r="J28" s="8">
        <v>555000</v>
      </c>
      <c r="K28" s="8">
        <v>499000</v>
      </c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15">
      <c r="A29" s="7" t="s">
        <v>67</v>
      </c>
      <c r="B29" s="8">
        <v>2201000</v>
      </c>
      <c r="C29" s="8">
        <v>2439000</v>
      </c>
      <c r="D29" s="8">
        <v>2787000</v>
      </c>
      <c r="E29" s="8">
        <v>2509000</v>
      </c>
      <c r="F29" s="8">
        <v>2011000</v>
      </c>
      <c r="G29" s="8">
        <v>5423000</v>
      </c>
      <c r="H29" s="8">
        <v>6034000</v>
      </c>
      <c r="I29" s="8">
        <v>6747000</v>
      </c>
      <c r="J29" s="8">
        <v>6693000</v>
      </c>
      <c r="K29" s="8">
        <v>7229000</v>
      </c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15">
      <c r="A30" s="7" t="s">
        <v>68</v>
      </c>
      <c r="B30" s="8">
        <v>21600000</v>
      </c>
      <c r="C30" s="8">
        <v>21396000</v>
      </c>
      <c r="D30" s="8">
        <v>23259000</v>
      </c>
      <c r="E30" s="8">
        <v>22536000</v>
      </c>
      <c r="F30" s="8">
        <v>23717000</v>
      </c>
      <c r="G30" s="8">
        <v>31342000</v>
      </c>
      <c r="H30" s="8">
        <v>37740000</v>
      </c>
      <c r="I30" s="8">
        <v>40321000</v>
      </c>
      <c r="J30" s="8">
        <v>37531000</v>
      </c>
      <c r="K30" s="8">
        <v>38110000</v>
      </c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15">
      <c r="A31" s="7" t="s">
        <v>69</v>
      </c>
      <c r="B31" s="8">
        <v>6082000</v>
      </c>
      <c r="C31" s="8">
        <v>5228000</v>
      </c>
      <c r="D31" s="8">
        <v>5059000</v>
      </c>
      <c r="E31" s="8">
        <v>5548000</v>
      </c>
      <c r="F31" s="8">
        <v>7622000</v>
      </c>
      <c r="G31" s="8">
        <v>7432000</v>
      </c>
      <c r="H31" s="8">
        <v>8899000</v>
      </c>
      <c r="I31" s="8">
        <v>9578000</v>
      </c>
      <c r="J31" s="8">
        <v>8585000</v>
      </c>
      <c r="K31" s="8">
        <v>8576000</v>
      </c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15">
      <c r="A32" s="7" t="s">
        <v>70</v>
      </c>
      <c r="B32" s="8">
        <v>2131000</v>
      </c>
      <c r="C32" s="8">
        <v>2191000</v>
      </c>
      <c r="D32" s="8">
        <v>2048000</v>
      </c>
      <c r="E32" s="8">
        <v>2279000</v>
      </c>
      <c r="F32" s="8">
        <v>2612000</v>
      </c>
      <c r="G32" s="8">
        <v>2248000</v>
      </c>
      <c r="H32" s="8">
        <v>2836000</v>
      </c>
      <c r="I32" s="8">
        <v>3358000</v>
      </c>
      <c r="J32" s="8">
        <v>2862000</v>
      </c>
      <c r="K32" s="8">
        <v>2851000</v>
      </c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15">
      <c r="A33" s="7" t="s">
        <v>71</v>
      </c>
      <c r="B33" s="8">
        <v>3951000</v>
      </c>
      <c r="C33" s="8">
        <v>3037000</v>
      </c>
      <c r="D33" s="8">
        <v>3011000</v>
      </c>
      <c r="E33" s="8">
        <v>3269000</v>
      </c>
      <c r="F33" s="8">
        <v>5010000</v>
      </c>
      <c r="G33" s="8">
        <v>5184000</v>
      </c>
      <c r="H33" s="8">
        <v>6063000</v>
      </c>
      <c r="I33" s="8">
        <v>6220000</v>
      </c>
      <c r="J33" s="8">
        <v>5723000</v>
      </c>
      <c r="K33" s="8">
        <v>5725000</v>
      </c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15">
      <c r="A34" s="7" t="s">
        <v>72</v>
      </c>
      <c r="B34" s="8">
        <v>181000</v>
      </c>
      <c r="C34" s="8">
        <v>45000</v>
      </c>
      <c r="D34" s="8">
        <v>331000</v>
      </c>
      <c r="E34" s="8">
        <v>342000</v>
      </c>
      <c r="F34" s="8">
        <v>15000</v>
      </c>
      <c r="G34" s="8">
        <v>251000</v>
      </c>
      <c r="H34" s="8">
        <v>2000</v>
      </c>
      <c r="I34" s="8">
        <v>510000</v>
      </c>
      <c r="J34" s="8">
        <v>6000</v>
      </c>
      <c r="K34" s="8">
        <v>1006000</v>
      </c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15">
      <c r="A35" s="7" t="s">
        <v>73</v>
      </c>
      <c r="B35" s="8">
        <v>71000</v>
      </c>
      <c r="C35" s="8">
        <v>85000</v>
      </c>
      <c r="D35" s="8">
        <v>84000</v>
      </c>
      <c r="E35" s="8">
        <v>150000</v>
      </c>
      <c r="F35" s="8">
        <v>229000</v>
      </c>
      <c r="G35" s="8">
        <v>601000</v>
      </c>
      <c r="H35" s="8">
        <v>773000</v>
      </c>
      <c r="I35" s="8">
        <v>642000</v>
      </c>
      <c r="J35" s="8">
        <v>665000</v>
      </c>
      <c r="K35" s="8">
        <v>1011000</v>
      </c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15">
      <c r="A36" s="7" t="s">
        <v>74</v>
      </c>
      <c r="B36" s="8">
        <v>6334000</v>
      </c>
      <c r="C36" s="8">
        <v>5358000</v>
      </c>
      <c r="D36" s="8">
        <v>5474000</v>
      </c>
      <c r="E36" s="8">
        <v>6040000</v>
      </c>
      <c r="F36" s="8">
        <v>7866000</v>
      </c>
      <c r="G36" s="8">
        <v>8284000</v>
      </c>
      <c r="H36" s="8">
        <v>9674000</v>
      </c>
      <c r="I36" s="8">
        <v>10730000</v>
      </c>
      <c r="J36" s="8">
        <v>9256000</v>
      </c>
      <c r="K36" s="8">
        <v>10593000</v>
      </c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15">
      <c r="A37" s="7" t="s">
        <v>75</v>
      </c>
      <c r="B37" s="8">
        <v>1079000</v>
      </c>
      <c r="C37" s="8">
        <v>2010000</v>
      </c>
      <c r="D37" s="8">
        <v>3471000</v>
      </c>
      <c r="E37" s="8">
        <v>3468000</v>
      </c>
      <c r="F37" s="8">
        <v>3464000</v>
      </c>
      <c r="G37" s="8">
        <v>9406000</v>
      </c>
      <c r="H37" s="8">
        <v>9413000</v>
      </c>
      <c r="I37" s="8">
        <v>8920000</v>
      </c>
      <c r="J37" s="8">
        <v>8927000</v>
      </c>
      <c r="K37" s="8">
        <v>7903000</v>
      </c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15">
      <c r="A38" s="7" t="s">
        <v>76</v>
      </c>
      <c r="B38" s="9" t="s">
        <v>23</v>
      </c>
      <c r="C38" s="9" t="s">
        <v>23</v>
      </c>
      <c r="D38" s="9" t="s">
        <v>23</v>
      </c>
      <c r="E38" s="9" t="s">
        <v>23</v>
      </c>
      <c r="F38" s="9" t="s">
        <v>23</v>
      </c>
      <c r="G38" s="9" t="s">
        <v>23</v>
      </c>
      <c r="H38" s="9" t="s">
        <v>23</v>
      </c>
      <c r="I38" s="9" t="s">
        <v>23</v>
      </c>
      <c r="J38" s="9" t="s">
        <v>23</v>
      </c>
      <c r="K38" s="8">
        <v>2618000</v>
      </c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15">
      <c r="A39" s="7" t="s">
        <v>77</v>
      </c>
      <c r="B39" s="8">
        <v>1480000</v>
      </c>
      <c r="C39" s="8">
        <v>1770000</v>
      </c>
      <c r="D39" s="8">
        <v>1907000</v>
      </c>
      <c r="E39" s="8">
        <v>3216000</v>
      </c>
      <c r="F39" s="8">
        <v>3347000</v>
      </c>
      <c r="G39" s="8">
        <v>5597000</v>
      </c>
      <c r="H39" s="8">
        <v>5886000</v>
      </c>
      <c r="I39" s="8">
        <v>5390000</v>
      </c>
      <c r="J39" s="8">
        <v>5344000</v>
      </c>
      <c r="K39" s="8">
        <v>2566000</v>
      </c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15">
      <c r="A40" s="7" t="s">
        <v>78</v>
      </c>
      <c r="B40" s="8">
        <v>8893000</v>
      </c>
      <c r="C40" s="8">
        <v>9138000</v>
      </c>
      <c r="D40" s="8">
        <v>10852000</v>
      </c>
      <c r="E40" s="8">
        <v>12724000</v>
      </c>
      <c r="F40" s="8">
        <v>14677000</v>
      </c>
      <c r="G40" s="8">
        <v>23287000</v>
      </c>
      <c r="H40" s="8">
        <v>24973000</v>
      </c>
      <c r="I40" s="8">
        <v>25040000</v>
      </c>
      <c r="J40" s="8">
        <v>23527000</v>
      </c>
      <c r="K40" s="8">
        <v>23680000</v>
      </c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15">
      <c r="A41" s="7" t="s">
        <v>79</v>
      </c>
      <c r="B41" s="8">
        <v>3000</v>
      </c>
      <c r="C41" s="8">
        <v>3000</v>
      </c>
      <c r="D41" s="8">
        <v>3000</v>
      </c>
      <c r="E41" s="8">
        <v>3000</v>
      </c>
      <c r="F41" s="8">
        <v>3000</v>
      </c>
      <c r="G41" s="8">
        <v>3000</v>
      </c>
      <c r="H41" s="8">
        <v>3000</v>
      </c>
      <c r="I41" s="8">
        <v>3000</v>
      </c>
      <c r="J41" s="8">
        <v>3000</v>
      </c>
      <c r="K41" s="8">
        <v>3000</v>
      </c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15">
      <c r="A42" s="7" t="s">
        <v>80</v>
      </c>
      <c r="B42" s="8">
        <v>6773000</v>
      </c>
      <c r="C42" s="8">
        <v>7786000</v>
      </c>
      <c r="D42" s="8">
        <v>8638000</v>
      </c>
      <c r="E42" s="8">
        <v>6384000</v>
      </c>
      <c r="F42" s="8">
        <v>7163000</v>
      </c>
      <c r="G42" s="8">
        <v>8299000</v>
      </c>
      <c r="H42" s="8">
        <v>9965000</v>
      </c>
      <c r="I42" s="8">
        <v>11484000</v>
      </c>
      <c r="J42" s="8">
        <v>12412000</v>
      </c>
      <c r="K42" s="8">
        <v>13409000</v>
      </c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15">
      <c r="A43" s="7" t="s">
        <v>81</v>
      </c>
      <c r="B43" s="8">
        <v>4685000</v>
      </c>
      <c r="C43" s="8">
        <v>4151000</v>
      </c>
      <c r="D43" s="8">
        <v>3979000</v>
      </c>
      <c r="E43" s="8">
        <v>3517000</v>
      </c>
      <c r="F43" s="8">
        <v>1643000</v>
      </c>
      <c r="G43" s="8">
        <v>-191000</v>
      </c>
      <c r="H43" s="8">
        <v>3179000</v>
      </c>
      <c r="I43" s="8">
        <v>3476000</v>
      </c>
      <c r="J43" s="8">
        <v>1358000</v>
      </c>
      <c r="K43" s="8">
        <v>965000</v>
      </c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x14ac:dyDescent="0.15">
      <c r="A44" s="7" t="s">
        <v>82</v>
      </c>
      <c r="B44" s="8">
        <v>1246000</v>
      </c>
      <c r="C44" s="8">
        <v>318000</v>
      </c>
      <c r="D44" s="8">
        <v>-213000</v>
      </c>
      <c r="E44" s="8">
        <v>-92000</v>
      </c>
      <c r="F44" s="8">
        <v>231000</v>
      </c>
      <c r="G44" s="8">
        <v>-56000</v>
      </c>
      <c r="H44" s="8">
        <v>-380000</v>
      </c>
      <c r="I44" s="8">
        <v>318000</v>
      </c>
      <c r="J44" s="8">
        <v>231000</v>
      </c>
      <c r="K44" s="8">
        <v>53000</v>
      </c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15">
      <c r="A45" s="7" t="s">
        <v>83</v>
      </c>
      <c r="B45" s="8">
        <v>-11000</v>
      </c>
      <c r="C45" s="8">
        <v>-207000</v>
      </c>
      <c r="D45" s="8">
        <v>-191000</v>
      </c>
      <c r="E45" s="8">
        <v>-173000</v>
      </c>
      <c r="F45" s="8">
        <v>-346000</v>
      </c>
      <c r="G45" s="8">
        <v>-494000</v>
      </c>
      <c r="H45" s="8">
        <v>2000</v>
      </c>
      <c r="I45" s="8">
        <v>-520000</v>
      </c>
      <c r="J45" s="8">
        <v>-253000</v>
      </c>
      <c r="K45" s="8">
        <v>-256000</v>
      </c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x14ac:dyDescent="0.15">
      <c r="A46" s="7" t="s">
        <v>84</v>
      </c>
      <c r="B46" s="8">
        <v>11000</v>
      </c>
      <c r="C46" s="8">
        <v>207000</v>
      </c>
      <c r="D46" s="8">
        <v>191000</v>
      </c>
      <c r="E46" s="8">
        <v>173000</v>
      </c>
      <c r="F46" s="8">
        <v>346000</v>
      </c>
      <c r="G46" s="8">
        <v>494000</v>
      </c>
      <c r="H46" s="8">
        <v>-2000</v>
      </c>
      <c r="I46" s="8">
        <v>520000</v>
      </c>
      <c r="J46" s="8">
        <v>253000</v>
      </c>
      <c r="K46" s="8">
        <v>256000</v>
      </c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15">
      <c r="A47" s="7" t="s">
        <v>85</v>
      </c>
      <c r="B47" s="8">
        <v>12707000</v>
      </c>
      <c r="C47" s="8">
        <v>12258000</v>
      </c>
      <c r="D47" s="8">
        <v>12407000</v>
      </c>
      <c r="E47" s="8">
        <v>9812000</v>
      </c>
      <c r="F47" s="8">
        <v>9040000</v>
      </c>
      <c r="G47" s="8">
        <v>8055000</v>
      </c>
      <c r="H47" s="8">
        <v>12767000</v>
      </c>
      <c r="I47" s="8">
        <v>15281000</v>
      </c>
      <c r="J47" s="8">
        <v>14004000</v>
      </c>
      <c r="K47" s="8">
        <v>14430000</v>
      </c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x14ac:dyDescent="0.15">
      <c r="A48" s="7" t="s">
        <v>86</v>
      </c>
      <c r="B48" s="8">
        <v>21600000</v>
      </c>
      <c r="C48" s="8">
        <v>21396000</v>
      </c>
      <c r="D48" s="8">
        <v>23259000</v>
      </c>
      <c r="E48" s="8">
        <v>22536000</v>
      </c>
      <c r="F48" s="8">
        <v>23717000</v>
      </c>
      <c r="G48" s="8">
        <v>31342000</v>
      </c>
      <c r="H48" s="8">
        <v>37740000</v>
      </c>
      <c r="I48" s="8">
        <v>40321000</v>
      </c>
      <c r="J48" s="8">
        <v>37531000</v>
      </c>
      <c r="K48" s="8">
        <v>38110000</v>
      </c>
      <c r="L48" s="7"/>
      <c r="M48" s="7"/>
      <c r="N48" s="7"/>
      <c r="O48" s="7"/>
      <c r="P48" s="7"/>
      <c r="Q48" s="7"/>
      <c r="R48" s="7"/>
      <c r="S48" s="7"/>
      <c r="T48" s="7"/>
      <c r="U48" s="7"/>
    </row>
  </sheetData>
  <sortState xmlns:xlrd2="http://schemas.microsoft.com/office/spreadsheetml/2017/richdata2" columnSort="1" ref="B11:T48">
    <sortCondition ref="B11:T1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0A77-6D60-4706-BBB7-CE10AD4D90DA}">
  <sheetPr>
    <tabColor rgb="FF92D050"/>
  </sheetPr>
  <dimension ref="A2:L51"/>
  <sheetViews>
    <sheetView topLeftCell="A36" zoomScaleNormal="100" workbookViewId="0">
      <selection activeCell="N50" sqref="N50"/>
    </sheetView>
  </sheetViews>
  <sheetFormatPr baseColWidth="10" defaultColWidth="8.83203125" defaultRowHeight="13" x14ac:dyDescent="0.15"/>
  <cols>
    <col min="1" max="1" width="40.5" bestFit="1" customWidth="1"/>
    <col min="2" max="2" width="24.1640625" customWidth="1"/>
    <col min="3" max="11" width="9.83203125" bestFit="1" customWidth="1"/>
  </cols>
  <sheetData>
    <row r="2" spans="1:12" x14ac:dyDescent="0.15">
      <c r="B2" s="10" t="s">
        <v>45</v>
      </c>
      <c r="C2" s="10">
        <v>4</v>
      </c>
    </row>
    <row r="3" spans="1:12" x14ac:dyDescent="0.15">
      <c r="B3" s="12" t="s">
        <v>40</v>
      </c>
    </row>
    <row r="4" spans="1:12" x14ac:dyDescent="0.15">
      <c r="A4" s="1" t="s">
        <v>0</v>
      </c>
    </row>
    <row r="5" spans="1:12" ht="20" x14ac:dyDescent="0.2">
      <c r="A5" s="2" t="s">
        <v>1</v>
      </c>
    </row>
    <row r="7" spans="1:12" x14ac:dyDescent="0.15">
      <c r="A7" s="4"/>
    </row>
    <row r="8" spans="1:12" x14ac:dyDescent="0.15">
      <c r="A8" s="5" t="s">
        <v>4</v>
      </c>
      <c r="B8" t="s">
        <v>113</v>
      </c>
      <c r="C8" t="str">
        <f>'Income Statement'!B11</f>
        <v>05/31/2015</v>
      </c>
      <c r="D8" t="str">
        <f>'Income Statement'!C11</f>
        <v>05/31/2016</v>
      </c>
      <c r="E8" t="str">
        <f>'Income Statement'!D11</f>
        <v>05/31/2017</v>
      </c>
      <c r="F8" t="str">
        <f>'Income Statement'!E11</f>
        <v>05/31/2018</v>
      </c>
      <c r="G8" t="str">
        <f>'Income Statement'!F11</f>
        <v>05/31/2019</v>
      </c>
      <c r="H8" t="str">
        <f>'Income Statement'!G11</f>
        <v>05/31/2020</v>
      </c>
      <c r="I8" t="str">
        <f>'Income Statement'!H11</f>
        <v>05/31/2021</v>
      </c>
      <c r="J8" t="str">
        <f>'Income Statement'!I11</f>
        <v>05/31/2022</v>
      </c>
      <c r="K8" t="str">
        <f>'Income Statement'!J11</f>
        <v>05/31/2023</v>
      </c>
      <c r="L8" t="str">
        <f>'Income Statement'!K11</f>
        <v>05/31/2024</v>
      </c>
    </row>
    <row r="10" spans="1:12" ht="42" x14ac:dyDescent="0.15">
      <c r="A10" s="24" t="s">
        <v>91</v>
      </c>
    </row>
    <row r="11" spans="1:12" x14ac:dyDescent="0.15">
      <c r="B11" s="47" t="s">
        <v>112</v>
      </c>
      <c r="C11" s="47">
        <f>+'Balance Sheet'!B24/'Balance Sheet'!B36</f>
        <v>2.5222608146510894</v>
      </c>
      <c r="D11" s="47">
        <f>+'Balance Sheet'!C24/'Balance Sheet'!C36</f>
        <v>2.8042179917879806</v>
      </c>
      <c r="E11" s="47">
        <f>+'Balance Sheet'!D24/'Balance Sheet'!D36</f>
        <v>2.9340518816222141</v>
      </c>
      <c r="F11" s="47">
        <f>+'Balance Sheet'!E24/'Balance Sheet'!E36</f>
        <v>2.5056291390728478</v>
      </c>
      <c r="G11" s="47">
        <f>+'Balance Sheet'!F24/'Balance Sheet'!F36</f>
        <v>2.1008136282735825</v>
      </c>
      <c r="H11" s="47">
        <f>+'Balance Sheet'!G24/'Balance Sheet'!G36</f>
        <v>2.4814099468855626</v>
      </c>
      <c r="I11" s="47">
        <f>+'Balance Sheet'!H24/'Balance Sheet'!H36</f>
        <v>2.717696919578251</v>
      </c>
      <c r="J11" s="47">
        <f>+'Balance Sheet'!I24/'Balance Sheet'!I36</f>
        <v>2.6293569431500465</v>
      </c>
      <c r="K11" s="47">
        <f>+'Balance Sheet'!J24/'Balance Sheet'!J36</f>
        <v>2.7227744165946413</v>
      </c>
      <c r="L11" s="47">
        <f>+'Balance Sheet'!K24/'Balance Sheet'!K36</f>
        <v>2.3961106391012934</v>
      </c>
    </row>
    <row r="12" spans="1:12" x14ac:dyDescent="0.15">
      <c r="B12" t="s">
        <v>127</v>
      </c>
    </row>
    <row r="14" spans="1:12" x14ac:dyDescent="0.15">
      <c r="B14" s="47" t="s">
        <v>114</v>
      </c>
      <c r="C14" s="47">
        <f>+('Balance Sheet'!B24-'Balance Sheet'!B20)/'Balance Sheet'!B36</f>
        <v>1.8375434164824755</v>
      </c>
      <c r="D14" s="47">
        <f>+('Balance Sheet'!C24-'Balance Sheet'!C20)/'Balance Sheet'!C36</f>
        <v>1.9012691302724898</v>
      </c>
      <c r="E14" s="47">
        <f>+('Balance Sheet'!D24-'Balance Sheet'!D20)/'Balance Sheet'!D36</f>
        <v>2.0105955425648521</v>
      </c>
      <c r="F14" s="47">
        <f>+('Balance Sheet'!E24-'Balance Sheet'!E20)/'Balance Sheet'!E36</f>
        <v>1.6346026490066226</v>
      </c>
      <c r="G14" s="47">
        <f>+('Balance Sheet'!F24-'Balance Sheet'!F20)/'Balance Sheet'!F36</f>
        <v>1.386092041698449</v>
      </c>
      <c r="H14" s="47">
        <f>+('Balance Sheet'!G24-'Balance Sheet'!G20)/'Balance Sheet'!G36</f>
        <v>1.5921052631578947</v>
      </c>
      <c r="I14" s="47">
        <f>+('Balance Sheet'!H24-'Balance Sheet'!H20)/'Balance Sheet'!H36</f>
        <v>2.0091999173041142</v>
      </c>
      <c r="J14" s="47">
        <f>+('Balance Sheet'!I24-'Balance Sheet'!I20)/'Balance Sheet'!I36</f>
        <v>1.844641192917055</v>
      </c>
      <c r="K14" s="47">
        <f>+('Balance Sheet'!J24-'Balance Sheet'!J20)/'Balance Sheet'!J36</f>
        <v>1.8094209161624892</v>
      </c>
      <c r="L14" s="47">
        <f>+('Balance Sheet'!K24-'Balance Sheet'!K20)/'Balance Sheet'!K36</f>
        <v>1.6863022750873218</v>
      </c>
    </row>
    <row r="17" spans="1:12" ht="42" x14ac:dyDescent="0.15">
      <c r="A17" s="24" t="s">
        <v>90</v>
      </c>
    </row>
    <row r="18" spans="1:12" x14ac:dyDescent="0.15">
      <c r="B18" s="47" t="s">
        <v>115</v>
      </c>
      <c r="C18" s="47">
        <f>+'Balance Sheet'!B40/('Balance Sheet'!B30-'Balance Sheet'!B28)</f>
        <v>0.41971870870303946</v>
      </c>
      <c r="D18" s="47">
        <f>+'Balance Sheet'!C40/('Balance Sheet'!C30-'Balance Sheet'!C28)</f>
        <v>0.43547464735036218</v>
      </c>
      <c r="E18" s="47">
        <f>+'Balance Sheet'!D40/('Balance Sheet'!D30-'Balance Sheet'!D28)</f>
        <v>0.47519376450497003</v>
      </c>
      <c r="F18" s="47">
        <f>+'Balance Sheet'!E40/('Balance Sheet'!E30-'Balance Sheet'!E28)</f>
        <v>0.57582477259356468</v>
      </c>
      <c r="G18" s="47">
        <f>+'Balance Sheet'!F40/('Balance Sheet'!F30-'Balance Sheet'!F28)</f>
        <v>0.63045532646048108</v>
      </c>
      <c r="H18" s="47">
        <f>+'Balance Sheet'!G40/('Balance Sheet'!G30-'Balance Sheet'!G28)</f>
        <v>0.75496839033879071</v>
      </c>
      <c r="I18" s="47">
        <f>+'Balance Sheet'!H40/('Balance Sheet'!H30-'Balance Sheet'!H28)</f>
        <v>0.67079427328158159</v>
      </c>
      <c r="J18" s="47">
        <f>+'Balance Sheet'!I40/('Balance Sheet'!I30-'Balance Sheet'!I28)</f>
        <v>0.62992125984251968</v>
      </c>
      <c r="K18" s="47">
        <f>+'Balance Sheet'!J40/('Balance Sheet'!J30-'Balance Sheet'!J28)</f>
        <v>0.63627758546083946</v>
      </c>
      <c r="L18" s="47">
        <f>+'Balance Sheet'!K40/('Balance Sheet'!K30-'Balance Sheet'!K28)</f>
        <v>0.62960304166334313</v>
      </c>
    </row>
    <row r="19" spans="1:12" x14ac:dyDescent="0.15">
      <c r="B19" t="s">
        <v>128</v>
      </c>
    </row>
    <row r="21" spans="1:12" x14ac:dyDescent="0.15">
      <c r="B21" s="47" t="s">
        <v>116</v>
      </c>
      <c r="C21" s="47">
        <f>+'Balance Sheet'!B37/'Balance Sheet'!B47</f>
        <v>8.4913827024474697E-2</v>
      </c>
      <c r="D21" s="47">
        <f>+'Balance Sheet'!C37/'Balance Sheet'!C47</f>
        <v>0.16397454723445912</v>
      </c>
      <c r="E21" s="47">
        <f>+'Balance Sheet'!D37/'Balance Sheet'!D47</f>
        <v>0.27976142500201501</v>
      </c>
      <c r="F21" s="47">
        <f>+'Balance Sheet'!E37/'Balance Sheet'!E47</f>
        <v>0.35344476151651039</v>
      </c>
      <c r="G21" s="47">
        <f>+'Balance Sheet'!F37/'Balance Sheet'!F47</f>
        <v>0.38318584070796458</v>
      </c>
      <c r="H21" s="47">
        <f>+'Balance Sheet'!G37/'Balance Sheet'!G47</f>
        <v>1.1677219118559901</v>
      </c>
      <c r="I21" s="47">
        <f>+'Balance Sheet'!H37/'Balance Sheet'!H47</f>
        <v>0.73729145453121325</v>
      </c>
      <c r="J21" s="47">
        <f>+'Balance Sheet'!I37/'Balance Sheet'!I47</f>
        <v>0.58373143118905835</v>
      </c>
      <c r="K21" s="47">
        <f>+'Balance Sheet'!J37/'Balance Sheet'!J47</f>
        <v>0.63746072550699795</v>
      </c>
      <c r="L21" s="47">
        <f>+'Balance Sheet'!K37/'Balance Sheet'!K47</f>
        <v>0.54767844767844764</v>
      </c>
    </row>
    <row r="22" spans="1:12" x14ac:dyDescent="0.15">
      <c r="B22" s="54" t="s">
        <v>129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x14ac:dyDescent="0.15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</row>
    <row r="24" spans="1:12" ht="42" x14ac:dyDescent="0.15">
      <c r="A24" s="24" t="s">
        <v>92</v>
      </c>
    </row>
    <row r="25" spans="1:12" x14ac:dyDescent="0.15">
      <c r="B25" s="47" t="s">
        <v>117</v>
      </c>
      <c r="C25" s="48">
        <f>+'Income Statement'!B18/'Income Statement'!B16</f>
        <v>0.4596908597758243</v>
      </c>
      <c r="D25" s="48">
        <f>+'Income Statement'!C18/'Income Statement'!C16</f>
        <v>0.46241042747714356</v>
      </c>
      <c r="E25" s="48">
        <f>+'Income Statement'!D18/'Income Statement'!D16</f>
        <v>0.445764192139738</v>
      </c>
      <c r="F25" s="48">
        <f>+'Income Statement'!E18/'Income Statement'!E16</f>
        <v>0.43838777921257244</v>
      </c>
      <c r="G25" s="48">
        <f>+'Income Statement'!F18/'Income Statement'!F16</f>
        <v>0.44671114860546568</v>
      </c>
      <c r="H25" s="48">
        <f>+'Income Statement'!G18/'Income Statement'!G16</f>
        <v>0.43421650669732376</v>
      </c>
      <c r="I25" s="48">
        <f>+'Income Statement'!H18/'Income Statement'!H16</f>
        <v>0.44820153576721</v>
      </c>
      <c r="J25" s="48">
        <f>+'Income Statement'!I18/'Income Statement'!I16</f>
        <v>0.45983729394134021</v>
      </c>
      <c r="K25" s="48">
        <f>+'Income Statement'!J18/'Income Statement'!J16</f>
        <v>0.43524610969014194</v>
      </c>
      <c r="L25" s="48">
        <f>+'Income Statement'!K18/'Income Statement'!K16</f>
        <v>0.44560180678322497</v>
      </c>
    </row>
    <row r="27" spans="1:12" x14ac:dyDescent="0.15">
      <c r="B27" s="47" t="s">
        <v>118</v>
      </c>
      <c r="C27" s="48">
        <f>+'Income Statement'!B28/'Income Statement'!B16</f>
        <v>0.1069572889774844</v>
      </c>
      <c r="D27" s="48">
        <f>+'Income Statement'!C28/'Income Statement'!C16</f>
        <v>0.11613540894489746</v>
      </c>
      <c r="E27" s="48">
        <f>+'Income Statement'!D28/'Income Statement'!D16</f>
        <v>0.12343522561863174</v>
      </c>
      <c r="F27" s="48">
        <f>+'Income Statement'!E28/'Income Statement'!E16</f>
        <v>5.3108772701046789E-2</v>
      </c>
      <c r="G27" s="48">
        <f>+'Income Statement'!F28/'Income Statement'!F16</f>
        <v>0.10299869621903521</v>
      </c>
      <c r="H27" s="48">
        <f>+'Income Statement'!G28/'Income Statement'!G16</f>
        <v>6.7882255434056085E-2</v>
      </c>
      <c r="I27" s="48">
        <f>+'Income Statement'!H28/'Income Statement'!H16</f>
        <v>0.12858682473393507</v>
      </c>
      <c r="J27" s="48">
        <f>+'Income Statement'!I28/'Income Statement'!I16</f>
        <v>0.12943695140226932</v>
      </c>
      <c r="K27" s="48">
        <f>+'Income Statement'!J28/'Income Statement'!J16</f>
        <v>9.8990569537458259E-2</v>
      </c>
      <c r="L27" s="48">
        <f>+'Income Statement'!K28/'Income Statement'!K16</f>
        <v>0.11097698687745804</v>
      </c>
    </row>
    <row r="28" spans="1:12" x14ac:dyDescent="0.15">
      <c r="C28" s="36"/>
      <c r="D28" s="36"/>
      <c r="E28" s="36"/>
      <c r="F28" s="36"/>
      <c r="G28" s="36"/>
      <c r="H28" s="36"/>
      <c r="I28" s="36"/>
      <c r="J28" s="36"/>
      <c r="K28" s="36"/>
      <c r="L28" s="36"/>
    </row>
    <row r="29" spans="1:12" x14ac:dyDescent="0.15">
      <c r="B29" t="s">
        <v>123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1:12" x14ac:dyDescent="0.15">
      <c r="B30" t="s">
        <v>124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</row>
    <row r="31" spans="1:12" x14ac:dyDescent="0.15"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 spans="1:12" ht="56" x14ac:dyDescent="0.15">
      <c r="A32" s="42" t="s">
        <v>87</v>
      </c>
    </row>
    <row r="33" spans="1:12" x14ac:dyDescent="0.15">
      <c r="B33" s="47" t="s">
        <v>119</v>
      </c>
      <c r="C33" s="47">
        <f>+'Income Statement'!B16/'Balance Sheet'!B30</f>
        <v>1.4167129629629629</v>
      </c>
      <c r="D33" s="47">
        <f>+'Income Statement'!C16/'Balance Sheet'!C30</f>
        <v>1.5131800336511498</v>
      </c>
      <c r="E33" s="47">
        <f>+'Income Statement'!D16/'Balance Sheet'!D30</f>
        <v>1.476847671868954</v>
      </c>
      <c r="F33" s="47">
        <f>+'Income Statement'!E16/'Balance Sheet'!E30</f>
        <v>1.6150603478878238</v>
      </c>
      <c r="G33" s="47">
        <f>+'Income Statement'!F16/'Balance Sheet'!F30</f>
        <v>1.6493232702281064</v>
      </c>
      <c r="H33" s="47">
        <f>+'Income Statement'!G16/'Balance Sheet'!G30</f>
        <v>1.1933826813859996</v>
      </c>
      <c r="I33" s="47">
        <f>+'Income Statement'!H16/'Balance Sheet'!H30</f>
        <v>1.180127186009539</v>
      </c>
      <c r="J33" s="47">
        <f>+'Income Statement'!I16/'Balance Sheet'!I30</f>
        <v>1.1584534113737259</v>
      </c>
      <c r="K33" s="47">
        <f>+'Income Statement'!J16/'Balance Sheet'!J30</f>
        <v>1.3646585489328822</v>
      </c>
      <c r="L33" s="47">
        <f>+'Income Statement'!K16/'Balance Sheet'!K30</f>
        <v>1.347730254526371</v>
      </c>
    </row>
    <row r="34" spans="1:12" x14ac:dyDescent="0.15">
      <c r="B34" s="52" t="s">
        <v>125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</row>
    <row r="36" spans="1:12" ht="56" x14ac:dyDescent="0.15">
      <c r="A36" s="24" t="s">
        <v>88</v>
      </c>
    </row>
    <row r="37" spans="1:12" x14ac:dyDescent="0.15">
      <c r="B37" s="47" t="s">
        <v>120</v>
      </c>
      <c r="C37" s="47">
        <f>+'Income Statement'!B16/'Balance Sheet'!B20</f>
        <v>7.0557989393590042</v>
      </c>
      <c r="D37" s="47">
        <f>+'Income Statement'!C16/'Balance Sheet'!C20</f>
        <v>6.6920214964861513</v>
      </c>
      <c r="E37" s="47">
        <f>+'Income Statement'!D16/'Balance Sheet'!D20</f>
        <v>6.7952522255192882</v>
      </c>
      <c r="F37" s="47">
        <f>+'Income Statement'!E16/'Balance Sheet'!E20</f>
        <v>6.9182664892605965</v>
      </c>
      <c r="G37" s="47">
        <f>+'Income Statement'!F16/'Balance Sheet'!F20</f>
        <v>6.9578441835645677</v>
      </c>
      <c r="H37" s="47">
        <f>+'Income Statement'!G16/'Balance Sheet'!G20</f>
        <v>5.077100583683996</v>
      </c>
      <c r="I37" s="47">
        <f>+'Income Statement'!H16/'Balance Sheet'!H20</f>
        <v>6.498103297344616</v>
      </c>
      <c r="J37" s="47">
        <f>+'Income Statement'!I16/'Balance Sheet'!I20</f>
        <v>5.5475059382422804</v>
      </c>
      <c r="K37" s="47">
        <f>+'Income Statement'!J16/'Balance Sheet'!J20</f>
        <v>6.0583155902531347</v>
      </c>
      <c r="L37" s="47">
        <f>+'Income Statement'!K16/'Balance Sheet'!K20</f>
        <v>6.8309615640377706</v>
      </c>
    </row>
    <row r="38" spans="1:12" ht="33" customHeight="1" x14ac:dyDescent="0.15">
      <c r="B38" s="53" t="s">
        <v>126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40" spans="1:12" x14ac:dyDescent="0.15">
      <c r="A40" s="11" t="s">
        <v>89</v>
      </c>
    </row>
    <row r="43" spans="1:12" x14ac:dyDescent="0.15">
      <c r="B43" s="43" t="s">
        <v>113</v>
      </c>
      <c r="C43" s="43" t="s">
        <v>14</v>
      </c>
      <c r="D43" s="43" t="s">
        <v>13</v>
      </c>
      <c r="E43" s="43" t="s">
        <v>12</v>
      </c>
      <c r="F43" s="43" t="s">
        <v>11</v>
      </c>
      <c r="G43" s="43" t="s">
        <v>10</v>
      </c>
      <c r="H43" s="43" t="s">
        <v>9</v>
      </c>
      <c r="I43" s="43" t="s">
        <v>8</v>
      </c>
      <c r="J43" s="43" t="s">
        <v>7</v>
      </c>
      <c r="K43" s="43" t="s">
        <v>6</v>
      </c>
      <c r="L43" s="43" t="s">
        <v>5</v>
      </c>
    </row>
    <row r="44" spans="1:12" x14ac:dyDescent="0.15">
      <c r="B44" t="s">
        <v>112</v>
      </c>
      <c r="C44">
        <v>2.5222608146510894</v>
      </c>
      <c r="D44">
        <v>2.8042179917879806</v>
      </c>
      <c r="E44">
        <v>2.9340518816222141</v>
      </c>
      <c r="F44">
        <v>2.5056291390728478</v>
      </c>
      <c r="G44">
        <v>2.1008136282735825</v>
      </c>
      <c r="H44">
        <v>2.4814099468855626</v>
      </c>
      <c r="I44">
        <v>2.717696919578251</v>
      </c>
      <c r="J44">
        <v>2.6293569431500465</v>
      </c>
      <c r="K44">
        <v>2.7227744165946413</v>
      </c>
      <c r="L44">
        <v>2.3961106391012934</v>
      </c>
    </row>
    <row r="45" spans="1:12" x14ac:dyDescent="0.15">
      <c r="B45" t="s">
        <v>114</v>
      </c>
      <c r="C45">
        <v>1.8375434164824755</v>
      </c>
      <c r="D45">
        <v>1.9012691302724898</v>
      </c>
      <c r="E45">
        <v>2.0105955425648521</v>
      </c>
      <c r="F45">
        <v>1.6346026490066226</v>
      </c>
      <c r="G45">
        <v>1.386092041698449</v>
      </c>
      <c r="H45">
        <v>1.5921052631578947</v>
      </c>
      <c r="I45">
        <v>2.0091999173041142</v>
      </c>
      <c r="J45">
        <v>1.844641192917055</v>
      </c>
      <c r="K45">
        <v>1.8094209161624892</v>
      </c>
      <c r="L45">
        <v>1.6863022750873218</v>
      </c>
    </row>
    <row r="46" spans="1:12" x14ac:dyDescent="0.15">
      <c r="B46" t="s">
        <v>115</v>
      </c>
      <c r="C46">
        <v>0.41971870870303946</v>
      </c>
      <c r="D46">
        <v>0.43547464735036218</v>
      </c>
      <c r="E46">
        <v>0.47519376450497003</v>
      </c>
      <c r="F46">
        <v>0.57582477259356468</v>
      </c>
      <c r="G46">
        <v>0.63045532646048108</v>
      </c>
      <c r="H46">
        <v>0.75496839033879071</v>
      </c>
      <c r="I46">
        <v>0.67079427328158159</v>
      </c>
      <c r="J46">
        <v>0.62992125984251968</v>
      </c>
      <c r="K46">
        <v>0.63627758546083946</v>
      </c>
      <c r="L46">
        <v>0.62960304166334313</v>
      </c>
    </row>
    <row r="47" spans="1:12" x14ac:dyDescent="0.15">
      <c r="B47" t="s">
        <v>116</v>
      </c>
      <c r="C47">
        <v>8.4913827024474697E-2</v>
      </c>
      <c r="D47">
        <v>0.16397454723445912</v>
      </c>
      <c r="E47">
        <v>0.27976142500201501</v>
      </c>
      <c r="F47">
        <v>0.35344476151651039</v>
      </c>
      <c r="G47">
        <v>0.38318584070796458</v>
      </c>
      <c r="H47">
        <v>1.1677219118559901</v>
      </c>
      <c r="I47">
        <v>0.73729145453121325</v>
      </c>
      <c r="J47">
        <v>0.58373143118905835</v>
      </c>
      <c r="K47">
        <v>0.63746072550699795</v>
      </c>
      <c r="L47">
        <v>0.54767844767844764</v>
      </c>
    </row>
    <row r="48" spans="1:12" x14ac:dyDescent="0.15">
      <c r="B48" t="s">
        <v>117</v>
      </c>
      <c r="C48">
        <v>0.4596908597758243</v>
      </c>
      <c r="D48">
        <v>0.46241042747714356</v>
      </c>
      <c r="E48">
        <v>0.445764192139738</v>
      </c>
      <c r="F48">
        <v>0.43838777921257244</v>
      </c>
      <c r="G48">
        <v>0.44671114860546568</v>
      </c>
      <c r="H48">
        <v>0.43421650669732376</v>
      </c>
      <c r="I48">
        <v>0.44820153576721</v>
      </c>
      <c r="J48">
        <v>0.45983729394134021</v>
      </c>
      <c r="K48">
        <v>0.43524610969014194</v>
      </c>
      <c r="L48">
        <v>0.44560180678322497</v>
      </c>
    </row>
    <row r="49" spans="2:12" x14ac:dyDescent="0.15">
      <c r="B49" t="s">
        <v>118</v>
      </c>
      <c r="C49">
        <v>0.1069572889774844</v>
      </c>
      <c r="D49">
        <v>0.11613540894489746</v>
      </c>
      <c r="E49">
        <v>0.12343522561863174</v>
      </c>
      <c r="F49">
        <v>5.3108772701046789E-2</v>
      </c>
      <c r="G49">
        <v>0.10299869621903521</v>
      </c>
      <c r="H49">
        <v>6.7882255434056085E-2</v>
      </c>
      <c r="I49">
        <v>0.12858682473393507</v>
      </c>
      <c r="J49">
        <v>0.12943695140226932</v>
      </c>
      <c r="K49">
        <v>9.8990569537458259E-2</v>
      </c>
      <c r="L49">
        <v>0.11097698687745804</v>
      </c>
    </row>
    <row r="50" spans="2:12" x14ac:dyDescent="0.15">
      <c r="B50" t="s">
        <v>119</v>
      </c>
      <c r="C50">
        <v>1.4167129629629629</v>
      </c>
      <c r="D50">
        <v>1.5131800336511498</v>
      </c>
      <c r="E50">
        <v>1.476847671868954</v>
      </c>
      <c r="F50">
        <v>1.6150603478878238</v>
      </c>
      <c r="G50">
        <v>1.6493232702281064</v>
      </c>
      <c r="H50">
        <v>1.1933826813859996</v>
      </c>
      <c r="I50">
        <v>1.180127186009539</v>
      </c>
      <c r="J50">
        <v>1.1584534113737259</v>
      </c>
      <c r="K50">
        <v>1.3646585489328822</v>
      </c>
      <c r="L50">
        <v>1.347730254526371</v>
      </c>
    </row>
    <row r="51" spans="2:12" x14ac:dyDescent="0.15">
      <c r="B51" t="s">
        <v>120</v>
      </c>
      <c r="C51">
        <v>7.0557989393590042</v>
      </c>
      <c r="D51">
        <v>6.6920214964861513</v>
      </c>
      <c r="E51">
        <v>6.7952522255192882</v>
      </c>
      <c r="F51">
        <v>6.9182664892605965</v>
      </c>
      <c r="G51">
        <v>6.9578441835645677</v>
      </c>
      <c r="H51">
        <v>5.077100583683996</v>
      </c>
      <c r="I51">
        <v>6.498103297344616</v>
      </c>
      <c r="J51">
        <v>5.5475059382422804</v>
      </c>
      <c r="K51">
        <v>6.0583155902531347</v>
      </c>
      <c r="L51">
        <v>6.8309615640377706</v>
      </c>
    </row>
  </sheetData>
  <mergeCells count="3">
    <mergeCell ref="B34:L34"/>
    <mergeCell ref="B38:L38"/>
    <mergeCell ref="B22:L23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3D58-894B-4B6A-B1EF-D62EFFAAD42A}">
  <sheetPr>
    <tabColor rgb="FF92D050"/>
  </sheetPr>
  <dimension ref="B2:H34"/>
  <sheetViews>
    <sheetView workbookViewId="0">
      <selection activeCell="F19" sqref="F19"/>
    </sheetView>
  </sheetViews>
  <sheetFormatPr baseColWidth="10" defaultColWidth="8.83203125" defaultRowHeight="13" x14ac:dyDescent="0.15"/>
  <cols>
    <col min="2" max="2" width="74.5" customWidth="1"/>
    <col min="3" max="3" width="14.83203125" bestFit="1" customWidth="1"/>
    <col min="4" max="5" width="13.83203125" bestFit="1" customWidth="1"/>
    <col min="6" max="6" width="14.83203125" bestFit="1" customWidth="1"/>
    <col min="7" max="7" width="13.83203125" bestFit="1" customWidth="1"/>
    <col min="8" max="8" width="12.1640625" bestFit="1" customWidth="1"/>
  </cols>
  <sheetData>
    <row r="2" spans="2:6" x14ac:dyDescent="0.15">
      <c r="B2" s="12"/>
      <c r="C2" s="10" t="s">
        <v>45</v>
      </c>
      <c r="D2" s="10">
        <v>4</v>
      </c>
    </row>
    <row r="3" spans="2:6" x14ac:dyDescent="0.15">
      <c r="C3" s="12" t="s">
        <v>40</v>
      </c>
    </row>
    <row r="5" spans="2:6" ht="28" x14ac:dyDescent="0.15">
      <c r="B5" s="42" t="s">
        <v>104</v>
      </c>
      <c r="C5" s="30" t="s">
        <v>108</v>
      </c>
    </row>
    <row r="7" spans="2:6" ht="42" x14ac:dyDescent="0.15">
      <c r="B7" s="42" t="s">
        <v>105</v>
      </c>
      <c r="C7">
        <f>+'Income Statement'!K28*1.04</f>
        <v>5928000</v>
      </c>
    </row>
    <row r="8" spans="2:6" x14ac:dyDescent="0.15">
      <c r="B8" s="31"/>
    </row>
    <row r="9" spans="2:6" ht="28" x14ac:dyDescent="0.15">
      <c r="B9" s="42" t="s">
        <v>106</v>
      </c>
      <c r="C9">
        <f>+'Income Statement'!K28</f>
        <v>5700000</v>
      </c>
    </row>
    <row r="10" spans="2:6" x14ac:dyDescent="0.15">
      <c r="B10" s="31"/>
    </row>
    <row r="11" spans="2:6" ht="42" x14ac:dyDescent="0.15">
      <c r="B11" s="24" t="s">
        <v>95</v>
      </c>
    </row>
    <row r="12" spans="2:6" x14ac:dyDescent="0.15">
      <c r="B12" s="31"/>
    </row>
    <row r="13" spans="2:6" ht="56" x14ac:dyDescent="0.15">
      <c r="B13" s="24" t="s">
        <v>97</v>
      </c>
    </row>
    <row r="15" spans="2:6" x14ac:dyDescent="0.15">
      <c r="B15" s="11" t="s">
        <v>93</v>
      </c>
      <c r="E15" s="12"/>
      <c r="F15" s="32"/>
    </row>
    <row r="16" spans="2:6" ht="28" x14ac:dyDescent="0.15">
      <c r="B16" s="42" t="s">
        <v>107</v>
      </c>
      <c r="C16" s="8">
        <f>+'Income Statement'!K35*'Income Statement'!K31</f>
        <v>151352099.99999997</v>
      </c>
    </row>
    <row r="18" spans="2:8" x14ac:dyDescent="0.15">
      <c r="B18" s="10" t="s">
        <v>94</v>
      </c>
    </row>
    <row r="19" spans="2:8" ht="28" x14ac:dyDescent="0.15">
      <c r="B19" s="24" t="s">
        <v>96</v>
      </c>
      <c r="C19" s="45">
        <f>+'Income Statement'!K41/'Income Statement'!K35</f>
        <v>3.7660528000602572E-2</v>
      </c>
      <c r="E19" s="33"/>
    </row>
    <row r="21" spans="2:8" x14ac:dyDescent="0.15">
      <c r="B21" s="12"/>
      <c r="C21" s="32"/>
      <c r="D21" s="32"/>
      <c r="E21" s="32"/>
      <c r="F21" s="32"/>
      <c r="G21" s="33"/>
    </row>
    <row r="22" spans="2:8" x14ac:dyDescent="0.15">
      <c r="C22" s="36"/>
      <c r="E22" s="37"/>
      <c r="G22" s="38"/>
      <c r="H22" s="38"/>
    </row>
    <row r="23" spans="2:8" x14ac:dyDescent="0.15">
      <c r="C23" s="36"/>
      <c r="E23" s="37"/>
      <c r="G23" s="38"/>
      <c r="H23" s="38"/>
    </row>
    <row r="24" spans="2:8" x14ac:dyDescent="0.15">
      <c r="B24" s="34"/>
      <c r="C24" s="36"/>
      <c r="E24" s="37"/>
      <c r="F24" s="19"/>
      <c r="G24" s="38"/>
      <c r="H24" s="38"/>
    </row>
    <row r="25" spans="2:8" x14ac:dyDescent="0.15">
      <c r="C25" s="36"/>
      <c r="E25" s="37"/>
      <c r="F25" s="19"/>
      <c r="G25" s="38"/>
      <c r="H25" s="38"/>
    </row>
    <row r="26" spans="2:8" x14ac:dyDescent="0.15">
      <c r="B26" s="34"/>
      <c r="C26" s="36"/>
      <c r="E26" s="37"/>
      <c r="F26" s="19"/>
      <c r="G26" s="38"/>
      <c r="H26" s="38"/>
    </row>
    <row r="27" spans="2:8" x14ac:dyDescent="0.15">
      <c r="C27" s="36"/>
      <c r="E27" s="37"/>
      <c r="F27" s="18"/>
    </row>
    <row r="28" spans="2:8" x14ac:dyDescent="0.15">
      <c r="H28" s="38"/>
    </row>
    <row r="29" spans="2:8" x14ac:dyDescent="0.15">
      <c r="B29" s="12"/>
      <c r="C29" s="18"/>
    </row>
    <row r="30" spans="2:8" x14ac:dyDescent="0.15">
      <c r="H30" s="39"/>
    </row>
    <row r="31" spans="2:8" x14ac:dyDescent="0.15">
      <c r="B31" s="12"/>
      <c r="C31" s="35"/>
    </row>
    <row r="34" spans="2:2" x14ac:dyDescent="0.15">
      <c r="B34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 Price</vt:lpstr>
      <vt:lpstr>Income Statement</vt:lpstr>
      <vt:lpstr>Common Size IS</vt:lpstr>
      <vt:lpstr>Balance Sheet</vt:lpstr>
      <vt:lpstr>Ratios</vt:lpstr>
      <vt:lpstr>Valuation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Hemanth Kumar Kottapalli</cp:lastModifiedBy>
  <dcterms:created xsi:type="dcterms:W3CDTF">2024-09-12T01:19:16Z</dcterms:created>
  <dcterms:modified xsi:type="dcterms:W3CDTF">2024-09-12T16:13:25Z</dcterms:modified>
  <cp:category/>
</cp:coreProperties>
</file>