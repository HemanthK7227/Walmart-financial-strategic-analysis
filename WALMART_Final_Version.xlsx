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manthkumarkottapalli/Desktop/Finance/"/>
    </mc:Choice>
  </mc:AlternateContent>
  <xr:revisionPtr revIDLastSave="0" documentId="8_{6373924B-2F8F-4E46-8313-E1E928065499}" xr6:coauthVersionLast="47" xr6:coauthVersionMax="47" xr10:uidLastSave="{00000000-0000-0000-0000-000000000000}"/>
  <bookViews>
    <workbookView xWindow="0" yWindow="500" windowWidth="23260" windowHeight="12460" firstSheet="3" activeTab="6" xr2:uid="{00000000-000D-0000-FFFF-FFFF00000000}"/>
  </bookViews>
  <sheets>
    <sheet name="standardized" sheetId="1" r:id="rId1"/>
    <sheet name="common size IS" sheetId="2" r:id="rId2"/>
    <sheet name="Balance sheet" sheetId="3" r:id="rId3"/>
    <sheet name="common size balance sheet " sheetId="4" r:id="rId4"/>
    <sheet name="financial ratios" sheetId="5" r:id="rId5"/>
    <sheet name="Compare with another " sheetId="6" r:id="rId6"/>
    <sheet name="projected IS " sheetId="7" r:id="rId7"/>
    <sheet name="relative value " sheetId="8" r:id="rId8"/>
    <sheet name="Stock Price " sheetId="9" r:id="rId9"/>
  </sheets>
  <externalReferences>
    <externalReference r:id="rId10"/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E13" i="8"/>
  <c r="M13" i="1"/>
  <c r="N13" i="1" s="1"/>
  <c r="O13" i="1" s="1"/>
  <c r="P13" i="1" s="1"/>
  <c r="Q13" i="1" s="1"/>
  <c r="R13" i="1" s="1"/>
  <c r="C32" i="7"/>
  <c r="B32" i="7"/>
  <c r="C29" i="7"/>
  <c r="B29" i="7"/>
  <c r="B28" i="7" l="1"/>
  <c r="B30" i="7" s="1"/>
  <c r="D10" i="7"/>
  <c r="G125" i="7"/>
  <c r="D13" i="7" l="1"/>
  <c r="H13" i="8" l="1"/>
  <c r="H14" i="8"/>
  <c r="H15" i="8"/>
  <c r="H12" i="8"/>
  <c r="E15" i="8"/>
  <c r="F15" i="8"/>
  <c r="G15" i="8"/>
  <c r="E14" i="8"/>
  <c r="F14" i="8"/>
  <c r="G14" i="8"/>
  <c r="F13" i="8"/>
  <c r="G13" i="8"/>
  <c r="E12" i="8"/>
  <c r="F12" i="8"/>
  <c r="G12" i="8"/>
  <c r="G3" i="8"/>
  <c r="F3" i="8"/>
  <c r="E3" i="8"/>
  <c r="C3" i="8"/>
  <c r="P2736" i="9"/>
  <c r="L2736" i="9"/>
  <c r="K2736" i="9"/>
  <c r="J2736" i="9"/>
  <c r="I2736" i="9"/>
  <c r="H2736" i="9"/>
  <c r="P2735" i="9"/>
  <c r="L2735" i="9"/>
  <c r="K2735" i="9"/>
  <c r="J2735" i="9"/>
  <c r="I2735" i="9"/>
  <c r="H2735" i="9"/>
  <c r="P2734" i="9"/>
  <c r="L2734" i="9"/>
  <c r="K2734" i="9"/>
  <c r="J2734" i="9"/>
  <c r="I2734" i="9"/>
  <c r="H2734" i="9"/>
  <c r="P2733" i="9"/>
  <c r="L2733" i="9"/>
  <c r="K2733" i="9"/>
  <c r="J2733" i="9"/>
  <c r="I2733" i="9"/>
  <c r="H2733" i="9"/>
  <c r="P2732" i="9"/>
  <c r="L2732" i="9"/>
  <c r="K2732" i="9"/>
  <c r="J2732" i="9"/>
  <c r="I2732" i="9"/>
  <c r="H2732" i="9"/>
  <c r="P2731" i="9"/>
  <c r="L2731" i="9"/>
  <c r="K2731" i="9"/>
  <c r="J2731" i="9"/>
  <c r="I2731" i="9"/>
  <c r="H2731" i="9"/>
  <c r="P2730" i="9"/>
  <c r="L2730" i="9"/>
  <c r="K2730" i="9"/>
  <c r="J2730" i="9"/>
  <c r="I2730" i="9"/>
  <c r="H2730" i="9"/>
  <c r="P2729" i="9"/>
  <c r="L2729" i="9"/>
  <c r="K2729" i="9"/>
  <c r="J2729" i="9"/>
  <c r="I2729" i="9"/>
  <c r="H2729" i="9"/>
  <c r="P2728" i="9"/>
  <c r="L2728" i="9"/>
  <c r="K2728" i="9"/>
  <c r="J2728" i="9"/>
  <c r="I2728" i="9"/>
  <c r="H2728" i="9"/>
  <c r="P2727" i="9"/>
  <c r="L2727" i="9"/>
  <c r="K2727" i="9"/>
  <c r="J2727" i="9"/>
  <c r="I2727" i="9"/>
  <c r="H2727" i="9"/>
  <c r="P2726" i="9"/>
  <c r="L2726" i="9"/>
  <c r="K2726" i="9"/>
  <c r="J2726" i="9"/>
  <c r="I2726" i="9"/>
  <c r="H2726" i="9"/>
  <c r="P2725" i="9"/>
  <c r="L2725" i="9"/>
  <c r="K2725" i="9"/>
  <c r="J2725" i="9"/>
  <c r="I2725" i="9"/>
  <c r="H2725" i="9"/>
  <c r="P2724" i="9"/>
  <c r="L2724" i="9"/>
  <c r="K2724" i="9"/>
  <c r="J2724" i="9"/>
  <c r="I2724" i="9"/>
  <c r="H2724" i="9"/>
  <c r="P2723" i="9"/>
  <c r="L2723" i="9"/>
  <c r="K2723" i="9"/>
  <c r="J2723" i="9"/>
  <c r="I2723" i="9"/>
  <c r="H2723" i="9"/>
  <c r="P2722" i="9"/>
  <c r="L2722" i="9"/>
  <c r="K2722" i="9"/>
  <c r="J2722" i="9"/>
  <c r="I2722" i="9"/>
  <c r="H2722" i="9"/>
  <c r="P2721" i="9"/>
  <c r="L2721" i="9"/>
  <c r="K2721" i="9"/>
  <c r="J2721" i="9"/>
  <c r="I2721" i="9"/>
  <c r="H2721" i="9"/>
  <c r="P2720" i="9"/>
  <c r="L2720" i="9"/>
  <c r="K2720" i="9"/>
  <c r="J2720" i="9"/>
  <c r="I2720" i="9"/>
  <c r="H2720" i="9"/>
  <c r="P2719" i="9"/>
  <c r="L2719" i="9"/>
  <c r="K2719" i="9"/>
  <c r="J2719" i="9"/>
  <c r="I2719" i="9"/>
  <c r="H2719" i="9"/>
  <c r="P2718" i="9"/>
  <c r="L2718" i="9"/>
  <c r="K2718" i="9"/>
  <c r="J2718" i="9"/>
  <c r="I2718" i="9"/>
  <c r="H2718" i="9"/>
  <c r="P2717" i="9"/>
  <c r="L2717" i="9"/>
  <c r="K2717" i="9"/>
  <c r="J2717" i="9"/>
  <c r="I2717" i="9"/>
  <c r="H2717" i="9"/>
  <c r="P2716" i="9"/>
  <c r="L2716" i="9"/>
  <c r="K2716" i="9"/>
  <c r="J2716" i="9"/>
  <c r="I2716" i="9"/>
  <c r="H2716" i="9"/>
  <c r="P2715" i="9"/>
  <c r="L2715" i="9"/>
  <c r="K2715" i="9"/>
  <c r="J2715" i="9"/>
  <c r="I2715" i="9"/>
  <c r="H2715" i="9"/>
  <c r="P2714" i="9"/>
  <c r="L2714" i="9"/>
  <c r="K2714" i="9"/>
  <c r="J2714" i="9"/>
  <c r="I2714" i="9"/>
  <c r="H2714" i="9"/>
  <c r="P2713" i="9"/>
  <c r="L2713" i="9"/>
  <c r="K2713" i="9"/>
  <c r="J2713" i="9"/>
  <c r="I2713" i="9"/>
  <c r="H2713" i="9"/>
  <c r="P2712" i="9"/>
  <c r="L2712" i="9"/>
  <c r="K2712" i="9"/>
  <c r="J2712" i="9"/>
  <c r="I2712" i="9"/>
  <c r="H2712" i="9"/>
  <c r="P2711" i="9"/>
  <c r="L2711" i="9"/>
  <c r="K2711" i="9"/>
  <c r="J2711" i="9"/>
  <c r="I2711" i="9"/>
  <c r="H2711" i="9"/>
  <c r="P2710" i="9"/>
  <c r="L2710" i="9"/>
  <c r="K2710" i="9"/>
  <c r="J2710" i="9"/>
  <c r="I2710" i="9"/>
  <c r="H2710" i="9"/>
  <c r="P2709" i="9"/>
  <c r="L2709" i="9"/>
  <c r="K2709" i="9"/>
  <c r="J2709" i="9"/>
  <c r="I2709" i="9"/>
  <c r="H2709" i="9"/>
  <c r="P2708" i="9"/>
  <c r="L2708" i="9"/>
  <c r="K2708" i="9"/>
  <c r="J2708" i="9"/>
  <c r="I2708" i="9"/>
  <c r="H2708" i="9"/>
  <c r="P2707" i="9"/>
  <c r="L2707" i="9"/>
  <c r="K2707" i="9"/>
  <c r="J2707" i="9"/>
  <c r="I2707" i="9"/>
  <c r="H2707" i="9"/>
  <c r="P2706" i="9"/>
  <c r="L2706" i="9"/>
  <c r="K2706" i="9"/>
  <c r="J2706" i="9"/>
  <c r="I2706" i="9"/>
  <c r="H2706" i="9"/>
  <c r="P2705" i="9"/>
  <c r="L2705" i="9"/>
  <c r="K2705" i="9"/>
  <c r="J2705" i="9"/>
  <c r="I2705" i="9"/>
  <c r="H2705" i="9"/>
  <c r="P2704" i="9"/>
  <c r="L2704" i="9"/>
  <c r="K2704" i="9"/>
  <c r="J2704" i="9"/>
  <c r="I2704" i="9"/>
  <c r="H2704" i="9"/>
  <c r="P2703" i="9"/>
  <c r="L2703" i="9"/>
  <c r="K2703" i="9"/>
  <c r="J2703" i="9"/>
  <c r="I2703" i="9"/>
  <c r="H2703" i="9"/>
  <c r="P2702" i="9"/>
  <c r="L2702" i="9"/>
  <c r="K2702" i="9"/>
  <c r="J2702" i="9"/>
  <c r="I2702" i="9"/>
  <c r="H2702" i="9"/>
  <c r="P2701" i="9"/>
  <c r="L2701" i="9"/>
  <c r="K2701" i="9"/>
  <c r="J2701" i="9"/>
  <c r="I2701" i="9"/>
  <c r="H2701" i="9"/>
  <c r="P2700" i="9"/>
  <c r="L2700" i="9"/>
  <c r="K2700" i="9"/>
  <c r="J2700" i="9"/>
  <c r="I2700" i="9"/>
  <c r="H2700" i="9"/>
  <c r="P2699" i="9"/>
  <c r="L2699" i="9"/>
  <c r="K2699" i="9"/>
  <c r="J2699" i="9"/>
  <c r="I2699" i="9"/>
  <c r="H2699" i="9"/>
  <c r="P2698" i="9"/>
  <c r="L2698" i="9"/>
  <c r="K2698" i="9"/>
  <c r="J2698" i="9"/>
  <c r="I2698" i="9"/>
  <c r="H2698" i="9"/>
  <c r="P2697" i="9"/>
  <c r="L2697" i="9"/>
  <c r="K2697" i="9"/>
  <c r="J2697" i="9"/>
  <c r="I2697" i="9"/>
  <c r="H2697" i="9"/>
  <c r="P2696" i="9"/>
  <c r="L2696" i="9"/>
  <c r="K2696" i="9"/>
  <c r="J2696" i="9"/>
  <c r="I2696" i="9"/>
  <c r="H2696" i="9"/>
  <c r="P2695" i="9"/>
  <c r="L2695" i="9"/>
  <c r="K2695" i="9"/>
  <c r="J2695" i="9"/>
  <c r="I2695" i="9"/>
  <c r="H2695" i="9"/>
  <c r="P2694" i="9"/>
  <c r="L2694" i="9"/>
  <c r="K2694" i="9"/>
  <c r="J2694" i="9"/>
  <c r="I2694" i="9"/>
  <c r="H2694" i="9"/>
  <c r="P2693" i="9"/>
  <c r="L2693" i="9"/>
  <c r="K2693" i="9"/>
  <c r="J2693" i="9"/>
  <c r="I2693" i="9"/>
  <c r="H2693" i="9"/>
  <c r="P2692" i="9"/>
  <c r="L2692" i="9"/>
  <c r="K2692" i="9"/>
  <c r="J2692" i="9"/>
  <c r="I2692" i="9"/>
  <c r="H2692" i="9"/>
  <c r="P2691" i="9"/>
  <c r="L2691" i="9"/>
  <c r="K2691" i="9"/>
  <c r="J2691" i="9"/>
  <c r="I2691" i="9"/>
  <c r="H2691" i="9"/>
  <c r="P2690" i="9"/>
  <c r="L2690" i="9"/>
  <c r="K2690" i="9"/>
  <c r="J2690" i="9"/>
  <c r="I2690" i="9"/>
  <c r="H2690" i="9"/>
  <c r="P2689" i="9"/>
  <c r="L2689" i="9"/>
  <c r="K2689" i="9"/>
  <c r="J2689" i="9"/>
  <c r="I2689" i="9"/>
  <c r="H2689" i="9"/>
  <c r="P2688" i="9"/>
  <c r="L2688" i="9"/>
  <c r="K2688" i="9"/>
  <c r="J2688" i="9"/>
  <c r="I2688" i="9"/>
  <c r="H2688" i="9"/>
  <c r="P2687" i="9"/>
  <c r="L2687" i="9"/>
  <c r="K2687" i="9"/>
  <c r="J2687" i="9"/>
  <c r="I2687" i="9"/>
  <c r="H2687" i="9"/>
  <c r="P2686" i="9"/>
  <c r="L2686" i="9"/>
  <c r="K2686" i="9"/>
  <c r="J2686" i="9"/>
  <c r="I2686" i="9"/>
  <c r="H2686" i="9"/>
  <c r="P2685" i="9"/>
  <c r="L2685" i="9"/>
  <c r="K2685" i="9"/>
  <c r="J2685" i="9"/>
  <c r="I2685" i="9"/>
  <c r="H2685" i="9"/>
  <c r="P2684" i="9"/>
  <c r="L2684" i="9"/>
  <c r="K2684" i="9"/>
  <c r="J2684" i="9"/>
  <c r="I2684" i="9"/>
  <c r="H2684" i="9"/>
  <c r="P2683" i="9"/>
  <c r="L2683" i="9"/>
  <c r="K2683" i="9"/>
  <c r="J2683" i="9"/>
  <c r="I2683" i="9"/>
  <c r="H2683" i="9"/>
  <c r="P2682" i="9"/>
  <c r="L2682" i="9"/>
  <c r="K2682" i="9"/>
  <c r="J2682" i="9"/>
  <c r="I2682" i="9"/>
  <c r="H2682" i="9"/>
  <c r="P2681" i="9"/>
  <c r="L2681" i="9"/>
  <c r="K2681" i="9"/>
  <c r="J2681" i="9"/>
  <c r="I2681" i="9"/>
  <c r="H2681" i="9"/>
  <c r="P2680" i="9"/>
  <c r="L2680" i="9"/>
  <c r="K2680" i="9"/>
  <c r="J2680" i="9"/>
  <c r="I2680" i="9"/>
  <c r="H2680" i="9"/>
  <c r="P2679" i="9"/>
  <c r="L2679" i="9"/>
  <c r="K2679" i="9"/>
  <c r="J2679" i="9"/>
  <c r="I2679" i="9"/>
  <c r="H2679" i="9"/>
  <c r="P2678" i="9"/>
  <c r="L2678" i="9"/>
  <c r="K2678" i="9"/>
  <c r="J2678" i="9"/>
  <c r="I2678" i="9"/>
  <c r="H2678" i="9"/>
  <c r="P2677" i="9"/>
  <c r="L2677" i="9"/>
  <c r="K2677" i="9"/>
  <c r="J2677" i="9"/>
  <c r="I2677" i="9"/>
  <c r="H2677" i="9"/>
  <c r="P2676" i="9"/>
  <c r="L2676" i="9"/>
  <c r="K2676" i="9"/>
  <c r="J2676" i="9"/>
  <c r="I2676" i="9"/>
  <c r="H2676" i="9"/>
  <c r="P2675" i="9"/>
  <c r="L2675" i="9"/>
  <c r="K2675" i="9"/>
  <c r="J2675" i="9"/>
  <c r="I2675" i="9"/>
  <c r="H2675" i="9"/>
  <c r="P2674" i="9"/>
  <c r="L2674" i="9"/>
  <c r="K2674" i="9"/>
  <c r="J2674" i="9"/>
  <c r="I2674" i="9"/>
  <c r="H2674" i="9"/>
  <c r="P2673" i="9"/>
  <c r="L2673" i="9"/>
  <c r="K2673" i="9"/>
  <c r="J2673" i="9"/>
  <c r="I2673" i="9"/>
  <c r="H2673" i="9"/>
  <c r="P2672" i="9"/>
  <c r="L2672" i="9"/>
  <c r="K2672" i="9"/>
  <c r="J2672" i="9"/>
  <c r="I2672" i="9"/>
  <c r="H2672" i="9"/>
  <c r="P2671" i="9"/>
  <c r="L2671" i="9"/>
  <c r="K2671" i="9"/>
  <c r="J2671" i="9"/>
  <c r="I2671" i="9"/>
  <c r="H2671" i="9"/>
  <c r="P2670" i="9"/>
  <c r="L2670" i="9"/>
  <c r="K2670" i="9"/>
  <c r="J2670" i="9"/>
  <c r="I2670" i="9"/>
  <c r="H2670" i="9"/>
  <c r="P2669" i="9"/>
  <c r="L2669" i="9"/>
  <c r="K2669" i="9"/>
  <c r="J2669" i="9"/>
  <c r="I2669" i="9"/>
  <c r="H2669" i="9"/>
  <c r="P2668" i="9"/>
  <c r="L2668" i="9"/>
  <c r="K2668" i="9"/>
  <c r="J2668" i="9"/>
  <c r="I2668" i="9"/>
  <c r="H2668" i="9"/>
  <c r="P2667" i="9"/>
  <c r="L2667" i="9"/>
  <c r="K2667" i="9"/>
  <c r="J2667" i="9"/>
  <c r="I2667" i="9"/>
  <c r="H2667" i="9"/>
  <c r="P2666" i="9"/>
  <c r="L2666" i="9"/>
  <c r="K2666" i="9"/>
  <c r="J2666" i="9"/>
  <c r="I2666" i="9"/>
  <c r="H2666" i="9"/>
  <c r="P2665" i="9"/>
  <c r="L2665" i="9"/>
  <c r="K2665" i="9"/>
  <c r="J2665" i="9"/>
  <c r="I2665" i="9"/>
  <c r="H2665" i="9"/>
  <c r="P2664" i="9"/>
  <c r="L2664" i="9"/>
  <c r="K2664" i="9"/>
  <c r="J2664" i="9"/>
  <c r="I2664" i="9"/>
  <c r="H2664" i="9"/>
  <c r="P2663" i="9"/>
  <c r="L2663" i="9"/>
  <c r="K2663" i="9"/>
  <c r="J2663" i="9"/>
  <c r="I2663" i="9"/>
  <c r="H2663" i="9"/>
  <c r="P2662" i="9"/>
  <c r="L2662" i="9"/>
  <c r="K2662" i="9"/>
  <c r="J2662" i="9"/>
  <c r="I2662" i="9"/>
  <c r="H2662" i="9"/>
  <c r="P2661" i="9"/>
  <c r="L2661" i="9"/>
  <c r="K2661" i="9"/>
  <c r="J2661" i="9"/>
  <c r="I2661" i="9"/>
  <c r="H2661" i="9"/>
  <c r="P2660" i="9"/>
  <c r="L2660" i="9"/>
  <c r="K2660" i="9"/>
  <c r="J2660" i="9"/>
  <c r="I2660" i="9"/>
  <c r="H2660" i="9"/>
  <c r="P2659" i="9"/>
  <c r="L2659" i="9"/>
  <c r="K2659" i="9"/>
  <c r="J2659" i="9"/>
  <c r="I2659" i="9"/>
  <c r="H2659" i="9"/>
  <c r="P2658" i="9"/>
  <c r="L2658" i="9"/>
  <c r="K2658" i="9"/>
  <c r="J2658" i="9"/>
  <c r="I2658" i="9"/>
  <c r="H2658" i="9"/>
  <c r="P2657" i="9"/>
  <c r="L2657" i="9"/>
  <c r="K2657" i="9"/>
  <c r="J2657" i="9"/>
  <c r="I2657" i="9"/>
  <c r="H2657" i="9"/>
  <c r="P2656" i="9"/>
  <c r="L2656" i="9"/>
  <c r="K2656" i="9"/>
  <c r="J2656" i="9"/>
  <c r="I2656" i="9"/>
  <c r="H2656" i="9"/>
  <c r="P2655" i="9"/>
  <c r="L2655" i="9"/>
  <c r="K2655" i="9"/>
  <c r="J2655" i="9"/>
  <c r="I2655" i="9"/>
  <c r="H2655" i="9"/>
  <c r="P2654" i="9"/>
  <c r="L2654" i="9"/>
  <c r="K2654" i="9"/>
  <c r="J2654" i="9"/>
  <c r="I2654" i="9"/>
  <c r="H2654" i="9"/>
  <c r="P2653" i="9"/>
  <c r="L2653" i="9"/>
  <c r="K2653" i="9"/>
  <c r="J2653" i="9"/>
  <c r="I2653" i="9"/>
  <c r="H2653" i="9"/>
  <c r="P2652" i="9"/>
  <c r="L2652" i="9"/>
  <c r="K2652" i="9"/>
  <c r="J2652" i="9"/>
  <c r="I2652" i="9"/>
  <c r="H2652" i="9"/>
  <c r="P2651" i="9"/>
  <c r="L2651" i="9"/>
  <c r="K2651" i="9"/>
  <c r="J2651" i="9"/>
  <c r="I2651" i="9"/>
  <c r="H2651" i="9"/>
  <c r="P2650" i="9"/>
  <c r="L2650" i="9"/>
  <c r="K2650" i="9"/>
  <c r="J2650" i="9"/>
  <c r="I2650" i="9"/>
  <c r="H2650" i="9"/>
  <c r="P2649" i="9"/>
  <c r="L2649" i="9"/>
  <c r="K2649" i="9"/>
  <c r="J2649" i="9"/>
  <c r="I2649" i="9"/>
  <c r="H2649" i="9"/>
  <c r="P2648" i="9"/>
  <c r="L2648" i="9"/>
  <c r="K2648" i="9"/>
  <c r="J2648" i="9"/>
  <c r="I2648" i="9"/>
  <c r="H2648" i="9"/>
  <c r="P2647" i="9"/>
  <c r="L2647" i="9"/>
  <c r="K2647" i="9"/>
  <c r="J2647" i="9"/>
  <c r="I2647" i="9"/>
  <c r="H2647" i="9"/>
  <c r="P2646" i="9"/>
  <c r="L2646" i="9"/>
  <c r="K2646" i="9"/>
  <c r="J2646" i="9"/>
  <c r="I2646" i="9"/>
  <c r="H2646" i="9"/>
  <c r="P2645" i="9"/>
  <c r="L2645" i="9"/>
  <c r="K2645" i="9"/>
  <c r="J2645" i="9"/>
  <c r="I2645" i="9"/>
  <c r="H2645" i="9"/>
  <c r="P2644" i="9"/>
  <c r="L2644" i="9"/>
  <c r="K2644" i="9"/>
  <c r="J2644" i="9"/>
  <c r="I2644" i="9"/>
  <c r="H2644" i="9"/>
  <c r="P2643" i="9"/>
  <c r="L2643" i="9"/>
  <c r="K2643" i="9"/>
  <c r="J2643" i="9"/>
  <c r="I2643" i="9"/>
  <c r="H2643" i="9"/>
  <c r="P2642" i="9"/>
  <c r="L2642" i="9"/>
  <c r="K2642" i="9"/>
  <c r="J2642" i="9"/>
  <c r="I2642" i="9"/>
  <c r="H2642" i="9"/>
  <c r="P2641" i="9"/>
  <c r="L2641" i="9"/>
  <c r="K2641" i="9"/>
  <c r="J2641" i="9"/>
  <c r="I2641" i="9"/>
  <c r="H2641" i="9"/>
  <c r="P2640" i="9"/>
  <c r="L2640" i="9"/>
  <c r="K2640" i="9"/>
  <c r="J2640" i="9"/>
  <c r="I2640" i="9"/>
  <c r="H2640" i="9"/>
  <c r="P2639" i="9"/>
  <c r="L2639" i="9"/>
  <c r="K2639" i="9"/>
  <c r="J2639" i="9"/>
  <c r="I2639" i="9"/>
  <c r="H2639" i="9"/>
  <c r="P2638" i="9"/>
  <c r="L2638" i="9"/>
  <c r="K2638" i="9"/>
  <c r="J2638" i="9"/>
  <c r="I2638" i="9"/>
  <c r="H2638" i="9"/>
  <c r="P2637" i="9"/>
  <c r="L2637" i="9"/>
  <c r="K2637" i="9"/>
  <c r="J2637" i="9"/>
  <c r="I2637" i="9"/>
  <c r="H2637" i="9"/>
  <c r="P2636" i="9"/>
  <c r="L2636" i="9"/>
  <c r="K2636" i="9"/>
  <c r="J2636" i="9"/>
  <c r="I2636" i="9"/>
  <c r="H2636" i="9"/>
  <c r="P2635" i="9"/>
  <c r="L2635" i="9"/>
  <c r="K2635" i="9"/>
  <c r="J2635" i="9"/>
  <c r="I2635" i="9"/>
  <c r="H2635" i="9"/>
  <c r="P2634" i="9"/>
  <c r="L2634" i="9"/>
  <c r="K2634" i="9"/>
  <c r="J2634" i="9"/>
  <c r="I2634" i="9"/>
  <c r="H2634" i="9"/>
  <c r="P2633" i="9"/>
  <c r="L2633" i="9"/>
  <c r="K2633" i="9"/>
  <c r="J2633" i="9"/>
  <c r="I2633" i="9"/>
  <c r="H2633" i="9"/>
  <c r="P2632" i="9"/>
  <c r="L2632" i="9"/>
  <c r="K2632" i="9"/>
  <c r="J2632" i="9"/>
  <c r="I2632" i="9"/>
  <c r="H2632" i="9"/>
  <c r="P2631" i="9"/>
  <c r="L2631" i="9"/>
  <c r="K2631" i="9"/>
  <c r="J2631" i="9"/>
  <c r="I2631" i="9"/>
  <c r="H2631" i="9"/>
  <c r="P2630" i="9"/>
  <c r="L2630" i="9"/>
  <c r="K2630" i="9"/>
  <c r="J2630" i="9"/>
  <c r="I2630" i="9"/>
  <c r="H2630" i="9"/>
  <c r="P2629" i="9"/>
  <c r="L2629" i="9"/>
  <c r="K2629" i="9"/>
  <c r="J2629" i="9"/>
  <c r="I2629" i="9"/>
  <c r="H2629" i="9"/>
  <c r="P2628" i="9"/>
  <c r="L2628" i="9"/>
  <c r="K2628" i="9"/>
  <c r="J2628" i="9"/>
  <c r="I2628" i="9"/>
  <c r="H2628" i="9"/>
  <c r="P2627" i="9"/>
  <c r="L2627" i="9"/>
  <c r="K2627" i="9"/>
  <c r="J2627" i="9"/>
  <c r="I2627" i="9"/>
  <c r="H2627" i="9"/>
  <c r="P2626" i="9"/>
  <c r="L2626" i="9"/>
  <c r="K2626" i="9"/>
  <c r="J2626" i="9"/>
  <c r="I2626" i="9"/>
  <c r="H2626" i="9"/>
  <c r="P2625" i="9"/>
  <c r="L2625" i="9"/>
  <c r="K2625" i="9"/>
  <c r="J2625" i="9"/>
  <c r="I2625" i="9"/>
  <c r="H2625" i="9"/>
  <c r="P2624" i="9"/>
  <c r="L2624" i="9"/>
  <c r="K2624" i="9"/>
  <c r="J2624" i="9"/>
  <c r="I2624" i="9"/>
  <c r="H2624" i="9"/>
  <c r="P2623" i="9"/>
  <c r="L2623" i="9"/>
  <c r="K2623" i="9"/>
  <c r="J2623" i="9"/>
  <c r="I2623" i="9"/>
  <c r="H2623" i="9"/>
  <c r="P2622" i="9"/>
  <c r="L2622" i="9"/>
  <c r="K2622" i="9"/>
  <c r="J2622" i="9"/>
  <c r="I2622" i="9"/>
  <c r="H2622" i="9"/>
  <c r="P2621" i="9"/>
  <c r="L2621" i="9"/>
  <c r="K2621" i="9"/>
  <c r="J2621" i="9"/>
  <c r="I2621" i="9"/>
  <c r="H2621" i="9"/>
  <c r="P2620" i="9"/>
  <c r="L2620" i="9"/>
  <c r="K2620" i="9"/>
  <c r="J2620" i="9"/>
  <c r="I2620" i="9"/>
  <c r="H2620" i="9"/>
  <c r="P2619" i="9"/>
  <c r="L2619" i="9"/>
  <c r="K2619" i="9"/>
  <c r="J2619" i="9"/>
  <c r="I2619" i="9"/>
  <c r="H2619" i="9"/>
  <c r="P2618" i="9"/>
  <c r="L2618" i="9"/>
  <c r="K2618" i="9"/>
  <c r="J2618" i="9"/>
  <c r="I2618" i="9"/>
  <c r="H2618" i="9"/>
  <c r="P2617" i="9"/>
  <c r="L2617" i="9"/>
  <c r="K2617" i="9"/>
  <c r="J2617" i="9"/>
  <c r="I2617" i="9"/>
  <c r="H2617" i="9"/>
  <c r="P2616" i="9"/>
  <c r="L2616" i="9"/>
  <c r="K2616" i="9"/>
  <c r="J2616" i="9"/>
  <c r="I2616" i="9"/>
  <c r="H2616" i="9"/>
  <c r="P2615" i="9"/>
  <c r="L2615" i="9"/>
  <c r="K2615" i="9"/>
  <c r="J2615" i="9"/>
  <c r="I2615" i="9"/>
  <c r="H2615" i="9"/>
  <c r="P2614" i="9"/>
  <c r="L2614" i="9"/>
  <c r="K2614" i="9"/>
  <c r="J2614" i="9"/>
  <c r="I2614" i="9"/>
  <c r="H2614" i="9"/>
  <c r="P2613" i="9"/>
  <c r="L2613" i="9"/>
  <c r="K2613" i="9"/>
  <c r="J2613" i="9"/>
  <c r="I2613" i="9"/>
  <c r="H2613" i="9"/>
  <c r="P2612" i="9"/>
  <c r="L2612" i="9"/>
  <c r="K2612" i="9"/>
  <c r="J2612" i="9"/>
  <c r="I2612" i="9"/>
  <c r="H2612" i="9"/>
  <c r="P2611" i="9"/>
  <c r="L2611" i="9"/>
  <c r="K2611" i="9"/>
  <c r="J2611" i="9"/>
  <c r="I2611" i="9"/>
  <c r="H2611" i="9"/>
  <c r="P2610" i="9"/>
  <c r="L2610" i="9"/>
  <c r="K2610" i="9"/>
  <c r="J2610" i="9"/>
  <c r="I2610" i="9"/>
  <c r="H2610" i="9"/>
  <c r="P2609" i="9"/>
  <c r="L2609" i="9"/>
  <c r="K2609" i="9"/>
  <c r="J2609" i="9"/>
  <c r="I2609" i="9"/>
  <c r="H2609" i="9"/>
  <c r="P2608" i="9"/>
  <c r="L2608" i="9"/>
  <c r="K2608" i="9"/>
  <c r="J2608" i="9"/>
  <c r="I2608" i="9"/>
  <c r="H2608" i="9"/>
  <c r="P2607" i="9"/>
  <c r="L2607" i="9"/>
  <c r="K2607" i="9"/>
  <c r="J2607" i="9"/>
  <c r="I2607" i="9"/>
  <c r="H2607" i="9"/>
  <c r="P2606" i="9"/>
  <c r="L2606" i="9"/>
  <c r="K2606" i="9"/>
  <c r="J2606" i="9"/>
  <c r="I2606" i="9"/>
  <c r="H2606" i="9"/>
  <c r="P2605" i="9"/>
  <c r="L2605" i="9"/>
  <c r="K2605" i="9"/>
  <c r="J2605" i="9"/>
  <c r="I2605" i="9"/>
  <c r="H2605" i="9"/>
  <c r="P2604" i="9"/>
  <c r="L2604" i="9"/>
  <c r="K2604" i="9"/>
  <c r="J2604" i="9"/>
  <c r="I2604" i="9"/>
  <c r="H2604" i="9"/>
  <c r="P2603" i="9"/>
  <c r="L2603" i="9"/>
  <c r="K2603" i="9"/>
  <c r="J2603" i="9"/>
  <c r="I2603" i="9"/>
  <c r="H2603" i="9"/>
  <c r="P2602" i="9"/>
  <c r="L2602" i="9"/>
  <c r="K2602" i="9"/>
  <c r="J2602" i="9"/>
  <c r="I2602" i="9"/>
  <c r="H2602" i="9"/>
  <c r="P2601" i="9"/>
  <c r="L2601" i="9"/>
  <c r="K2601" i="9"/>
  <c r="J2601" i="9"/>
  <c r="I2601" i="9"/>
  <c r="H2601" i="9"/>
  <c r="P2600" i="9"/>
  <c r="L2600" i="9"/>
  <c r="K2600" i="9"/>
  <c r="J2600" i="9"/>
  <c r="I2600" i="9"/>
  <c r="H2600" i="9"/>
  <c r="P2599" i="9"/>
  <c r="L2599" i="9"/>
  <c r="K2599" i="9"/>
  <c r="J2599" i="9"/>
  <c r="I2599" i="9"/>
  <c r="H2599" i="9"/>
  <c r="P2598" i="9"/>
  <c r="L2598" i="9"/>
  <c r="K2598" i="9"/>
  <c r="J2598" i="9"/>
  <c r="I2598" i="9"/>
  <c r="H2598" i="9"/>
  <c r="P2597" i="9"/>
  <c r="L2597" i="9"/>
  <c r="K2597" i="9"/>
  <c r="J2597" i="9"/>
  <c r="I2597" i="9"/>
  <c r="H2597" i="9"/>
  <c r="P2596" i="9"/>
  <c r="L2596" i="9"/>
  <c r="K2596" i="9"/>
  <c r="J2596" i="9"/>
  <c r="I2596" i="9"/>
  <c r="H2596" i="9"/>
  <c r="P2595" i="9"/>
  <c r="L2595" i="9"/>
  <c r="K2595" i="9"/>
  <c r="J2595" i="9"/>
  <c r="I2595" i="9"/>
  <c r="H2595" i="9"/>
  <c r="P2594" i="9"/>
  <c r="L2594" i="9"/>
  <c r="K2594" i="9"/>
  <c r="J2594" i="9"/>
  <c r="I2594" i="9"/>
  <c r="H2594" i="9"/>
  <c r="P2593" i="9"/>
  <c r="L2593" i="9"/>
  <c r="K2593" i="9"/>
  <c r="J2593" i="9"/>
  <c r="I2593" i="9"/>
  <c r="H2593" i="9"/>
  <c r="P2592" i="9"/>
  <c r="L2592" i="9"/>
  <c r="K2592" i="9"/>
  <c r="J2592" i="9"/>
  <c r="I2592" i="9"/>
  <c r="H2592" i="9"/>
  <c r="P2591" i="9"/>
  <c r="L2591" i="9"/>
  <c r="K2591" i="9"/>
  <c r="J2591" i="9"/>
  <c r="I2591" i="9"/>
  <c r="H2591" i="9"/>
  <c r="P2590" i="9"/>
  <c r="L2590" i="9"/>
  <c r="K2590" i="9"/>
  <c r="J2590" i="9"/>
  <c r="I2590" i="9"/>
  <c r="H2590" i="9"/>
  <c r="P2589" i="9"/>
  <c r="L2589" i="9"/>
  <c r="K2589" i="9"/>
  <c r="J2589" i="9"/>
  <c r="I2589" i="9"/>
  <c r="H2589" i="9"/>
  <c r="P2588" i="9"/>
  <c r="L2588" i="9"/>
  <c r="K2588" i="9"/>
  <c r="J2588" i="9"/>
  <c r="I2588" i="9"/>
  <c r="H2588" i="9"/>
  <c r="P2587" i="9"/>
  <c r="L2587" i="9"/>
  <c r="K2587" i="9"/>
  <c r="J2587" i="9"/>
  <c r="I2587" i="9"/>
  <c r="H2587" i="9"/>
  <c r="P2586" i="9"/>
  <c r="L2586" i="9"/>
  <c r="K2586" i="9"/>
  <c r="J2586" i="9"/>
  <c r="I2586" i="9"/>
  <c r="H2586" i="9"/>
  <c r="P2585" i="9"/>
  <c r="L2585" i="9"/>
  <c r="K2585" i="9"/>
  <c r="J2585" i="9"/>
  <c r="I2585" i="9"/>
  <c r="H2585" i="9"/>
  <c r="P2584" i="9"/>
  <c r="L2584" i="9"/>
  <c r="K2584" i="9"/>
  <c r="J2584" i="9"/>
  <c r="I2584" i="9"/>
  <c r="H2584" i="9"/>
  <c r="P2583" i="9"/>
  <c r="L2583" i="9"/>
  <c r="K2583" i="9"/>
  <c r="J2583" i="9"/>
  <c r="I2583" i="9"/>
  <c r="H2583" i="9"/>
  <c r="P2582" i="9"/>
  <c r="L2582" i="9"/>
  <c r="K2582" i="9"/>
  <c r="J2582" i="9"/>
  <c r="I2582" i="9"/>
  <c r="H2582" i="9"/>
  <c r="P2581" i="9"/>
  <c r="L2581" i="9"/>
  <c r="K2581" i="9"/>
  <c r="J2581" i="9"/>
  <c r="I2581" i="9"/>
  <c r="H2581" i="9"/>
  <c r="P2580" i="9"/>
  <c r="L2580" i="9"/>
  <c r="K2580" i="9"/>
  <c r="J2580" i="9"/>
  <c r="I2580" i="9"/>
  <c r="H2580" i="9"/>
  <c r="P2579" i="9"/>
  <c r="L2579" i="9"/>
  <c r="K2579" i="9"/>
  <c r="J2579" i="9"/>
  <c r="I2579" i="9"/>
  <c r="H2579" i="9"/>
  <c r="P2578" i="9"/>
  <c r="L2578" i="9"/>
  <c r="K2578" i="9"/>
  <c r="J2578" i="9"/>
  <c r="I2578" i="9"/>
  <c r="H2578" i="9"/>
  <c r="P2577" i="9"/>
  <c r="L2577" i="9"/>
  <c r="K2577" i="9"/>
  <c r="J2577" i="9"/>
  <c r="I2577" i="9"/>
  <c r="H2577" i="9"/>
  <c r="P2576" i="9"/>
  <c r="L2576" i="9"/>
  <c r="K2576" i="9"/>
  <c r="J2576" i="9"/>
  <c r="I2576" i="9"/>
  <c r="H2576" i="9"/>
  <c r="P2575" i="9"/>
  <c r="L2575" i="9"/>
  <c r="K2575" i="9"/>
  <c r="J2575" i="9"/>
  <c r="I2575" i="9"/>
  <c r="H2575" i="9"/>
  <c r="P2574" i="9"/>
  <c r="L2574" i="9"/>
  <c r="K2574" i="9"/>
  <c r="J2574" i="9"/>
  <c r="I2574" i="9"/>
  <c r="H2574" i="9"/>
  <c r="P2573" i="9"/>
  <c r="L2573" i="9"/>
  <c r="K2573" i="9"/>
  <c r="J2573" i="9"/>
  <c r="I2573" i="9"/>
  <c r="H2573" i="9"/>
  <c r="P2572" i="9"/>
  <c r="L2572" i="9"/>
  <c r="K2572" i="9"/>
  <c r="J2572" i="9"/>
  <c r="I2572" i="9"/>
  <c r="H2572" i="9"/>
  <c r="P2571" i="9"/>
  <c r="L2571" i="9"/>
  <c r="K2571" i="9"/>
  <c r="J2571" i="9"/>
  <c r="I2571" i="9"/>
  <c r="H2571" i="9"/>
  <c r="P2570" i="9"/>
  <c r="L2570" i="9"/>
  <c r="K2570" i="9"/>
  <c r="J2570" i="9"/>
  <c r="I2570" i="9"/>
  <c r="H2570" i="9"/>
  <c r="P2569" i="9"/>
  <c r="L2569" i="9"/>
  <c r="K2569" i="9"/>
  <c r="J2569" i="9"/>
  <c r="I2569" i="9"/>
  <c r="H2569" i="9"/>
  <c r="P2568" i="9"/>
  <c r="L2568" i="9"/>
  <c r="K2568" i="9"/>
  <c r="J2568" i="9"/>
  <c r="I2568" i="9"/>
  <c r="H2568" i="9"/>
  <c r="P2567" i="9"/>
  <c r="L2567" i="9"/>
  <c r="K2567" i="9"/>
  <c r="J2567" i="9"/>
  <c r="I2567" i="9"/>
  <c r="H2567" i="9"/>
  <c r="P2566" i="9"/>
  <c r="L2566" i="9"/>
  <c r="K2566" i="9"/>
  <c r="J2566" i="9"/>
  <c r="I2566" i="9"/>
  <c r="H2566" i="9"/>
  <c r="P2565" i="9"/>
  <c r="L2565" i="9"/>
  <c r="K2565" i="9"/>
  <c r="J2565" i="9"/>
  <c r="I2565" i="9"/>
  <c r="H2565" i="9"/>
  <c r="P2564" i="9"/>
  <c r="L2564" i="9"/>
  <c r="K2564" i="9"/>
  <c r="J2564" i="9"/>
  <c r="I2564" i="9"/>
  <c r="H2564" i="9"/>
  <c r="P2563" i="9"/>
  <c r="L2563" i="9"/>
  <c r="K2563" i="9"/>
  <c r="J2563" i="9"/>
  <c r="I2563" i="9"/>
  <c r="H2563" i="9"/>
  <c r="P2562" i="9"/>
  <c r="L2562" i="9"/>
  <c r="K2562" i="9"/>
  <c r="J2562" i="9"/>
  <c r="I2562" i="9"/>
  <c r="H2562" i="9"/>
  <c r="P2561" i="9"/>
  <c r="L2561" i="9"/>
  <c r="K2561" i="9"/>
  <c r="J2561" i="9"/>
  <c r="I2561" i="9"/>
  <c r="H2561" i="9"/>
  <c r="P2560" i="9"/>
  <c r="L2560" i="9"/>
  <c r="K2560" i="9"/>
  <c r="J2560" i="9"/>
  <c r="I2560" i="9"/>
  <c r="H2560" i="9"/>
  <c r="P2559" i="9"/>
  <c r="L2559" i="9"/>
  <c r="K2559" i="9"/>
  <c r="J2559" i="9"/>
  <c r="I2559" i="9"/>
  <c r="H2559" i="9"/>
  <c r="P2558" i="9"/>
  <c r="L2558" i="9"/>
  <c r="K2558" i="9"/>
  <c r="J2558" i="9"/>
  <c r="I2558" i="9"/>
  <c r="H2558" i="9"/>
  <c r="P2557" i="9"/>
  <c r="L2557" i="9"/>
  <c r="K2557" i="9"/>
  <c r="J2557" i="9"/>
  <c r="I2557" i="9"/>
  <c r="H2557" i="9"/>
  <c r="P2556" i="9"/>
  <c r="L2556" i="9"/>
  <c r="K2556" i="9"/>
  <c r="J2556" i="9"/>
  <c r="I2556" i="9"/>
  <c r="H2556" i="9"/>
  <c r="P2555" i="9"/>
  <c r="L2555" i="9"/>
  <c r="K2555" i="9"/>
  <c r="J2555" i="9"/>
  <c r="I2555" i="9"/>
  <c r="H2555" i="9"/>
  <c r="P2554" i="9"/>
  <c r="L2554" i="9"/>
  <c r="K2554" i="9"/>
  <c r="J2554" i="9"/>
  <c r="I2554" i="9"/>
  <c r="H2554" i="9"/>
  <c r="P2553" i="9"/>
  <c r="L2553" i="9"/>
  <c r="K2553" i="9"/>
  <c r="J2553" i="9"/>
  <c r="I2553" i="9"/>
  <c r="H2553" i="9"/>
  <c r="P2552" i="9"/>
  <c r="L2552" i="9"/>
  <c r="K2552" i="9"/>
  <c r="J2552" i="9"/>
  <c r="I2552" i="9"/>
  <c r="H2552" i="9"/>
  <c r="P2551" i="9"/>
  <c r="L2551" i="9"/>
  <c r="K2551" i="9"/>
  <c r="J2551" i="9"/>
  <c r="I2551" i="9"/>
  <c r="H2551" i="9"/>
  <c r="P2550" i="9"/>
  <c r="L2550" i="9"/>
  <c r="K2550" i="9"/>
  <c r="J2550" i="9"/>
  <c r="I2550" i="9"/>
  <c r="H2550" i="9"/>
  <c r="P2549" i="9"/>
  <c r="L2549" i="9"/>
  <c r="K2549" i="9"/>
  <c r="J2549" i="9"/>
  <c r="I2549" i="9"/>
  <c r="H2549" i="9"/>
  <c r="P2548" i="9"/>
  <c r="L2548" i="9"/>
  <c r="K2548" i="9"/>
  <c r="J2548" i="9"/>
  <c r="I2548" i="9"/>
  <c r="H2548" i="9"/>
  <c r="P2547" i="9"/>
  <c r="L2547" i="9"/>
  <c r="K2547" i="9"/>
  <c r="J2547" i="9"/>
  <c r="I2547" i="9"/>
  <c r="H2547" i="9"/>
  <c r="P2546" i="9"/>
  <c r="L2546" i="9"/>
  <c r="K2546" i="9"/>
  <c r="J2546" i="9"/>
  <c r="I2546" i="9"/>
  <c r="H2546" i="9"/>
  <c r="P2545" i="9"/>
  <c r="L2545" i="9"/>
  <c r="K2545" i="9"/>
  <c r="J2545" i="9"/>
  <c r="I2545" i="9"/>
  <c r="H2545" i="9"/>
  <c r="P2544" i="9"/>
  <c r="L2544" i="9"/>
  <c r="K2544" i="9"/>
  <c r="J2544" i="9"/>
  <c r="I2544" i="9"/>
  <c r="H2544" i="9"/>
  <c r="P2543" i="9"/>
  <c r="L2543" i="9"/>
  <c r="K2543" i="9"/>
  <c r="J2543" i="9"/>
  <c r="I2543" i="9"/>
  <c r="H2543" i="9"/>
  <c r="P2542" i="9"/>
  <c r="L2542" i="9"/>
  <c r="K2542" i="9"/>
  <c r="J2542" i="9"/>
  <c r="I2542" i="9"/>
  <c r="H2542" i="9"/>
  <c r="P2541" i="9"/>
  <c r="L2541" i="9"/>
  <c r="K2541" i="9"/>
  <c r="J2541" i="9"/>
  <c r="I2541" i="9"/>
  <c r="H2541" i="9"/>
  <c r="P2540" i="9"/>
  <c r="L2540" i="9"/>
  <c r="K2540" i="9"/>
  <c r="J2540" i="9"/>
  <c r="I2540" i="9"/>
  <c r="H2540" i="9"/>
  <c r="P2539" i="9"/>
  <c r="L2539" i="9"/>
  <c r="K2539" i="9"/>
  <c r="J2539" i="9"/>
  <c r="I2539" i="9"/>
  <c r="H2539" i="9"/>
  <c r="P2538" i="9"/>
  <c r="L2538" i="9"/>
  <c r="K2538" i="9"/>
  <c r="J2538" i="9"/>
  <c r="I2538" i="9"/>
  <c r="H2538" i="9"/>
  <c r="P2537" i="9"/>
  <c r="L2537" i="9"/>
  <c r="K2537" i="9"/>
  <c r="J2537" i="9"/>
  <c r="I2537" i="9"/>
  <c r="H2537" i="9"/>
  <c r="P2536" i="9"/>
  <c r="L2536" i="9"/>
  <c r="K2536" i="9"/>
  <c r="J2536" i="9"/>
  <c r="I2536" i="9"/>
  <c r="H2536" i="9"/>
  <c r="P2535" i="9"/>
  <c r="L2535" i="9"/>
  <c r="K2535" i="9"/>
  <c r="J2535" i="9"/>
  <c r="I2535" i="9"/>
  <c r="H2535" i="9"/>
  <c r="P2534" i="9"/>
  <c r="L2534" i="9"/>
  <c r="K2534" i="9"/>
  <c r="J2534" i="9"/>
  <c r="I2534" i="9"/>
  <c r="H2534" i="9"/>
  <c r="P2533" i="9"/>
  <c r="L2533" i="9"/>
  <c r="K2533" i="9"/>
  <c r="J2533" i="9"/>
  <c r="I2533" i="9"/>
  <c r="H2533" i="9"/>
  <c r="P2532" i="9"/>
  <c r="L2532" i="9"/>
  <c r="K2532" i="9"/>
  <c r="J2532" i="9"/>
  <c r="I2532" i="9"/>
  <c r="H2532" i="9"/>
  <c r="P2531" i="9"/>
  <c r="L2531" i="9"/>
  <c r="K2531" i="9"/>
  <c r="J2531" i="9"/>
  <c r="I2531" i="9"/>
  <c r="H2531" i="9"/>
  <c r="P2530" i="9"/>
  <c r="L2530" i="9"/>
  <c r="K2530" i="9"/>
  <c r="J2530" i="9"/>
  <c r="I2530" i="9"/>
  <c r="H2530" i="9"/>
  <c r="P2529" i="9"/>
  <c r="L2529" i="9"/>
  <c r="K2529" i="9"/>
  <c r="J2529" i="9"/>
  <c r="I2529" i="9"/>
  <c r="H2529" i="9"/>
  <c r="P2528" i="9"/>
  <c r="L2528" i="9"/>
  <c r="K2528" i="9"/>
  <c r="J2528" i="9"/>
  <c r="I2528" i="9"/>
  <c r="H2528" i="9"/>
  <c r="P2527" i="9"/>
  <c r="L2527" i="9"/>
  <c r="K2527" i="9"/>
  <c r="J2527" i="9"/>
  <c r="I2527" i="9"/>
  <c r="H2527" i="9"/>
  <c r="P2526" i="9"/>
  <c r="L2526" i="9"/>
  <c r="K2526" i="9"/>
  <c r="J2526" i="9"/>
  <c r="I2526" i="9"/>
  <c r="H2526" i="9"/>
  <c r="P2525" i="9"/>
  <c r="L2525" i="9"/>
  <c r="K2525" i="9"/>
  <c r="J2525" i="9"/>
  <c r="I2525" i="9"/>
  <c r="H2525" i="9"/>
  <c r="P2524" i="9"/>
  <c r="L2524" i="9"/>
  <c r="K2524" i="9"/>
  <c r="J2524" i="9"/>
  <c r="I2524" i="9"/>
  <c r="H2524" i="9"/>
  <c r="P2523" i="9"/>
  <c r="L2523" i="9"/>
  <c r="K2523" i="9"/>
  <c r="J2523" i="9"/>
  <c r="I2523" i="9"/>
  <c r="H2523" i="9"/>
  <c r="P2522" i="9"/>
  <c r="L2522" i="9"/>
  <c r="K2522" i="9"/>
  <c r="J2522" i="9"/>
  <c r="I2522" i="9"/>
  <c r="H2522" i="9"/>
  <c r="P2521" i="9"/>
  <c r="L2521" i="9"/>
  <c r="K2521" i="9"/>
  <c r="J2521" i="9"/>
  <c r="I2521" i="9"/>
  <c r="H2521" i="9"/>
  <c r="P2520" i="9"/>
  <c r="L2520" i="9"/>
  <c r="K2520" i="9"/>
  <c r="J2520" i="9"/>
  <c r="I2520" i="9"/>
  <c r="H2520" i="9"/>
  <c r="P2519" i="9"/>
  <c r="L2519" i="9"/>
  <c r="K2519" i="9"/>
  <c r="J2519" i="9"/>
  <c r="I2519" i="9"/>
  <c r="H2519" i="9"/>
  <c r="P2518" i="9"/>
  <c r="L2518" i="9"/>
  <c r="K2518" i="9"/>
  <c r="J2518" i="9"/>
  <c r="I2518" i="9"/>
  <c r="H2518" i="9"/>
  <c r="P2517" i="9"/>
  <c r="L2517" i="9"/>
  <c r="K2517" i="9"/>
  <c r="J2517" i="9"/>
  <c r="I2517" i="9"/>
  <c r="H2517" i="9"/>
  <c r="P2516" i="9"/>
  <c r="L2516" i="9"/>
  <c r="K2516" i="9"/>
  <c r="J2516" i="9"/>
  <c r="I2516" i="9"/>
  <c r="H2516" i="9"/>
  <c r="P2515" i="9"/>
  <c r="L2515" i="9"/>
  <c r="K2515" i="9"/>
  <c r="J2515" i="9"/>
  <c r="I2515" i="9"/>
  <c r="H2515" i="9"/>
  <c r="P2514" i="9"/>
  <c r="L2514" i="9"/>
  <c r="K2514" i="9"/>
  <c r="J2514" i="9"/>
  <c r="I2514" i="9"/>
  <c r="H2514" i="9"/>
  <c r="P2513" i="9"/>
  <c r="L2513" i="9"/>
  <c r="K2513" i="9"/>
  <c r="J2513" i="9"/>
  <c r="I2513" i="9"/>
  <c r="H2513" i="9"/>
  <c r="P2512" i="9"/>
  <c r="L2512" i="9"/>
  <c r="K2512" i="9"/>
  <c r="J2512" i="9"/>
  <c r="I2512" i="9"/>
  <c r="H2512" i="9"/>
  <c r="P2511" i="9"/>
  <c r="L2511" i="9"/>
  <c r="K2511" i="9"/>
  <c r="J2511" i="9"/>
  <c r="I2511" i="9"/>
  <c r="H2511" i="9"/>
  <c r="P2510" i="9"/>
  <c r="L2510" i="9"/>
  <c r="K2510" i="9"/>
  <c r="J2510" i="9"/>
  <c r="I2510" i="9"/>
  <c r="H2510" i="9"/>
  <c r="P2509" i="9"/>
  <c r="L2509" i="9"/>
  <c r="K2509" i="9"/>
  <c r="J2509" i="9"/>
  <c r="I2509" i="9"/>
  <c r="H2509" i="9"/>
  <c r="P2508" i="9"/>
  <c r="L2508" i="9"/>
  <c r="K2508" i="9"/>
  <c r="J2508" i="9"/>
  <c r="I2508" i="9"/>
  <c r="H2508" i="9"/>
  <c r="P2507" i="9"/>
  <c r="L2507" i="9"/>
  <c r="K2507" i="9"/>
  <c r="J2507" i="9"/>
  <c r="I2507" i="9"/>
  <c r="H2507" i="9"/>
  <c r="P2506" i="9"/>
  <c r="L2506" i="9"/>
  <c r="K2506" i="9"/>
  <c r="J2506" i="9"/>
  <c r="I2506" i="9"/>
  <c r="H2506" i="9"/>
  <c r="P2505" i="9"/>
  <c r="L2505" i="9"/>
  <c r="K2505" i="9"/>
  <c r="J2505" i="9"/>
  <c r="I2505" i="9"/>
  <c r="H2505" i="9"/>
  <c r="P2504" i="9"/>
  <c r="L2504" i="9"/>
  <c r="K2504" i="9"/>
  <c r="J2504" i="9"/>
  <c r="I2504" i="9"/>
  <c r="H2504" i="9"/>
  <c r="P2503" i="9"/>
  <c r="L2503" i="9"/>
  <c r="K2503" i="9"/>
  <c r="J2503" i="9"/>
  <c r="I2503" i="9"/>
  <c r="H2503" i="9"/>
  <c r="P2502" i="9"/>
  <c r="L2502" i="9"/>
  <c r="K2502" i="9"/>
  <c r="J2502" i="9"/>
  <c r="I2502" i="9"/>
  <c r="H2502" i="9"/>
  <c r="P2501" i="9"/>
  <c r="L2501" i="9"/>
  <c r="K2501" i="9"/>
  <c r="J2501" i="9"/>
  <c r="I2501" i="9"/>
  <c r="H2501" i="9"/>
  <c r="P2500" i="9"/>
  <c r="L2500" i="9"/>
  <c r="K2500" i="9"/>
  <c r="J2500" i="9"/>
  <c r="I2500" i="9"/>
  <c r="H2500" i="9"/>
  <c r="P2499" i="9"/>
  <c r="L2499" i="9"/>
  <c r="K2499" i="9"/>
  <c r="J2499" i="9"/>
  <c r="I2499" i="9"/>
  <c r="H2499" i="9"/>
  <c r="P2498" i="9"/>
  <c r="L2498" i="9"/>
  <c r="K2498" i="9"/>
  <c r="J2498" i="9"/>
  <c r="I2498" i="9"/>
  <c r="H2498" i="9"/>
  <c r="P2497" i="9"/>
  <c r="L2497" i="9"/>
  <c r="K2497" i="9"/>
  <c r="J2497" i="9"/>
  <c r="I2497" i="9"/>
  <c r="H2497" i="9"/>
  <c r="P2496" i="9"/>
  <c r="L2496" i="9"/>
  <c r="K2496" i="9"/>
  <c r="J2496" i="9"/>
  <c r="I2496" i="9"/>
  <c r="H2496" i="9"/>
  <c r="P2495" i="9"/>
  <c r="L2495" i="9"/>
  <c r="K2495" i="9"/>
  <c r="J2495" i="9"/>
  <c r="I2495" i="9"/>
  <c r="H2495" i="9"/>
  <c r="P2494" i="9"/>
  <c r="L2494" i="9"/>
  <c r="K2494" i="9"/>
  <c r="J2494" i="9"/>
  <c r="I2494" i="9"/>
  <c r="H2494" i="9"/>
  <c r="P2493" i="9"/>
  <c r="L2493" i="9"/>
  <c r="K2493" i="9"/>
  <c r="J2493" i="9"/>
  <c r="I2493" i="9"/>
  <c r="H2493" i="9"/>
  <c r="P2492" i="9"/>
  <c r="L2492" i="9"/>
  <c r="K2492" i="9"/>
  <c r="J2492" i="9"/>
  <c r="I2492" i="9"/>
  <c r="H2492" i="9"/>
  <c r="P2491" i="9"/>
  <c r="L2491" i="9"/>
  <c r="K2491" i="9"/>
  <c r="J2491" i="9"/>
  <c r="I2491" i="9"/>
  <c r="H2491" i="9"/>
  <c r="P2490" i="9"/>
  <c r="L2490" i="9"/>
  <c r="K2490" i="9"/>
  <c r="J2490" i="9"/>
  <c r="I2490" i="9"/>
  <c r="H2490" i="9"/>
  <c r="P2489" i="9"/>
  <c r="L2489" i="9"/>
  <c r="K2489" i="9"/>
  <c r="J2489" i="9"/>
  <c r="I2489" i="9"/>
  <c r="H2489" i="9"/>
  <c r="P2488" i="9"/>
  <c r="L2488" i="9"/>
  <c r="K2488" i="9"/>
  <c r="J2488" i="9"/>
  <c r="I2488" i="9"/>
  <c r="H2488" i="9"/>
  <c r="P2487" i="9"/>
  <c r="L2487" i="9"/>
  <c r="K2487" i="9"/>
  <c r="J2487" i="9"/>
  <c r="I2487" i="9"/>
  <c r="H2487" i="9"/>
  <c r="P2486" i="9"/>
  <c r="L2486" i="9"/>
  <c r="K2486" i="9"/>
  <c r="J2486" i="9"/>
  <c r="I2486" i="9"/>
  <c r="H2486" i="9"/>
  <c r="P2485" i="9"/>
  <c r="L2485" i="9"/>
  <c r="K2485" i="9"/>
  <c r="J2485" i="9"/>
  <c r="I2485" i="9"/>
  <c r="H2485" i="9"/>
  <c r="P2484" i="9"/>
  <c r="L2484" i="9"/>
  <c r="K2484" i="9"/>
  <c r="J2484" i="9"/>
  <c r="I2484" i="9"/>
  <c r="H2484" i="9"/>
  <c r="P2483" i="9"/>
  <c r="L2483" i="9"/>
  <c r="K2483" i="9"/>
  <c r="J2483" i="9"/>
  <c r="I2483" i="9"/>
  <c r="H2483" i="9"/>
  <c r="P2482" i="9"/>
  <c r="L2482" i="9"/>
  <c r="K2482" i="9"/>
  <c r="J2482" i="9"/>
  <c r="I2482" i="9"/>
  <c r="H2482" i="9"/>
  <c r="P2481" i="9"/>
  <c r="L2481" i="9"/>
  <c r="K2481" i="9"/>
  <c r="J2481" i="9"/>
  <c r="I2481" i="9"/>
  <c r="H2481" i="9"/>
  <c r="P2480" i="9"/>
  <c r="L2480" i="9"/>
  <c r="K2480" i="9"/>
  <c r="J2480" i="9"/>
  <c r="I2480" i="9"/>
  <c r="H2480" i="9"/>
  <c r="P2479" i="9"/>
  <c r="L2479" i="9"/>
  <c r="K2479" i="9"/>
  <c r="J2479" i="9"/>
  <c r="I2479" i="9"/>
  <c r="H2479" i="9"/>
  <c r="P2478" i="9"/>
  <c r="L2478" i="9"/>
  <c r="K2478" i="9"/>
  <c r="J2478" i="9"/>
  <c r="I2478" i="9"/>
  <c r="H2478" i="9"/>
  <c r="P2477" i="9"/>
  <c r="L2477" i="9"/>
  <c r="K2477" i="9"/>
  <c r="J2477" i="9"/>
  <c r="I2477" i="9"/>
  <c r="H2477" i="9"/>
  <c r="P2476" i="9"/>
  <c r="L2476" i="9"/>
  <c r="K2476" i="9"/>
  <c r="J2476" i="9"/>
  <c r="I2476" i="9"/>
  <c r="H2476" i="9"/>
  <c r="P2475" i="9"/>
  <c r="L2475" i="9"/>
  <c r="K2475" i="9"/>
  <c r="J2475" i="9"/>
  <c r="I2475" i="9"/>
  <c r="H2475" i="9"/>
  <c r="P2474" i="9"/>
  <c r="L2474" i="9"/>
  <c r="K2474" i="9"/>
  <c r="J2474" i="9"/>
  <c r="I2474" i="9"/>
  <c r="H2474" i="9"/>
  <c r="P2473" i="9"/>
  <c r="L2473" i="9"/>
  <c r="K2473" i="9"/>
  <c r="J2473" i="9"/>
  <c r="I2473" i="9"/>
  <c r="H2473" i="9"/>
  <c r="P2472" i="9"/>
  <c r="L2472" i="9"/>
  <c r="K2472" i="9"/>
  <c r="J2472" i="9"/>
  <c r="I2472" i="9"/>
  <c r="H2472" i="9"/>
  <c r="P2471" i="9"/>
  <c r="L2471" i="9"/>
  <c r="K2471" i="9"/>
  <c r="J2471" i="9"/>
  <c r="I2471" i="9"/>
  <c r="H2471" i="9"/>
  <c r="P2470" i="9"/>
  <c r="L2470" i="9"/>
  <c r="K2470" i="9"/>
  <c r="J2470" i="9"/>
  <c r="I2470" i="9"/>
  <c r="H2470" i="9"/>
  <c r="P2469" i="9"/>
  <c r="L2469" i="9"/>
  <c r="K2469" i="9"/>
  <c r="J2469" i="9"/>
  <c r="I2469" i="9"/>
  <c r="H2469" i="9"/>
  <c r="P2468" i="9"/>
  <c r="L2468" i="9"/>
  <c r="K2468" i="9"/>
  <c r="J2468" i="9"/>
  <c r="I2468" i="9"/>
  <c r="H2468" i="9"/>
  <c r="P2467" i="9"/>
  <c r="L2467" i="9"/>
  <c r="K2467" i="9"/>
  <c r="J2467" i="9"/>
  <c r="I2467" i="9"/>
  <c r="H2467" i="9"/>
  <c r="P2466" i="9"/>
  <c r="L2466" i="9"/>
  <c r="K2466" i="9"/>
  <c r="J2466" i="9"/>
  <c r="I2466" i="9"/>
  <c r="H2466" i="9"/>
  <c r="P2465" i="9"/>
  <c r="L2465" i="9"/>
  <c r="K2465" i="9"/>
  <c r="J2465" i="9"/>
  <c r="I2465" i="9"/>
  <c r="H2465" i="9"/>
  <c r="P2464" i="9"/>
  <c r="L2464" i="9"/>
  <c r="K2464" i="9"/>
  <c r="J2464" i="9"/>
  <c r="I2464" i="9"/>
  <c r="H2464" i="9"/>
  <c r="P2463" i="9"/>
  <c r="L2463" i="9"/>
  <c r="K2463" i="9"/>
  <c r="J2463" i="9"/>
  <c r="I2463" i="9"/>
  <c r="H2463" i="9"/>
  <c r="P2462" i="9"/>
  <c r="L2462" i="9"/>
  <c r="K2462" i="9"/>
  <c r="J2462" i="9"/>
  <c r="I2462" i="9"/>
  <c r="H2462" i="9"/>
  <c r="P2461" i="9"/>
  <c r="L2461" i="9"/>
  <c r="K2461" i="9"/>
  <c r="J2461" i="9"/>
  <c r="I2461" i="9"/>
  <c r="H2461" i="9"/>
  <c r="P2460" i="9"/>
  <c r="L2460" i="9"/>
  <c r="K2460" i="9"/>
  <c r="J2460" i="9"/>
  <c r="I2460" i="9"/>
  <c r="H2460" i="9"/>
  <c r="P2459" i="9"/>
  <c r="L2459" i="9"/>
  <c r="K2459" i="9"/>
  <c r="J2459" i="9"/>
  <c r="I2459" i="9"/>
  <c r="H2459" i="9"/>
  <c r="P2458" i="9"/>
  <c r="L2458" i="9"/>
  <c r="K2458" i="9"/>
  <c r="J2458" i="9"/>
  <c r="I2458" i="9"/>
  <c r="H2458" i="9"/>
  <c r="P2457" i="9"/>
  <c r="L2457" i="9"/>
  <c r="K2457" i="9"/>
  <c r="J2457" i="9"/>
  <c r="I2457" i="9"/>
  <c r="H2457" i="9"/>
  <c r="P2456" i="9"/>
  <c r="L2456" i="9"/>
  <c r="K2456" i="9"/>
  <c r="J2456" i="9"/>
  <c r="I2456" i="9"/>
  <c r="H2456" i="9"/>
  <c r="P2455" i="9"/>
  <c r="L2455" i="9"/>
  <c r="K2455" i="9"/>
  <c r="J2455" i="9"/>
  <c r="I2455" i="9"/>
  <c r="H2455" i="9"/>
  <c r="P2454" i="9"/>
  <c r="L2454" i="9"/>
  <c r="K2454" i="9"/>
  <c r="J2454" i="9"/>
  <c r="I2454" i="9"/>
  <c r="H2454" i="9"/>
  <c r="P2453" i="9"/>
  <c r="L2453" i="9"/>
  <c r="K2453" i="9"/>
  <c r="J2453" i="9"/>
  <c r="I2453" i="9"/>
  <c r="H2453" i="9"/>
  <c r="P2452" i="9"/>
  <c r="L2452" i="9"/>
  <c r="K2452" i="9"/>
  <c r="J2452" i="9"/>
  <c r="I2452" i="9"/>
  <c r="H2452" i="9"/>
  <c r="P2451" i="9"/>
  <c r="L2451" i="9"/>
  <c r="K2451" i="9"/>
  <c r="J2451" i="9"/>
  <c r="I2451" i="9"/>
  <c r="H2451" i="9"/>
  <c r="P2450" i="9"/>
  <c r="L2450" i="9"/>
  <c r="K2450" i="9"/>
  <c r="J2450" i="9"/>
  <c r="I2450" i="9"/>
  <c r="H2450" i="9"/>
  <c r="P2449" i="9"/>
  <c r="L2449" i="9"/>
  <c r="K2449" i="9"/>
  <c r="J2449" i="9"/>
  <c r="I2449" i="9"/>
  <c r="H2449" i="9"/>
  <c r="P2448" i="9"/>
  <c r="L2448" i="9"/>
  <c r="K2448" i="9"/>
  <c r="J2448" i="9"/>
  <c r="I2448" i="9"/>
  <c r="H2448" i="9"/>
  <c r="P2447" i="9"/>
  <c r="L2447" i="9"/>
  <c r="K2447" i="9"/>
  <c r="J2447" i="9"/>
  <c r="I2447" i="9"/>
  <c r="H2447" i="9"/>
  <c r="P2446" i="9"/>
  <c r="L2446" i="9"/>
  <c r="K2446" i="9"/>
  <c r="J2446" i="9"/>
  <c r="I2446" i="9"/>
  <c r="H2446" i="9"/>
  <c r="P2445" i="9"/>
  <c r="L2445" i="9"/>
  <c r="K2445" i="9"/>
  <c r="J2445" i="9"/>
  <c r="I2445" i="9"/>
  <c r="H2445" i="9"/>
  <c r="P2444" i="9"/>
  <c r="L2444" i="9"/>
  <c r="K2444" i="9"/>
  <c r="J2444" i="9"/>
  <c r="I2444" i="9"/>
  <c r="H2444" i="9"/>
  <c r="P2443" i="9"/>
  <c r="L2443" i="9"/>
  <c r="K2443" i="9"/>
  <c r="J2443" i="9"/>
  <c r="I2443" i="9"/>
  <c r="H2443" i="9"/>
  <c r="P2442" i="9"/>
  <c r="L2442" i="9"/>
  <c r="K2442" i="9"/>
  <c r="J2442" i="9"/>
  <c r="I2442" i="9"/>
  <c r="H2442" i="9"/>
  <c r="P2441" i="9"/>
  <c r="L2441" i="9"/>
  <c r="K2441" i="9"/>
  <c r="J2441" i="9"/>
  <c r="I2441" i="9"/>
  <c r="H2441" i="9"/>
  <c r="P2440" i="9"/>
  <c r="L2440" i="9"/>
  <c r="K2440" i="9"/>
  <c r="J2440" i="9"/>
  <c r="I2440" i="9"/>
  <c r="H2440" i="9"/>
  <c r="P2439" i="9"/>
  <c r="L2439" i="9"/>
  <c r="K2439" i="9"/>
  <c r="J2439" i="9"/>
  <c r="I2439" i="9"/>
  <c r="H2439" i="9"/>
  <c r="P2438" i="9"/>
  <c r="L2438" i="9"/>
  <c r="K2438" i="9"/>
  <c r="J2438" i="9"/>
  <c r="I2438" i="9"/>
  <c r="H2438" i="9"/>
  <c r="P2437" i="9"/>
  <c r="L2437" i="9"/>
  <c r="K2437" i="9"/>
  <c r="J2437" i="9"/>
  <c r="I2437" i="9"/>
  <c r="H2437" i="9"/>
  <c r="P2436" i="9"/>
  <c r="L2436" i="9"/>
  <c r="K2436" i="9"/>
  <c r="J2436" i="9"/>
  <c r="I2436" i="9"/>
  <c r="H2436" i="9"/>
  <c r="P2435" i="9"/>
  <c r="L2435" i="9"/>
  <c r="K2435" i="9"/>
  <c r="J2435" i="9"/>
  <c r="I2435" i="9"/>
  <c r="H2435" i="9"/>
  <c r="P2434" i="9"/>
  <c r="L2434" i="9"/>
  <c r="K2434" i="9"/>
  <c r="J2434" i="9"/>
  <c r="I2434" i="9"/>
  <c r="H2434" i="9"/>
  <c r="P2433" i="9"/>
  <c r="L2433" i="9"/>
  <c r="K2433" i="9"/>
  <c r="J2433" i="9"/>
  <c r="I2433" i="9"/>
  <c r="H2433" i="9"/>
  <c r="P2432" i="9"/>
  <c r="L2432" i="9"/>
  <c r="K2432" i="9"/>
  <c r="J2432" i="9"/>
  <c r="I2432" i="9"/>
  <c r="H2432" i="9"/>
  <c r="P2431" i="9"/>
  <c r="L2431" i="9"/>
  <c r="K2431" i="9"/>
  <c r="J2431" i="9"/>
  <c r="I2431" i="9"/>
  <c r="H2431" i="9"/>
  <c r="P2430" i="9"/>
  <c r="L2430" i="9"/>
  <c r="K2430" i="9"/>
  <c r="J2430" i="9"/>
  <c r="I2430" i="9"/>
  <c r="H2430" i="9"/>
  <c r="P2429" i="9"/>
  <c r="L2429" i="9"/>
  <c r="K2429" i="9"/>
  <c r="J2429" i="9"/>
  <c r="I2429" i="9"/>
  <c r="H2429" i="9"/>
  <c r="P2428" i="9"/>
  <c r="L2428" i="9"/>
  <c r="K2428" i="9"/>
  <c r="J2428" i="9"/>
  <c r="I2428" i="9"/>
  <c r="H2428" i="9"/>
  <c r="P2427" i="9"/>
  <c r="L2427" i="9"/>
  <c r="K2427" i="9"/>
  <c r="J2427" i="9"/>
  <c r="I2427" i="9"/>
  <c r="H2427" i="9"/>
  <c r="P2426" i="9"/>
  <c r="L2426" i="9"/>
  <c r="K2426" i="9"/>
  <c r="J2426" i="9"/>
  <c r="I2426" i="9"/>
  <c r="H2426" i="9"/>
  <c r="P2425" i="9"/>
  <c r="L2425" i="9"/>
  <c r="K2425" i="9"/>
  <c r="J2425" i="9"/>
  <c r="I2425" i="9"/>
  <c r="H2425" i="9"/>
  <c r="P2424" i="9"/>
  <c r="L2424" i="9"/>
  <c r="K2424" i="9"/>
  <c r="J2424" i="9"/>
  <c r="I2424" i="9"/>
  <c r="H2424" i="9"/>
  <c r="P2423" i="9"/>
  <c r="L2423" i="9"/>
  <c r="K2423" i="9"/>
  <c r="J2423" i="9"/>
  <c r="I2423" i="9"/>
  <c r="H2423" i="9"/>
  <c r="P2422" i="9"/>
  <c r="L2422" i="9"/>
  <c r="K2422" i="9"/>
  <c r="J2422" i="9"/>
  <c r="I2422" i="9"/>
  <c r="H2422" i="9"/>
  <c r="P2421" i="9"/>
  <c r="L2421" i="9"/>
  <c r="K2421" i="9"/>
  <c r="J2421" i="9"/>
  <c r="I2421" i="9"/>
  <c r="H2421" i="9"/>
  <c r="P2420" i="9"/>
  <c r="L2420" i="9"/>
  <c r="K2420" i="9"/>
  <c r="J2420" i="9"/>
  <c r="I2420" i="9"/>
  <c r="H2420" i="9"/>
  <c r="P2419" i="9"/>
  <c r="L2419" i="9"/>
  <c r="K2419" i="9"/>
  <c r="J2419" i="9"/>
  <c r="I2419" i="9"/>
  <c r="H2419" i="9"/>
  <c r="P2418" i="9"/>
  <c r="L2418" i="9"/>
  <c r="K2418" i="9"/>
  <c r="J2418" i="9"/>
  <c r="I2418" i="9"/>
  <c r="H2418" i="9"/>
  <c r="P2417" i="9"/>
  <c r="L2417" i="9"/>
  <c r="K2417" i="9"/>
  <c r="J2417" i="9"/>
  <c r="I2417" i="9"/>
  <c r="H2417" i="9"/>
  <c r="P2416" i="9"/>
  <c r="L2416" i="9"/>
  <c r="K2416" i="9"/>
  <c r="J2416" i="9"/>
  <c r="I2416" i="9"/>
  <c r="H2416" i="9"/>
  <c r="P2415" i="9"/>
  <c r="L2415" i="9"/>
  <c r="K2415" i="9"/>
  <c r="J2415" i="9"/>
  <c r="I2415" i="9"/>
  <c r="H2415" i="9"/>
  <c r="P2414" i="9"/>
  <c r="L2414" i="9"/>
  <c r="K2414" i="9"/>
  <c r="J2414" i="9"/>
  <c r="I2414" i="9"/>
  <c r="H2414" i="9"/>
  <c r="P2413" i="9"/>
  <c r="L2413" i="9"/>
  <c r="K2413" i="9"/>
  <c r="J2413" i="9"/>
  <c r="I2413" i="9"/>
  <c r="H2413" i="9"/>
  <c r="P2412" i="9"/>
  <c r="L2412" i="9"/>
  <c r="K2412" i="9"/>
  <c r="J2412" i="9"/>
  <c r="I2412" i="9"/>
  <c r="H2412" i="9"/>
  <c r="P2411" i="9"/>
  <c r="L2411" i="9"/>
  <c r="K2411" i="9"/>
  <c r="J2411" i="9"/>
  <c r="I2411" i="9"/>
  <c r="H2411" i="9"/>
  <c r="P2410" i="9"/>
  <c r="L2410" i="9"/>
  <c r="K2410" i="9"/>
  <c r="J2410" i="9"/>
  <c r="I2410" i="9"/>
  <c r="H2410" i="9"/>
  <c r="P2409" i="9"/>
  <c r="L2409" i="9"/>
  <c r="K2409" i="9"/>
  <c r="J2409" i="9"/>
  <c r="I2409" i="9"/>
  <c r="H2409" i="9"/>
  <c r="P2408" i="9"/>
  <c r="L2408" i="9"/>
  <c r="K2408" i="9"/>
  <c r="J2408" i="9"/>
  <c r="I2408" i="9"/>
  <c r="H2408" i="9"/>
  <c r="P2407" i="9"/>
  <c r="L2407" i="9"/>
  <c r="K2407" i="9"/>
  <c r="J2407" i="9"/>
  <c r="I2407" i="9"/>
  <c r="H2407" i="9"/>
  <c r="P2406" i="9"/>
  <c r="L2406" i="9"/>
  <c r="K2406" i="9"/>
  <c r="J2406" i="9"/>
  <c r="I2406" i="9"/>
  <c r="H2406" i="9"/>
  <c r="P2405" i="9"/>
  <c r="L2405" i="9"/>
  <c r="K2405" i="9"/>
  <c r="J2405" i="9"/>
  <c r="I2405" i="9"/>
  <c r="H2405" i="9"/>
  <c r="P2404" i="9"/>
  <c r="L2404" i="9"/>
  <c r="K2404" i="9"/>
  <c r="J2404" i="9"/>
  <c r="I2404" i="9"/>
  <c r="H2404" i="9"/>
  <c r="P2403" i="9"/>
  <c r="L2403" i="9"/>
  <c r="K2403" i="9"/>
  <c r="J2403" i="9"/>
  <c r="I2403" i="9"/>
  <c r="H2403" i="9"/>
  <c r="P2402" i="9"/>
  <c r="L2402" i="9"/>
  <c r="K2402" i="9"/>
  <c r="J2402" i="9"/>
  <c r="I2402" i="9"/>
  <c r="H2402" i="9"/>
  <c r="P2401" i="9"/>
  <c r="L2401" i="9"/>
  <c r="K2401" i="9"/>
  <c r="J2401" i="9"/>
  <c r="I2401" i="9"/>
  <c r="H2401" i="9"/>
  <c r="P2400" i="9"/>
  <c r="L2400" i="9"/>
  <c r="K2400" i="9"/>
  <c r="J2400" i="9"/>
  <c r="I2400" i="9"/>
  <c r="H2400" i="9"/>
  <c r="P2399" i="9"/>
  <c r="L2399" i="9"/>
  <c r="K2399" i="9"/>
  <c r="J2399" i="9"/>
  <c r="I2399" i="9"/>
  <c r="H2399" i="9"/>
  <c r="P2398" i="9"/>
  <c r="L2398" i="9"/>
  <c r="K2398" i="9"/>
  <c r="J2398" i="9"/>
  <c r="I2398" i="9"/>
  <c r="H2398" i="9"/>
  <c r="P2397" i="9"/>
  <c r="L2397" i="9"/>
  <c r="K2397" i="9"/>
  <c r="J2397" i="9"/>
  <c r="I2397" i="9"/>
  <c r="H2397" i="9"/>
  <c r="P2396" i="9"/>
  <c r="L2396" i="9"/>
  <c r="K2396" i="9"/>
  <c r="J2396" i="9"/>
  <c r="I2396" i="9"/>
  <c r="H2396" i="9"/>
  <c r="P2395" i="9"/>
  <c r="L2395" i="9"/>
  <c r="K2395" i="9"/>
  <c r="J2395" i="9"/>
  <c r="I2395" i="9"/>
  <c r="H2395" i="9"/>
  <c r="P2394" i="9"/>
  <c r="L2394" i="9"/>
  <c r="K2394" i="9"/>
  <c r="J2394" i="9"/>
  <c r="I2394" i="9"/>
  <c r="H2394" i="9"/>
  <c r="P2393" i="9"/>
  <c r="L2393" i="9"/>
  <c r="K2393" i="9"/>
  <c r="J2393" i="9"/>
  <c r="I2393" i="9"/>
  <c r="H2393" i="9"/>
  <c r="P2392" i="9"/>
  <c r="L2392" i="9"/>
  <c r="K2392" i="9"/>
  <c r="J2392" i="9"/>
  <c r="I2392" i="9"/>
  <c r="H2392" i="9"/>
  <c r="P2391" i="9"/>
  <c r="L2391" i="9"/>
  <c r="K2391" i="9"/>
  <c r="J2391" i="9"/>
  <c r="I2391" i="9"/>
  <c r="H2391" i="9"/>
  <c r="P2390" i="9"/>
  <c r="L2390" i="9"/>
  <c r="K2390" i="9"/>
  <c r="J2390" i="9"/>
  <c r="I2390" i="9"/>
  <c r="H2390" i="9"/>
  <c r="P2389" i="9"/>
  <c r="L2389" i="9"/>
  <c r="K2389" i="9"/>
  <c r="J2389" i="9"/>
  <c r="I2389" i="9"/>
  <c r="H2389" i="9"/>
  <c r="P2388" i="9"/>
  <c r="L2388" i="9"/>
  <c r="K2388" i="9"/>
  <c r="J2388" i="9"/>
  <c r="I2388" i="9"/>
  <c r="H2388" i="9"/>
  <c r="P2387" i="9"/>
  <c r="L2387" i="9"/>
  <c r="K2387" i="9"/>
  <c r="J2387" i="9"/>
  <c r="I2387" i="9"/>
  <c r="H2387" i="9"/>
  <c r="P2386" i="9"/>
  <c r="L2386" i="9"/>
  <c r="K2386" i="9"/>
  <c r="J2386" i="9"/>
  <c r="I2386" i="9"/>
  <c r="H2386" i="9"/>
  <c r="P2385" i="9"/>
  <c r="L2385" i="9"/>
  <c r="K2385" i="9"/>
  <c r="J2385" i="9"/>
  <c r="I2385" i="9"/>
  <c r="H2385" i="9"/>
  <c r="P2384" i="9"/>
  <c r="L2384" i="9"/>
  <c r="K2384" i="9"/>
  <c r="J2384" i="9"/>
  <c r="I2384" i="9"/>
  <c r="H2384" i="9"/>
  <c r="P2383" i="9"/>
  <c r="L2383" i="9"/>
  <c r="K2383" i="9"/>
  <c r="J2383" i="9"/>
  <c r="I2383" i="9"/>
  <c r="H2383" i="9"/>
  <c r="P2382" i="9"/>
  <c r="L2382" i="9"/>
  <c r="K2382" i="9"/>
  <c r="J2382" i="9"/>
  <c r="I2382" i="9"/>
  <c r="H2382" i="9"/>
  <c r="P2381" i="9"/>
  <c r="L2381" i="9"/>
  <c r="K2381" i="9"/>
  <c r="J2381" i="9"/>
  <c r="I2381" i="9"/>
  <c r="H2381" i="9"/>
  <c r="P2380" i="9"/>
  <c r="L2380" i="9"/>
  <c r="K2380" i="9"/>
  <c r="J2380" i="9"/>
  <c r="I2380" i="9"/>
  <c r="H2380" i="9"/>
  <c r="P2379" i="9"/>
  <c r="L2379" i="9"/>
  <c r="K2379" i="9"/>
  <c r="J2379" i="9"/>
  <c r="I2379" i="9"/>
  <c r="H2379" i="9"/>
  <c r="P2378" i="9"/>
  <c r="L2378" i="9"/>
  <c r="K2378" i="9"/>
  <c r="J2378" i="9"/>
  <c r="I2378" i="9"/>
  <c r="H2378" i="9"/>
  <c r="P2377" i="9"/>
  <c r="L2377" i="9"/>
  <c r="K2377" i="9"/>
  <c r="J2377" i="9"/>
  <c r="I2377" i="9"/>
  <c r="H2377" i="9"/>
  <c r="P2376" i="9"/>
  <c r="L2376" i="9"/>
  <c r="K2376" i="9"/>
  <c r="J2376" i="9"/>
  <c r="I2376" i="9"/>
  <c r="H2376" i="9"/>
  <c r="P2375" i="9"/>
  <c r="L2375" i="9"/>
  <c r="K2375" i="9"/>
  <c r="J2375" i="9"/>
  <c r="I2375" i="9"/>
  <c r="H2375" i="9"/>
  <c r="P2374" i="9"/>
  <c r="L2374" i="9"/>
  <c r="K2374" i="9"/>
  <c r="J2374" i="9"/>
  <c r="I2374" i="9"/>
  <c r="H2374" i="9"/>
  <c r="P2373" i="9"/>
  <c r="L2373" i="9"/>
  <c r="K2373" i="9"/>
  <c r="J2373" i="9"/>
  <c r="I2373" i="9"/>
  <c r="H2373" i="9"/>
  <c r="P2372" i="9"/>
  <c r="L2372" i="9"/>
  <c r="K2372" i="9"/>
  <c r="J2372" i="9"/>
  <c r="I2372" i="9"/>
  <c r="H2372" i="9"/>
  <c r="P2371" i="9"/>
  <c r="L2371" i="9"/>
  <c r="K2371" i="9"/>
  <c r="J2371" i="9"/>
  <c r="I2371" i="9"/>
  <c r="H2371" i="9"/>
  <c r="P2370" i="9"/>
  <c r="L2370" i="9"/>
  <c r="K2370" i="9"/>
  <c r="J2370" i="9"/>
  <c r="I2370" i="9"/>
  <c r="H2370" i="9"/>
  <c r="P2369" i="9"/>
  <c r="L2369" i="9"/>
  <c r="K2369" i="9"/>
  <c r="J2369" i="9"/>
  <c r="I2369" i="9"/>
  <c r="H2369" i="9"/>
  <c r="P2368" i="9"/>
  <c r="L2368" i="9"/>
  <c r="K2368" i="9"/>
  <c r="J2368" i="9"/>
  <c r="I2368" i="9"/>
  <c r="H2368" i="9"/>
  <c r="P2367" i="9"/>
  <c r="L2367" i="9"/>
  <c r="K2367" i="9"/>
  <c r="J2367" i="9"/>
  <c r="I2367" i="9"/>
  <c r="H2367" i="9"/>
  <c r="P2366" i="9"/>
  <c r="L2366" i="9"/>
  <c r="K2366" i="9"/>
  <c r="J2366" i="9"/>
  <c r="I2366" i="9"/>
  <c r="H2366" i="9"/>
  <c r="P2365" i="9"/>
  <c r="L2365" i="9"/>
  <c r="K2365" i="9"/>
  <c r="J2365" i="9"/>
  <c r="I2365" i="9"/>
  <c r="H2365" i="9"/>
  <c r="P2364" i="9"/>
  <c r="L2364" i="9"/>
  <c r="K2364" i="9"/>
  <c r="J2364" i="9"/>
  <c r="I2364" i="9"/>
  <c r="H2364" i="9"/>
  <c r="P2363" i="9"/>
  <c r="L2363" i="9"/>
  <c r="K2363" i="9"/>
  <c r="J2363" i="9"/>
  <c r="I2363" i="9"/>
  <c r="H2363" i="9"/>
  <c r="P2362" i="9"/>
  <c r="L2362" i="9"/>
  <c r="K2362" i="9"/>
  <c r="J2362" i="9"/>
  <c r="I2362" i="9"/>
  <c r="H2362" i="9"/>
  <c r="P2361" i="9"/>
  <c r="L2361" i="9"/>
  <c r="K2361" i="9"/>
  <c r="J2361" i="9"/>
  <c r="I2361" i="9"/>
  <c r="H2361" i="9"/>
  <c r="P2360" i="9"/>
  <c r="L2360" i="9"/>
  <c r="K2360" i="9"/>
  <c r="J2360" i="9"/>
  <c r="I2360" i="9"/>
  <c r="H2360" i="9"/>
  <c r="P2359" i="9"/>
  <c r="L2359" i="9"/>
  <c r="K2359" i="9"/>
  <c r="J2359" i="9"/>
  <c r="I2359" i="9"/>
  <c r="H2359" i="9"/>
  <c r="P2358" i="9"/>
  <c r="L2358" i="9"/>
  <c r="K2358" i="9"/>
  <c r="J2358" i="9"/>
  <c r="I2358" i="9"/>
  <c r="H2358" i="9"/>
  <c r="P2357" i="9"/>
  <c r="L2357" i="9"/>
  <c r="K2357" i="9"/>
  <c r="J2357" i="9"/>
  <c r="I2357" i="9"/>
  <c r="H2357" i="9"/>
  <c r="P2356" i="9"/>
  <c r="L2356" i="9"/>
  <c r="K2356" i="9"/>
  <c r="J2356" i="9"/>
  <c r="I2356" i="9"/>
  <c r="H2356" i="9"/>
  <c r="P2355" i="9"/>
  <c r="L2355" i="9"/>
  <c r="K2355" i="9"/>
  <c r="J2355" i="9"/>
  <c r="I2355" i="9"/>
  <c r="H2355" i="9"/>
  <c r="P2354" i="9"/>
  <c r="L2354" i="9"/>
  <c r="K2354" i="9"/>
  <c r="J2354" i="9"/>
  <c r="I2354" i="9"/>
  <c r="H2354" i="9"/>
  <c r="P2353" i="9"/>
  <c r="L2353" i="9"/>
  <c r="K2353" i="9"/>
  <c r="J2353" i="9"/>
  <c r="I2353" i="9"/>
  <c r="H2353" i="9"/>
  <c r="P2352" i="9"/>
  <c r="L2352" i="9"/>
  <c r="K2352" i="9"/>
  <c r="J2352" i="9"/>
  <c r="I2352" i="9"/>
  <c r="H2352" i="9"/>
  <c r="P2351" i="9"/>
  <c r="L2351" i="9"/>
  <c r="K2351" i="9"/>
  <c r="J2351" i="9"/>
  <c r="I2351" i="9"/>
  <c r="H2351" i="9"/>
  <c r="P2350" i="9"/>
  <c r="L2350" i="9"/>
  <c r="K2350" i="9"/>
  <c r="J2350" i="9"/>
  <c r="I2350" i="9"/>
  <c r="H2350" i="9"/>
  <c r="P2349" i="9"/>
  <c r="L2349" i="9"/>
  <c r="K2349" i="9"/>
  <c r="J2349" i="9"/>
  <c r="I2349" i="9"/>
  <c r="H2349" i="9"/>
  <c r="P2348" i="9"/>
  <c r="L2348" i="9"/>
  <c r="K2348" i="9"/>
  <c r="J2348" i="9"/>
  <c r="I2348" i="9"/>
  <c r="H2348" i="9"/>
  <c r="P2347" i="9"/>
  <c r="L2347" i="9"/>
  <c r="K2347" i="9"/>
  <c r="J2347" i="9"/>
  <c r="I2347" i="9"/>
  <c r="H2347" i="9"/>
  <c r="P2346" i="9"/>
  <c r="L2346" i="9"/>
  <c r="K2346" i="9"/>
  <c r="J2346" i="9"/>
  <c r="I2346" i="9"/>
  <c r="H2346" i="9"/>
  <c r="P2345" i="9"/>
  <c r="L2345" i="9"/>
  <c r="K2345" i="9"/>
  <c r="J2345" i="9"/>
  <c r="I2345" i="9"/>
  <c r="H2345" i="9"/>
  <c r="P2344" i="9"/>
  <c r="L2344" i="9"/>
  <c r="K2344" i="9"/>
  <c r="J2344" i="9"/>
  <c r="I2344" i="9"/>
  <c r="H2344" i="9"/>
  <c r="P2343" i="9"/>
  <c r="L2343" i="9"/>
  <c r="K2343" i="9"/>
  <c r="J2343" i="9"/>
  <c r="I2343" i="9"/>
  <c r="H2343" i="9"/>
  <c r="P2342" i="9"/>
  <c r="L2342" i="9"/>
  <c r="K2342" i="9"/>
  <c r="J2342" i="9"/>
  <c r="I2342" i="9"/>
  <c r="H2342" i="9"/>
  <c r="P2341" i="9"/>
  <c r="L2341" i="9"/>
  <c r="K2341" i="9"/>
  <c r="J2341" i="9"/>
  <c r="I2341" i="9"/>
  <c r="H2341" i="9"/>
  <c r="P2340" i="9"/>
  <c r="L2340" i="9"/>
  <c r="K2340" i="9"/>
  <c r="J2340" i="9"/>
  <c r="I2340" i="9"/>
  <c r="H2340" i="9"/>
  <c r="P2339" i="9"/>
  <c r="L2339" i="9"/>
  <c r="K2339" i="9"/>
  <c r="J2339" i="9"/>
  <c r="I2339" i="9"/>
  <c r="H2339" i="9"/>
  <c r="P2338" i="9"/>
  <c r="L2338" i="9"/>
  <c r="K2338" i="9"/>
  <c r="J2338" i="9"/>
  <c r="I2338" i="9"/>
  <c r="H2338" i="9"/>
  <c r="P2337" i="9"/>
  <c r="L2337" i="9"/>
  <c r="K2337" i="9"/>
  <c r="J2337" i="9"/>
  <c r="I2337" i="9"/>
  <c r="H2337" i="9"/>
  <c r="P2336" i="9"/>
  <c r="L2336" i="9"/>
  <c r="K2336" i="9"/>
  <c r="J2336" i="9"/>
  <c r="I2336" i="9"/>
  <c r="H2336" i="9"/>
  <c r="P2335" i="9"/>
  <c r="L2335" i="9"/>
  <c r="K2335" i="9"/>
  <c r="J2335" i="9"/>
  <c r="I2335" i="9"/>
  <c r="H2335" i="9"/>
  <c r="P2334" i="9"/>
  <c r="L2334" i="9"/>
  <c r="K2334" i="9"/>
  <c r="J2334" i="9"/>
  <c r="I2334" i="9"/>
  <c r="H2334" i="9"/>
  <c r="P2333" i="9"/>
  <c r="L2333" i="9"/>
  <c r="K2333" i="9"/>
  <c r="J2333" i="9"/>
  <c r="I2333" i="9"/>
  <c r="H2333" i="9"/>
  <c r="P2332" i="9"/>
  <c r="L2332" i="9"/>
  <c r="K2332" i="9"/>
  <c r="J2332" i="9"/>
  <c r="I2332" i="9"/>
  <c r="H2332" i="9"/>
  <c r="P2331" i="9"/>
  <c r="L2331" i="9"/>
  <c r="K2331" i="9"/>
  <c r="J2331" i="9"/>
  <c r="I2331" i="9"/>
  <c r="H2331" i="9"/>
  <c r="P2330" i="9"/>
  <c r="L2330" i="9"/>
  <c r="K2330" i="9"/>
  <c r="J2330" i="9"/>
  <c r="I2330" i="9"/>
  <c r="H2330" i="9"/>
  <c r="P2329" i="9"/>
  <c r="L2329" i="9"/>
  <c r="K2329" i="9"/>
  <c r="J2329" i="9"/>
  <c r="I2329" i="9"/>
  <c r="H2329" i="9"/>
  <c r="P2328" i="9"/>
  <c r="L2328" i="9"/>
  <c r="K2328" i="9"/>
  <c r="J2328" i="9"/>
  <c r="I2328" i="9"/>
  <c r="H2328" i="9"/>
  <c r="P2327" i="9"/>
  <c r="L2327" i="9"/>
  <c r="K2327" i="9"/>
  <c r="J2327" i="9"/>
  <c r="I2327" i="9"/>
  <c r="H2327" i="9"/>
  <c r="P2326" i="9"/>
  <c r="L2326" i="9"/>
  <c r="K2326" i="9"/>
  <c r="J2326" i="9"/>
  <c r="I2326" i="9"/>
  <c r="H2326" i="9"/>
  <c r="P2325" i="9"/>
  <c r="L2325" i="9"/>
  <c r="K2325" i="9"/>
  <c r="J2325" i="9"/>
  <c r="I2325" i="9"/>
  <c r="H2325" i="9"/>
  <c r="P2324" i="9"/>
  <c r="L2324" i="9"/>
  <c r="K2324" i="9"/>
  <c r="J2324" i="9"/>
  <c r="I2324" i="9"/>
  <c r="H2324" i="9"/>
  <c r="P2323" i="9"/>
  <c r="L2323" i="9"/>
  <c r="K2323" i="9"/>
  <c r="J2323" i="9"/>
  <c r="I2323" i="9"/>
  <c r="H2323" i="9"/>
  <c r="P2322" i="9"/>
  <c r="L2322" i="9"/>
  <c r="K2322" i="9"/>
  <c r="J2322" i="9"/>
  <c r="I2322" i="9"/>
  <c r="H2322" i="9"/>
  <c r="P2321" i="9"/>
  <c r="L2321" i="9"/>
  <c r="K2321" i="9"/>
  <c r="J2321" i="9"/>
  <c r="I2321" i="9"/>
  <c r="H2321" i="9"/>
  <c r="P2320" i="9"/>
  <c r="L2320" i="9"/>
  <c r="K2320" i="9"/>
  <c r="J2320" i="9"/>
  <c r="I2320" i="9"/>
  <c r="H2320" i="9"/>
  <c r="P2319" i="9"/>
  <c r="L2319" i="9"/>
  <c r="K2319" i="9"/>
  <c r="J2319" i="9"/>
  <c r="I2319" i="9"/>
  <c r="H2319" i="9"/>
  <c r="P2318" i="9"/>
  <c r="L2318" i="9"/>
  <c r="K2318" i="9"/>
  <c r="J2318" i="9"/>
  <c r="I2318" i="9"/>
  <c r="H2318" i="9"/>
  <c r="P2317" i="9"/>
  <c r="L2317" i="9"/>
  <c r="K2317" i="9"/>
  <c r="J2317" i="9"/>
  <c r="I2317" i="9"/>
  <c r="H2317" i="9"/>
  <c r="P2316" i="9"/>
  <c r="L2316" i="9"/>
  <c r="K2316" i="9"/>
  <c r="J2316" i="9"/>
  <c r="I2316" i="9"/>
  <c r="H2316" i="9"/>
  <c r="P2315" i="9"/>
  <c r="L2315" i="9"/>
  <c r="K2315" i="9"/>
  <c r="J2315" i="9"/>
  <c r="I2315" i="9"/>
  <c r="H2315" i="9"/>
  <c r="P2314" i="9"/>
  <c r="L2314" i="9"/>
  <c r="K2314" i="9"/>
  <c r="J2314" i="9"/>
  <c r="I2314" i="9"/>
  <c r="H2314" i="9"/>
  <c r="P2313" i="9"/>
  <c r="L2313" i="9"/>
  <c r="K2313" i="9"/>
  <c r="J2313" i="9"/>
  <c r="I2313" i="9"/>
  <c r="H2313" i="9"/>
  <c r="P2312" i="9"/>
  <c r="L2312" i="9"/>
  <c r="K2312" i="9"/>
  <c r="J2312" i="9"/>
  <c r="I2312" i="9"/>
  <c r="H2312" i="9"/>
  <c r="P2311" i="9"/>
  <c r="L2311" i="9"/>
  <c r="K2311" i="9"/>
  <c r="J2311" i="9"/>
  <c r="I2311" i="9"/>
  <c r="H2311" i="9"/>
  <c r="P2310" i="9"/>
  <c r="L2310" i="9"/>
  <c r="K2310" i="9"/>
  <c r="J2310" i="9"/>
  <c r="I2310" i="9"/>
  <c r="H2310" i="9"/>
  <c r="P2309" i="9"/>
  <c r="L2309" i="9"/>
  <c r="K2309" i="9"/>
  <c r="J2309" i="9"/>
  <c r="I2309" i="9"/>
  <c r="H2309" i="9"/>
  <c r="P2308" i="9"/>
  <c r="L2308" i="9"/>
  <c r="K2308" i="9"/>
  <c r="J2308" i="9"/>
  <c r="I2308" i="9"/>
  <c r="H2308" i="9"/>
  <c r="P2307" i="9"/>
  <c r="L2307" i="9"/>
  <c r="K2307" i="9"/>
  <c r="J2307" i="9"/>
  <c r="I2307" i="9"/>
  <c r="H2307" i="9"/>
  <c r="P2306" i="9"/>
  <c r="L2306" i="9"/>
  <c r="K2306" i="9"/>
  <c r="J2306" i="9"/>
  <c r="I2306" i="9"/>
  <c r="H2306" i="9"/>
  <c r="P2305" i="9"/>
  <c r="L2305" i="9"/>
  <c r="K2305" i="9"/>
  <c r="J2305" i="9"/>
  <c r="I2305" i="9"/>
  <c r="H2305" i="9"/>
  <c r="P2304" i="9"/>
  <c r="L2304" i="9"/>
  <c r="K2304" i="9"/>
  <c r="J2304" i="9"/>
  <c r="I2304" i="9"/>
  <c r="H2304" i="9"/>
  <c r="P2303" i="9"/>
  <c r="L2303" i="9"/>
  <c r="K2303" i="9"/>
  <c r="J2303" i="9"/>
  <c r="I2303" i="9"/>
  <c r="H2303" i="9"/>
  <c r="P2302" i="9"/>
  <c r="L2302" i="9"/>
  <c r="K2302" i="9"/>
  <c r="J2302" i="9"/>
  <c r="I2302" i="9"/>
  <c r="H2302" i="9"/>
  <c r="P2301" i="9"/>
  <c r="L2301" i="9"/>
  <c r="K2301" i="9"/>
  <c r="J2301" i="9"/>
  <c r="I2301" i="9"/>
  <c r="H2301" i="9"/>
  <c r="P2300" i="9"/>
  <c r="L2300" i="9"/>
  <c r="K2300" i="9"/>
  <c r="J2300" i="9"/>
  <c r="I2300" i="9"/>
  <c r="H2300" i="9"/>
  <c r="P2299" i="9"/>
  <c r="L2299" i="9"/>
  <c r="K2299" i="9"/>
  <c r="J2299" i="9"/>
  <c r="I2299" i="9"/>
  <c r="H2299" i="9"/>
  <c r="P2298" i="9"/>
  <c r="L2298" i="9"/>
  <c r="K2298" i="9"/>
  <c r="J2298" i="9"/>
  <c r="I2298" i="9"/>
  <c r="H2298" i="9"/>
  <c r="P2297" i="9"/>
  <c r="L2297" i="9"/>
  <c r="K2297" i="9"/>
  <c r="J2297" i="9"/>
  <c r="I2297" i="9"/>
  <c r="H2297" i="9"/>
  <c r="P2296" i="9"/>
  <c r="L2296" i="9"/>
  <c r="K2296" i="9"/>
  <c r="J2296" i="9"/>
  <c r="I2296" i="9"/>
  <c r="H2296" i="9"/>
  <c r="P2295" i="9"/>
  <c r="L2295" i="9"/>
  <c r="K2295" i="9"/>
  <c r="J2295" i="9"/>
  <c r="I2295" i="9"/>
  <c r="H2295" i="9"/>
  <c r="P2294" i="9"/>
  <c r="L2294" i="9"/>
  <c r="K2294" i="9"/>
  <c r="J2294" i="9"/>
  <c r="I2294" i="9"/>
  <c r="H2294" i="9"/>
  <c r="P2293" i="9"/>
  <c r="L2293" i="9"/>
  <c r="K2293" i="9"/>
  <c r="J2293" i="9"/>
  <c r="I2293" i="9"/>
  <c r="H2293" i="9"/>
  <c r="P2292" i="9"/>
  <c r="L2292" i="9"/>
  <c r="K2292" i="9"/>
  <c r="J2292" i="9"/>
  <c r="I2292" i="9"/>
  <c r="H2292" i="9"/>
  <c r="P2291" i="9"/>
  <c r="L2291" i="9"/>
  <c r="K2291" i="9"/>
  <c r="J2291" i="9"/>
  <c r="I2291" i="9"/>
  <c r="H2291" i="9"/>
  <c r="P2290" i="9"/>
  <c r="L2290" i="9"/>
  <c r="K2290" i="9"/>
  <c r="J2290" i="9"/>
  <c r="I2290" i="9"/>
  <c r="H2290" i="9"/>
  <c r="P2289" i="9"/>
  <c r="L2289" i="9"/>
  <c r="K2289" i="9"/>
  <c r="J2289" i="9"/>
  <c r="I2289" i="9"/>
  <c r="H2289" i="9"/>
  <c r="P2288" i="9"/>
  <c r="L2288" i="9"/>
  <c r="K2288" i="9"/>
  <c r="J2288" i="9"/>
  <c r="I2288" i="9"/>
  <c r="H2288" i="9"/>
  <c r="P2287" i="9"/>
  <c r="L2287" i="9"/>
  <c r="K2287" i="9"/>
  <c r="J2287" i="9"/>
  <c r="I2287" i="9"/>
  <c r="H2287" i="9"/>
  <c r="P2286" i="9"/>
  <c r="L2286" i="9"/>
  <c r="K2286" i="9"/>
  <c r="J2286" i="9"/>
  <c r="I2286" i="9"/>
  <c r="H2286" i="9"/>
  <c r="P2285" i="9"/>
  <c r="L2285" i="9"/>
  <c r="K2285" i="9"/>
  <c r="J2285" i="9"/>
  <c r="I2285" i="9"/>
  <c r="H2285" i="9"/>
  <c r="P2284" i="9"/>
  <c r="L2284" i="9"/>
  <c r="K2284" i="9"/>
  <c r="J2284" i="9"/>
  <c r="I2284" i="9"/>
  <c r="H2284" i="9"/>
  <c r="P2283" i="9"/>
  <c r="L2283" i="9"/>
  <c r="K2283" i="9"/>
  <c r="J2283" i="9"/>
  <c r="I2283" i="9"/>
  <c r="H2283" i="9"/>
  <c r="P2282" i="9"/>
  <c r="L2282" i="9"/>
  <c r="K2282" i="9"/>
  <c r="J2282" i="9"/>
  <c r="I2282" i="9"/>
  <c r="H2282" i="9"/>
  <c r="P2281" i="9"/>
  <c r="L2281" i="9"/>
  <c r="K2281" i="9"/>
  <c r="J2281" i="9"/>
  <c r="I2281" i="9"/>
  <c r="H2281" i="9"/>
  <c r="P2280" i="9"/>
  <c r="L2280" i="9"/>
  <c r="K2280" i="9"/>
  <c r="J2280" i="9"/>
  <c r="I2280" i="9"/>
  <c r="H2280" i="9"/>
  <c r="P2279" i="9"/>
  <c r="L2279" i="9"/>
  <c r="K2279" i="9"/>
  <c r="J2279" i="9"/>
  <c r="I2279" i="9"/>
  <c r="H2279" i="9"/>
  <c r="P2278" i="9"/>
  <c r="L2278" i="9"/>
  <c r="K2278" i="9"/>
  <c r="J2278" i="9"/>
  <c r="I2278" i="9"/>
  <c r="H2278" i="9"/>
  <c r="P2277" i="9"/>
  <c r="L2277" i="9"/>
  <c r="K2277" i="9"/>
  <c r="J2277" i="9"/>
  <c r="I2277" i="9"/>
  <c r="H2277" i="9"/>
  <c r="P2276" i="9"/>
  <c r="L2276" i="9"/>
  <c r="K2276" i="9"/>
  <c r="J2276" i="9"/>
  <c r="I2276" i="9"/>
  <c r="H2276" i="9"/>
  <c r="P2275" i="9"/>
  <c r="L2275" i="9"/>
  <c r="K2275" i="9"/>
  <c r="J2275" i="9"/>
  <c r="I2275" i="9"/>
  <c r="H2275" i="9"/>
  <c r="P2274" i="9"/>
  <c r="L2274" i="9"/>
  <c r="K2274" i="9"/>
  <c r="J2274" i="9"/>
  <c r="I2274" i="9"/>
  <c r="H2274" i="9"/>
  <c r="P2273" i="9"/>
  <c r="L2273" i="9"/>
  <c r="K2273" i="9"/>
  <c r="J2273" i="9"/>
  <c r="I2273" i="9"/>
  <c r="H2273" i="9"/>
  <c r="P2272" i="9"/>
  <c r="L2272" i="9"/>
  <c r="K2272" i="9"/>
  <c r="J2272" i="9"/>
  <c r="I2272" i="9"/>
  <c r="H2272" i="9"/>
  <c r="P2271" i="9"/>
  <c r="L2271" i="9"/>
  <c r="K2271" i="9"/>
  <c r="J2271" i="9"/>
  <c r="I2271" i="9"/>
  <c r="H2271" i="9"/>
  <c r="P2270" i="9"/>
  <c r="L2270" i="9"/>
  <c r="K2270" i="9"/>
  <c r="J2270" i="9"/>
  <c r="I2270" i="9"/>
  <c r="H2270" i="9"/>
  <c r="P2269" i="9"/>
  <c r="L2269" i="9"/>
  <c r="K2269" i="9"/>
  <c r="J2269" i="9"/>
  <c r="I2269" i="9"/>
  <c r="H2269" i="9"/>
  <c r="P2268" i="9"/>
  <c r="L2268" i="9"/>
  <c r="K2268" i="9"/>
  <c r="J2268" i="9"/>
  <c r="I2268" i="9"/>
  <c r="H2268" i="9"/>
  <c r="P2267" i="9"/>
  <c r="L2267" i="9"/>
  <c r="K2267" i="9"/>
  <c r="J2267" i="9"/>
  <c r="I2267" i="9"/>
  <c r="H2267" i="9"/>
  <c r="P2266" i="9"/>
  <c r="L2266" i="9"/>
  <c r="K2266" i="9"/>
  <c r="J2266" i="9"/>
  <c r="I2266" i="9"/>
  <c r="H2266" i="9"/>
  <c r="P2265" i="9"/>
  <c r="L2265" i="9"/>
  <c r="K2265" i="9"/>
  <c r="J2265" i="9"/>
  <c r="I2265" i="9"/>
  <c r="H2265" i="9"/>
  <c r="P2264" i="9"/>
  <c r="L2264" i="9"/>
  <c r="K2264" i="9"/>
  <c r="J2264" i="9"/>
  <c r="I2264" i="9"/>
  <c r="H2264" i="9"/>
  <c r="P2263" i="9"/>
  <c r="L2263" i="9"/>
  <c r="K2263" i="9"/>
  <c r="J2263" i="9"/>
  <c r="I2263" i="9"/>
  <c r="H2263" i="9"/>
  <c r="P2262" i="9"/>
  <c r="L2262" i="9"/>
  <c r="K2262" i="9"/>
  <c r="J2262" i="9"/>
  <c r="I2262" i="9"/>
  <c r="H2262" i="9"/>
  <c r="P2261" i="9"/>
  <c r="L2261" i="9"/>
  <c r="K2261" i="9"/>
  <c r="J2261" i="9"/>
  <c r="I2261" i="9"/>
  <c r="H2261" i="9"/>
  <c r="P2260" i="9"/>
  <c r="L2260" i="9"/>
  <c r="K2260" i="9"/>
  <c r="J2260" i="9"/>
  <c r="I2260" i="9"/>
  <c r="H2260" i="9"/>
  <c r="P2259" i="9"/>
  <c r="L2259" i="9"/>
  <c r="K2259" i="9"/>
  <c r="J2259" i="9"/>
  <c r="I2259" i="9"/>
  <c r="H2259" i="9"/>
  <c r="P2258" i="9"/>
  <c r="L2258" i="9"/>
  <c r="K2258" i="9"/>
  <c r="J2258" i="9"/>
  <c r="I2258" i="9"/>
  <c r="H2258" i="9"/>
  <c r="P2257" i="9"/>
  <c r="L2257" i="9"/>
  <c r="K2257" i="9"/>
  <c r="J2257" i="9"/>
  <c r="I2257" i="9"/>
  <c r="H2257" i="9"/>
  <c r="P2256" i="9"/>
  <c r="L2256" i="9"/>
  <c r="K2256" i="9"/>
  <c r="J2256" i="9"/>
  <c r="I2256" i="9"/>
  <c r="H2256" i="9"/>
  <c r="P2255" i="9"/>
  <c r="L2255" i="9"/>
  <c r="K2255" i="9"/>
  <c r="J2255" i="9"/>
  <c r="I2255" i="9"/>
  <c r="H2255" i="9"/>
  <c r="P2254" i="9"/>
  <c r="L2254" i="9"/>
  <c r="K2254" i="9"/>
  <c r="J2254" i="9"/>
  <c r="I2254" i="9"/>
  <c r="H2254" i="9"/>
  <c r="P2253" i="9"/>
  <c r="L2253" i="9"/>
  <c r="K2253" i="9"/>
  <c r="J2253" i="9"/>
  <c r="I2253" i="9"/>
  <c r="H2253" i="9"/>
  <c r="P2252" i="9"/>
  <c r="L2252" i="9"/>
  <c r="K2252" i="9"/>
  <c r="J2252" i="9"/>
  <c r="I2252" i="9"/>
  <c r="H2252" i="9"/>
  <c r="P2251" i="9"/>
  <c r="L2251" i="9"/>
  <c r="K2251" i="9"/>
  <c r="J2251" i="9"/>
  <c r="I2251" i="9"/>
  <c r="H2251" i="9"/>
  <c r="P2250" i="9"/>
  <c r="L2250" i="9"/>
  <c r="K2250" i="9"/>
  <c r="J2250" i="9"/>
  <c r="I2250" i="9"/>
  <c r="H2250" i="9"/>
  <c r="P2249" i="9"/>
  <c r="L2249" i="9"/>
  <c r="K2249" i="9"/>
  <c r="J2249" i="9"/>
  <c r="I2249" i="9"/>
  <c r="H2249" i="9"/>
  <c r="P2248" i="9"/>
  <c r="L2248" i="9"/>
  <c r="K2248" i="9"/>
  <c r="J2248" i="9"/>
  <c r="I2248" i="9"/>
  <c r="H2248" i="9"/>
  <c r="P2247" i="9"/>
  <c r="L2247" i="9"/>
  <c r="K2247" i="9"/>
  <c r="J2247" i="9"/>
  <c r="I2247" i="9"/>
  <c r="H2247" i="9"/>
  <c r="P2246" i="9"/>
  <c r="L2246" i="9"/>
  <c r="K2246" i="9"/>
  <c r="J2246" i="9"/>
  <c r="I2246" i="9"/>
  <c r="H2246" i="9"/>
  <c r="P2245" i="9"/>
  <c r="L2245" i="9"/>
  <c r="K2245" i="9"/>
  <c r="J2245" i="9"/>
  <c r="I2245" i="9"/>
  <c r="H2245" i="9"/>
  <c r="P2244" i="9"/>
  <c r="L2244" i="9"/>
  <c r="K2244" i="9"/>
  <c r="J2244" i="9"/>
  <c r="I2244" i="9"/>
  <c r="H2244" i="9"/>
  <c r="P2243" i="9"/>
  <c r="L2243" i="9"/>
  <c r="K2243" i="9"/>
  <c r="J2243" i="9"/>
  <c r="I2243" i="9"/>
  <c r="H2243" i="9"/>
  <c r="P2242" i="9"/>
  <c r="L2242" i="9"/>
  <c r="K2242" i="9"/>
  <c r="J2242" i="9"/>
  <c r="I2242" i="9"/>
  <c r="H2242" i="9"/>
  <c r="P2241" i="9"/>
  <c r="L2241" i="9"/>
  <c r="K2241" i="9"/>
  <c r="J2241" i="9"/>
  <c r="I2241" i="9"/>
  <c r="H2241" i="9"/>
  <c r="P2240" i="9"/>
  <c r="L2240" i="9"/>
  <c r="K2240" i="9"/>
  <c r="J2240" i="9"/>
  <c r="I2240" i="9"/>
  <c r="H2240" i="9"/>
  <c r="P2239" i="9"/>
  <c r="L2239" i="9"/>
  <c r="K2239" i="9"/>
  <c r="J2239" i="9"/>
  <c r="I2239" i="9"/>
  <c r="H2239" i="9"/>
  <c r="P2238" i="9"/>
  <c r="L2238" i="9"/>
  <c r="K2238" i="9"/>
  <c r="J2238" i="9"/>
  <c r="I2238" i="9"/>
  <c r="H2238" i="9"/>
  <c r="P2237" i="9"/>
  <c r="L2237" i="9"/>
  <c r="K2237" i="9"/>
  <c r="J2237" i="9"/>
  <c r="I2237" i="9"/>
  <c r="H2237" i="9"/>
  <c r="P2236" i="9"/>
  <c r="L2236" i="9"/>
  <c r="K2236" i="9"/>
  <c r="J2236" i="9"/>
  <c r="I2236" i="9"/>
  <c r="H2236" i="9"/>
  <c r="P2235" i="9"/>
  <c r="L2235" i="9"/>
  <c r="K2235" i="9"/>
  <c r="J2235" i="9"/>
  <c r="I2235" i="9"/>
  <c r="H2235" i="9"/>
  <c r="P2234" i="9"/>
  <c r="L2234" i="9"/>
  <c r="K2234" i="9"/>
  <c r="J2234" i="9"/>
  <c r="I2234" i="9"/>
  <c r="H2234" i="9"/>
  <c r="P2233" i="9"/>
  <c r="L2233" i="9"/>
  <c r="K2233" i="9"/>
  <c r="J2233" i="9"/>
  <c r="I2233" i="9"/>
  <c r="H2233" i="9"/>
  <c r="P2232" i="9"/>
  <c r="L2232" i="9"/>
  <c r="K2232" i="9"/>
  <c r="J2232" i="9"/>
  <c r="I2232" i="9"/>
  <c r="H2232" i="9"/>
  <c r="P2231" i="9"/>
  <c r="L2231" i="9"/>
  <c r="K2231" i="9"/>
  <c r="J2231" i="9"/>
  <c r="I2231" i="9"/>
  <c r="H2231" i="9"/>
  <c r="P2230" i="9"/>
  <c r="L2230" i="9"/>
  <c r="K2230" i="9"/>
  <c r="J2230" i="9"/>
  <c r="I2230" i="9"/>
  <c r="H2230" i="9"/>
  <c r="P2229" i="9"/>
  <c r="L2229" i="9"/>
  <c r="K2229" i="9"/>
  <c r="J2229" i="9"/>
  <c r="I2229" i="9"/>
  <c r="H2229" i="9"/>
  <c r="P2228" i="9"/>
  <c r="L2228" i="9"/>
  <c r="K2228" i="9"/>
  <c r="J2228" i="9"/>
  <c r="I2228" i="9"/>
  <c r="H2228" i="9"/>
  <c r="P2227" i="9"/>
  <c r="L2227" i="9"/>
  <c r="K2227" i="9"/>
  <c r="J2227" i="9"/>
  <c r="I2227" i="9"/>
  <c r="H2227" i="9"/>
  <c r="P2226" i="9"/>
  <c r="L2226" i="9"/>
  <c r="K2226" i="9"/>
  <c r="J2226" i="9"/>
  <c r="I2226" i="9"/>
  <c r="H2226" i="9"/>
  <c r="P2225" i="9"/>
  <c r="L2225" i="9"/>
  <c r="K2225" i="9"/>
  <c r="J2225" i="9"/>
  <c r="I2225" i="9"/>
  <c r="H2225" i="9"/>
  <c r="P2224" i="9"/>
  <c r="L2224" i="9"/>
  <c r="K2224" i="9"/>
  <c r="J2224" i="9"/>
  <c r="I2224" i="9"/>
  <c r="H2224" i="9"/>
  <c r="P2223" i="9"/>
  <c r="L2223" i="9"/>
  <c r="K2223" i="9"/>
  <c r="J2223" i="9"/>
  <c r="I2223" i="9"/>
  <c r="H2223" i="9"/>
  <c r="P2222" i="9"/>
  <c r="L2222" i="9"/>
  <c r="K2222" i="9"/>
  <c r="J2222" i="9"/>
  <c r="I2222" i="9"/>
  <c r="H2222" i="9"/>
  <c r="P2221" i="9"/>
  <c r="L2221" i="9"/>
  <c r="K2221" i="9"/>
  <c r="J2221" i="9"/>
  <c r="I2221" i="9"/>
  <c r="H2221" i="9"/>
  <c r="P2220" i="9"/>
  <c r="L2220" i="9"/>
  <c r="K2220" i="9"/>
  <c r="J2220" i="9"/>
  <c r="I2220" i="9"/>
  <c r="H2220" i="9"/>
  <c r="P2219" i="9"/>
  <c r="L2219" i="9"/>
  <c r="K2219" i="9"/>
  <c r="J2219" i="9"/>
  <c r="I2219" i="9"/>
  <c r="H2219" i="9"/>
  <c r="P2218" i="9"/>
  <c r="L2218" i="9"/>
  <c r="K2218" i="9"/>
  <c r="J2218" i="9"/>
  <c r="I2218" i="9"/>
  <c r="H2218" i="9"/>
  <c r="P2217" i="9"/>
  <c r="L2217" i="9"/>
  <c r="K2217" i="9"/>
  <c r="J2217" i="9"/>
  <c r="I2217" i="9"/>
  <c r="H2217" i="9"/>
  <c r="P2216" i="9"/>
  <c r="L2216" i="9"/>
  <c r="K2216" i="9"/>
  <c r="J2216" i="9"/>
  <c r="I2216" i="9"/>
  <c r="H2216" i="9"/>
  <c r="P2215" i="9"/>
  <c r="L2215" i="9"/>
  <c r="K2215" i="9"/>
  <c r="J2215" i="9"/>
  <c r="I2215" i="9"/>
  <c r="H2215" i="9"/>
  <c r="P2214" i="9"/>
  <c r="L2214" i="9"/>
  <c r="K2214" i="9"/>
  <c r="J2214" i="9"/>
  <c r="I2214" i="9"/>
  <c r="H2214" i="9"/>
  <c r="P2213" i="9"/>
  <c r="L2213" i="9"/>
  <c r="K2213" i="9"/>
  <c r="J2213" i="9"/>
  <c r="I2213" i="9"/>
  <c r="H2213" i="9"/>
  <c r="P2212" i="9"/>
  <c r="L2212" i="9"/>
  <c r="K2212" i="9"/>
  <c r="J2212" i="9"/>
  <c r="I2212" i="9"/>
  <c r="H2212" i="9"/>
  <c r="P2211" i="9"/>
  <c r="L2211" i="9"/>
  <c r="K2211" i="9"/>
  <c r="J2211" i="9"/>
  <c r="I2211" i="9"/>
  <c r="H2211" i="9"/>
  <c r="P2210" i="9"/>
  <c r="L2210" i="9"/>
  <c r="K2210" i="9"/>
  <c r="J2210" i="9"/>
  <c r="I2210" i="9"/>
  <c r="H2210" i="9"/>
  <c r="P2209" i="9"/>
  <c r="L2209" i="9"/>
  <c r="K2209" i="9"/>
  <c r="J2209" i="9"/>
  <c r="I2209" i="9"/>
  <c r="H2209" i="9"/>
  <c r="P2208" i="9"/>
  <c r="L2208" i="9"/>
  <c r="K2208" i="9"/>
  <c r="J2208" i="9"/>
  <c r="I2208" i="9"/>
  <c r="H2208" i="9"/>
  <c r="P2207" i="9"/>
  <c r="L2207" i="9"/>
  <c r="K2207" i="9"/>
  <c r="J2207" i="9"/>
  <c r="I2207" i="9"/>
  <c r="H2207" i="9"/>
  <c r="P2206" i="9"/>
  <c r="L2206" i="9"/>
  <c r="K2206" i="9"/>
  <c r="J2206" i="9"/>
  <c r="I2206" i="9"/>
  <c r="H2206" i="9"/>
  <c r="P2205" i="9"/>
  <c r="L2205" i="9"/>
  <c r="K2205" i="9"/>
  <c r="J2205" i="9"/>
  <c r="I2205" i="9"/>
  <c r="H2205" i="9"/>
  <c r="P2204" i="9"/>
  <c r="L2204" i="9"/>
  <c r="K2204" i="9"/>
  <c r="J2204" i="9"/>
  <c r="I2204" i="9"/>
  <c r="H2204" i="9"/>
  <c r="P2203" i="9"/>
  <c r="L2203" i="9"/>
  <c r="K2203" i="9"/>
  <c r="J2203" i="9"/>
  <c r="I2203" i="9"/>
  <c r="H2203" i="9"/>
  <c r="P2202" i="9"/>
  <c r="L2202" i="9"/>
  <c r="K2202" i="9"/>
  <c r="J2202" i="9"/>
  <c r="I2202" i="9"/>
  <c r="H2202" i="9"/>
  <c r="P2201" i="9"/>
  <c r="L2201" i="9"/>
  <c r="K2201" i="9"/>
  <c r="J2201" i="9"/>
  <c r="I2201" i="9"/>
  <c r="H2201" i="9"/>
  <c r="P2200" i="9"/>
  <c r="L2200" i="9"/>
  <c r="K2200" i="9"/>
  <c r="J2200" i="9"/>
  <c r="I2200" i="9"/>
  <c r="H2200" i="9"/>
  <c r="P2199" i="9"/>
  <c r="L2199" i="9"/>
  <c r="K2199" i="9"/>
  <c r="J2199" i="9"/>
  <c r="I2199" i="9"/>
  <c r="H2199" i="9"/>
  <c r="P2198" i="9"/>
  <c r="L2198" i="9"/>
  <c r="K2198" i="9"/>
  <c r="J2198" i="9"/>
  <c r="I2198" i="9"/>
  <c r="H2198" i="9"/>
  <c r="P2197" i="9"/>
  <c r="L2197" i="9"/>
  <c r="K2197" i="9"/>
  <c r="J2197" i="9"/>
  <c r="I2197" i="9"/>
  <c r="H2197" i="9"/>
  <c r="P2196" i="9"/>
  <c r="L2196" i="9"/>
  <c r="K2196" i="9"/>
  <c r="J2196" i="9"/>
  <c r="I2196" i="9"/>
  <c r="H2196" i="9"/>
  <c r="P2195" i="9"/>
  <c r="L2195" i="9"/>
  <c r="K2195" i="9"/>
  <c r="J2195" i="9"/>
  <c r="I2195" i="9"/>
  <c r="H2195" i="9"/>
  <c r="P2194" i="9"/>
  <c r="L2194" i="9"/>
  <c r="K2194" i="9"/>
  <c r="J2194" i="9"/>
  <c r="I2194" i="9"/>
  <c r="H2194" i="9"/>
  <c r="P2193" i="9"/>
  <c r="L2193" i="9"/>
  <c r="K2193" i="9"/>
  <c r="J2193" i="9"/>
  <c r="I2193" i="9"/>
  <c r="H2193" i="9"/>
  <c r="P2192" i="9"/>
  <c r="L2192" i="9"/>
  <c r="K2192" i="9"/>
  <c r="J2192" i="9"/>
  <c r="I2192" i="9"/>
  <c r="H2192" i="9"/>
  <c r="P2191" i="9"/>
  <c r="L2191" i="9"/>
  <c r="K2191" i="9"/>
  <c r="J2191" i="9"/>
  <c r="I2191" i="9"/>
  <c r="H2191" i="9"/>
  <c r="P2190" i="9"/>
  <c r="L2190" i="9"/>
  <c r="K2190" i="9"/>
  <c r="J2190" i="9"/>
  <c r="I2190" i="9"/>
  <c r="H2190" i="9"/>
  <c r="P2189" i="9"/>
  <c r="L2189" i="9"/>
  <c r="K2189" i="9"/>
  <c r="J2189" i="9"/>
  <c r="I2189" i="9"/>
  <c r="H2189" i="9"/>
  <c r="P2188" i="9"/>
  <c r="L2188" i="9"/>
  <c r="K2188" i="9"/>
  <c r="J2188" i="9"/>
  <c r="I2188" i="9"/>
  <c r="H2188" i="9"/>
  <c r="P2187" i="9"/>
  <c r="L2187" i="9"/>
  <c r="K2187" i="9"/>
  <c r="J2187" i="9"/>
  <c r="I2187" i="9"/>
  <c r="H2187" i="9"/>
  <c r="P2186" i="9"/>
  <c r="L2186" i="9"/>
  <c r="K2186" i="9"/>
  <c r="J2186" i="9"/>
  <c r="I2186" i="9"/>
  <c r="H2186" i="9"/>
  <c r="P2185" i="9"/>
  <c r="L2185" i="9"/>
  <c r="K2185" i="9"/>
  <c r="J2185" i="9"/>
  <c r="I2185" i="9"/>
  <c r="H2185" i="9"/>
  <c r="P2184" i="9"/>
  <c r="L2184" i="9"/>
  <c r="K2184" i="9"/>
  <c r="J2184" i="9"/>
  <c r="I2184" i="9"/>
  <c r="H2184" i="9"/>
  <c r="P2183" i="9"/>
  <c r="L2183" i="9"/>
  <c r="K2183" i="9"/>
  <c r="J2183" i="9"/>
  <c r="I2183" i="9"/>
  <c r="H2183" i="9"/>
  <c r="P2182" i="9"/>
  <c r="L2182" i="9"/>
  <c r="K2182" i="9"/>
  <c r="J2182" i="9"/>
  <c r="I2182" i="9"/>
  <c r="H2182" i="9"/>
  <c r="P2181" i="9"/>
  <c r="L2181" i="9"/>
  <c r="K2181" i="9"/>
  <c r="J2181" i="9"/>
  <c r="I2181" i="9"/>
  <c r="H2181" i="9"/>
  <c r="P2180" i="9"/>
  <c r="L2180" i="9"/>
  <c r="K2180" i="9"/>
  <c r="J2180" i="9"/>
  <c r="I2180" i="9"/>
  <c r="H2180" i="9"/>
  <c r="P2179" i="9"/>
  <c r="L2179" i="9"/>
  <c r="K2179" i="9"/>
  <c r="J2179" i="9"/>
  <c r="I2179" i="9"/>
  <c r="H2179" i="9"/>
  <c r="P2178" i="9"/>
  <c r="L2178" i="9"/>
  <c r="K2178" i="9"/>
  <c r="J2178" i="9"/>
  <c r="I2178" i="9"/>
  <c r="H2178" i="9"/>
  <c r="P2177" i="9"/>
  <c r="L2177" i="9"/>
  <c r="K2177" i="9"/>
  <c r="J2177" i="9"/>
  <c r="I2177" i="9"/>
  <c r="H2177" i="9"/>
  <c r="P2176" i="9"/>
  <c r="L2176" i="9"/>
  <c r="K2176" i="9"/>
  <c r="J2176" i="9"/>
  <c r="I2176" i="9"/>
  <c r="H2176" i="9"/>
  <c r="P2175" i="9"/>
  <c r="L2175" i="9"/>
  <c r="K2175" i="9"/>
  <c r="J2175" i="9"/>
  <c r="I2175" i="9"/>
  <c r="H2175" i="9"/>
  <c r="P2174" i="9"/>
  <c r="L2174" i="9"/>
  <c r="K2174" i="9"/>
  <c r="J2174" i="9"/>
  <c r="I2174" i="9"/>
  <c r="H2174" i="9"/>
  <c r="P2173" i="9"/>
  <c r="L2173" i="9"/>
  <c r="K2173" i="9"/>
  <c r="J2173" i="9"/>
  <c r="I2173" i="9"/>
  <c r="H2173" i="9"/>
  <c r="P2172" i="9"/>
  <c r="L2172" i="9"/>
  <c r="K2172" i="9"/>
  <c r="J2172" i="9"/>
  <c r="I2172" i="9"/>
  <c r="H2172" i="9"/>
  <c r="P2171" i="9"/>
  <c r="L2171" i="9"/>
  <c r="K2171" i="9"/>
  <c r="J2171" i="9"/>
  <c r="I2171" i="9"/>
  <c r="H2171" i="9"/>
  <c r="P2170" i="9"/>
  <c r="L2170" i="9"/>
  <c r="K2170" i="9"/>
  <c r="J2170" i="9"/>
  <c r="I2170" i="9"/>
  <c r="H2170" i="9"/>
  <c r="P2169" i="9"/>
  <c r="L2169" i="9"/>
  <c r="K2169" i="9"/>
  <c r="J2169" i="9"/>
  <c r="I2169" i="9"/>
  <c r="H2169" i="9"/>
  <c r="P2168" i="9"/>
  <c r="L2168" i="9"/>
  <c r="K2168" i="9"/>
  <c r="J2168" i="9"/>
  <c r="I2168" i="9"/>
  <c r="H2168" i="9"/>
  <c r="P2167" i="9"/>
  <c r="L2167" i="9"/>
  <c r="K2167" i="9"/>
  <c r="J2167" i="9"/>
  <c r="I2167" i="9"/>
  <c r="H2167" i="9"/>
  <c r="P2166" i="9"/>
  <c r="L2166" i="9"/>
  <c r="K2166" i="9"/>
  <c r="J2166" i="9"/>
  <c r="I2166" i="9"/>
  <c r="H2166" i="9"/>
  <c r="P2165" i="9"/>
  <c r="L2165" i="9"/>
  <c r="K2165" i="9"/>
  <c r="J2165" i="9"/>
  <c r="I2165" i="9"/>
  <c r="H2165" i="9"/>
  <c r="P2164" i="9"/>
  <c r="L2164" i="9"/>
  <c r="K2164" i="9"/>
  <c r="J2164" i="9"/>
  <c r="I2164" i="9"/>
  <c r="H2164" i="9"/>
  <c r="P2163" i="9"/>
  <c r="L2163" i="9"/>
  <c r="K2163" i="9"/>
  <c r="J2163" i="9"/>
  <c r="I2163" i="9"/>
  <c r="H2163" i="9"/>
  <c r="P2162" i="9"/>
  <c r="L2162" i="9"/>
  <c r="K2162" i="9"/>
  <c r="J2162" i="9"/>
  <c r="I2162" i="9"/>
  <c r="H2162" i="9"/>
  <c r="P2161" i="9"/>
  <c r="L2161" i="9"/>
  <c r="K2161" i="9"/>
  <c r="J2161" i="9"/>
  <c r="I2161" i="9"/>
  <c r="H2161" i="9"/>
  <c r="P2160" i="9"/>
  <c r="L2160" i="9"/>
  <c r="K2160" i="9"/>
  <c r="J2160" i="9"/>
  <c r="I2160" i="9"/>
  <c r="H2160" i="9"/>
  <c r="P2159" i="9"/>
  <c r="L2159" i="9"/>
  <c r="K2159" i="9"/>
  <c r="J2159" i="9"/>
  <c r="I2159" i="9"/>
  <c r="H2159" i="9"/>
  <c r="P2158" i="9"/>
  <c r="L2158" i="9"/>
  <c r="K2158" i="9"/>
  <c r="J2158" i="9"/>
  <c r="I2158" i="9"/>
  <c r="H2158" i="9"/>
  <c r="P2157" i="9"/>
  <c r="L2157" i="9"/>
  <c r="K2157" i="9"/>
  <c r="J2157" i="9"/>
  <c r="I2157" i="9"/>
  <c r="H2157" i="9"/>
  <c r="P2156" i="9"/>
  <c r="L2156" i="9"/>
  <c r="K2156" i="9"/>
  <c r="J2156" i="9"/>
  <c r="I2156" i="9"/>
  <c r="H2156" i="9"/>
  <c r="P2155" i="9"/>
  <c r="L2155" i="9"/>
  <c r="K2155" i="9"/>
  <c r="J2155" i="9"/>
  <c r="I2155" i="9"/>
  <c r="H2155" i="9"/>
  <c r="P2154" i="9"/>
  <c r="L2154" i="9"/>
  <c r="K2154" i="9"/>
  <c r="J2154" i="9"/>
  <c r="I2154" i="9"/>
  <c r="H2154" i="9"/>
  <c r="P2153" i="9"/>
  <c r="L2153" i="9"/>
  <c r="K2153" i="9"/>
  <c r="J2153" i="9"/>
  <c r="I2153" i="9"/>
  <c r="H2153" i="9"/>
  <c r="P2152" i="9"/>
  <c r="L2152" i="9"/>
  <c r="K2152" i="9"/>
  <c r="J2152" i="9"/>
  <c r="I2152" i="9"/>
  <c r="H2152" i="9"/>
  <c r="P2151" i="9"/>
  <c r="L2151" i="9"/>
  <c r="K2151" i="9"/>
  <c r="J2151" i="9"/>
  <c r="I2151" i="9"/>
  <c r="H2151" i="9"/>
  <c r="P2150" i="9"/>
  <c r="L2150" i="9"/>
  <c r="K2150" i="9"/>
  <c r="J2150" i="9"/>
  <c r="I2150" i="9"/>
  <c r="H2150" i="9"/>
  <c r="P2149" i="9"/>
  <c r="L2149" i="9"/>
  <c r="K2149" i="9"/>
  <c r="J2149" i="9"/>
  <c r="I2149" i="9"/>
  <c r="H2149" i="9"/>
  <c r="P2148" i="9"/>
  <c r="L2148" i="9"/>
  <c r="K2148" i="9"/>
  <c r="J2148" i="9"/>
  <c r="I2148" i="9"/>
  <c r="H2148" i="9"/>
  <c r="P2147" i="9"/>
  <c r="L2147" i="9"/>
  <c r="K2147" i="9"/>
  <c r="J2147" i="9"/>
  <c r="I2147" i="9"/>
  <c r="H2147" i="9"/>
  <c r="P2146" i="9"/>
  <c r="L2146" i="9"/>
  <c r="K2146" i="9"/>
  <c r="J2146" i="9"/>
  <c r="I2146" i="9"/>
  <c r="H2146" i="9"/>
  <c r="P2145" i="9"/>
  <c r="L2145" i="9"/>
  <c r="K2145" i="9"/>
  <c r="J2145" i="9"/>
  <c r="I2145" i="9"/>
  <c r="H2145" i="9"/>
  <c r="P2144" i="9"/>
  <c r="L2144" i="9"/>
  <c r="K2144" i="9"/>
  <c r="J2144" i="9"/>
  <c r="I2144" i="9"/>
  <c r="H2144" i="9"/>
  <c r="P2143" i="9"/>
  <c r="L2143" i="9"/>
  <c r="K2143" i="9"/>
  <c r="J2143" i="9"/>
  <c r="I2143" i="9"/>
  <c r="H2143" i="9"/>
  <c r="P2142" i="9"/>
  <c r="L2142" i="9"/>
  <c r="K2142" i="9"/>
  <c r="J2142" i="9"/>
  <c r="I2142" i="9"/>
  <c r="H2142" i="9"/>
  <c r="P2141" i="9"/>
  <c r="L2141" i="9"/>
  <c r="K2141" i="9"/>
  <c r="J2141" i="9"/>
  <c r="I2141" i="9"/>
  <c r="H2141" i="9"/>
  <c r="P2140" i="9"/>
  <c r="L2140" i="9"/>
  <c r="K2140" i="9"/>
  <c r="J2140" i="9"/>
  <c r="I2140" i="9"/>
  <c r="H2140" i="9"/>
  <c r="P2139" i="9"/>
  <c r="L2139" i="9"/>
  <c r="K2139" i="9"/>
  <c r="J2139" i="9"/>
  <c r="I2139" i="9"/>
  <c r="H2139" i="9"/>
  <c r="P2138" i="9"/>
  <c r="L2138" i="9"/>
  <c r="K2138" i="9"/>
  <c r="J2138" i="9"/>
  <c r="I2138" i="9"/>
  <c r="H2138" i="9"/>
  <c r="P2137" i="9"/>
  <c r="L2137" i="9"/>
  <c r="K2137" i="9"/>
  <c r="J2137" i="9"/>
  <c r="I2137" i="9"/>
  <c r="H2137" i="9"/>
  <c r="P2136" i="9"/>
  <c r="L2136" i="9"/>
  <c r="K2136" i="9"/>
  <c r="J2136" i="9"/>
  <c r="I2136" i="9"/>
  <c r="H2136" i="9"/>
  <c r="P2135" i="9"/>
  <c r="L2135" i="9"/>
  <c r="K2135" i="9"/>
  <c r="J2135" i="9"/>
  <c r="I2135" i="9"/>
  <c r="H2135" i="9"/>
  <c r="P2134" i="9"/>
  <c r="L2134" i="9"/>
  <c r="K2134" i="9"/>
  <c r="J2134" i="9"/>
  <c r="I2134" i="9"/>
  <c r="H2134" i="9"/>
  <c r="P2133" i="9"/>
  <c r="L2133" i="9"/>
  <c r="K2133" i="9"/>
  <c r="J2133" i="9"/>
  <c r="I2133" i="9"/>
  <c r="H2133" i="9"/>
  <c r="P2132" i="9"/>
  <c r="L2132" i="9"/>
  <c r="K2132" i="9"/>
  <c r="J2132" i="9"/>
  <c r="I2132" i="9"/>
  <c r="H2132" i="9"/>
  <c r="P2131" i="9"/>
  <c r="L2131" i="9"/>
  <c r="K2131" i="9"/>
  <c r="J2131" i="9"/>
  <c r="I2131" i="9"/>
  <c r="H2131" i="9"/>
  <c r="P2130" i="9"/>
  <c r="L2130" i="9"/>
  <c r="K2130" i="9"/>
  <c r="J2130" i="9"/>
  <c r="I2130" i="9"/>
  <c r="H2130" i="9"/>
  <c r="P2129" i="9"/>
  <c r="L2129" i="9"/>
  <c r="K2129" i="9"/>
  <c r="J2129" i="9"/>
  <c r="I2129" i="9"/>
  <c r="H2129" i="9"/>
  <c r="P2128" i="9"/>
  <c r="L2128" i="9"/>
  <c r="K2128" i="9"/>
  <c r="J2128" i="9"/>
  <c r="I2128" i="9"/>
  <c r="H2128" i="9"/>
  <c r="P2127" i="9"/>
  <c r="L2127" i="9"/>
  <c r="K2127" i="9"/>
  <c r="J2127" i="9"/>
  <c r="I2127" i="9"/>
  <c r="H2127" i="9"/>
  <c r="P2126" i="9"/>
  <c r="L2126" i="9"/>
  <c r="K2126" i="9"/>
  <c r="J2126" i="9"/>
  <c r="I2126" i="9"/>
  <c r="H2126" i="9"/>
  <c r="P2125" i="9"/>
  <c r="L2125" i="9"/>
  <c r="K2125" i="9"/>
  <c r="J2125" i="9"/>
  <c r="I2125" i="9"/>
  <c r="H2125" i="9"/>
  <c r="P2124" i="9"/>
  <c r="L2124" i="9"/>
  <c r="K2124" i="9"/>
  <c r="J2124" i="9"/>
  <c r="I2124" i="9"/>
  <c r="H2124" i="9"/>
  <c r="P2123" i="9"/>
  <c r="L2123" i="9"/>
  <c r="K2123" i="9"/>
  <c r="J2123" i="9"/>
  <c r="I2123" i="9"/>
  <c r="H2123" i="9"/>
  <c r="P2122" i="9"/>
  <c r="L2122" i="9"/>
  <c r="K2122" i="9"/>
  <c r="J2122" i="9"/>
  <c r="I2122" i="9"/>
  <c r="H2122" i="9"/>
  <c r="P2121" i="9"/>
  <c r="L2121" i="9"/>
  <c r="K2121" i="9"/>
  <c r="J2121" i="9"/>
  <c r="I2121" i="9"/>
  <c r="H2121" i="9"/>
  <c r="P2120" i="9"/>
  <c r="L2120" i="9"/>
  <c r="K2120" i="9"/>
  <c r="J2120" i="9"/>
  <c r="I2120" i="9"/>
  <c r="H2120" i="9"/>
  <c r="P2119" i="9"/>
  <c r="L2119" i="9"/>
  <c r="K2119" i="9"/>
  <c r="J2119" i="9"/>
  <c r="I2119" i="9"/>
  <c r="H2119" i="9"/>
  <c r="P2118" i="9"/>
  <c r="L2118" i="9"/>
  <c r="K2118" i="9"/>
  <c r="J2118" i="9"/>
  <c r="I2118" i="9"/>
  <c r="H2118" i="9"/>
  <c r="P2117" i="9"/>
  <c r="L2117" i="9"/>
  <c r="K2117" i="9"/>
  <c r="J2117" i="9"/>
  <c r="I2117" i="9"/>
  <c r="H2117" i="9"/>
  <c r="P2116" i="9"/>
  <c r="L2116" i="9"/>
  <c r="K2116" i="9"/>
  <c r="J2116" i="9"/>
  <c r="I2116" i="9"/>
  <c r="H2116" i="9"/>
  <c r="P2115" i="9"/>
  <c r="L2115" i="9"/>
  <c r="K2115" i="9"/>
  <c r="J2115" i="9"/>
  <c r="I2115" i="9"/>
  <c r="H2115" i="9"/>
  <c r="P2114" i="9"/>
  <c r="L2114" i="9"/>
  <c r="K2114" i="9"/>
  <c r="J2114" i="9"/>
  <c r="I2114" i="9"/>
  <c r="H2114" i="9"/>
  <c r="P2113" i="9"/>
  <c r="L2113" i="9"/>
  <c r="K2113" i="9"/>
  <c r="J2113" i="9"/>
  <c r="I2113" i="9"/>
  <c r="H2113" i="9"/>
  <c r="P2112" i="9"/>
  <c r="L2112" i="9"/>
  <c r="K2112" i="9"/>
  <c r="J2112" i="9"/>
  <c r="I2112" i="9"/>
  <c r="H2112" i="9"/>
  <c r="P2111" i="9"/>
  <c r="L2111" i="9"/>
  <c r="K2111" i="9"/>
  <c r="J2111" i="9"/>
  <c r="I2111" i="9"/>
  <c r="H2111" i="9"/>
  <c r="P2110" i="9"/>
  <c r="L2110" i="9"/>
  <c r="K2110" i="9"/>
  <c r="J2110" i="9"/>
  <c r="I2110" i="9"/>
  <c r="H2110" i="9"/>
  <c r="P2109" i="9"/>
  <c r="L2109" i="9"/>
  <c r="K2109" i="9"/>
  <c r="J2109" i="9"/>
  <c r="I2109" i="9"/>
  <c r="H2109" i="9"/>
  <c r="P2108" i="9"/>
  <c r="L2108" i="9"/>
  <c r="K2108" i="9"/>
  <c r="J2108" i="9"/>
  <c r="I2108" i="9"/>
  <c r="H2108" i="9"/>
  <c r="P2107" i="9"/>
  <c r="L2107" i="9"/>
  <c r="K2107" i="9"/>
  <c r="J2107" i="9"/>
  <c r="I2107" i="9"/>
  <c r="H2107" i="9"/>
  <c r="P2106" i="9"/>
  <c r="L2106" i="9"/>
  <c r="K2106" i="9"/>
  <c r="J2106" i="9"/>
  <c r="I2106" i="9"/>
  <c r="H2106" i="9"/>
  <c r="P2105" i="9"/>
  <c r="L2105" i="9"/>
  <c r="K2105" i="9"/>
  <c r="J2105" i="9"/>
  <c r="I2105" i="9"/>
  <c r="H2105" i="9"/>
  <c r="P2104" i="9"/>
  <c r="L2104" i="9"/>
  <c r="K2104" i="9"/>
  <c r="J2104" i="9"/>
  <c r="I2104" i="9"/>
  <c r="H2104" i="9"/>
  <c r="P2103" i="9"/>
  <c r="L2103" i="9"/>
  <c r="K2103" i="9"/>
  <c r="J2103" i="9"/>
  <c r="I2103" i="9"/>
  <c r="H2103" i="9"/>
  <c r="P2102" i="9"/>
  <c r="L2102" i="9"/>
  <c r="K2102" i="9"/>
  <c r="J2102" i="9"/>
  <c r="I2102" i="9"/>
  <c r="H2102" i="9"/>
  <c r="P2101" i="9"/>
  <c r="L2101" i="9"/>
  <c r="K2101" i="9"/>
  <c r="J2101" i="9"/>
  <c r="I2101" i="9"/>
  <c r="H2101" i="9"/>
  <c r="P2100" i="9"/>
  <c r="L2100" i="9"/>
  <c r="K2100" i="9"/>
  <c r="J2100" i="9"/>
  <c r="I2100" i="9"/>
  <c r="H2100" i="9"/>
  <c r="P2099" i="9"/>
  <c r="L2099" i="9"/>
  <c r="K2099" i="9"/>
  <c r="J2099" i="9"/>
  <c r="I2099" i="9"/>
  <c r="H2099" i="9"/>
  <c r="P2098" i="9"/>
  <c r="L2098" i="9"/>
  <c r="K2098" i="9"/>
  <c r="J2098" i="9"/>
  <c r="I2098" i="9"/>
  <c r="H2098" i="9"/>
  <c r="P2097" i="9"/>
  <c r="L2097" i="9"/>
  <c r="K2097" i="9"/>
  <c r="J2097" i="9"/>
  <c r="I2097" i="9"/>
  <c r="H2097" i="9"/>
  <c r="P2096" i="9"/>
  <c r="L2096" i="9"/>
  <c r="K2096" i="9"/>
  <c r="J2096" i="9"/>
  <c r="I2096" i="9"/>
  <c r="H2096" i="9"/>
  <c r="P2095" i="9"/>
  <c r="L2095" i="9"/>
  <c r="K2095" i="9"/>
  <c r="J2095" i="9"/>
  <c r="I2095" i="9"/>
  <c r="H2095" i="9"/>
  <c r="P2094" i="9"/>
  <c r="L2094" i="9"/>
  <c r="K2094" i="9"/>
  <c r="J2094" i="9"/>
  <c r="I2094" i="9"/>
  <c r="H2094" i="9"/>
  <c r="P2093" i="9"/>
  <c r="L2093" i="9"/>
  <c r="K2093" i="9"/>
  <c r="J2093" i="9"/>
  <c r="I2093" i="9"/>
  <c r="H2093" i="9"/>
  <c r="P2092" i="9"/>
  <c r="L2092" i="9"/>
  <c r="K2092" i="9"/>
  <c r="J2092" i="9"/>
  <c r="I2092" i="9"/>
  <c r="H2092" i="9"/>
  <c r="P2091" i="9"/>
  <c r="L2091" i="9"/>
  <c r="K2091" i="9"/>
  <c r="J2091" i="9"/>
  <c r="I2091" i="9"/>
  <c r="H2091" i="9"/>
  <c r="P2090" i="9"/>
  <c r="L2090" i="9"/>
  <c r="K2090" i="9"/>
  <c r="J2090" i="9"/>
  <c r="I2090" i="9"/>
  <c r="H2090" i="9"/>
  <c r="P2089" i="9"/>
  <c r="L2089" i="9"/>
  <c r="K2089" i="9"/>
  <c r="J2089" i="9"/>
  <c r="I2089" i="9"/>
  <c r="H2089" i="9"/>
  <c r="P2088" i="9"/>
  <c r="L2088" i="9"/>
  <c r="K2088" i="9"/>
  <c r="J2088" i="9"/>
  <c r="I2088" i="9"/>
  <c r="H2088" i="9"/>
  <c r="P2087" i="9"/>
  <c r="L2087" i="9"/>
  <c r="K2087" i="9"/>
  <c r="J2087" i="9"/>
  <c r="I2087" i="9"/>
  <c r="H2087" i="9"/>
  <c r="P2086" i="9"/>
  <c r="L2086" i="9"/>
  <c r="K2086" i="9"/>
  <c r="J2086" i="9"/>
  <c r="I2086" i="9"/>
  <c r="H2086" i="9"/>
  <c r="P2085" i="9"/>
  <c r="L2085" i="9"/>
  <c r="K2085" i="9"/>
  <c r="J2085" i="9"/>
  <c r="I2085" i="9"/>
  <c r="H2085" i="9"/>
  <c r="P2084" i="9"/>
  <c r="L2084" i="9"/>
  <c r="K2084" i="9"/>
  <c r="J2084" i="9"/>
  <c r="I2084" i="9"/>
  <c r="H2084" i="9"/>
  <c r="P2083" i="9"/>
  <c r="L2083" i="9"/>
  <c r="K2083" i="9"/>
  <c r="J2083" i="9"/>
  <c r="I2083" i="9"/>
  <c r="H2083" i="9"/>
  <c r="P2082" i="9"/>
  <c r="L2082" i="9"/>
  <c r="K2082" i="9"/>
  <c r="J2082" i="9"/>
  <c r="I2082" i="9"/>
  <c r="H2082" i="9"/>
  <c r="P2081" i="9"/>
  <c r="L2081" i="9"/>
  <c r="K2081" i="9"/>
  <c r="J2081" i="9"/>
  <c r="I2081" i="9"/>
  <c r="H2081" i="9"/>
  <c r="P2080" i="9"/>
  <c r="L2080" i="9"/>
  <c r="K2080" i="9"/>
  <c r="J2080" i="9"/>
  <c r="I2080" i="9"/>
  <c r="H2080" i="9"/>
  <c r="P2079" i="9"/>
  <c r="L2079" i="9"/>
  <c r="K2079" i="9"/>
  <c r="J2079" i="9"/>
  <c r="I2079" i="9"/>
  <c r="H2079" i="9"/>
  <c r="P2078" i="9"/>
  <c r="L2078" i="9"/>
  <c r="K2078" i="9"/>
  <c r="J2078" i="9"/>
  <c r="I2078" i="9"/>
  <c r="H2078" i="9"/>
  <c r="P2077" i="9"/>
  <c r="L2077" i="9"/>
  <c r="K2077" i="9"/>
  <c r="J2077" i="9"/>
  <c r="I2077" i="9"/>
  <c r="H2077" i="9"/>
  <c r="P2076" i="9"/>
  <c r="L2076" i="9"/>
  <c r="K2076" i="9"/>
  <c r="J2076" i="9"/>
  <c r="I2076" i="9"/>
  <c r="H2076" i="9"/>
  <c r="P2075" i="9"/>
  <c r="L2075" i="9"/>
  <c r="K2075" i="9"/>
  <c r="J2075" i="9"/>
  <c r="I2075" i="9"/>
  <c r="H2075" i="9"/>
  <c r="P2074" i="9"/>
  <c r="L2074" i="9"/>
  <c r="K2074" i="9"/>
  <c r="J2074" i="9"/>
  <c r="I2074" i="9"/>
  <c r="H2074" i="9"/>
  <c r="P2073" i="9"/>
  <c r="L2073" i="9"/>
  <c r="K2073" i="9"/>
  <c r="J2073" i="9"/>
  <c r="I2073" i="9"/>
  <c r="H2073" i="9"/>
  <c r="P2072" i="9"/>
  <c r="L2072" i="9"/>
  <c r="K2072" i="9"/>
  <c r="J2072" i="9"/>
  <c r="I2072" i="9"/>
  <c r="H2072" i="9"/>
  <c r="P2071" i="9"/>
  <c r="L2071" i="9"/>
  <c r="K2071" i="9"/>
  <c r="J2071" i="9"/>
  <c r="I2071" i="9"/>
  <c r="H2071" i="9"/>
  <c r="P2070" i="9"/>
  <c r="L2070" i="9"/>
  <c r="K2070" i="9"/>
  <c r="J2070" i="9"/>
  <c r="I2070" i="9"/>
  <c r="H2070" i="9"/>
  <c r="P2069" i="9"/>
  <c r="L2069" i="9"/>
  <c r="K2069" i="9"/>
  <c r="J2069" i="9"/>
  <c r="I2069" i="9"/>
  <c r="H2069" i="9"/>
  <c r="P2068" i="9"/>
  <c r="L2068" i="9"/>
  <c r="K2068" i="9"/>
  <c r="J2068" i="9"/>
  <c r="I2068" i="9"/>
  <c r="H2068" i="9"/>
  <c r="P2067" i="9"/>
  <c r="L2067" i="9"/>
  <c r="K2067" i="9"/>
  <c r="J2067" i="9"/>
  <c r="I2067" i="9"/>
  <c r="H2067" i="9"/>
  <c r="P2066" i="9"/>
  <c r="L2066" i="9"/>
  <c r="K2066" i="9"/>
  <c r="J2066" i="9"/>
  <c r="I2066" i="9"/>
  <c r="H2066" i="9"/>
  <c r="P2065" i="9"/>
  <c r="L2065" i="9"/>
  <c r="K2065" i="9"/>
  <c r="J2065" i="9"/>
  <c r="I2065" i="9"/>
  <c r="H2065" i="9"/>
  <c r="P2064" i="9"/>
  <c r="L2064" i="9"/>
  <c r="K2064" i="9"/>
  <c r="J2064" i="9"/>
  <c r="I2064" i="9"/>
  <c r="H2064" i="9"/>
  <c r="P2063" i="9"/>
  <c r="L2063" i="9"/>
  <c r="K2063" i="9"/>
  <c r="J2063" i="9"/>
  <c r="I2063" i="9"/>
  <c r="H2063" i="9"/>
  <c r="P2062" i="9"/>
  <c r="L2062" i="9"/>
  <c r="K2062" i="9"/>
  <c r="J2062" i="9"/>
  <c r="I2062" i="9"/>
  <c r="H2062" i="9"/>
  <c r="P2061" i="9"/>
  <c r="L2061" i="9"/>
  <c r="K2061" i="9"/>
  <c r="J2061" i="9"/>
  <c r="I2061" i="9"/>
  <c r="H2061" i="9"/>
  <c r="P2060" i="9"/>
  <c r="L2060" i="9"/>
  <c r="K2060" i="9"/>
  <c r="J2060" i="9"/>
  <c r="I2060" i="9"/>
  <c r="H2060" i="9"/>
  <c r="P2059" i="9"/>
  <c r="L2059" i="9"/>
  <c r="K2059" i="9"/>
  <c r="J2059" i="9"/>
  <c r="I2059" i="9"/>
  <c r="H2059" i="9"/>
  <c r="P2058" i="9"/>
  <c r="L2058" i="9"/>
  <c r="K2058" i="9"/>
  <c r="J2058" i="9"/>
  <c r="I2058" i="9"/>
  <c r="H2058" i="9"/>
  <c r="P2057" i="9"/>
  <c r="L2057" i="9"/>
  <c r="K2057" i="9"/>
  <c r="J2057" i="9"/>
  <c r="I2057" i="9"/>
  <c r="H2057" i="9"/>
  <c r="P2056" i="9"/>
  <c r="L2056" i="9"/>
  <c r="K2056" i="9"/>
  <c r="J2056" i="9"/>
  <c r="I2056" i="9"/>
  <c r="H2056" i="9"/>
  <c r="P2055" i="9"/>
  <c r="L2055" i="9"/>
  <c r="K2055" i="9"/>
  <c r="J2055" i="9"/>
  <c r="I2055" i="9"/>
  <c r="H2055" i="9"/>
  <c r="P2054" i="9"/>
  <c r="L2054" i="9"/>
  <c r="K2054" i="9"/>
  <c r="J2054" i="9"/>
  <c r="I2054" i="9"/>
  <c r="H2054" i="9"/>
  <c r="P2053" i="9"/>
  <c r="L2053" i="9"/>
  <c r="K2053" i="9"/>
  <c r="J2053" i="9"/>
  <c r="I2053" i="9"/>
  <c r="H2053" i="9"/>
  <c r="P2052" i="9"/>
  <c r="L2052" i="9"/>
  <c r="K2052" i="9"/>
  <c r="J2052" i="9"/>
  <c r="I2052" i="9"/>
  <c r="H2052" i="9"/>
  <c r="P2051" i="9"/>
  <c r="L2051" i="9"/>
  <c r="K2051" i="9"/>
  <c r="J2051" i="9"/>
  <c r="I2051" i="9"/>
  <c r="H2051" i="9"/>
  <c r="P2050" i="9"/>
  <c r="L2050" i="9"/>
  <c r="K2050" i="9"/>
  <c r="J2050" i="9"/>
  <c r="I2050" i="9"/>
  <c r="H2050" i="9"/>
  <c r="P2049" i="9"/>
  <c r="L2049" i="9"/>
  <c r="K2049" i="9"/>
  <c r="J2049" i="9"/>
  <c r="I2049" i="9"/>
  <c r="H2049" i="9"/>
  <c r="P2048" i="9"/>
  <c r="L2048" i="9"/>
  <c r="K2048" i="9"/>
  <c r="J2048" i="9"/>
  <c r="I2048" i="9"/>
  <c r="H2048" i="9"/>
  <c r="P2047" i="9"/>
  <c r="L2047" i="9"/>
  <c r="K2047" i="9"/>
  <c r="J2047" i="9"/>
  <c r="I2047" i="9"/>
  <c r="H2047" i="9"/>
  <c r="P2046" i="9"/>
  <c r="L2046" i="9"/>
  <c r="K2046" i="9"/>
  <c r="J2046" i="9"/>
  <c r="I2046" i="9"/>
  <c r="H2046" i="9"/>
  <c r="P2045" i="9"/>
  <c r="L2045" i="9"/>
  <c r="K2045" i="9"/>
  <c r="J2045" i="9"/>
  <c r="I2045" i="9"/>
  <c r="H2045" i="9"/>
  <c r="P2044" i="9"/>
  <c r="L2044" i="9"/>
  <c r="K2044" i="9"/>
  <c r="J2044" i="9"/>
  <c r="I2044" i="9"/>
  <c r="H2044" i="9"/>
  <c r="P2043" i="9"/>
  <c r="L2043" i="9"/>
  <c r="K2043" i="9"/>
  <c r="J2043" i="9"/>
  <c r="I2043" i="9"/>
  <c r="H2043" i="9"/>
  <c r="P2042" i="9"/>
  <c r="L2042" i="9"/>
  <c r="K2042" i="9"/>
  <c r="J2042" i="9"/>
  <c r="I2042" i="9"/>
  <c r="H2042" i="9"/>
  <c r="P2041" i="9"/>
  <c r="L2041" i="9"/>
  <c r="K2041" i="9"/>
  <c r="J2041" i="9"/>
  <c r="I2041" i="9"/>
  <c r="H2041" i="9"/>
  <c r="P2040" i="9"/>
  <c r="L2040" i="9"/>
  <c r="K2040" i="9"/>
  <c r="J2040" i="9"/>
  <c r="I2040" i="9"/>
  <c r="H2040" i="9"/>
  <c r="P2039" i="9"/>
  <c r="L2039" i="9"/>
  <c r="K2039" i="9"/>
  <c r="J2039" i="9"/>
  <c r="I2039" i="9"/>
  <c r="H2039" i="9"/>
  <c r="P2038" i="9"/>
  <c r="L2038" i="9"/>
  <c r="K2038" i="9"/>
  <c r="J2038" i="9"/>
  <c r="I2038" i="9"/>
  <c r="H2038" i="9"/>
  <c r="P2037" i="9"/>
  <c r="L2037" i="9"/>
  <c r="K2037" i="9"/>
  <c r="J2037" i="9"/>
  <c r="I2037" i="9"/>
  <c r="H2037" i="9"/>
  <c r="P2036" i="9"/>
  <c r="L2036" i="9"/>
  <c r="K2036" i="9"/>
  <c r="J2036" i="9"/>
  <c r="I2036" i="9"/>
  <c r="H2036" i="9"/>
  <c r="P2035" i="9"/>
  <c r="L2035" i="9"/>
  <c r="K2035" i="9"/>
  <c r="J2035" i="9"/>
  <c r="I2035" i="9"/>
  <c r="H2035" i="9"/>
  <c r="P2034" i="9"/>
  <c r="L2034" i="9"/>
  <c r="K2034" i="9"/>
  <c r="J2034" i="9"/>
  <c r="I2034" i="9"/>
  <c r="H2034" i="9"/>
  <c r="P2033" i="9"/>
  <c r="L2033" i="9"/>
  <c r="K2033" i="9"/>
  <c r="J2033" i="9"/>
  <c r="I2033" i="9"/>
  <c r="H2033" i="9"/>
  <c r="P2032" i="9"/>
  <c r="L2032" i="9"/>
  <c r="K2032" i="9"/>
  <c r="J2032" i="9"/>
  <c r="I2032" i="9"/>
  <c r="H2032" i="9"/>
  <c r="P2031" i="9"/>
  <c r="L2031" i="9"/>
  <c r="K2031" i="9"/>
  <c r="J2031" i="9"/>
  <c r="I2031" i="9"/>
  <c r="H2031" i="9"/>
  <c r="P2030" i="9"/>
  <c r="L2030" i="9"/>
  <c r="K2030" i="9"/>
  <c r="J2030" i="9"/>
  <c r="I2030" i="9"/>
  <c r="H2030" i="9"/>
  <c r="P2029" i="9"/>
  <c r="L2029" i="9"/>
  <c r="K2029" i="9"/>
  <c r="J2029" i="9"/>
  <c r="I2029" i="9"/>
  <c r="H2029" i="9"/>
  <c r="P2028" i="9"/>
  <c r="L2028" i="9"/>
  <c r="K2028" i="9"/>
  <c r="J2028" i="9"/>
  <c r="I2028" i="9"/>
  <c r="H2028" i="9"/>
  <c r="P2027" i="9"/>
  <c r="L2027" i="9"/>
  <c r="K2027" i="9"/>
  <c r="J2027" i="9"/>
  <c r="I2027" i="9"/>
  <c r="H2027" i="9"/>
  <c r="P2026" i="9"/>
  <c r="L2026" i="9"/>
  <c r="K2026" i="9"/>
  <c r="J2026" i="9"/>
  <c r="I2026" i="9"/>
  <c r="H2026" i="9"/>
  <c r="P2025" i="9"/>
  <c r="L2025" i="9"/>
  <c r="K2025" i="9"/>
  <c r="J2025" i="9"/>
  <c r="I2025" i="9"/>
  <c r="H2025" i="9"/>
  <c r="P2024" i="9"/>
  <c r="L2024" i="9"/>
  <c r="K2024" i="9"/>
  <c r="J2024" i="9"/>
  <c r="I2024" i="9"/>
  <c r="H2024" i="9"/>
  <c r="P2023" i="9"/>
  <c r="L2023" i="9"/>
  <c r="K2023" i="9"/>
  <c r="J2023" i="9"/>
  <c r="I2023" i="9"/>
  <c r="H2023" i="9"/>
  <c r="P2022" i="9"/>
  <c r="L2022" i="9"/>
  <c r="K2022" i="9"/>
  <c r="J2022" i="9"/>
  <c r="I2022" i="9"/>
  <c r="H2022" i="9"/>
  <c r="P2021" i="9"/>
  <c r="L2021" i="9"/>
  <c r="K2021" i="9"/>
  <c r="J2021" i="9"/>
  <c r="I2021" i="9"/>
  <c r="H2021" i="9"/>
  <c r="P2020" i="9"/>
  <c r="L2020" i="9"/>
  <c r="K2020" i="9"/>
  <c r="J2020" i="9"/>
  <c r="I2020" i="9"/>
  <c r="H2020" i="9"/>
  <c r="P2019" i="9"/>
  <c r="L2019" i="9"/>
  <c r="K2019" i="9"/>
  <c r="J2019" i="9"/>
  <c r="I2019" i="9"/>
  <c r="H2019" i="9"/>
  <c r="P2018" i="9"/>
  <c r="L2018" i="9"/>
  <c r="K2018" i="9"/>
  <c r="J2018" i="9"/>
  <c r="I2018" i="9"/>
  <c r="H2018" i="9"/>
  <c r="P2017" i="9"/>
  <c r="L2017" i="9"/>
  <c r="K2017" i="9"/>
  <c r="J2017" i="9"/>
  <c r="I2017" i="9"/>
  <c r="H2017" i="9"/>
  <c r="P2016" i="9"/>
  <c r="L2016" i="9"/>
  <c r="K2016" i="9"/>
  <c r="J2016" i="9"/>
  <c r="I2016" i="9"/>
  <c r="H2016" i="9"/>
  <c r="P2015" i="9"/>
  <c r="L2015" i="9"/>
  <c r="K2015" i="9"/>
  <c r="J2015" i="9"/>
  <c r="I2015" i="9"/>
  <c r="H2015" i="9"/>
  <c r="P2014" i="9"/>
  <c r="L2014" i="9"/>
  <c r="K2014" i="9"/>
  <c r="J2014" i="9"/>
  <c r="I2014" i="9"/>
  <c r="H2014" i="9"/>
  <c r="P2013" i="9"/>
  <c r="L2013" i="9"/>
  <c r="K2013" i="9"/>
  <c r="J2013" i="9"/>
  <c r="I2013" i="9"/>
  <c r="H2013" i="9"/>
  <c r="P2012" i="9"/>
  <c r="L2012" i="9"/>
  <c r="K2012" i="9"/>
  <c r="J2012" i="9"/>
  <c r="I2012" i="9"/>
  <c r="H2012" i="9"/>
  <c r="P2011" i="9"/>
  <c r="L2011" i="9"/>
  <c r="K2011" i="9"/>
  <c r="J2011" i="9"/>
  <c r="I2011" i="9"/>
  <c r="H2011" i="9"/>
  <c r="P2010" i="9"/>
  <c r="L2010" i="9"/>
  <c r="K2010" i="9"/>
  <c r="J2010" i="9"/>
  <c r="I2010" i="9"/>
  <c r="H2010" i="9"/>
  <c r="P2009" i="9"/>
  <c r="L2009" i="9"/>
  <c r="K2009" i="9"/>
  <c r="J2009" i="9"/>
  <c r="I2009" i="9"/>
  <c r="H2009" i="9"/>
  <c r="P2008" i="9"/>
  <c r="L2008" i="9"/>
  <c r="K2008" i="9"/>
  <c r="J2008" i="9"/>
  <c r="I2008" i="9"/>
  <c r="H2008" i="9"/>
  <c r="P2007" i="9"/>
  <c r="L2007" i="9"/>
  <c r="K2007" i="9"/>
  <c r="J2007" i="9"/>
  <c r="I2007" i="9"/>
  <c r="H2007" i="9"/>
  <c r="P2006" i="9"/>
  <c r="L2006" i="9"/>
  <c r="K2006" i="9"/>
  <c r="J2006" i="9"/>
  <c r="I2006" i="9"/>
  <c r="H2006" i="9"/>
  <c r="P2005" i="9"/>
  <c r="L2005" i="9"/>
  <c r="K2005" i="9"/>
  <c r="J2005" i="9"/>
  <c r="I2005" i="9"/>
  <c r="H2005" i="9"/>
  <c r="P2004" i="9"/>
  <c r="L2004" i="9"/>
  <c r="K2004" i="9"/>
  <c r="J2004" i="9"/>
  <c r="I2004" i="9"/>
  <c r="H2004" i="9"/>
  <c r="P2003" i="9"/>
  <c r="L2003" i="9"/>
  <c r="K2003" i="9"/>
  <c r="J2003" i="9"/>
  <c r="I2003" i="9"/>
  <c r="H2003" i="9"/>
  <c r="P2002" i="9"/>
  <c r="L2002" i="9"/>
  <c r="K2002" i="9"/>
  <c r="J2002" i="9"/>
  <c r="I2002" i="9"/>
  <c r="H2002" i="9"/>
  <c r="P2001" i="9"/>
  <c r="L2001" i="9"/>
  <c r="K2001" i="9"/>
  <c r="J2001" i="9"/>
  <c r="I2001" i="9"/>
  <c r="H2001" i="9"/>
  <c r="P2000" i="9"/>
  <c r="L2000" i="9"/>
  <c r="K2000" i="9"/>
  <c r="J2000" i="9"/>
  <c r="I2000" i="9"/>
  <c r="H2000" i="9"/>
  <c r="P1999" i="9"/>
  <c r="L1999" i="9"/>
  <c r="K1999" i="9"/>
  <c r="J1999" i="9"/>
  <c r="I1999" i="9"/>
  <c r="H1999" i="9"/>
  <c r="P1998" i="9"/>
  <c r="L1998" i="9"/>
  <c r="K1998" i="9"/>
  <c r="J1998" i="9"/>
  <c r="I1998" i="9"/>
  <c r="H1998" i="9"/>
  <c r="P1997" i="9"/>
  <c r="L1997" i="9"/>
  <c r="K1997" i="9"/>
  <c r="J1997" i="9"/>
  <c r="I1997" i="9"/>
  <c r="H1997" i="9"/>
  <c r="P1996" i="9"/>
  <c r="L1996" i="9"/>
  <c r="K1996" i="9"/>
  <c r="J1996" i="9"/>
  <c r="I1996" i="9"/>
  <c r="H1996" i="9"/>
  <c r="P1995" i="9"/>
  <c r="L1995" i="9"/>
  <c r="K1995" i="9"/>
  <c r="J1995" i="9"/>
  <c r="I1995" i="9"/>
  <c r="H1995" i="9"/>
  <c r="P1994" i="9"/>
  <c r="L1994" i="9"/>
  <c r="K1994" i="9"/>
  <c r="J1994" i="9"/>
  <c r="I1994" i="9"/>
  <c r="H1994" i="9"/>
  <c r="P1993" i="9"/>
  <c r="L1993" i="9"/>
  <c r="K1993" i="9"/>
  <c r="J1993" i="9"/>
  <c r="I1993" i="9"/>
  <c r="H1993" i="9"/>
  <c r="P1992" i="9"/>
  <c r="L1992" i="9"/>
  <c r="K1992" i="9"/>
  <c r="J1992" i="9"/>
  <c r="I1992" i="9"/>
  <c r="H1992" i="9"/>
  <c r="P1991" i="9"/>
  <c r="L1991" i="9"/>
  <c r="K1991" i="9"/>
  <c r="J1991" i="9"/>
  <c r="I1991" i="9"/>
  <c r="H1991" i="9"/>
  <c r="P1990" i="9"/>
  <c r="L1990" i="9"/>
  <c r="K1990" i="9"/>
  <c r="J1990" i="9"/>
  <c r="I1990" i="9"/>
  <c r="H1990" i="9"/>
  <c r="P1989" i="9"/>
  <c r="L1989" i="9"/>
  <c r="K1989" i="9"/>
  <c r="J1989" i="9"/>
  <c r="I1989" i="9"/>
  <c r="H1989" i="9"/>
  <c r="P1988" i="9"/>
  <c r="L1988" i="9"/>
  <c r="K1988" i="9"/>
  <c r="J1988" i="9"/>
  <c r="I1988" i="9"/>
  <c r="H1988" i="9"/>
  <c r="P1987" i="9"/>
  <c r="L1987" i="9"/>
  <c r="K1987" i="9"/>
  <c r="J1987" i="9"/>
  <c r="I1987" i="9"/>
  <c r="H1987" i="9"/>
  <c r="P1986" i="9"/>
  <c r="L1986" i="9"/>
  <c r="K1986" i="9"/>
  <c r="J1986" i="9"/>
  <c r="I1986" i="9"/>
  <c r="H1986" i="9"/>
  <c r="P1985" i="9"/>
  <c r="L1985" i="9"/>
  <c r="K1985" i="9"/>
  <c r="J1985" i="9"/>
  <c r="I1985" i="9"/>
  <c r="H1985" i="9"/>
  <c r="P1984" i="9"/>
  <c r="L1984" i="9"/>
  <c r="K1984" i="9"/>
  <c r="J1984" i="9"/>
  <c r="I1984" i="9"/>
  <c r="H1984" i="9"/>
  <c r="P1983" i="9"/>
  <c r="L1983" i="9"/>
  <c r="K1983" i="9"/>
  <c r="J1983" i="9"/>
  <c r="I1983" i="9"/>
  <c r="H1983" i="9"/>
  <c r="P1982" i="9"/>
  <c r="L1982" i="9"/>
  <c r="K1982" i="9"/>
  <c r="J1982" i="9"/>
  <c r="I1982" i="9"/>
  <c r="H1982" i="9"/>
  <c r="P1981" i="9"/>
  <c r="L1981" i="9"/>
  <c r="K1981" i="9"/>
  <c r="J1981" i="9"/>
  <c r="I1981" i="9"/>
  <c r="H1981" i="9"/>
  <c r="P1980" i="9"/>
  <c r="L1980" i="9"/>
  <c r="K1980" i="9"/>
  <c r="J1980" i="9"/>
  <c r="I1980" i="9"/>
  <c r="H1980" i="9"/>
  <c r="P1979" i="9"/>
  <c r="L1979" i="9"/>
  <c r="K1979" i="9"/>
  <c r="J1979" i="9"/>
  <c r="I1979" i="9"/>
  <c r="H1979" i="9"/>
  <c r="P1978" i="9"/>
  <c r="L1978" i="9"/>
  <c r="K1978" i="9"/>
  <c r="J1978" i="9"/>
  <c r="I1978" i="9"/>
  <c r="H1978" i="9"/>
  <c r="P1977" i="9"/>
  <c r="L1977" i="9"/>
  <c r="K1977" i="9"/>
  <c r="J1977" i="9"/>
  <c r="I1977" i="9"/>
  <c r="H1977" i="9"/>
  <c r="P1976" i="9"/>
  <c r="L1976" i="9"/>
  <c r="K1976" i="9"/>
  <c r="J1976" i="9"/>
  <c r="I1976" i="9"/>
  <c r="H1976" i="9"/>
  <c r="P1975" i="9"/>
  <c r="L1975" i="9"/>
  <c r="K1975" i="9"/>
  <c r="J1975" i="9"/>
  <c r="I1975" i="9"/>
  <c r="H1975" i="9"/>
  <c r="P1974" i="9"/>
  <c r="L1974" i="9"/>
  <c r="K1974" i="9"/>
  <c r="J1974" i="9"/>
  <c r="I1974" i="9"/>
  <c r="H1974" i="9"/>
  <c r="P1973" i="9"/>
  <c r="L1973" i="9"/>
  <c r="K1973" i="9"/>
  <c r="J1973" i="9"/>
  <c r="I1973" i="9"/>
  <c r="H1973" i="9"/>
  <c r="P1972" i="9"/>
  <c r="L1972" i="9"/>
  <c r="K1972" i="9"/>
  <c r="J1972" i="9"/>
  <c r="I1972" i="9"/>
  <c r="H1972" i="9"/>
  <c r="P1971" i="9"/>
  <c r="L1971" i="9"/>
  <c r="K1971" i="9"/>
  <c r="J1971" i="9"/>
  <c r="I1971" i="9"/>
  <c r="H1971" i="9"/>
  <c r="P1970" i="9"/>
  <c r="L1970" i="9"/>
  <c r="K1970" i="9"/>
  <c r="J1970" i="9"/>
  <c r="I1970" i="9"/>
  <c r="H1970" i="9"/>
  <c r="P1969" i="9"/>
  <c r="L1969" i="9"/>
  <c r="K1969" i="9"/>
  <c r="J1969" i="9"/>
  <c r="I1969" i="9"/>
  <c r="H1969" i="9"/>
  <c r="P1968" i="9"/>
  <c r="L1968" i="9"/>
  <c r="K1968" i="9"/>
  <c r="J1968" i="9"/>
  <c r="I1968" i="9"/>
  <c r="H1968" i="9"/>
  <c r="P1967" i="9"/>
  <c r="L1967" i="9"/>
  <c r="K1967" i="9"/>
  <c r="J1967" i="9"/>
  <c r="I1967" i="9"/>
  <c r="H1967" i="9"/>
  <c r="P1966" i="9"/>
  <c r="L1966" i="9"/>
  <c r="K1966" i="9"/>
  <c r="J1966" i="9"/>
  <c r="I1966" i="9"/>
  <c r="H1966" i="9"/>
  <c r="P1965" i="9"/>
  <c r="L1965" i="9"/>
  <c r="K1965" i="9"/>
  <c r="J1965" i="9"/>
  <c r="I1965" i="9"/>
  <c r="H1965" i="9"/>
  <c r="P1964" i="9"/>
  <c r="L1964" i="9"/>
  <c r="K1964" i="9"/>
  <c r="J1964" i="9"/>
  <c r="I1964" i="9"/>
  <c r="H1964" i="9"/>
  <c r="P1963" i="9"/>
  <c r="L1963" i="9"/>
  <c r="K1963" i="9"/>
  <c r="J1963" i="9"/>
  <c r="I1963" i="9"/>
  <c r="H1963" i="9"/>
  <c r="P1962" i="9"/>
  <c r="L1962" i="9"/>
  <c r="K1962" i="9"/>
  <c r="J1962" i="9"/>
  <c r="I1962" i="9"/>
  <c r="H1962" i="9"/>
  <c r="P1961" i="9"/>
  <c r="L1961" i="9"/>
  <c r="K1961" i="9"/>
  <c r="J1961" i="9"/>
  <c r="I1961" i="9"/>
  <c r="H1961" i="9"/>
  <c r="P1960" i="9"/>
  <c r="L1960" i="9"/>
  <c r="K1960" i="9"/>
  <c r="J1960" i="9"/>
  <c r="I1960" i="9"/>
  <c r="H1960" i="9"/>
  <c r="P1959" i="9"/>
  <c r="L1959" i="9"/>
  <c r="K1959" i="9"/>
  <c r="J1959" i="9"/>
  <c r="I1959" i="9"/>
  <c r="H1959" i="9"/>
  <c r="P1958" i="9"/>
  <c r="L1958" i="9"/>
  <c r="K1958" i="9"/>
  <c r="J1958" i="9"/>
  <c r="I1958" i="9"/>
  <c r="H1958" i="9"/>
  <c r="P1957" i="9"/>
  <c r="L1957" i="9"/>
  <c r="K1957" i="9"/>
  <c r="J1957" i="9"/>
  <c r="I1957" i="9"/>
  <c r="H1957" i="9"/>
  <c r="P1956" i="9"/>
  <c r="L1956" i="9"/>
  <c r="K1956" i="9"/>
  <c r="J1956" i="9"/>
  <c r="I1956" i="9"/>
  <c r="H1956" i="9"/>
  <c r="P1955" i="9"/>
  <c r="L1955" i="9"/>
  <c r="K1955" i="9"/>
  <c r="J1955" i="9"/>
  <c r="I1955" i="9"/>
  <c r="H1955" i="9"/>
  <c r="P1954" i="9"/>
  <c r="L1954" i="9"/>
  <c r="K1954" i="9"/>
  <c r="J1954" i="9"/>
  <c r="I1954" i="9"/>
  <c r="H1954" i="9"/>
  <c r="P1953" i="9"/>
  <c r="L1953" i="9"/>
  <c r="K1953" i="9"/>
  <c r="J1953" i="9"/>
  <c r="I1953" i="9"/>
  <c r="H1953" i="9"/>
  <c r="P1952" i="9"/>
  <c r="L1952" i="9"/>
  <c r="K1952" i="9"/>
  <c r="J1952" i="9"/>
  <c r="I1952" i="9"/>
  <c r="H1952" i="9"/>
  <c r="P1951" i="9"/>
  <c r="L1951" i="9"/>
  <c r="K1951" i="9"/>
  <c r="J1951" i="9"/>
  <c r="I1951" i="9"/>
  <c r="H1951" i="9"/>
  <c r="P1950" i="9"/>
  <c r="L1950" i="9"/>
  <c r="K1950" i="9"/>
  <c r="J1950" i="9"/>
  <c r="I1950" i="9"/>
  <c r="H1950" i="9"/>
  <c r="P1949" i="9"/>
  <c r="L1949" i="9"/>
  <c r="K1949" i="9"/>
  <c r="J1949" i="9"/>
  <c r="I1949" i="9"/>
  <c r="H1949" i="9"/>
  <c r="P1948" i="9"/>
  <c r="L1948" i="9"/>
  <c r="K1948" i="9"/>
  <c r="J1948" i="9"/>
  <c r="I1948" i="9"/>
  <c r="H1948" i="9"/>
  <c r="P1947" i="9"/>
  <c r="L1947" i="9"/>
  <c r="K1947" i="9"/>
  <c r="J1947" i="9"/>
  <c r="I1947" i="9"/>
  <c r="H1947" i="9"/>
  <c r="P1946" i="9"/>
  <c r="L1946" i="9"/>
  <c r="K1946" i="9"/>
  <c r="J1946" i="9"/>
  <c r="I1946" i="9"/>
  <c r="H1946" i="9"/>
  <c r="P1945" i="9"/>
  <c r="L1945" i="9"/>
  <c r="K1945" i="9"/>
  <c r="J1945" i="9"/>
  <c r="I1945" i="9"/>
  <c r="H1945" i="9"/>
  <c r="P1944" i="9"/>
  <c r="L1944" i="9"/>
  <c r="K1944" i="9"/>
  <c r="J1944" i="9"/>
  <c r="I1944" i="9"/>
  <c r="H1944" i="9"/>
  <c r="P1943" i="9"/>
  <c r="L1943" i="9"/>
  <c r="K1943" i="9"/>
  <c r="J1943" i="9"/>
  <c r="I1943" i="9"/>
  <c r="H1943" i="9"/>
  <c r="P1942" i="9"/>
  <c r="L1942" i="9"/>
  <c r="K1942" i="9"/>
  <c r="J1942" i="9"/>
  <c r="I1942" i="9"/>
  <c r="H1942" i="9"/>
  <c r="P1941" i="9"/>
  <c r="L1941" i="9"/>
  <c r="K1941" i="9"/>
  <c r="J1941" i="9"/>
  <c r="I1941" i="9"/>
  <c r="H1941" i="9"/>
  <c r="P1940" i="9"/>
  <c r="L1940" i="9"/>
  <c r="K1940" i="9"/>
  <c r="J1940" i="9"/>
  <c r="I1940" i="9"/>
  <c r="H1940" i="9"/>
  <c r="P1939" i="9"/>
  <c r="L1939" i="9"/>
  <c r="K1939" i="9"/>
  <c r="J1939" i="9"/>
  <c r="I1939" i="9"/>
  <c r="H1939" i="9"/>
  <c r="P1938" i="9"/>
  <c r="L1938" i="9"/>
  <c r="K1938" i="9"/>
  <c r="J1938" i="9"/>
  <c r="I1938" i="9"/>
  <c r="H1938" i="9"/>
  <c r="P1937" i="9"/>
  <c r="L1937" i="9"/>
  <c r="K1937" i="9"/>
  <c r="J1937" i="9"/>
  <c r="I1937" i="9"/>
  <c r="H1937" i="9"/>
  <c r="P1936" i="9"/>
  <c r="L1936" i="9"/>
  <c r="K1936" i="9"/>
  <c r="J1936" i="9"/>
  <c r="I1936" i="9"/>
  <c r="H1936" i="9"/>
  <c r="P1935" i="9"/>
  <c r="L1935" i="9"/>
  <c r="K1935" i="9"/>
  <c r="J1935" i="9"/>
  <c r="I1935" i="9"/>
  <c r="H1935" i="9"/>
  <c r="P1934" i="9"/>
  <c r="L1934" i="9"/>
  <c r="K1934" i="9"/>
  <c r="J1934" i="9"/>
  <c r="I1934" i="9"/>
  <c r="H1934" i="9"/>
  <c r="P1933" i="9"/>
  <c r="L1933" i="9"/>
  <c r="K1933" i="9"/>
  <c r="J1933" i="9"/>
  <c r="I1933" i="9"/>
  <c r="H1933" i="9"/>
  <c r="P1932" i="9"/>
  <c r="L1932" i="9"/>
  <c r="K1932" i="9"/>
  <c r="J1932" i="9"/>
  <c r="I1932" i="9"/>
  <c r="H1932" i="9"/>
  <c r="P1931" i="9"/>
  <c r="L1931" i="9"/>
  <c r="K1931" i="9"/>
  <c r="J1931" i="9"/>
  <c r="I1931" i="9"/>
  <c r="H1931" i="9"/>
  <c r="P1930" i="9"/>
  <c r="L1930" i="9"/>
  <c r="K1930" i="9"/>
  <c r="J1930" i="9"/>
  <c r="I1930" i="9"/>
  <c r="H1930" i="9"/>
  <c r="P1929" i="9"/>
  <c r="L1929" i="9"/>
  <c r="K1929" i="9"/>
  <c r="J1929" i="9"/>
  <c r="I1929" i="9"/>
  <c r="H1929" i="9"/>
  <c r="P1928" i="9"/>
  <c r="L1928" i="9"/>
  <c r="K1928" i="9"/>
  <c r="J1928" i="9"/>
  <c r="I1928" i="9"/>
  <c r="H1928" i="9"/>
  <c r="P1927" i="9"/>
  <c r="L1927" i="9"/>
  <c r="K1927" i="9"/>
  <c r="J1927" i="9"/>
  <c r="I1927" i="9"/>
  <c r="H1927" i="9"/>
  <c r="P1926" i="9"/>
  <c r="L1926" i="9"/>
  <c r="K1926" i="9"/>
  <c r="J1926" i="9"/>
  <c r="I1926" i="9"/>
  <c r="H1926" i="9"/>
  <c r="P1925" i="9"/>
  <c r="L1925" i="9"/>
  <c r="K1925" i="9"/>
  <c r="J1925" i="9"/>
  <c r="I1925" i="9"/>
  <c r="H1925" i="9"/>
  <c r="P1924" i="9"/>
  <c r="L1924" i="9"/>
  <c r="K1924" i="9"/>
  <c r="J1924" i="9"/>
  <c r="I1924" i="9"/>
  <c r="H1924" i="9"/>
  <c r="P1923" i="9"/>
  <c r="L1923" i="9"/>
  <c r="K1923" i="9"/>
  <c r="J1923" i="9"/>
  <c r="I1923" i="9"/>
  <c r="H1923" i="9"/>
  <c r="P1922" i="9"/>
  <c r="L1922" i="9"/>
  <c r="K1922" i="9"/>
  <c r="J1922" i="9"/>
  <c r="I1922" i="9"/>
  <c r="H1922" i="9"/>
  <c r="P1921" i="9"/>
  <c r="L1921" i="9"/>
  <c r="K1921" i="9"/>
  <c r="J1921" i="9"/>
  <c r="I1921" i="9"/>
  <c r="H1921" i="9"/>
  <c r="P1920" i="9"/>
  <c r="L1920" i="9"/>
  <c r="K1920" i="9"/>
  <c r="J1920" i="9"/>
  <c r="I1920" i="9"/>
  <c r="H1920" i="9"/>
  <c r="P1919" i="9"/>
  <c r="L1919" i="9"/>
  <c r="K1919" i="9"/>
  <c r="J1919" i="9"/>
  <c r="I1919" i="9"/>
  <c r="H1919" i="9"/>
  <c r="P1918" i="9"/>
  <c r="L1918" i="9"/>
  <c r="K1918" i="9"/>
  <c r="J1918" i="9"/>
  <c r="I1918" i="9"/>
  <c r="H1918" i="9"/>
  <c r="P1917" i="9"/>
  <c r="L1917" i="9"/>
  <c r="K1917" i="9"/>
  <c r="J1917" i="9"/>
  <c r="I1917" i="9"/>
  <c r="H1917" i="9"/>
  <c r="P1916" i="9"/>
  <c r="L1916" i="9"/>
  <c r="K1916" i="9"/>
  <c r="J1916" i="9"/>
  <c r="I1916" i="9"/>
  <c r="H1916" i="9"/>
  <c r="P1915" i="9"/>
  <c r="L1915" i="9"/>
  <c r="K1915" i="9"/>
  <c r="J1915" i="9"/>
  <c r="I1915" i="9"/>
  <c r="H1915" i="9"/>
  <c r="P1914" i="9"/>
  <c r="L1914" i="9"/>
  <c r="K1914" i="9"/>
  <c r="J1914" i="9"/>
  <c r="I1914" i="9"/>
  <c r="H1914" i="9"/>
  <c r="P1913" i="9"/>
  <c r="L1913" i="9"/>
  <c r="K1913" i="9"/>
  <c r="J1913" i="9"/>
  <c r="I1913" i="9"/>
  <c r="H1913" i="9"/>
  <c r="P1912" i="9"/>
  <c r="L1912" i="9"/>
  <c r="K1912" i="9"/>
  <c r="J1912" i="9"/>
  <c r="I1912" i="9"/>
  <c r="H1912" i="9"/>
  <c r="P1911" i="9"/>
  <c r="L1911" i="9"/>
  <c r="K1911" i="9"/>
  <c r="J1911" i="9"/>
  <c r="I1911" i="9"/>
  <c r="H1911" i="9"/>
  <c r="P1910" i="9"/>
  <c r="L1910" i="9"/>
  <c r="K1910" i="9"/>
  <c r="J1910" i="9"/>
  <c r="I1910" i="9"/>
  <c r="H1910" i="9"/>
  <c r="P1909" i="9"/>
  <c r="L1909" i="9"/>
  <c r="K1909" i="9"/>
  <c r="J1909" i="9"/>
  <c r="I1909" i="9"/>
  <c r="H1909" i="9"/>
  <c r="P1908" i="9"/>
  <c r="L1908" i="9"/>
  <c r="K1908" i="9"/>
  <c r="J1908" i="9"/>
  <c r="I1908" i="9"/>
  <c r="H1908" i="9"/>
  <c r="P1907" i="9"/>
  <c r="L1907" i="9"/>
  <c r="K1907" i="9"/>
  <c r="J1907" i="9"/>
  <c r="I1907" i="9"/>
  <c r="H1907" i="9"/>
  <c r="P1906" i="9"/>
  <c r="L1906" i="9"/>
  <c r="K1906" i="9"/>
  <c r="J1906" i="9"/>
  <c r="I1906" i="9"/>
  <c r="H1906" i="9"/>
  <c r="P1905" i="9"/>
  <c r="L1905" i="9"/>
  <c r="K1905" i="9"/>
  <c r="J1905" i="9"/>
  <c r="I1905" i="9"/>
  <c r="H1905" i="9"/>
  <c r="P1904" i="9"/>
  <c r="L1904" i="9"/>
  <c r="K1904" i="9"/>
  <c r="J1904" i="9"/>
  <c r="I1904" i="9"/>
  <c r="H1904" i="9"/>
  <c r="P1903" i="9"/>
  <c r="L1903" i="9"/>
  <c r="K1903" i="9"/>
  <c r="J1903" i="9"/>
  <c r="I1903" i="9"/>
  <c r="H1903" i="9"/>
  <c r="P1902" i="9"/>
  <c r="L1902" i="9"/>
  <c r="K1902" i="9"/>
  <c r="J1902" i="9"/>
  <c r="I1902" i="9"/>
  <c r="H1902" i="9"/>
  <c r="P1901" i="9"/>
  <c r="L1901" i="9"/>
  <c r="K1901" i="9"/>
  <c r="J1901" i="9"/>
  <c r="I1901" i="9"/>
  <c r="H1901" i="9"/>
  <c r="P1900" i="9"/>
  <c r="L1900" i="9"/>
  <c r="K1900" i="9"/>
  <c r="J1900" i="9"/>
  <c r="I1900" i="9"/>
  <c r="H1900" i="9"/>
  <c r="P1899" i="9"/>
  <c r="L1899" i="9"/>
  <c r="K1899" i="9"/>
  <c r="J1899" i="9"/>
  <c r="I1899" i="9"/>
  <c r="H1899" i="9"/>
  <c r="P1898" i="9"/>
  <c r="L1898" i="9"/>
  <c r="K1898" i="9"/>
  <c r="J1898" i="9"/>
  <c r="I1898" i="9"/>
  <c r="H1898" i="9"/>
  <c r="P1897" i="9"/>
  <c r="L1897" i="9"/>
  <c r="K1897" i="9"/>
  <c r="J1897" i="9"/>
  <c r="I1897" i="9"/>
  <c r="H1897" i="9"/>
  <c r="P1896" i="9"/>
  <c r="L1896" i="9"/>
  <c r="K1896" i="9"/>
  <c r="J1896" i="9"/>
  <c r="I1896" i="9"/>
  <c r="H1896" i="9"/>
  <c r="P1895" i="9"/>
  <c r="L1895" i="9"/>
  <c r="K1895" i="9"/>
  <c r="J1895" i="9"/>
  <c r="I1895" i="9"/>
  <c r="H1895" i="9"/>
  <c r="P1894" i="9"/>
  <c r="L1894" i="9"/>
  <c r="K1894" i="9"/>
  <c r="J1894" i="9"/>
  <c r="I1894" i="9"/>
  <c r="H1894" i="9"/>
  <c r="P1893" i="9"/>
  <c r="L1893" i="9"/>
  <c r="K1893" i="9"/>
  <c r="J1893" i="9"/>
  <c r="I1893" i="9"/>
  <c r="H1893" i="9"/>
  <c r="P1892" i="9"/>
  <c r="L1892" i="9"/>
  <c r="K1892" i="9"/>
  <c r="J1892" i="9"/>
  <c r="I1892" i="9"/>
  <c r="H1892" i="9"/>
  <c r="P1891" i="9"/>
  <c r="L1891" i="9"/>
  <c r="K1891" i="9"/>
  <c r="J1891" i="9"/>
  <c r="I1891" i="9"/>
  <c r="H1891" i="9"/>
  <c r="P1890" i="9"/>
  <c r="L1890" i="9"/>
  <c r="K1890" i="9"/>
  <c r="J1890" i="9"/>
  <c r="I1890" i="9"/>
  <c r="H1890" i="9"/>
  <c r="P1889" i="9"/>
  <c r="L1889" i="9"/>
  <c r="K1889" i="9"/>
  <c r="J1889" i="9"/>
  <c r="I1889" i="9"/>
  <c r="H1889" i="9"/>
  <c r="P1888" i="9"/>
  <c r="L1888" i="9"/>
  <c r="K1888" i="9"/>
  <c r="J1888" i="9"/>
  <c r="I1888" i="9"/>
  <c r="H1888" i="9"/>
  <c r="P1887" i="9"/>
  <c r="L1887" i="9"/>
  <c r="K1887" i="9"/>
  <c r="J1887" i="9"/>
  <c r="I1887" i="9"/>
  <c r="H1887" i="9"/>
  <c r="P1886" i="9"/>
  <c r="L1886" i="9"/>
  <c r="K1886" i="9"/>
  <c r="J1886" i="9"/>
  <c r="I1886" i="9"/>
  <c r="H1886" i="9"/>
  <c r="P1885" i="9"/>
  <c r="L1885" i="9"/>
  <c r="K1885" i="9"/>
  <c r="J1885" i="9"/>
  <c r="I1885" i="9"/>
  <c r="H1885" i="9"/>
  <c r="P1884" i="9"/>
  <c r="L1884" i="9"/>
  <c r="K1884" i="9"/>
  <c r="J1884" i="9"/>
  <c r="I1884" i="9"/>
  <c r="H1884" i="9"/>
  <c r="P1883" i="9"/>
  <c r="L1883" i="9"/>
  <c r="K1883" i="9"/>
  <c r="J1883" i="9"/>
  <c r="I1883" i="9"/>
  <c r="H1883" i="9"/>
  <c r="P1882" i="9"/>
  <c r="L1882" i="9"/>
  <c r="K1882" i="9"/>
  <c r="J1882" i="9"/>
  <c r="I1882" i="9"/>
  <c r="H1882" i="9"/>
  <c r="P1881" i="9"/>
  <c r="L1881" i="9"/>
  <c r="K1881" i="9"/>
  <c r="J1881" i="9"/>
  <c r="I1881" i="9"/>
  <c r="H1881" i="9"/>
  <c r="P1880" i="9"/>
  <c r="L1880" i="9"/>
  <c r="K1880" i="9"/>
  <c r="J1880" i="9"/>
  <c r="I1880" i="9"/>
  <c r="H1880" i="9"/>
  <c r="P1879" i="9"/>
  <c r="L1879" i="9"/>
  <c r="K1879" i="9"/>
  <c r="J1879" i="9"/>
  <c r="I1879" i="9"/>
  <c r="H1879" i="9"/>
  <c r="P1878" i="9"/>
  <c r="L1878" i="9"/>
  <c r="K1878" i="9"/>
  <c r="J1878" i="9"/>
  <c r="I1878" i="9"/>
  <c r="H1878" i="9"/>
  <c r="P1877" i="9"/>
  <c r="L1877" i="9"/>
  <c r="K1877" i="9"/>
  <c r="J1877" i="9"/>
  <c r="I1877" i="9"/>
  <c r="H1877" i="9"/>
  <c r="P1876" i="9"/>
  <c r="L1876" i="9"/>
  <c r="K1876" i="9"/>
  <c r="J1876" i="9"/>
  <c r="I1876" i="9"/>
  <c r="H1876" i="9"/>
  <c r="P1875" i="9"/>
  <c r="L1875" i="9"/>
  <c r="K1875" i="9"/>
  <c r="J1875" i="9"/>
  <c r="I1875" i="9"/>
  <c r="H1875" i="9"/>
  <c r="P1874" i="9"/>
  <c r="L1874" i="9"/>
  <c r="K1874" i="9"/>
  <c r="J1874" i="9"/>
  <c r="I1874" i="9"/>
  <c r="H1874" i="9"/>
  <c r="P1873" i="9"/>
  <c r="L1873" i="9"/>
  <c r="K1873" i="9"/>
  <c r="J1873" i="9"/>
  <c r="I1873" i="9"/>
  <c r="H1873" i="9"/>
  <c r="P1872" i="9"/>
  <c r="L1872" i="9"/>
  <c r="K1872" i="9"/>
  <c r="J1872" i="9"/>
  <c r="I1872" i="9"/>
  <c r="H1872" i="9"/>
  <c r="P1871" i="9"/>
  <c r="L1871" i="9"/>
  <c r="K1871" i="9"/>
  <c r="J1871" i="9"/>
  <c r="I1871" i="9"/>
  <c r="H1871" i="9"/>
  <c r="P1870" i="9"/>
  <c r="L1870" i="9"/>
  <c r="K1870" i="9"/>
  <c r="J1870" i="9"/>
  <c r="I1870" i="9"/>
  <c r="H1870" i="9"/>
  <c r="P1869" i="9"/>
  <c r="L1869" i="9"/>
  <c r="K1869" i="9"/>
  <c r="J1869" i="9"/>
  <c r="I1869" i="9"/>
  <c r="H1869" i="9"/>
  <c r="P1868" i="9"/>
  <c r="L1868" i="9"/>
  <c r="K1868" i="9"/>
  <c r="J1868" i="9"/>
  <c r="I1868" i="9"/>
  <c r="H1868" i="9"/>
  <c r="P1867" i="9"/>
  <c r="L1867" i="9"/>
  <c r="K1867" i="9"/>
  <c r="J1867" i="9"/>
  <c r="I1867" i="9"/>
  <c r="H1867" i="9"/>
  <c r="P1866" i="9"/>
  <c r="L1866" i="9"/>
  <c r="K1866" i="9"/>
  <c r="J1866" i="9"/>
  <c r="I1866" i="9"/>
  <c r="H1866" i="9"/>
  <c r="P1865" i="9"/>
  <c r="L1865" i="9"/>
  <c r="K1865" i="9"/>
  <c r="J1865" i="9"/>
  <c r="I1865" i="9"/>
  <c r="H1865" i="9"/>
  <c r="P1864" i="9"/>
  <c r="L1864" i="9"/>
  <c r="K1864" i="9"/>
  <c r="J1864" i="9"/>
  <c r="I1864" i="9"/>
  <c r="H1864" i="9"/>
  <c r="P1863" i="9"/>
  <c r="L1863" i="9"/>
  <c r="K1863" i="9"/>
  <c r="J1863" i="9"/>
  <c r="I1863" i="9"/>
  <c r="H1863" i="9"/>
  <c r="P1862" i="9"/>
  <c r="L1862" i="9"/>
  <c r="K1862" i="9"/>
  <c r="J1862" i="9"/>
  <c r="I1862" i="9"/>
  <c r="H1862" i="9"/>
  <c r="P1861" i="9"/>
  <c r="L1861" i="9"/>
  <c r="K1861" i="9"/>
  <c r="J1861" i="9"/>
  <c r="I1861" i="9"/>
  <c r="H1861" i="9"/>
  <c r="P1860" i="9"/>
  <c r="L1860" i="9"/>
  <c r="K1860" i="9"/>
  <c r="J1860" i="9"/>
  <c r="I1860" i="9"/>
  <c r="H1860" i="9"/>
  <c r="P1859" i="9"/>
  <c r="L1859" i="9"/>
  <c r="K1859" i="9"/>
  <c r="J1859" i="9"/>
  <c r="I1859" i="9"/>
  <c r="H1859" i="9"/>
  <c r="P1858" i="9"/>
  <c r="L1858" i="9"/>
  <c r="K1858" i="9"/>
  <c r="J1858" i="9"/>
  <c r="I1858" i="9"/>
  <c r="H1858" i="9"/>
  <c r="P1857" i="9"/>
  <c r="L1857" i="9"/>
  <c r="K1857" i="9"/>
  <c r="J1857" i="9"/>
  <c r="I1857" i="9"/>
  <c r="H1857" i="9"/>
  <c r="P1856" i="9"/>
  <c r="L1856" i="9"/>
  <c r="K1856" i="9"/>
  <c r="J1856" i="9"/>
  <c r="I1856" i="9"/>
  <c r="H1856" i="9"/>
  <c r="P1855" i="9"/>
  <c r="L1855" i="9"/>
  <c r="K1855" i="9"/>
  <c r="J1855" i="9"/>
  <c r="I1855" i="9"/>
  <c r="H1855" i="9"/>
  <c r="P1854" i="9"/>
  <c r="L1854" i="9"/>
  <c r="K1854" i="9"/>
  <c r="J1854" i="9"/>
  <c r="I1854" i="9"/>
  <c r="H1854" i="9"/>
  <c r="P1853" i="9"/>
  <c r="L1853" i="9"/>
  <c r="K1853" i="9"/>
  <c r="J1853" i="9"/>
  <c r="I1853" i="9"/>
  <c r="H1853" i="9"/>
  <c r="P1852" i="9"/>
  <c r="L1852" i="9"/>
  <c r="K1852" i="9"/>
  <c r="J1852" i="9"/>
  <c r="I1852" i="9"/>
  <c r="H1852" i="9"/>
  <c r="P1851" i="9"/>
  <c r="L1851" i="9"/>
  <c r="K1851" i="9"/>
  <c r="J1851" i="9"/>
  <c r="I1851" i="9"/>
  <c r="H1851" i="9"/>
  <c r="P1850" i="9"/>
  <c r="L1850" i="9"/>
  <c r="K1850" i="9"/>
  <c r="J1850" i="9"/>
  <c r="I1850" i="9"/>
  <c r="H1850" i="9"/>
  <c r="P1849" i="9"/>
  <c r="L1849" i="9"/>
  <c r="K1849" i="9"/>
  <c r="J1849" i="9"/>
  <c r="I1849" i="9"/>
  <c r="H1849" i="9"/>
  <c r="P1848" i="9"/>
  <c r="L1848" i="9"/>
  <c r="K1848" i="9"/>
  <c r="J1848" i="9"/>
  <c r="I1848" i="9"/>
  <c r="H1848" i="9"/>
  <c r="P1847" i="9"/>
  <c r="L1847" i="9"/>
  <c r="K1847" i="9"/>
  <c r="J1847" i="9"/>
  <c r="I1847" i="9"/>
  <c r="H1847" i="9"/>
  <c r="P1846" i="9"/>
  <c r="L1846" i="9"/>
  <c r="K1846" i="9"/>
  <c r="J1846" i="9"/>
  <c r="I1846" i="9"/>
  <c r="H1846" i="9"/>
  <c r="P1845" i="9"/>
  <c r="L1845" i="9"/>
  <c r="K1845" i="9"/>
  <c r="J1845" i="9"/>
  <c r="I1845" i="9"/>
  <c r="H1845" i="9"/>
  <c r="P1844" i="9"/>
  <c r="L1844" i="9"/>
  <c r="K1844" i="9"/>
  <c r="J1844" i="9"/>
  <c r="I1844" i="9"/>
  <c r="H1844" i="9"/>
  <c r="P1843" i="9"/>
  <c r="L1843" i="9"/>
  <c r="K1843" i="9"/>
  <c r="J1843" i="9"/>
  <c r="I1843" i="9"/>
  <c r="H1843" i="9"/>
  <c r="P1842" i="9"/>
  <c r="L1842" i="9"/>
  <c r="K1842" i="9"/>
  <c r="J1842" i="9"/>
  <c r="I1842" i="9"/>
  <c r="H1842" i="9"/>
  <c r="P1841" i="9"/>
  <c r="L1841" i="9"/>
  <c r="K1841" i="9"/>
  <c r="J1841" i="9"/>
  <c r="I1841" i="9"/>
  <c r="H1841" i="9"/>
  <c r="P1840" i="9"/>
  <c r="L1840" i="9"/>
  <c r="K1840" i="9"/>
  <c r="J1840" i="9"/>
  <c r="I1840" i="9"/>
  <c r="H1840" i="9"/>
  <c r="P1839" i="9"/>
  <c r="L1839" i="9"/>
  <c r="K1839" i="9"/>
  <c r="J1839" i="9"/>
  <c r="I1839" i="9"/>
  <c r="H1839" i="9"/>
  <c r="P1838" i="9"/>
  <c r="L1838" i="9"/>
  <c r="K1838" i="9"/>
  <c r="J1838" i="9"/>
  <c r="I1838" i="9"/>
  <c r="H1838" i="9"/>
  <c r="P1837" i="9"/>
  <c r="L1837" i="9"/>
  <c r="K1837" i="9"/>
  <c r="J1837" i="9"/>
  <c r="I1837" i="9"/>
  <c r="H1837" i="9"/>
  <c r="P1836" i="9"/>
  <c r="L1836" i="9"/>
  <c r="K1836" i="9"/>
  <c r="J1836" i="9"/>
  <c r="I1836" i="9"/>
  <c r="H1836" i="9"/>
  <c r="P1835" i="9"/>
  <c r="L1835" i="9"/>
  <c r="K1835" i="9"/>
  <c r="J1835" i="9"/>
  <c r="I1835" i="9"/>
  <c r="H1835" i="9"/>
  <c r="P1834" i="9"/>
  <c r="L1834" i="9"/>
  <c r="K1834" i="9"/>
  <c r="J1834" i="9"/>
  <c r="I1834" i="9"/>
  <c r="H1834" i="9"/>
  <c r="P1833" i="9"/>
  <c r="L1833" i="9"/>
  <c r="K1833" i="9"/>
  <c r="J1833" i="9"/>
  <c r="I1833" i="9"/>
  <c r="H1833" i="9"/>
  <c r="P1832" i="9"/>
  <c r="L1832" i="9"/>
  <c r="K1832" i="9"/>
  <c r="J1832" i="9"/>
  <c r="I1832" i="9"/>
  <c r="H1832" i="9"/>
  <c r="P1831" i="9"/>
  <c r="L1831" i="9"/>
  <c r="K1831" i="9"/>
  <c r="J1831" i="9"/>
  <c r="I1831" i="9"/>
  <c r="H1831" i="9"/>
  <c r="P1830" i="9"/>
  <c r="L1830" i="9"/>
  <c r="K1830" i="9"/>
  <c r="J1830" i="9"/>
  <c r="I1830" i="9"/>
  <c r="H1830" i="9"/>
  <c r="P1829" i="9"/>
  <c r="L1829" i="9"/>
  <c r="K1829" i="9"/>
  <c r="J1829" i="9"/>
  <c r="I1829" i="9"/>
  <c r="H1829" i="9"/>
  <c r="P1828" i="9"/>
  <c r="L1828" i="9"/>
  <c r="K1828" i="9"/>
  <c r="J1828" i="9"/>
  <c r="I1828" i="9"/>
  <c r="H1828" i="9"/>
  <c r="P1827" i="9"/>
  <c r="L1827" i="9"/>
  <c r="K1827" i="9"/>
  <c r="J1827" i="9"/>
  <c r="I1827" i="9"/>
  <c r="H1827" i="9"/>
  <c r="P1826" i="9"/>
  <c r="L1826" i="9"/>
  <c r="K1826" i="9"/>
  <c r="J1826" i="9"/>
  <c r="I1826" i="9"/>
  <c r="H1826" i="9"/>
  <c r="P1825" i="9"/>
  <c r="L1825" i="9"/>
  <c r="K1825" i="9"/>
  <c r="J1825" i="9"/>
  <c r="I1825" i="9"/>
  <c r="H1825" i="9"/>
  <c r="P1824" i="9"/>
  <c r="L1824" i="9"/>
  <c r="K1824" i="9"/>
  <c r="J1824" i="9"/>
  <c r="I1824" i="9"/>
  <c r="H1824" i="9"/>
  <c r="P1823" i="9"/>
  <c r="L1823" i="9"/>
  <c r="K1823" i="9"/>
  <c r="J1823" i="9"/>
  <c r="I1823" i="9"/>
  <c r="H1823" i="9"/>
  <c r="P1822" i="9"/>
  <c r="L1822" i="9"/>
  <c r="K1822" i="9"/>
  <c r="J1822" i="9"/>
  <c r="I1822" i="9"/>
  <c r="H1822" i="9"/>
  <c r="P1821" i="9"/>
  <c r="L1821" i="9"/>
  <c r="K1821" i="9"/>
  <c r="J1821" i="9"/>
  <c r="I1821" i="9"/>
  <c r="H1821" i="9"/>
  <c r="P1820" i="9"/>
  <c r="L1820" i="9"/>
  <c r="K1820" i="9"/>
  <c r="J1820" i="9"/>
  <c r="I1820" i="9"/>
  <c r="H1820" i="9"/>
  <c r="P1819" i="9"/>
  <c r="L1819" i="9"/>
  <c r="K1819" i="9"/>
  <c r="J1819" i="9"/>
  <c r="I1819" i="9"/>
  <c r="H1819" i="9"/>
  <c r="P1818" i="9"/>
  <c r="L1818" i="9"/>
  <c r="K1818" i="9"/>
  <c r="J1818" i="9"/>
  <c r="I1818" i="9"/>
  <c r="H1818" i="9"/>
  <c r="P1817" i="9"/>
  <c r="L1817" i="9"/>
  <c r="K1817" i="9"/>
  <c r="J1817" i="9"/>
  <c r="I1817" i="9"/>
  <c r="H1817" i="9"/>
  <c r="P1816" i="9"/>
  <c r="L1816" i="9"/>
  <c r="K1816" i="9"/>
  <c r="J1816" i="9"/>
  <c r="I1816" i="9"/>
  <c r="H1816" i="9"/>
  <c r="P1815" i="9"/>
  <c r="L1815" i="9"/>
  <c r="K1815" i="9"/>
  <c r="J1815" i="9"/>
  <c r="I1815" i="9"/>
  <c r="H1815" i="9"/>
  <c r="P1814" i="9"/>
  <c r="L1814" i="9"/>
  <c r="K1814" i="9"/>
  <c r="J1814" i="9"/>
  <c r="I1814" i="9"/>
  <c r="H1814" i="9"/>
  <c r="P1813" i="9"/>
  <c r="L1813" i="9"/>
  <c r="K1813" i="9"/>
  <c r="J1813" i="9"/>
  <c r="I1813" i="9"/>
  <c r="H1813" i="9"/>
  <c r="P1812" i="9"/>
  <c r="L1812" i="9"/>
  <c r="K1812" i="9"/>
  <c r="J1812" i="9"/>
  <c r="I1812" i="9"/>
  <c r="H1812" i="9"/>
  <c r="P1811" i="9"/>
  <c r="L1811" i="9"/>
  <c r="K1811" i="9"/>
  <c r="J1811" i="9"/>
  <c r="I1811" i="9"/>
  <c r="H1811" i="9"/>
  <c r="P1810" i="9"/>
  <c r="L1810" i="9"/>
  <c r="K1810" i="9"/>
  <c r="J1810" i="9"/>
  <c r="I1810" i="9"/>
  <c r="H1810" i="9"/>
  <c r="P1809" i="9"/>
  <c r="L1809" i="9"/>
  <c r="K1809" i="9"/>
  <c r="J1809" i="9"/>
  <c r="I1809" i="9"/>
  <c r="H1809" i="9"/>
  <c r="P1808" i="9"/>
  <c r="L1808" i="9"/>
  <c r="K1808" i="9"/>
  <c r="J1808" i="9"/>
  <c r="I1808" i="9"/>
  <c r="H1808" i="9"/>
  <c r="P1807" i="9"/>
  <c r="L1807" i="9"/>
  <c r="K1807" i="9"/>
  <c r="J1807" i="9"/>
  <c r="I1807" i="9"/>
  <c r="H1807" i="9"/>
  <c r="P1806" i="9"/>
  <c r="L1806" i="9"/>
  <c r="K1806" i="9"/>
  <c r="J1806" i="9"/>
  <c r="I1806" i="9"/>
  <c r="H1806" i="9"/>
  <c r="P1805" i="9"/>
  <c r="L1805" i="9"/>
  <c r="K1805" i="9"/>
  <c r="J1805" i="9"/>
  <c r="I1805" i="9"/>
  <c r="H1805" i="9"/>
  <c r="P1804" i="9"/>
  <c r="L1804" i="9"/>
  <c r="K1804" i="9"/>
  <c r="J1804" i="9"/>
  <c r="I1804" i="9"/>
  <c r="H1804" i="9"/>
  <c r="P1803" i="9"/>
  <c r="L1803" i="9"/>
  <c r="K1803" i="9"/>
  <c r="J1803" i="9"/>
  <c r="I1803" i="9"/>
  <c r="H1803" i="9"/>
  <c r="P1802" i="9"/>
  <c r="L1802" i="9"/>
  <c r="K1802" i="9"/>
  <c r="J1802" i="9"/>
  <c r="I1802" i="9"/>
  <c r="H1802" i="9"/>
  <c r="P1801" i="9"/>
  <c r="L1801" i="9"/>
  <c r="K1801" i="9"/>
  <c r="J1801" i="9"/>
  <c r="I1801" i="9"/>
  <c r="H1801" i="9"/>
  <c r="P1800" i="9"/>
  <c r="L1800" i="9"/>
  <c r="K1800" i="9"/>
  <c r="J1800" i="9"/>
  <c r="I1800" i="9"/>
  <c r="H1800" i="9"/>
  <c r="P1799" i="9"/>
  <c r="L1799" i="9"/>
  <c r="K1799" i="9"/>
  <c r="J1799" i="9"/>
  <c r="I1799" i="9"/>
  <c r="H1799" i="9"/>
  <c r="P1798" i="9"/>
  <c r="L1798" i="9"/>
  <c r="K1798" i="9"/>
  <c r="J1798" i="9"/>
  <c r="I1798" i="9"/>
  <c r="H1798" i="9"/>
  <c r="P1797" i="9"/>
  <c r="L1797" i="9"/>
  <c r="K1797" i="9"/>
  <c r="J1797" i="9"/>
  <c r="I1797" i="9"/>
  <c r="H1797" i="9"/>
  <c r="P1796" i="9"/>
  <c r="L1796" i="9"/>
  <c r="K1796" i="9"/>
  <c r="J1796" i="9"/>
  <c r="I1796" i="9"/>
  <c r="H1796" i="9"/>
  <c r="P1795" i="9"/>
  <c r="L1795" i="9"/>
  <c r="K1795" i="9"/>
  <c r="J1795" i="9"/>
  <c r="I1795" i="9"/>
  <c r="H1795" i="9"/>
  <c r="P1794" i="9"/>
  <c r="L1794" i="9"/>
  <c r="K1794" i="9"/>
  <c r="J1794" i="9"/>
  <c r="I1794" i="9"/>
  <c r="H1794" i="9"/>
  <c r="P1793" i="9"/>
  <c r="L1793" i="9"/>
  <c r="K1793" i="9"/>
  <c r="J1793" i="9"/>
  <c r="I1793" i="9"/>
  <c r="H1793" i="9"/>
  <c r="P1792" i="9"/>
  <c r="L1792" i="9"/>
  <c r="K1792" i="9"/>
  <c r="J1792" i="9"/>
  <c r="I1792" i="9"/>
  <c r="H1792" i="9"/>
  <c r="P1791" i="9"/>
  <c r="L1791" i="9"/>
  <c r="K1791" i="9"/>
  <c r="J1791" i="9"/>
  <c r="I1791" i="9"/>
  <c r="H1791" i="9"/>
  <c r="P1790" i="9"/>
  <c r="L1790" i="9"/>
  <c r="K1790" i="9"/>
  <c r="J1790" i="9"/>
  <c r="I1790" i="9"/>
  <c r="H1790" i="9"/>
  <c r="P1789" i="9"/>
  <c r="L1789" i="9"/>
  <c r="K1789" i="9"/>
  <c r="J1789" i="9"/>
  <c r="I1789" i="9"/>
  <c r="H1789" i="9"/>
  <c r="P1788" i="9"/>
  <c r="L1788" i="9"/>
  <c r="K1788" i="9"/>
  <c r="J1788" i="9"/>
  <c r="I1788" i="9"/>
  <c r="H1788" i="9"/>
  <c r="P1787" i="9"/>
  <c r="L1787" i="9"/>
  <c r="K1787" i="9"/>
  <c r="J1787" i="9"/>
  <c r="I1787" i="9"/>
  <c r="H1787" i="9"/>
  <c r="P1786" i="9"/>
  <c r="L1786" i="9"/>
  <c r="K1786" i="9"/>
  <c r="J1786" i="9"/>
  <c r="I1786" i="9"/>
  <c r="H1786" i="9"/>
  <c r="P1785" i="9"/>
  <c r="L1785" i="9"/>
  <c r="K1785" i="9"/>
  <c r="J1785" i="9"/>
  <c r="I1785" i="9"/>
  <c r="H1785" i="9"/>
  <c r="P1784" i="9"/>
  <c r="L1784" i="9"/>
  <c r="K1784" i="9"/>
  <c r="J1784" i="9"/>
  <c r="I1784" i="9"/>
  <c r="H1784" i="9"/>
  <c r="P1783" i="9"/>
  <c r="L1783" i="9"/>
  <c r="K1783" i="9"/>
  <c r="J1783" i="9"/>
  <c r="I1783" i="9"/>
  <c r="H1783" i="9"/>
  <c r="P1782" i="9"/>
  <c r="L1782" i="9"/>
  <c r="K1782" i="9"/>
  <c r="J1782" i="9"/>
  <c r="I1782" i="9"/>
  <c r="H1782" i="9"/>
  <c r="P1781" i="9"/>
  <c r="L1781" i="9"/>
  <c r="K1781" i="9"/>
  <c r="J1781" i="9"/>
  <c r="I1781" i="9"/>
  <c r="H1781" i="9"/>
  <c r="P1780" i="9"/>
  <c r="L1780" i="9"/>
  <c r="K1780" i="9"/>
  <c r="J1780" i="9"/>
  <c r="I1780" i="9"/>
  <c r="H1780" i="9"/>
  <c r="P1779" i="9"/>
  <c r="L1779" i="9"/>
  <c r="K1779" i="9"/>
  <c r="J1779" i="9"/>
  <c r="I1779" i="9"/>
  <c r="H1779" i="9"/>
  <c r="P1778" i="9"/>
  <c r="L1778" i="9"/>
  <c r="K1778" i="9"/>
  <c r="J1778" i="9"/>
  <c r="I1778" i="9"/>
  <c r="H1778" i="9"/>
  <c r="P1777" i="9"/>
  <c r="L1777" i="9"/>
  <c r="K1777" i="9"/>
  <c r="J1777" i="9"/>
  <c r="I1777" i="9"/>
  <c r="H1777" i="9"/>
  <c r="P1776" i="9"/>
  <c r="L1776" i="9"/>
  <c r="K1776" i="9"/>
  <c r="J1776" i="9"/>
  <c r="I1776" i="9"/>
  <c r="H1776" i="9"/>
  <c r="P1775" i="9"/>
  <c r="L1775" i="9"/>
  <c r="K1775" i="9"/>
  <c r="J1775" i="9"/>
  <c r="I1775" i="9"/>
  <c r="H1775" i="9"/>
  <c r="P1774" i="9"/>
  <c r="L1774" i="9"/>
  <c r="K1774" i="9"/>
  <c r="J1774" i="9"/>
  <c r="I1774" i="9"/>
  <c r="H1774" i="9"/>
  <c r="P1773" i="9"/>
  <c r="L1773" i="9"/>
  <c r="K1773" i="9"/>
  <c r="J1773" i="9"/>
  <c r="I1773" i="9"/>
  <c r="H1773" i="9"/>
  <c r="P1772" i="9"/>
  <c r="L1772" i="9"/>
  <c r="K1772" i="9"/>
  <c r="J1772" i="9"/>
  <c r="I1772" i="9"/>
  <c r="H1772" i="9"/>
  <c r="P1771" i="9"/>
  <c r="L1771" i="9"/>
  <c r="K1771" i="9"/>
  <c r="J1771" i="9"/>
  <c r="I1771" i="9"/>
  <c r="H1771" i="9"/>
  <c r="P1770" i="9"/>
  <c r="L1770" i="9"/>
  <c r="K1770" i="9"/>
  <c r="J1770" i="9"/>
  <c r="I1770" i="9"/>
  <c r="H1770" i="9"/>
  <c r="P1769" i="9"/>
  <c r="L1769" i="9"/>
  <c r="K1769" i="9"/>
  <c r="J1769" i="9"/>
  <c r="I1769" i="9"/>
  <c r="H1769" i="9"/>
  <c r="P1768" i="9"/>
  <c r="L1768" i="9"/>
  <c r="K1768" i="9"/>
  <c r="J1768" i="9"/>
  <c r="I1768" i="9"/>
  <c r="H1768" i="9"/>
  <c r="P1767" i="9"/>
  <c r="L1767" i="9"/>
  <c r="K1767" i="9"/>
  <c r="J1767" i="9"/>
  <c r="I1767" i="9"/>
  <c r="H1767" i="9"/>
  <c r="P1766" i="9"/>
  <c r="L1766" i="9"/>
  <c r="K1766" i="9"/>
  <c r="J1766" i="9"/>
  <c r="I1766" i="9"/>
  <c r="H1766" i="9"/>
  <c r="P1765" i="9"/>
  <c r="L1765" i="9"/>
  <c r="K1765" i="9"/>
  <c r="J1765" i="9"/>
  <c r="I1765" i="9"/>
  <c r="H1765" i="9"/>
  <c r="P1764" i="9"/>
  <c r="L1764" i="9"/>
  <c r="K1764" i="9"/>
  <c r="J1764" i="9"/>
  <c r="I1764" i="9"/>
  <c r="H1764" i="9"/>
  <c r="P1763" i="9"/>
  <c r="L1763" i="9"/>
  <c r="K1763" i="9"/>
  <c r="J1763" i="9"/>
  <c r="I1763" i="9"/>
  <c r="H1763" i="9"/>
  <c r="P1762" i="9"/>
  <c r="L1762" i="9"/>
  <c r="K1762" i="9"/>
  <c r="J1762" i="9"/>
  <c r="I1762" i="9"/>
  <c r="H1762" i="9"/>
  <c r="P1761" i="9"/>
  <c r="L1761" i="9"/>
  <c r="K1761" i="9"/>
  <c r="J1761" i="9"/>
  <c r="I1761" i="9"/>
  <c r="H1761" i="9"/>
  <c r="P1760" i="9"/>
  <c r="L1760" i="9"/>
  <c r="K1760" i="9"/>
  <c r="J1760" i="9"/>
  <c r="I1760" i="9"/>
  <c r="H1760" i="9"/>
  <c r="P1759" i="9"/>
  <c r="L1759" i="9"/>
  <c r="K1759" i="9"/>
  <c r="J1759" i="9"/>
  <c r="I1759" i="9"/>
  <c r="H1759" i="9"/>
  <c r="P1758" i="9"/>
  <c r="L1758" i="9"/>
  <c r="K1758" i="9"/>
  <c r="J1758" i="9"/>
  <c r="I1758" i="9"/>
  <c r="H1758" i="9"/>
  <c r="P1757" i="9"/>
  <c r="L1757" i="9"/>
  <c r="K1757" i="9"/>
  <c r="J1757" i="9"/>
  <c r="I1757" i="9"/>
  <c r="H1757" i="9"/>
  <c r="P1756" i="9"/>
  <c r="L1756" i="9"/>
  <c r="K1756" i="9"/>
  <c r="J1756" i="9"/>
  <c r="I1756" i="9"/>
  <c r="H1756" i="9"/>
  <c r="P1755" i="9"/>
  <c r="L1755" i="9"/>
  <c r="K1755" i="9"/>
  <c r="J1755" i="9"/>
  <c r="I1755" i="9"/>
  <c r="H1755" i="9"/>
  <c r="P1754" i="9"/>
  <c r="L1754" i="9"/>
  <c r="K1754" i="9"/>
  <c r="J1754" i="9"/>
  <c r="I1754" i="9"/>
  <c r="H1754" i="9"/>
  <c r="P1753" i="9"/>
  <c r="L1753" i="9"/>
  <c r="K1753" i="9"/>
  <c r="J1753" i="9"/>
  <c r="I1753" i="9"/>
  <c r="H1753" i="9"/>
  <c r="P1752" i="9"/>
  <c r="L1752" i="9"/>
  <c r="K1752" i="9"/>
  <c r="J1752" i="9"/>
  <c r="I1752" i="9"/>
  <c r="H1752" i="9"/>
  <c r="P1751" i="9"/>
  <c r="L1751" i="9"/>
  <c r="K1751" i="9"/>
  <c r="J1751" i="9"/>
  <c r="I1751" i="9"/>
  <c r="H1751" i="9"/>
  <c r="P1750" i="9"/>
  <c r="L1750" i="9"/>
  <c r="K1750" i="9"/>
  <c r="J1750" i="9"/>
  <c r="I1750" i="9"/>
  <c r="H1750" i="9"/>
  <c r="P1749" i="9"/>
  <c r="L1749" i="9"/>
  <c r="K1749" i="9"/>
  <c r="J1749" i="9"/>
  <c r="I1749" i="9"/>
  <c r="H1749" i="9"/>
  <c r="P1748" i="9"/>
  <c r="L1748" i="9"/>
  <c r="K1748" i="9"/>
  <c r="J1748" i="9"/>
  <c r="I1748" i="9"/>
  <c r="H1748" i="9"/>
  <c r="P1747" i="9"/>
  <c r="L1747" i="9"/>
  <c r="K1747" i="9"/>
  <c r="J1747" i="9"/>
  <c r="I1747" i="9"/>
  <c r="H1747" i="9"/>
  <c r="P1746" i="9"/>
  <c r="L1746" i="9"/>
  <c r="K1746" i="9"/>
  <c r="J1746" i="9"/>
  <c r="I1746" i="9"/>
  <c r="H1746" i="9"/>
  <c r="P1745" i="9"/>
  <c r="L1745" i="9"/>
  <c r="K1745" i="9"/>
  <c r="J1745" i="9"/>
  <c r="I1745" i="9"/>
  <c r="H1745" i="9"/>
  <c r="P1744" i="9"/>
  <c r="L1744" i="9"/>
  <c r="K1744" i="9"/>
  <c r="J1744" i="9"/>
  <c r="I1744" i="9"/>
  <c r="H1744" i="9"/>
  <c r="P1743" i="9"/>
  <c r="L1743" i="9"/>
  <c r="K1743" i="9"/>
  <c r="J1743" i="9"/>
  <c r="I1743" i="9"/>
  <c r="H1743" i="9"/>
  <c r="P1742" i="9"/>
  <c r="L1742" i="9"/>
  <c r="K1742" i="9"/>
  <c r="J1742" i="9"/>
  <c r="I1742" i="9"/>
  <c r="H1742" i="9"/>
  <c r="P1741" i="9"/>
  <c r="L1741" i="9"/>
  <c r="K1741" i="9"/>
  <c r="J1741" i="9"/>
  <c r="I1741" i="9"/>
  <c r="H1741" i="9"/>
  <c r="P1740" i="9"/>
  <c r="L1740" i="9"/>
  <c r="K1740" i="9"/>
  <c r="J1740" i="9"/>
  <c r="I1740" i="9"/>
  <c r="H1740" i="9"/>
  <c r="P1739" i="9"/>
  <c r="L1739" i="9"/>
  <c r="K1739" i="9"/>
  <c r="J1739" i="9"/>
  <c r="I1739" i="9"/>
  <c r="H1739" i="9"/>
  <c r="P1738" i="9"/>
  <c r="L1738" i="9"/>
  <c r="K1738" i="9"/>
  <c r="J1738" i="9"/>
  <c r="I1738" i="9"/>
  <c r="H1738" i="9"/>
  <c r="P1737" i="9"/>
  <c r="L1737" i="9"/>
  <c r="K1737" i="9"/>
  <c r="J1737" i="9"/>
  <c r="I1737" i="9"/>
  <c r="H1737" i="9"/>
  <c r="P1736" i="9"/>
  <c r="L1736" i="9"/>
  <c r="K1736" i="9"/>
  <c r="J1736" i="9"/>
  <c r="I1736" i="9"/>
  <c r="H1736" i="9"/>
  <c r="P1735" i="9"/>
  <c r="L1735" i="9"/>
  <c r="K1735" i="9"/>
  <c r="J1735" i="9"/>
  <c r="I1735" i="9"/>
  <c r="H1735" i="9"/>
  <c r="P1734" i="9"/>
  <c r="L1734" i="9"/>
  <c r="K1734" i="9"/>
  <c r="J1734" i="9"/>
  <c r="I1734" i="9"/>
  <c r="H1734" i="9"/>
  <c r="P1733" i="9"/>
  <c r="L1733" i="9"/>
  <c r="K1733" i="9"/>
  <c r="J1733" i="9"/>
  <c r="I1733" i="9"/>
  <c r="H1733" i="9"/>
  <c r="P1732" i="9"/>
  <c r="L1732" i="9"/>
  <c r="K1732" i="9"/>
  <c r="J1732" i="9"/>
  <c r="I1732" i="9"/>
  <c r="H1732" i="9"/>
  <c r="P1731" i="9"/>
  <c r="L1731" i="9"/>
  <c r="K1731" i="9"/>
  <c r="J1731" i="9"/>
  <c r="I1731" i="9"/>
  <c r="H1731" i="9"/>
  <c r="P1730" i="9"/>
  <c r="L1730" i="9"/>
  <c r="K1730" i="9"/>
  <c r="J1730" i="9"/>
  <c r="I1730" i="9"/>
  <c r="H1730" i="9"/>
  <c r="P1729" i="9"/>
  <c r="L1729" i="9"/>
  <c r="K1729" i="9"/>
  <c r="J1729" i="9"/>
  <c r="I1729" i="9"/>
  <c r="H1729" i="9"/>
  <c r="P1728" i="9"/>
  <c r="L1728" i="9"/>
  <c r="K1728" i="9"/>
  <c r="J1728" i="9"/>
  <c r="I1728" i="9"/>
  <c r="H1728" i="9"/>
  <c r="P1727" i="9"/>
  <c r="L1727" i="9"/>
  <c r="K1727" i="9"/>
  <c r="J1727" i="9"/>
  <c r="I1727" i="9"/>
  <c r="H1727" i="9"/>
  <c r="P1726" i="9"/>
  <c r="L1726" i="9"/>
  <c r="K1726" i="9"/>
  <c r="J1726" i="9"/>
  <c r="I1726" i="9"/>
  <c r="H1726" i="9"/>
  <c r="P1725" i="9"/>
  <c r="L1725" i="9"/>
  <c r="K1725" i="9"/>
  <c r="J1725" i="9"/>
  <c r="I1725" i="9"/>
  <c r="H1725" i="9"/>
  <c r="P1724" i="9"/>
  <c r="L1724" i="9"/>
  <c r="K1724" i="9"/>
  <c r="J1724" i="9"/>
  <c r="I1724" i="9"/>
  <c r="H1724" i="9"/>
  <c r="P1723" i="9"/>
  <c r="L1723" i="9"/>
  <c r="K1723" i="9"/>
  <c r="J1723" i="9"/>
  <c r="I1723" i="9"/>
  <c r="H1723" i="9"/>
  <c r="P1722" i="9"/>
  <c r="L1722" i="9"/>
  <c r="K1722" i="9"/>
  <c r="J1722" i="9"/>
  <c r="I1722" i="9"/>
  <c r="H1722" i="9"/>
  <c r="P1721" i="9"/>
  <c r="L1721" i="9"/>
  <c r="K1721" i="9"/>
  <c r="J1721" i="9"/>
  <c r="I1721" i="9"/>
  <c r="H1721" i="9"/>
  <c r="P1720" i="9"/>
  <c r="L1720" i="9"/>
  <c r="K1720" i="9"/>
  <c r="J1720" i="9"/>
  <c r="I1720" i="9"/>
  <c r="H1720" i="9"/>
  <c r="P1719" i="9"/>
  <c r="L1719" i="9"/>
  <c r="K1719" i="9"/>
  <c r="J1719" i="9"/>
  <c r="I1719" i="9"/>
  <c r="H1719" i="9"/>
  <c r="P1718" i="9"/>
  <c r="L1718" i="9"/>
  <c r="K1718" i="9"/>
  <c r="J1718" i="9"/>
  <c r="I1718" i="9"/>
  <c r="H1718" i="9"/>
  <c r="P1717" i="9"/>
  <c r="L1717" i="9"/>
  <c r="K1717" i="9"/>
  <c r="J1717" i="9"/>
  <c r="I1717" i="9"/>
  <c r="H1717" i="9"/>
  <c r="P1716" i="9"/>
  <c r="L1716" i="9"/>
  <c r="K1716" i="9"/>
  <c r="J1716" i="9"/>
  <c r="I1716" i="9"/>
  <c r="H1716" i="9"/>
  <c r="P1715" i="9"/>
  <c r="L1715" i="9"/>
  <c r="K1715" i="9"/>
  <c r="J1715" i="9"/>
  <c r="I1715" i="9"/>
  <c r="H1715" i="9"/>
  <c r="P1714" i="9"/>
  <c r="L1714" i="9"/>
  <c r="K1714" i="9"/>
  <c r="J1714" i="9"/>
  <c r="I1714" i="9"/>
  <c r="H1714" i="9"/>
  <c r="P1713" i="9"/>
  <c r="L1713" i="9"/>
  <c r="K1713" i="9"/>
  <c r="J1713" i="9"/>
  <c r="I1713" i="9"/>
  <c r="H1713" i="9"/>
  <c r="P1712" i="9"/>
  <c r="L1712" i="9"/>
  <c r="K1712" i="9"/>
  <c r="J1712" i="9"/>
  <c r="I1712" i="9"/>
  <c r="H1712" i="9"/>
  <c r="P1711" i="9"/>
  <c r="L1711" i="9"/>
  <c r="K1711" i="9"/>
  <c r="J1711" i="9"/>
  <c r="I1711" i="9"/>
  <c r="H1711" i="9"/>
  <c r="P1710" i="9"/>
  <c r="L1710" i="9"/>
  <c r="K1710" i="9"/>
  <c r="J1710" i="9"/>
  <c r="I1710" i="9"/>
  <c r="H1710" i="9"/>
  <c r="P1709" i="9"/>
  <c r="L1709" i="9"/>
  <c r="K1709" i="9"/>
  <c r="J1709" i="9"/>
  <c r="I1709" i="9"/>
  <c r="H1709" i="9"/>
  <c r="P1708" i="9"/>
  <c r="L1708" i="9"/>
  <c r="K1708" i="9"/>
  <c r="J1708" i="9"/>
  <c r="I1708" i="9"/>
  <c r="H1708" i="9"/>
  <c r="P1707" i="9"/>
  <c r="L1707" i="9"/>
  <c r="K1707" i="9"/>
  <c r="J1707" i="9"/>
  <c r="I1707" i="9"/>
  <c r="H1707" i="9"/>
  <c r="P1706" i="9"/>
  <c r="L1706" i="9"/>
  <c r="K1706" i="9"/>
  <c r="J1706" i="9"/>
  <c r="I1706" i="9"/>
  <c r="H1706" i="9"/>
  <c r="P1705" i="9"/>
  <c r="L1705" i="9"/>
  <c r="K1705" i="9"/>
  <c r="J1705" i="9"/>
  <c r="I1705" i="9"/>
  <c r="H1705" i="9"/>
  <c r="P1704" i="9"/>
  <c r="L1704" i="9"/>
  <c r="K1704" i="9"/>
  <c r="J1704" i="9"/>
  <c r="I1704" i="9"/>
  <c r="H1704" i="9"/>
  <c r="P1703" i="9"/>
  <c r="L1703" i="9"/>
  <c r="K1703" i="9"/>
  <c r="J1703" i="9"/>
  <c r="I1703" i="9"/>
  <c r="H1703" i="9"/>
  <c r="P1702" i="9"/>
  <c r="L1702" i="9"/>
  <c r="K1702" i="9"/>
  <c r="J1702" i="9"/>
  <c r="I1702" i="9"/>
  <c r="H1702" i="9"/>
  <c r="P1701" i="9"/>
  <c r="L1701" i="9"/>
  <c r="K1701" i="9"/>
  <c r="J1701" i="9"/>
  <c r="I1701" i="9"/>
  <c r="H1701" i="9"/>
  <c r="P1700" i="9"/>
  <c r="L1700" i="9"/>
  <c r="K1700" i="9"/>
  <c r="J1700" i="9"/>
  <c r="I1700" i="9"/>
  <c r="H1700" i="9"/>
  <c r="P1699" i="9"/>
  <c r="L1699" i="9"/>
  <c r="K1699" i="9"/>
  <c r="J1699" i="9"/>
  <c r="I1699" i="9"/>
  <c r="H1699" i="9"/>
  <c r="P1698" i="9"/>
  <c r="L1698" i="9"/>
  <c r="K1698" i="9"/>
  <c r="J1698" i="9"/>
  <c r="I1698" i="9"/>
  <c r="H1698" i="9"/>
  <c r="P1697" i="9"/>
  <c r="L1697" i="9"/>
  <c r="K1697" i="9"/>
  <c r="J1697" i="9"/>
  <c r="I1697" i="9"/>
  <c r="H1697" i="9"/>
  <c r="P1696" i="9"/>
  <c r="L1696" i="9"/>
  <c r="K1696" i="9"/>
  <c r="J1696" i="9"/>
  <c r="I1696" i="9"/>
  <c r="H1696" i="9"/>
  <c r="P1695" i="9"/>
  <c r="L1695" i="9"/>
  <c r="K1695" i="9"/>
  <c r="J1695" i="9"/>
  <c r="I1695" i="9"/>
  <c r="H1695" i="9"/>
  <c r="P1694" i="9"/>
  <c r="L1694" i="9"/>
  <c r="K1694" i="9"/>
  <c r="J1694" i="9"/>
  <c r="I1694" i="9"/>
  <c r="H1694" i="9"/>
  <c r="P1693" i="9"/>
  <c r="L1693" i="9"/>
  <c r="K1693" i="9"/>
  <c r="J1693" i="9"/>
  <c r="I1693" i="9"/>
  <c r="H1693" i="9"/>
  <c r="P1692" i="9"/>
  <c r="L1692" i="9"/>
  <c r="K1692" i="9"/>
  <c r="J1692" i="9"/>
  <c r="I1692" i="9"/>
  <c r="H1692" i="9"/>
  <c r="P1691" i="9"/>
  <c r="L1691" i="9"/>
  <c r="K1691" i="9"/>
  <c r="J1691" i="9"/>
  <c r="I1691" i="9"/>
  <c r="H1691" i="9"/>
  <c r="P1690" i="9"/>
  <c r="L1690" i="9"/>
  <c r="K1690" i="9"/>
  <c r="J1690" i="9"/>
  <c r="I1690" i="9"/>
  <c r="H1690" i="9"/>
  <c r="P1689" i="9"/>
  <c r="L1689" i="9"/>
  <c r="K1689" i="9"/>
  <c r="J1689" i="9"/>
  <c r="I1689" i="9"/>
  <c r="H1689" i="9"/>
  <c r="P1688" i="9"/>
  <c r="L1688" i="9"/>
  <c r="K1688" i="9"/>
  <c r="J1688" i="9"/>
  <c r="I1688" i="9"/>
  <c r="H1688" i="9"/>
  <c r="P1687" i="9"/>
  <c r="L1687" i="9"/>
  <c r="K1687" i="9"/>
  <c r="J1687" i="9"/>
  <c r="I1687" i="9"/>
  <c r="H1687" i="9"/>
  <c r="P1686" i="9"/>
  <c r="L1686" i="9"/>
  <c r="K1686" i="9"/>
  <c r="J1686" i="9"/>
  <c r="I1686" i="9"/>
  <c r="H1686" i="9"/>
  <c r="P1685" i="9"/>
  <c r="L1685" i="9"/>
  <c r="K1685" i="9"/>
  <c r="J1685" i="9"/>
  <c r="I1685" i="9"/>
  <c r="H1685" i="9"/>
  <c r="P1684" i="9"/>
  <c r="L1684" i="9"/>
  <c r="K1684" i="9"/>
  <c r="J1684" i="9"/>
  <c r="I1684" i="9"/>
  <c r="H1684" i="9"/>
  <c r="P1683" i="9"/>
  <c r="L1683" i="9"/>
  <c r="K1683" i="9"/>
  <c r="J1683" i="9"/>
  <c r="I1683" i="9"/>
  <c r="H1683" i="9"/>
  <c r="P1682" i="9"/>
  <c r="L1682" i="9"/>
  <c r="K1682" i="9"/>
  <c r="J1682" i="9"/>
  <c r="I1682" i="9"/>
  <c r="H1682" i="9"/>
  <c r="P1681" i="9"/>
  <c r="L1681" i="9"/>
  <c r="K1681" i="9"/>
  <c r="J1681" i="9"/>
  <c r="I1681" i="9"/>
  <c r="H1681" i="9"/>
  <c r="P1680" i="9"/>
  <c r="L1680" i="9"/>
  <c r="K1680" i="9"/>
  <c r="J1680" i="9"/>
  <c r="I1680" i="9"/>
  <c r="H1680" i="9"/>
  <c r="P1679" i="9"/>
  <c r="L1679" i="9"/>
  <c r="K1679" i="9"/>
  <c r="J1679" i="9"/>
  <c r="I1679" i="9"/>
  <c r="H1679" i="9"/>
  <c r="P1678" i="9"/>
  <c r="L1678" i="9"/>
  <c r="K1678" i="9"/>
  <c r="J1678" i="9"/>
  <c r="I1678" i="9"/>
  <c r="H1678" i="9"/>
  <c r="P1677" i="9"/>
  <c r="L1677" i="9"/>
  <c r="K1677" i="9"/>
  <c r="J1677" i="9"/>
  <c r="I1677" i="9"/>
  <c r="H1677" i="9"/>
  <c r="P1676" i="9"/>
  <c r="L1676" i="9"/>
  <c r="K1676" i="9"/>
  <c r="J1676" i="9"/>
  <c r="I1676" i="9"/>
  <c r="H1676" i="9"/>
  <c r="P1675" i="9"/>
  <c r="L1675" i="9"/>
  <c r="K1675" i="9"/>
  <c r="J1675" i="9"/>
  <c r="I1675" i="9"/>
  <c r="H1675" i="9"/>
  <c r="P1674" i="9"/>
  <c r="L1674" i="9"/>
  <c r="K1674" i="9"/>
  <c r="J1674" i="9"/>
  <c r="I1674" i="9"/>
  <c r="H1674" i="9"/>
  <c r="P1673" i="9"/>
  <c r="L1673" i="9"/>
  <c r="K1673" i="9"/>
  <c r="J1673" i="9"/>
  <c r="I1673" i="9"/>
  <c r="H1673" i="9"/>
  <c r="P1672" i="9"/>
  <c r="L1672" i="9"/>
  <c r="K1672" i="9"/>
  <c r="J1672" i="9"/>
  <c r="I1672" i="9"/>
  <c r="H1672" i="9"/>
  <c r="P1671" i="9"/>
  <c r="L1671" i="9"/>
  <c r="K1671" i="9"/>
  <c r="J1671" i="9"/>
  <c r="I1671" i="9"/>
  <c r="H1671" i="9"/>
  <c r="P1670" i="9"/>
  <c r="L1670" i="9"/>
  <c r="K1670" i="9"/>
  <c r="J1670" i="9"/>
  <c r="I1670" i="9"/>
  <c r="H1670" i="9"/>
  <c r="P1669" i="9"/>
  <c r="L1669" i="9"/>
  <c r="K1669" i="9"/>
  <c r="J1669" i="9"/>
  <c r="I1669" i="9"/>
  <c r="H1669" i="9"/>
  <c r="P1668" i="9"/>
  <c r="L1668" i="9"/>
  <c r="K1668" i="9"/>
  <c r="J1668" i="9"/>
  <c r="I1668" i="9"/>
  <c r="H1668" i="9"/>
  <c r="P1667" i="9"/>
  <c r="L1667" i="9"/>
  <c r="K1667" i="9"/>
  <c r="J1667" i="9"/>
  <c r="I1667" i="9"/>
  <c r="H1667" i="9"/>
  <c r="P1666" i="9"/>
  <c r="L1666" i="9"/>
  <c r="K1666" i="9"/>
  <c r="J1666" i="9"/>
  <c r="I1666" i="9"/>
  <c r="H1666" i="9"/>
  <c r="P1665" i="9"/>
  <c r="L1665" i="9"/>
  <c r="K1665" i="9"/>
  <c r="J1665" i="9"/>
  <c r="I1665" i="9"/>
  <c r="H1665" i="9"/>
  <c r="P1664" i="9"/>
  <c r="L1664" i="9"/>
  <c r="K1664" i="9"/>
  <c r="J1664" i="9"/>
  <c r="I1664" i="9"/>
  <c r="H1664" i="9"/>
  <c r="P1663" i="9"/>
  <c r="L1663" i="9"/>
  <c r="K1663" i="9"/>
  <c r="J1663" i="9"/>
  <c r="I1663" i="9"/>
  <c r="H1663" i="9"/>
  <c r="P1662" i="9"/>
  <c r="L1662" i="9"/>
  <c r="K1662" i="9"/>
  <c r="J1662" i="9"/>
  <c r="I1662" i="9"/>
  <c r="H1662" i="9"/>
  <c r="P1661" i="9"/>
  <c r="L1661" i="9"/>
  <c r="K1661" i="9"/>
  <c r="J1661" i="9"/>
  <c r="I1661" i="9"/>
  <c r="H1661" i="9"/>
  <c r="P1660" i="9"/>
  <c r="L1660" i="9"/>
  <c r="K1660" i="9"/>
  <c r="J1660" i="9"/>
  <c r="I1660" i="9"/>
  <c r="H1660" i="9"/>
  <c r="P1659" i="9"/>
  <c r="L1659" i="9"/>
  <c r="K1659" i="9"/>
  <c r="J1659" i="9"/>
  <c r="I1659" i="9"/>
  <c r="H1659" i="9"/>
  <c r="P1658" i="9"/>
  <c r="L1658" i="9"/>
  <c r="K1658" i="9"/>
  <c r="J1658" i="9"/>
  <c r="I1658" i="9"/>
  <c r="H1658" i="9"/>
  <c r="P1657" i="9"/>
  <c r="L1657" i="9"/>
  <c r="K1657" i="9"/>
  <c r="J1657" i="9"/>
  <c r="I1657" i="9"/>
  <c r="H1657" i="9"/>
  <c r="P1656" i="9"/>
  <c r="L1656" i="9"/>
  <c r="K1656" i="9"/>
  <c r="J1656" i="9"/>
  <c r="I1656" i="9"/>
  <c r="H1656" i="9"/>
  <c r="P1655" i="9"/>
  <c r="L1655" i="9"/>
  <c r="K1655" i="9"/>
  <c r="J1655" i="9"/>
  <c r="I1655" i="9"/>
  <c r="H1655" i="9"/>
  <c r="P1654" i="9"/>
  <c r="L1654" i="9"/>
  <c r="K1654" i="9"/>
  <c r="J1654" i="9"/>
  <c r="I1654" i="9"/>
  <c r="H1654" i="9"/>
  <c r="P1653" i="9"/>
  <c r="L1653" i="9"/>
  <c r="K1653" i="9"/>
  <c r="J1653" i="9"/>
  <c r="I1653" i="9"/>
  <c r="H1653" i="9"/>
  <c r="P1652" i="9"/>
  <c r="L1652" i="9"/>
  <c r="K1652" i="9"/>
  <c r="J1652" i="9"/>
  <c r="I1652" i="9"/>
  <c r="H1652" i="9"/>
  <c r="P1651" i="9"/>
  <c r="L1651" i="9"/>
  <c r="K1651" i="9"/>
  <c r="J1651" i="9"/>
  <c r="I1651" i="9"/>
  <c r="H1651" i="9"/>
  <c r="P1650" i="9"/>
  <c r="L1650" i="9"/>
  <c r="K1650" i="9"/>
  <c r="J1650" i="9"/>
  <c r="I1650" i="9"/>
  <c r="H1650" i="9"/>
  <c r="P1649" i="9"/>
  <c r="L1649" i="9"/>
  <c r="K1649" i="9"/>
  <c r="J1649" i="9"/>
  <c r="I1649" i="9"/>
  <c r="H1649" i="9"/>
  <c r="P1648" i="9"/>
  <c r="L1648" i="9"/>
  <c r="K1648" i="9"/>
  <c r="J1648" i="9"/>
  <c r="I1648" i="9"/>
  <c r="H1648" i="9"/>
  <c r="P1647" i="9"/>
  <c r="L1647" i="9"/>
  <c r="K1647" i="9"/>
  <c r="J1647" i="9"/>
  <c r="I1647" i="9"/>
  <c r="H1647" i="9"/>
  <c r="P1646" i="9"/>
  <c r="L1646" i="9"/>
  <c r="K1646" i="9"/>
  <c r="J1646" i="9"/>
  <c r="I1646" i="9"/>
  <c r="H1646" i="9"/>
  <c r="P1645" i="9"/>
  <c r="L1645" i="9"/>
  <c r="K1645" i="9"/>
  <c r="J1645" i="9"/>
  <c r="I1645" i="9"/>
  <c r="H1645" i="9"/>
  <c r="P1644" i="9"/>
  <c r="L1644" i="9"/>
  <c r="K1644" i="9"/>
  <c r="J1644" i="9"/>
  <c r="I1644" i="9"/>
  <c r="H1644" i="9"/>
  <c r="P1643" i="9"/>
  <c r="L1643" i="9"/>
  <c r="K1643" i="9"/>
  <c r="J1643" i="9"/>
  <c r="I1643" i="9"/>
  <c r="H1643" i="9"/>
  <c r="P1642" i="9"/>
  <c r="L1642" i="9"/>
  <c r="K1642" i="9"/>
  <c r="J1642" i="9"/>
  <c r="I1642" i="9"/>
  <c r="H1642" i="9"/>
  <c r="P1641" i="9"/>
  <c r="L1641" i="9"/>
  <c r="K1641" i="9"/>
  <c r="J1641" i="9"/>
  <c r="I1641" i="9"/>
  <c r="H1641" i="9"/>
  <c r="P1640" i="9"/>
  <c r="L1640" i="9"/>
  <c r="K1640" i="9"/>
  <c r="J1640" i="9"/>
  <c r="I1640" i="9"/>
  <c r="H1640" i="9"/>
  <c r="P1639" i="9"/>
  <c r="L1639" i="9"/>
  <c r="K1639" i="9"/>
  <c r="J1639" i="9"/>
  <c r="I1639" i="9"/>
  <c r="H1639" i="9"/>
  <c r="P1638" i="9"/>
  <c r="L1638" i="9"/>
  <c r="K1638" i="9"/>
  <c r="J1638" i="9"/>
  <c r="I1638" i="9"/>
  <c r="H1638" i="9"/>
  <c r="P1637" i="9"/>
  <c r="L1637" i="9"/>
  <c r="K1637" i="9"/>
  <c r="J1637" i="9"/>
  <c r="I1637" i="9"/>
  <c r="H1637" i="9"/>
  <c r="P1636" i="9"/>
  <c r="L1636" i="9"/>
  <c r="K1636" i="9"/>
  <c r="J1636" i="9"/>
  <c r="I1636" i="9"/>
  <c r="H1636" i="9"/>
  <c r="P1635" i="9"/>
  <c r="L1635" i="9"/>
  <c r="K1635" i="9"/>
  <c r="J1635" i="9"/>
  <c r="I1635" i="9"/>
  <c r="H1635" i="9"/>
  <c r="P1634" i="9"/>
  <c r="L1634" i="9"/>
  <c r="K1634" i="9"/>
  <c r="J1634" i="9"/>
  <c r="I1634" i="9"/>
  <c r="H1634" i="9"/>
  <c r="P1633" i="9"/>
  <c r="L1633" i="9"/>
  <c r="K1633" i="9"/>
  <c r="J1633" i="9"/>
  <c r="I1633" i="9"/>
  <c r="H1633" i="9"/>
  <c r="P1632" i="9"/>
  <c r="L1632" i="9"/>
  <c r="K1632" i="9"/>
  <c r="J1632" i="9"/>
  <c r="I1632" i="9"/>
  <c r="H1632" i="9"/>
  <c r="P1631" i="9"/>
  <c r="L1631" i="9"/>
  <c r="K1631" i="9"/>
  <c r="J1631" i="9"/>
  <c r="I1631" i="9"/>
  <c r="H1631" i="9"/>
  <c r="P1630" i="9"/>
  <c r="L1630" i="9"/>
  <c r="K1630" i="9"/>
  <c r="J1630" i="9"/>
  <c r="I1630" i="9"/>
  <c r="H1630" i="9"/>
  <c r="P1629" i="9"/>
  <c r="L1629" i="9"/>
  <c r="K1629" i="9"/>
  <c r="J1629" i="9"/>
  <c r="I1629" i="9"/>
  <c r="H1629" i="9"/>
  <c r="P1628" i="9"/>
  <c r="L1628" i="9"/>
  <c r="K1628" i="9"/>
  <c r="J1628" i="9"/>
  <c r="I1628" i="9"/>
  <c r="H1628" i="9"/>
  <c r="P1627" i="9"/>
  <c r="L1627" i="9"/>
  <c r="K1627" i="9"/>
  <c r="J1627" i="9"/>
  <c r="I1627" i="9"/>
  <c r="H1627" i="9"/>
  <c r="P1626" i="9"/>
  <c r="L1626" i="9"/>
  <c r="K1626" i="9"/>
  <c r="J1626" i="9"/>
  <c r="I1626" i="9"/>
  <c r="H1626" i="9"/>
  <c r="P1625" i="9"/>
  <c r="L1625" i="9"/>
  <c r="K1625" i="9"/>
  <c r="J1625" i="9"/>
  <c r="I1625" i="9"/>
  <c r="H1625" i="9"/>
  <c r="P1624" i="9"/>
  <c r="L1624" i="9"/>
  <c r="K1624" i="9"/>
  <c r="J1624" i="9"/>
  <c r="I1624" i="9"/>
  <c r="H1624" i="9"/>
  <c r="P1623" i="9"/>
  <c r="L1623" i="9"/>
  <c r="K1623" i="9"/>
  <c r="J1623" i="9"/>
  <c r="I1623" i="9"/>
  <c r="H1623" i="9"/>
  <c r="P1622" i="9"/>
  <c r="L1622" i="9"/>
  <c r="K1622" i="9"/>
  <c r="J1622" i="9"/>
  <c r="I1622" i="9"/>
  <c r="H1622" i="9"/>
  <c r="P1621" i="9"/>
  <c r="L1621" i="9"/>
  <c r="K1621" i="9"/>
  <c r="J1621" i="9"/>
  <c r="I1621" i="9"/>
  <c r="H1621" i="9"/>
  <c r="P1620" i="9"/>
  <c r="L1620" i="9"/>
  <c r="K1620" i="9"/>
  <c r="J1620" i="9"/>
  <c r="I1620" i="9"/>
  <c r="H1620" i="9"/>
  <c r="P1619" i="9"/>
  <c r="L1619" i="9"/>
  <c r="K1619" i="9"/>
  <c r="J1619" i="9"/>
  <c r="I1619" i="9"/>
  <c r="H1619" i="9"/>
  <c r="P1618" i="9"/>
  <c r="L1618" i="9"/>
  <c r="K1618" i="9"/>
  <c r="J1618" i="9"/>
  <c r="I1618" i="9"/>
  <c r="H1618" i="9"/>
  <c r="P1617" i="9"/>
  <c r="L1617" i="9"/>
  <c r="K1617" i="9"/>
  <c r="J1617" i="9"/>
  <c r="I1617" i="9"/>
  <c r="H1617" i="9"/>
  <c r="P1616" i="9"/>
  <c r="L1616" i="9"/>
  <c r="K1616" i="9"/>
  <c r="J1616" i="9"/>
  <c r="I1616" i="9"/>
  <c r="H1616" i="9"/>
  <c r="P1615" i="9"/>
  <c r="L1615" i="9"/>
  <c r="K1615" i="9"/>
  <c r="J1615" i="9"/>
  <c r="I1615" i="9"/>
  <c r="H1615" i="9"/>
  <c r="P1614" i="9"/>
  <c r="L1614" i="9"/>
  <c r="K1614" i="9"/>
  <c r="J1614" i="9"/>
  <c r="I1614" i="9"/>
  <c r="H1614" i="9"/>
  <c r="P1613" i="9"/>
  <c r="L1613" i="9"/>
  <c r="K1613" i="9"/>
  <c r="J1613" i="9"/>
  <c r="I1613" i="9"/>
  <c r="H1613" i="9"/>
  <c r="P1612" i="9"/>
  <c r="L1612" i="9"/>
  <c r="K1612" i="9"/>
  <c r="J1612" i="9"/>
  <c r="I1612" i="9"/>
  <c r="H1612" i="9"/>
  <c r="P1611" i="9"/>
  <c r="L1611" i="9"/>
  <c r="K1611" i="9"/>
  <c r="J1611" i="9"/>
  <c r="I1611" i="9"/>
  <c r="H1611" i="9"/>
  <c r="P1610" i="9"/>
  <c r="L1610" i="9"/>
  <c r="K1610" i="9"/>
  <c r="J1610" i="9"/>
  <c r="I1610" i="9"/>
  <c r="H1610" i="9"/>
  <c r="P1609" i="9"/>
  <c r="L1609" i="9"/>
  <c r="K1609" i="9"/>
  <c r="J1609" i="9"/>
  <c r="I1609" i="9"/>
  <c r="H1609" i="9"/>
  <c r="P1608" i="9"/>
  <c r="L1608" i="9"/>
  <c r="K1608" i="9"/>
  <c r="J1608" i="9"/>
  <c r="I1608" i="9"/>
  <c r="H1608" i="9"/>
  <c r="P1607" i="9"/>
  <c r="L1607" i="9"/>
  <c r="K1607" i="9"/>
  <c r="J1607" i="9"/>
  <c r="I1607" i="9"/>
  <c r="H1607" i="9"/>
  <c r="P1606" i="9"/>
  <c r="L1606" i="9"/>
  <c r="K1606" i="9"/>
  <c r="J1606" i="9"/>
  <c r="I1606" i="9"/>
  <c r="H1606" i="9"/>
  <c r="P1605" i="9"/>
  <c r="L1605" i="9"/>
  <c r="K1605" i="9"/>
  <c r="J1605" i="9"/>
  <c r="I1605" i="9"/>
  <c r="H1605" i="9"/>
  <c r="P1604" i="9"/>
  <c r="L1604" i="9"/>
  <c r="K1604" i="9"/>
  <c r="J1604" i="9"/>
  <c r="I1604" i="9"/>
  <c r="H1604" i="9"/>
  <c r="P1603" i="9"/>
  <c r="L1603" i="9"/>
  <c r="K1603" i="9"/>
  <c r="J1603" i="9"/>
  <c r="I1603" i="9"/>
  <c r="H1603" i="9"/>
  <c r="P1602" i="9"/>
  <c r="L1602" i="9"/>
  <c r="K1602" i="9"/>
  <c r="J1602" i="9"/>
  <c r="I1602" i="9"/>
  <c r="H1602" i="9"/>
  <c r="P1601" i="9"/>
  <c r="L1601" i="9"/>
  <c r="K1601" i="9"/>
  <c r="J1601" i="9"/>
  <c r="I1601" i="9"/>
  <c r="H1601" i="9"/>
  <c r="P1600" i="9"/>
  <c r="L1600" i="9"/>
  <c r="K1600" i="9"/>
  <c r="J1600" i="9"/>
  <c r="I1600" i="9"/>
  <c r="H1600" i="9"/>
  <c r="P1599" i="9"/>
  <c r="L1599" i="9"/>
  <c r="K1599" i="9"/>
  <c r="J1599" i="9"/>
  <c r="I1599" i="9"/>
  <c r="H1599" i="9"/>
  <c r="P1598" i="9"/>
  <c r="L1598" i="9"/>
  <c r="K1598" i="9"/>
  <c r="J1598" i="9"/>
  <c r="I1598" i="9"/>
  <c r="H1598" i="9"/>
  <c r="P1597" i="9"/>
  <c r="L1597" i="9"/>
  <c r="K1597" i="9"/>
  <c r="J1597" i="9"/>
  <c r="I1597" i="9"/>
  <c r="H1597" i="9"/>
  <c r="P1596" i="9"/>
  <c r="L1596" i="9"/>
  <c r="K1596" i="9"/>
  <c r="J1596" i="9"/>
  <c r="I1596" i="9"/>
  <c r="H1596" i="9"/>
  <c r="P1595" i="9"/>
  <c r="L1595" i="9"/>
  <c r="K1595" i="9"/>
  <c r="J1595" i="9"/>
  <c r="I1595" i="9"/>
  <c r="H1595" i="9"/>
  <c r="P1594" i="9"/>
  <c r="L1594" i="9"/>
  <c r="K1594" i="9"/>
  <c r="J1594" i="9"/>
  <c r="I1594" i="9"/>
  <c r="H1594" i="9"/>
  <c r="P1593" i="9"/>
  <c r="L1593" i="9"/>
  <c r="K1593" i="9"/>
  <c r="J1593" i="9"/>
  <c r="I1593" i="9"/>
  <c r="H1593" i="9"/>
  <c r="P1592" i="9"/>
  <c r="L1592" i="9"/>
  <c r="K1592" i="9"/>
  <c r="J1592" i="9"/>
  <c r="I1592" i="9"/>
  <c r="H1592" i="9"/>
  <c r="P1591" i="9"/>
  <c r="L1591" i="9"/>
  <c r="K1591" i="9"/>
  <c r="J1591" i="9"/>
  <c r="I1591" i="9"/>
  <c r="H1591" i="9"/>
  <c r="P1590" i="9"/>
  <c r="L1590" i="9"/>
  <c r="K1590" i="9"/>
  <c r="J1590" i="9"/>
  <c r="I1590" i="9"/>
  <c r="H1590" i="9"/>
  <c r="P1589" i="9"/>
  <c r="L1589" i="9"/>
  <c r="K1589" i="9"/>
  <c r="J1589" i="9"/>
  <c r="I1589" i="9"/>
  <c r="H1589" i="9"/>
  <c r="P1588" i="9"/>
  <c r="L1588" i="9"/>
  <c r="K1588" i="9"/>
  <c r="J1588" i="9"/>
  <c r="I1588" i="9"/>
  <c r="H1588" i="9"/>
  <c r="P1587" i="9"/>
  <c r="L1587" i="9"/>
  <c r="K1587" i="9"/>
  <c r="J1587" i="9"/>
  <c r="I1587" i="9"/>
  <c r="H1587" i="9"/>
  <c r="P1586" i="9"/>
  <c r="L1586" i="9"/>
  <c r="K1586" i="9"/>
  <c r="J1586" i="9"/>
  <c r="I1586" i="9"/>
  <c r="H1586" i="9"/>
  <c r="P1585" i="9"/>
  <c r="L1585" i="9"/>
  <c r="K1585" i="9"/>
  <c r="J1585" i="9"/>
  <c r="I1585" i="9"/>
  <c r="H1585" i="9"/>
  <c r="P1584" i="9"/>
  <c r="L1584" i="9"/>
  <c r="K1584" i="9"/>
  <c r="J1584" i="9"/>
  <c r="I1584" i="9"/>
  <c r="H1584" i="9"/>
  <c r="P1583" i="9"/>
  <c r="L1583" i="9"/>
  <c r="K1583" i="9"/>
  <c r="J1583" i="9"/>
  <c r="I1583" i="9"/>
  <c r="H1583" i="9"/>
  <c r="P1582" i="9"/>
  <c r="L1582" i="9"/>
  <c r="K1582" i="9"/>
  <c r="J1582" i="9"/>
  <c r="I1582" i="9"/>
  <c r="H1582" i="9"/>
  <c r="P1581" i="9"/>
  <c r="L1581" i="9"/>
  <c r="K1581" i="9"/>
  <c r="J1581" i="9"/>
  <c r="I1581" i="9"/>
  <c r="H1581" i="9"/>
  <c r="P1580" i="9"/>
  <c r="L1580" i="9"/>
  <c r="K1580" i="9"/>
  <c r="J1580" i="9"/>
  <c r="I1580" i="9"/>
  <c r="H1580" i="9"/>
  <c r="P1579" i="9"/>
  <c r="L1579" i="9"/>
  <c r="K1579" i="9"/>
  <c r="J1579" i="9"/>
  <c r="I1579" i="9"/>
  <c r="H1579" i="9"/>
  <c r="P1578" i="9"/>
  <c r="L1578" i="9"/>
  <c r="K1578" i="9"/>
  <c r="J1578" i="9"/>
  <c r="I1578" i="9"/>
  <c r="H1578" i="9"/>
  <c r="P1577" i="9"/>
  <c r="L1577" i="9"/>
  <c r="K1577" i="9"/>
  <c r="J1577" i="9"/>
  <c r="I1577" i="9"/>
  <c r="H1577" i="9"/>
  <c r="P1576" i="9"/>
  <c r="L1576" i="9"/>
  <c r="K1576" i="9"/>
  <c r="J1576" i="9"/>
  <c r="I1576" i="9"/>
  <c r="H1576" i="9"/>
  <c r="P1575" i="9"/>
  <c r="L1575" i="9"/>
  <c r="K1575" i="9"/>
  <c r="J1575" i="9"/>
  <c r="I1575" i="9"/>
  <c r="H1575" i="9"/>
  <c r="P1574" i="9"/>
  <c r="L1574" i="9"/>
  <c r="K1574" i="9"/>
  <c r="J1574" i="9"/>
  <c r="I1574" i="9"/>
  <c r="H1574" i="9"/>
  <c r="P1573" i="9"/>
  <c r="L1573" i="9"/>
  <c r="K1573" i="9"/>
  <c r="J1573" i="9"/>
  <c r="I1573" i="9"/>
  <c r="H1573" i="9"/>
  <c r="P1572" i="9"/>
  <c r="L1572" i="9"/>
  <c r="K1572" i="9"/>
  <c r="J1572" i="9"/>
  <c r="I1572" i="9"/>
  <c r="H1572" i="9"/>
  <c r="P1571" i="9"/>
  <c r="L1571" i="9"/>
  <c r="K1571" i="9"/>
  <c r="J1571" i="9"/>
  <c r="I1571" i="9"/>
  <c r="H1571" i="9"/>
  <c r="P1570" i="9"/>
  <c r="L1570" i="9"/>
  <c r="K1570" i="9"/>
  <c r="J1570" i="9"/>
  <c r="I1570" i="9"/>
  <c r="H1570" i="9"/>
  <c r="P1569" i="9"/>
  <c r="L1569" i="9"/>
  <c r="K1569" i="9"/>
  <c r="J1569" i="9"/>
  <c r="I1569" i="9"/>
  <c r="H1569" i="9"/>
  <c r="P1568" i="9"/>
  <c r="L1568" i="9"/>
  <c r="K1568" i="9"/>
  <c r="J1568" i="9"/>
  <c r="I1568" i="9"/>
  <c r="H1568" i="9"/>
  <c r="P1567" i="9"/>
  <c r="L1567" i="9"/>
  <c r="K1567" i="9"/>
  <c r="J1567" i="9"/>
  <c r="I1567" i="9"/>
  <c r="H1567" i="9"/>
  <c r="P1566" i="9"/>
  <c r="L1566" i="9"/>
  <c r="K1566" i="9"/>
  <c r="J1566" i="9"/>
  <c r="I1566" i="9"/>
  <c r="H1566" i="9"/>
  <c r="P1565" i="9"/>
  <c r="L1565" i="9"/>
  <c r="K1565" i="9"/>
  <c r="J1565" i="9"/>
  <c r="I1565" i="9"/>
  <c r="H1565" i="9"/>
  <c r="P1564" i="9"/>
  <c r="L1564" i="9"/>
  <c r="K1564" i="9"/>
  <c r="J1564" i="9"/>
  <c r="I1564" i="9"/>
  <c r="H1564" i="9"/>
  <c r="P1563" i="9"/>
  <c r="L1563" i="9"/>
  <c r="K1563" i="9"/>
  <c r="J1563" i="9"/>
  <c r="I1563" i="9"/>
  <c r="H1563" i="9"/>
  <c r="P1562" i="9"/>
  <c r="L1562" i="9"/>
  <c r="K1562" i="9"/>
  <c r="J1562" i="9"/>
  <c r="I1562" i="9"/>
  <c r="H1562" i="9"/>
  <c r="P1561" i="9"/>
  <c r="L1561" i="9"/>
  <c r="K1561" i="9"/>
  <c r="J1561" i="9"/>
  <c r="I1561" i="9"/>
  <c r="H1561" i="9"/>
  <c r="P1560" i="9"/>
  <c r="L1560" i="9"/>
  <c r="K1560" i="9"/>
  <c r="J1560" i="9"/>
  <c r="I1560" i="9"/>
  <c r="H1560" i="9"/>
  <c r="P1559" i="9"/>
  <c r="L1559" i="9"/>
  <c r="K1559" i="9"/>
  <c r="J1559" i="9"/>
  <c r="I1559" i="9"/>
  <c r="H1559" i="9"/>
  <c r="P1558" i="9"/>
  <c r="L1558" i="9"/>
  <c r="K1558" i="9"/>
  <c r="J1558" i="9"/>
  <c r="I1558" i="9"/>
  <c r="H1558" i="9"/>
  <c r="P1557" i="9"/>
  <c r="L1557" i="9"/>
  <c r="K1557" i="9"/>
  <c r="J1557" i="9"/>
  <c r="I1557" i="9"/>
  <c r="H1557" i="9"/>
  <c r="P1556" i="9"/>
  <c r="L1556" i="9"/>
  <c r="K1556" i="9"/>
  <c r="J1556" i="9"/>
  <c r="I1556" i="9"/>
  <c r="H1556" i="9"/>
  <c r="P1555" i="9"/>
  <c r="L1555" i="9"/>
  <c r="K1555" i="9"/>
  <c r="J1555" i="9"/>
  <c r="I1555" i="9"/>
  <c r="H1555" i="9"/>
  <c r="P1554" i="9"/>
  <c r="L1554" i="9"/>
  <c r="K1554" i="9"/>
  <c r="J1554" i="9"/>
  <c r="I1554" i="9"/>
  <c r="H1554" i="9"/>
  <c r="P1553" i="9"/>
  <c r="L1553" i="9"/>
  <c r="K1553" i="9"/>
  <c r="J1553" i="9"/>
  <c r="I1553" i="9"/>
  <c r="H1553" i="9"/>
  <c r="P1552" i="9"/>
  <c r="L1552" i="9"/>
  <c r="K1552" i="9"/>
  <c r="J1552" i="9"/>
  <c r="I1552" i="9"/>
  <c r="H1552" i="9"/>
  <c r="P1551" i="9"/>
  <c r="L1551" i="9"/>
  <c r="K1551" i="9"/>
  <c r="J1551" i="9"/>
  <c r="I1551" i="9"/>
  <c r="H1551" i="9"/>
  <c r="P1550" i="9"/>
  <c r="L1550" i="9"/>
  <c r="K1550" i="9"/>
  <c r="J1550" i="9"/>
  <c r="I1550" i="9"/>
  <c r="H1550" i="9"/>
  <c r="P1549" i="9"/>
  <c r="L1549" i="9"/>
  <c r="K1549" i="9"/>
  <c r="J1549" i="9"/>
  <c r="I1549" i="9"/>
  <c r="H1549" i="9"/>
  <c r="P1548" i="9"/>
  <c r="L1548" i="9"/>
  <c r="K1548" i="9"/>
  <c r="J1548" i="9"/>
  <c r="I1548" i="9"/>
  <c r="H1548" i="9"/>
  <c r="P1547" i="9"/>
  <c r="L1547" i="9"/>
  <c r="K1547" i="9"/>
  <c r="J1547" i="9"/>
  <c r="I1547" i="9"/>
  <c r="H1547" i="9"/>
  <c r="P1546" i="9"/>
  <c r="L1546" i="9"/>
  <c r="K1546" i="9"/>
  <c r="J1546" i="9"/>
  <c r="I1546" i="9"/>
  <c r="H1546" i="9"/>
  <c r="P1545" i="9"/>
  <c r="L1545" i="9"/>
  <c r="K1545" i="9"/>
  <c r="J1545" i="9"/>
  <c r="I1545" i="9"/>
  <c r="H1545" i="9"/>
  <c r="P1544" i="9"/>
  <c r="L1544" i="9"/>
  <c r="K1544" i="9"/>
  <c r="J1544" i="9"/>
  <c r="I1544" i="9"/>
  <c r="H1544" i="9"/>
  <c r="P1543" i="9"/>
  <c r="L1543" i="9"/>
  <c r="K1543" i="9"/>
  <c r="J1543" i="9"/>
  <c r="I1543" i="9"/>
  <c r="H1543" i="9"/>
  <c r="P1542" i="9"/>
  <c r="L1542" i="9"/>
  <c r="K1542" i="9"/>
  <c r="J1542" i="9"/>
  <c r="I1542" i="9"/>
  <c r="H1542" i="9"/>
  <c r="P1541" i="9"/>
  <c r="L1541" i="9"/>
  <c r="K1541" i="9"/>
  <c r="J1541" i="9"/>
  <c r="I1541" i="9"/>
  <c r="H1541" i="9"/>
  <c r="P1540" i="9"/>
  <c r="L1540" i="9"/>
  <c r="K1540" i="9"/>
  <c r="J1540" i="9"/>
  <c r="I1540" i="9"/>
  <c r="H1540" i="9"/>
  <c r="P1539" i="9"/>
  <c r="L1539" i="9"/>
  <c r="K1539" i="9"/>
  <c r="J1539" i="9"/>
  <c r="I1539" i="9"/>
  <c r="H1539" i="9"/>
  <c r="P1538" i="9"/>
  <c r="L1538" i="9"/>
  <c r="K1538" i="9"/>
  <c r="J1538" i="9"/>
  <c r="I1538" i="9"/>
  <c r="H1538" i="9"/>
  <c r="P1537" i="9"/>
  <c r="L1537" i="9"/>
  <c r="K1537" i="9"/>
  <c r="J1537" i="9"/>
  <c r="I1537" i="9"/>
  <c r="H1537" i="9"/>
  <c r="P1536" i="9"/>
  <c r="L1536" i="9"/>
  <c r="K1536" i="9"/>
  <c r="J1536" i="9"/>
  <c r="I1536" i="9"/>
  <c r="H1536" i="9"/>
  <c r="P1535" i="9"/>
  <c r="L1535" i="9"/>
  <c r="K1535" i="9"/>
  <c r="J1535" i="9"/>
  <c r="I1535" i="9"/>
  <c r="H1535" i="9"/>
  <c r="P1534" i="9"/>
  <c r="L1534" i="9"/>
  <c r="K1534" i="9"/>
  <c r="J1534" i="9"/>
  <c r="I1534" i="9"/>
  <c r="H1534" i="9"/>
  <c r="P1533" i="9"/>
  <c r="L1533" i="9"/>
  <c r="K1533" i="9"/>
  <c r="J1533" i="9"/>
  <c r="I1533" i="9"/>
  <c r="H1533" i="9"/>
  <c r="P1532" i="9"/>
  <c r="L1532" i="9"/>
  <c r="K1532" i="9"/>
  <c r="J1532" i="9"/>
  <c r="I1532" i="9"/>
  <c r="H1532" i="9"/>
  <c r="P1531" i="9"/>
  <c r="L1531" i="9"/>
  <c r="K1531" i="9"/>
  <c r="J1531" i="9"/>
  <c r="I1531" i="9"/>
  <c r="H1531" i="9"/>
  <c r="P1530" i="9"/>
  <c r="L1530" i="9"/>
  <c r="K1530" i="9"/>
  <c r="J1530" i="9"/>
  <c r="I1530" i="9"/>
  <c r="H1530" i="9"/>
  <c r="P1529" i="9"/>
  <c r="L1529" i="9"/>
  <c r="K1529" i="9"/>
  <c r="J1529" i="9"/>
  <c r="I1529" i="9"/>
  <c r="H1529" i="9"/>
  <c r="P1528" i="9"/>
  <c r="L1528" i="9"/>
  <c r="K1528" i="9"/>
  <c r="J1528" i="9"/>
  <c r="I1528" i="9"/>
  <c r="H1528" i="9"/>
  <c r="P1527" i="9"/>
  <c r="L1527" i="9"/>
  <c r="K1527" i="9"/>
  <c r="J1527" i="9"/>
  <c r="I1527" i="9"/>
  <c r="H1527" i="9"/>
  <c r="P1526" i="9"/>
  <c r="L1526" i="9"/>
  <c r="K1526" i="9"/>
  <c r="J1526" i="9"/>
  <c r="I1526" i="9"/>
  <c r="H1526" i="9"/>
  <c r="P1525" i="9"/>
  <c r="L1525" i="9"/>
  <c r="K1525" i="9"/>
  <c r="J1525" i="9"/>
  <c r="I1525" i="9"/>
  <c r="H1525" i="9"/>
  <c r="P1524" i="9"/>
  <c r="L1524" i="9"/>
  <c r="K1524" i="9"/>
  <c r="J1524" i="9"/>
  <c r="I1524" i="9"/>
  <c r="H1524" i="9"/>
  <c r="P1523" i="9"/>
  <c r="L1523" i="9"/>
  <c r="K1523" i="9"/>
  <c r="J1523" i="9"/>
  <c r="I1523" i="9"/>
  <c r="H1523" i="9"/>
  <c r="P1522" i="9"/>
  <c r="L1522" i="9"/>
  <c r="K1522" i="9"/>
  <c r="J1522" i="9"/>
  <c r="I1522" i="9"/>
  <c r="H1522" i="9"/>
  <c r="P1521" i="9"/>
  <c r="L1521" i="9"/>
  <c r="K1521" i="9"/>
  <c r="J1521" i="9"/>
  <c r="I1521" i="9"/>
  <c r="H1521" i="9"/>
  <c r="P1520" i="9"/>
  <c r="L1520" i="9"/>
  <c r="K1520" i="9"/>
  <c r="J1520" i="9"/>
  <c r="I1520" i="9"/>
  <c r="H1520" i="9"/>
  <c r="P1519" i="9"/>
  <c r="L1519" i="9"/>
  <c r="K1519" i="9"/>
  <c r="J1519" i="9"/>
  <c r="I1519" i="9"/>
  <c r="H1519" i="9"/>
  <c r="P1518" i="9"/>
  <c r="L1518" i="9"/>
  <c r="K1518" i="9"/>
  <c r="J1518" i="9"/>
  <c r="I1518" i="9"/>
  <c r="H1518" i="9"/>
  <c r="P1517" i="9"/>
  <c r="L1517" i="9"/>
  <c r="K1517" i="9"/>
  <c r="J1517" i="9"/>
  <c r="I1517" i="9"/>
  <c r="H1517" i="9"/>
  <c r="P1516" i="9"/>
  <c r="L1516" i="9"/>
  <c r="K1516" i="9"/>
  <c r="J1516" i="9"/>
  <c r="I1516" i="9"/>
  <c r="H1516" i="9"/>
  <c r="P1515" i="9"/>
  <c r="L1515" i="9"/>
  <c r="K1515" i="9"/>
  <c r="J1515" i="9"/>
  <c r="I1515" i="9"/>
  <c r="H1515" i="9"/>
  <c r="P1514" i="9"/>
  <c r="L1514" i="9"/>
  <c r="K1514" i="9"/>
  <c r="J1514" i="9"/>
  <c r="I1514" i="9"/>
  <c r="H1514" i="9"/>
  <c r="P1513" i="9"/>
  <c r="L1513" i="9"/>
  <c r="K1513" i="9"/>
  <c r="J1513" i="9"/>
  <c r="I1513" i="9"/>
  <c r="H1513" i="9"/>
  <c r="P1512" i="9"/>
  <c r="L1512" i="9"/>
  <c r="K1512" i="9"/>
  <c r="J1512" i="9"/>
  <c r="I1512" i="9"/>
  <c r="H1512" i="9"/>
  <c r="P1511" i="9"/>
  <c r="L1511" i="9"/>
  <c r="K1511" i="9"/>
  <c r="J1511" i="9"/>
  <c r="I1511" i="9"/>
  <c r="H1511" i="9"/>
  <c r="P1510" i="9"/>
  <c r="L1510" i="9"/>
  <c r="K1510" i="9"/>
  <c r="J1510" i="9"/>
  <c r="I1510" i="9"/>
  <c r="H1510" i="9"/>
  <c r="P1509" i="9"/>
  <c r="L1509" i="9"/>
  <c r="K1509" i="9"/>
  <c r="J1509" i="9"/>
  <c r="I1509" i="9"/>
  <c r="H1509" i="9"/>
  <c r="P1508" i="9"/>
  <c r="L1508" i="9"/>
  <c r="K1508" i="9"/>
  <c r="J1508" i="9"/>
  <c r="I1508" i="9"/>
  <c r="H1508" i="9"/>
  <c r="P1507" i="9"/>
  <c r="L1507" i="9"/>
  <c r="K1507" i="9"/>
  <c r="J1507" i="9"/>
  <c r="I1507" i="9"/>
  <c r="H1507" i="9"/>
  <c r="P1506" i="9"/>
  <c r="L1506" i="9"/>
  <c r="K1506" i="9"/>
  <c r="J1506" i="9"/>
  <c r="I1506" i="9"/>
  <c r="H1506" i="9"/>
  <c r="P1505" i="9"/>
  <c r="L1505" i="9"/>
  <c r="K1505" i="9"/>
  <c r="J1505" i="9"/>
  <c r="I1505" i="9"/>
  <c r="H1505" i="9"/>
  <c r="P1504" i="9"/>
  <c r="L1504" i="9"/>
  <c r="K1504" i="9"/>
  <c r="J1504" i="9"/>
  <c r="I1504" i="9"/>
  <c r="H1504" i="9"/>
  <c r="P1503" i="9"/>
  <c r="L1503" i="9"/>
  <c r="K1503" i="9"/>
  <c r="J1503" i="9"/>
  <c r="I1503" i="9"/>
  <c r="H1503" i="9"/>
  <c r="P1502" i="9"/>
  <c r="L1502" i="9"/>
  <c r="K1502" i="9"/>
  <c r="J1502" i="9"/>
  <c r="I1502" i="9"/>
  <c r="H1502" i="9"/>
  <c r="P1501" i="9"/>
  <c r="L1501" i="9"/>
  <c r="K1501" i="9"/>
  <c r="J1501" i="9"/>
  <c r="I1501" i="9"/>
  <c r="H1501" i="9"/>
  <c r="P1500" i="9"/>
  <c r="L1500" i="9"/>
  <c r="K1500" i="9"/>
  <c r="J1500" i="9"/>
  <c r="I1500" i="9"/>
  <c r="H1500" i="9"/>
  <c r="P1499" i="9"/>
  <c r="L1499" i="9"/>
  <c r="K1499" i="9"/>
  <c r="J1499" i="9"/>
  <c r="I1499" i="9"/>
  <c r="H1499" i="9"/>
  <c r="P1498" i="9"/>
  <c r="L1498" i="9"/>
  <c r="K1498" i="9"/>
  <c r="J1498" i="9"/>
  <c r="I1498" i="9"/>
  <c r="H1498" i="9"/>
  <c r="P1497" i="9"/>
  <c r="L1497" i="9"/>
  <c r="K1497" i="9"/>
  <c r="J1497" i="9"/>
  <c r="I1497" i="9"/>
  <c r="H1497" i="9"/>
  <c r="P1496" i="9"/>
  <c r="L1496" i="9"/>
  <c r="K1496" i="9"/>
  <c r="J1496" i="9"/>
  <c r="I1496" i="9"/>
  <c r="H1496" i="9"/>
  <c r="P1495" i="9"/>
  <c r="L1495" i="9"/>
  <c r="K1495" i="9"/>
  <c r="J1495" i="9"/>
  <c r="I1495" i="9"/>
  <c r="H1495" i="9"/>
  <c r="P1494" i="9"/>
  <c r="L1494" i="9"/>
  <c r="K1494" i="9"/>
  <c r="J1494" i="9"/>
  <c r="I1494" i="9"/>
  <c r="H1494" i="9"/>
  <c r="P1493" i="9"/>
  <c r="L1493" i="9"/>
  <c r="K1493" i="9"/>
  <c r="J1493" i="9"/>
  <c r="I1493" i="9"/>
  <c r="H1493" i="9"/>
  <c r="P1492" i="9"/>
  <c r="L1492" i="9"/>
  <c r="K1492" i="9"/>
  <c r="J1492" i="9"/>
  <c r="I1492" i="9"/>
  <c r="H1492" i="9"/>
  <c r="P1491" i="9"/>
  <c r="L1491" i="9"/>
  <c r="K1491" i="9"/>
  <c r="J1491" i="9"/>
  <c r="I1491" i="9"/>
  <c r="H1491" i="9"/>
  <c r="P1490" i="9"/>
  <c r="L1490" i="9"/>
  <c r="K1490" i="9"/>
  <c r="J1490" i="9"/>
  <c r="I1490" i="9"/>
  <c r="H1490" i="9"/>
  <c r="P1489" i="9"/>
  <c r="L1489" i="9"/>
  <c r="K1489" i="9"/>
  <c r="J1489" i="9"/>
  <c r="I1489" i="9"/>
  <c r="H1489" i="9"/>
  <c r="P1488" i="9"/>
  <c r="L1488" i="9"/>
  <c r="K1488" i="9"/>
  <c r="J1488" i="9"/>
  <c r="I1488" i="9"/>
  <c r="H1488" i="9"/>
  <c r="P1487" i="9"/>
  <c r="L1487" i="9"/>
  <c r="K1487" i="9"/>
  <c r="J1487" i="9"/>
  <c r="I1487" i="9"/>
  <c r="H1487" i="9"/>
  <c r="P1486" i="9"/>
  <c r="L1486" i="9"/>
  <c r="K1486" i="9"/>
  <c r="J1486" i="9"/>
  <c r="I1486" i="9"/>
  <c r="H1486" i="9"/>
  <c r="P1485" i="9"/>
  <c r="L1485" i="9"/>
  <c r="K1485" i="9"/>
  <c r="J1485" i="9"/>
  <c r="I1485" i="9"/>
  <c r="H1485" i="9"/>
  <c r="P1484" i="9"/>
  <c r="L1484" i="9"/>
  <c r="K1484" i="9"/>
  <c r="J1484" i="9"/>
  <c r="I1484" i="9"/>
  <c r="H1484" i="9"/>
  <c r="P1483" i="9"/>
  <c r="L1483" i="9"/>
  <c r="K1483" i="9"/>
  <c r="J1483" i="9"/>
  <c r="I1483" i="9"/>
  <c r="H1483" i="9"/>
  <c r="P1482" i="9"/>
  <c r="L1482" i="9"/>
  <c r="K1482" i="9"/>
  <c r="J1482" i="9"/>
  <c r="I1482" i="9"/>
  <c r="H1482" i="9"/>
  <c r="P1481" i="9"/>
  <c r="L1481" i="9"/>
  <c r="K1481" i="9"/>
  <c r="J1481" i="9"/>
  <c r="I1481" i="9"/>
  <c r="H1481" i="9"/>
  <c r="P1480" i="9"/>
  <c r="L1480" i="9"/>
  <c r="K1480" i="9"/>
  <c r="J1480" i="9"/>
  <c r="I1480" i="9"/>
  <c r="H1480" i="9"/>
  <c r="P1479" i="9"/>
  <c r="L1479" i="9"/>
  <c r="K1479" i="9"/>
  <c r="J1479" i="9"/>
  <c r="I1479" i="9"/>
  <c r="H1479" i="9"/>
  <c r="P1478" i="9"/>
  <c r="L1478" i="9"/>
  <c r="K1478" i="9"/>
  <c r="J1478" i="9"/>
  <c r="I1478" i="9"/>
  <c r="H1478" i="9"/>
  <c r="P1477" i="9"/>
  <c r="L1477" i="9"/>
  <c r="K1477" i="9"/>
  <c r="J1477" i="9"/>
  <c r="I1477" i="9"/>
  <c r="H1477" i="9"/>
  <c r="P1476" i="9"/>
  <c r="L1476" i="9"/>
  <c r="K1476" i="9"/>
  <c r="J1476" i="9"/>
  <c r="I1476" i="9"/>
  <c r="H1476" i="9"/>
  <c r="P1475" i="9"/>
  <c r="L1475" i="9"/>
  <c r="K1475" i="9"/>
  <c r="J1475" i="9"/>
  <c r="I1475" i="9"/>
  <c r="H1475" i="9"/>
  <c r="P1474" i="9"/>
  <c r="L1474" i="9"/>
  <c r="K1474" i="9"/>
  <c r="J1474" i="9"/>
  <c r="I1474" i="9"/>
  <c r="H1474" i="9"/>
  <c r="P1473" i="9"/>
  <c r="L1473" i="9"/>
  <c r="K1473" i="9"/>
  <c r="J1473" i="9"/>
  <c r="I1473" i="9"/>
  <c r="H1473" i="9"/>
  <c r="P1472" i="9"/>
  <c r="L1472" i="9"/>
  <c r="K1472" i="9"/>
  <c r="J1472" i="9"/>
  <c r="I1472" i="9"/>
  <c r="H1472" i="9"/>
  <c r="P1471" i="9"/>
  <c r="L1471" i="9"/>
  <c r="K1471" i="9"/>
  <c r="J1471" i="9"/>
  <c r="I1471" i="9"/>
  <c r="H1471" i="9"/>
  <c r="P1470" i="9"/>
  <c r="L1470" i="9"/>
  <c r="K1470" i="9"/>
  <c r="J1470" i="9"/>
  <c r="I1470" i="9"/>
  <c r="H1470" i="9"/>
  <c r="P1469" i="9"/>
  <c r="L1469" i="9"/>
  <c r="K1469" i="9"/>
  <c r="J1469" i="9"/>
  <c r="I1469" i="9"/>
  <c r="H1469" i="9"/>
  <c r="P1468" i="9"/>
  <c r="L1468" i="9"/>
  <c r="K1468" i="9"/>
  <c r="J1468" i="9"/>
  <c r="I1468" i="9"/>
  <c r="H1468" i="9"/>
  <c r="P1467" i="9"/>
  <c r="L1467" i="9"/>
  <c r="K1467" i="9"/>
  <c r="J1467" i="9"/>
  <c r="I1467" i="9"/>
  <c r="H1467" i="9"/>
  <c r="P1466" i="9"/>
  <c r="L1466" i="9"/>
  <c r="K1466" i="9"/>
  <c r="J1466" i="9"/>
  <c r="I1466" i="9"/>
  <c r="H1466" i="9"/>
  <c r="P1465" i="9"/>
  <c r="L1465" i="9"/>
  <c r="K1465" i="9"/>
  <c r="J1465" i="9"/>
  <c r="I1465" i="9"/>
  <c r="H1465" i="9"/>
  <c r="P1464" i="9"/>
  <c r="L1464" i="9"/>
  <c r="K1464" i="9"/>
  <c r="J1464" i="9"/>
  <c r="I1464" i="9"/>
  <c r="H1464" i="9"/>
  <c r="P1463" i="9"/>
  <c r="L1463" i="9"/>
  <c r="K1463" i="9"/>
  <c r="J1463" i="9"/>
  <c r="I1463" i="9"/>
  <c r="H1463" i="9"/>
  <c r="P1462" i="9"/>
  <c r="L1462" i="9"/>
  <c r="K1462" i="9"/>
  <c r="J1462" i="9"/>
  <c r="I1462" i="9"/>
  <c r="H1462" i="9"/>
  <c r="P1461" i="9"/>
  <c r="L1461" i="9"/>
  <c r="K1461" i="9"/>
  <c r="J1461" i="9"/>
  <c r="I1461" i="9"/>
  <c r="H1461" i="9"/>
  <c r="P1460" i="9"/>
  <c r="L1460" i="9"/>
  <c r="K1460" i="9"/>
  <c r="J1460" i="9"/>
  <c r="I1460" i="9"/>
  <c r="H1460" i="9"/>
  <c r="P1459" i="9"/>
  <c r="L1459" i="9"/>
  <c r="K1459" i="9"/>
  <c r="J1459" i="9"/>
  <c r="I1459" i="9"/>
  <c r="H1459" i="9"/>
  <c r="P1458" i="9"/>
  <c r="L1458" i="9"/>
  <c r="K1458" i="9"/>
  <c r="J1458" i="9"/>
  <c r="I1458" i="9"/>
  <c r="H1458" i="9"/>
  <c r="P1457" i="9"/>
  <c r="L1457" i="9"/>
  <c r="K1457" i="9"/>
  <c r="J1457" i="9"/>
  <c r="I1457" i="9"/>
  <c r="H1457" i="9"/>
  <c r="P1456" i="9"/>
  <c r="L1456" i="9"/>
  <c r="K1456" i="9"/>
  <c r="J1456" i="9"/>
  <c r="I1456" i="9"/>
  <c r="H1456" i="9"/>
  <c r="P1455" i="9"/>
  <c r="L1455" i="9"/>
  <c r="K1455" i="9"/>
  <c r="J1455" i="9"/>
  <c r="I1455" i="9"/>
  <c r="H1455" i="9"/>
  <c r="P1454" i="9"/>
  <c r="L1454" i="9"/>
  <c r="K1454" i="9"/>
  <c r="J1454" i="9"/>
  <c r="I1454" i="9"/>
  <c r="H1454" i="9"/>
  <c r="P1453" i="9"/>
  <c r="L1453" i="9"/>
  <c r="K1453" i="9"/>
  <c r="J1453" i="9"/>
  <c r="I1453" i="9"/>
  <c r="H1453" i="9"/>
  <c r="P1452" i="9"/>
  <c r="L1452" i="9"/>
  <c r="K1452" i="9"/>
  <c r="J1452" i="9"/>
  <c r="I1452" i="9"/>
  <c r="H1452" i="9"/>
  <c r="P1451" i="9"/>
  <c r="L1451" i="9"/>
  <c r="K1451" i="9"/>
  <c r="J1451" i="9"/>
  <c r="I1451" i="9"/>
  <c r="H1451" i="9"/>
  <c r="P1450" i="9"/>
  <c r="L1450" i="9"/>
  <c r="K1450" i="9"/>
  <c r="J1450" i="9"/>
  <c r="I1450" i="9"/>
  <c r="H1450" i="9"/>
  <c r="P1449" i="9"/>
  <c r="L1449" i="9"/>
  <c r="K1449" i="9"/>
  <c r="J1449" i="9"/>
  <c r="I1449" i="9"/>
  <c r="H1449" i="9"/>
  <c r="P1448" i="9"/>
  <c r="L1448" i="9"/>
  <c r="K1448" i="9"/>
  <c r="J1448" i="9"/>
  <c r="I1448" i="9"/>
  <c r="H1448" i="9"/>
  <c r="P1447" i="9"/>
  <c r="L1447" i="9"/>
  <c r="K1447" i="9"/>
  <c r="J1447" i="9"/>
  <c r="I1447" i="9"/>
  <c r="H1447" i="9"/>
  <c r="P1446" i="9"/>
  <c r="L1446" i="9"/>
  <c r="K1446" i="9"/>
  <c r="J1446" i="9"/>
  <c r="I1446" i="9"/>
  <c r="H1446" i="9"/>
  <c r="P1445" i="9"/>
  <c r="L1445" i="9"/>
  <c r="K1445" i="9"/>
  <c r="J1445" i="9"/>
  <c r="I1445" i="9"/>
  <c r="H1445" i="9"/>
  <c r="P1444" i="9"/>
  <c r="L1444" i="9"/>
  <c r="K1444" i="9"/>
  <c r="J1444" i="9"/>
  <c r="I1444" i="9"/>
  <c r="H1444" i="9"/>
  <c r="P1443" i="9"/>
  <c r="L1443" i="9"/>
  <c r="K1443" i="9"/>
  <c r="J1443" i="9"/>
  <c r="I1443" i="9"/>
  <c r="H1443" i="9"/>
  <c r="P1442" i="9"/>
  <c r="L1442" i="9"/>
  <c r="K1442" i="9"/>
  <c r="J1442" i="9"/>
  <c r="I1442" i="9"/>
  <c r="H1442" i="9"/>
  <c r="P1441" i="9"/>
  <c r="L1441" i="9"/>
  <c r="K1441" i="9"/>
  <c r="J1441" i="9"/>
  <c r="I1441" i="9"/>
  <c r="H1441" i="9"/>
  <c r="P1440" i="9"/>
  <c r="L1440" i="9"/>
  <c r="K1440" i="9"/>
  <c r="J1440" i="9"/>
  <c r="I1440" i="9"/>
  <c r="H1440" i="9"/>
  <c r="P1439" i="9"/>
  <c r="L1439" i="9"/>
  <c r="K1439" i="9"/>
  <c r="J1439" i="9"/>
  <c r="I1439" i="9"/>
  <c r="H1439" i="9"/>
  <c r="P1438" i="9"/>
  <c r="L1438" i="9"/>
  <c r="K1438" i="9"/>
  <c r="J1438" i="9"/>
  <c r="I1438" i="9"/>
  <c r="H1438" i="9"/>
  <c r="P1437" i="9"/>
  <c r="L1437" i="9"/>
  <c r="K1437" i="9"/>
  <c r="J1437" i="9"/>
  <c r="I1437" i="9"/>
  <c r="H1437" i="9"/>
  <c r="P1436" i="9"/>
  <c r="L1436" i="9"/>
  <c r="K1436" i="9"/>
  <c r="J1436" i="9"/>
  <c r="I1436" i="9"/>
  <c r="H1436" i="9"/>
  <c r="P1435" i="9"/>
  <c r="L1435" i="9"/>
  <c r="K1435" i="9"/>
  <c r="J1435" i="9"/>
  <c r="I1435" i="9"/>
  <c r="H1435" i="9"/>
  <c r="P1434" i="9"/>
  <c r="L1434" i="9"/>
  <c r="K1434" i="9"/>
  <c r="J1434" i="9"/>
  <c r="I1434" i="9"/>
  <c r="H1434" i="9"/>
  <c r="P1433" i="9"/>
  <c r="L1433" i="9"/>
  <c r="K1433" i="9"/>
  <c r="J1433" i="9"/>
  <c r="I1433" i="9"/>
  <c r="H1433" i="9"/>
  <c r="P1432" i="9"/>
  <c r="L1432" i="9"/>
  <c r="K1432" i="9"/>
  <c r="J1432" i="9"/>
  <c r="I1432" i="9"/>
  <c r="H1432" i="9"/>
  <c r="P1431" i="9"/>
  <c r="L1431" i="9"/>
  <c r="K1431" i="9"/>
  <c r="J1431" i="9"/>
  <c r="I1431" i="9"/>
  <c r="H1431" i="9"/>
  <c r="P1430" i="9"/>
  <c r="L1430" i="9"/>
  <c r="K1430" i="9"/>
  <c r="J1430" i="9"/>
  <c r="I1430" i="9"/>
  <c r="H1430" i="9"/>
  <c r="P1429" i="9"/>
  <c r="L1429" i="9"/>
  <c r="K1429" i="9"/>
  <c r="J1429" i="9"/>
  <c r="I1429" i="9"/>
  <c r="H1429" i="9"/>
  <c r="P1428" i="9"/>
  <c r="L1428" i="9"/>
  <c r="K1428" i="9"/>
  <c r="J1428" i="9"/>
  <c r="I1428" i="9"/>
  <c r="H1428" i="9"/>
  <c r="P1427" i="9"/>
  <c r="L1427" i="9"/>
  <c r="K1427" i="9"/>
  <c r="J1427" i="9"/>
  <c r="I1427" i="9"/>
  <c r="H1427" i="9"/>
  <c r="P1426" i="9"/>
  <c r="L1426" i="9"/>
  <c r="K1426" i="9"/>
  <c r="J1426" i="9"/>
  <c r="I1426" i="9"/>
  <c r="H1426" i="9"/>
  <c r="P1425" i="9"/>
  <c r="L1425" i="9"/>
  <c r="K1425" i="9"/>
  <c r="J1425" i="9"/>
  <c r="I1425" i="9"/>
  <c r="H1425" i="9"/>
  <c r="P1424" i="9"/>
  <c r="L1424" i="9"/>
  <c r="K1424" i="9"/>
  <c r="J1424" i="9"/>
  <c r="I1424" i="9"/>
  <c r="H1424" i="9"/>
  <c r="P1423" i="9"/>
  <c r="L1423" i="9"/>
  <c r="K1423" i="9"/>
  <c r="J1423" i="9"/>
  <c r="I1423" i="9"/>
  <c r="H1423" i="9"/>
  <c r="P1422" i="9"/>
  <c r="L1422" i="9"/>
  <c r="K1422" i="9"/>
  <c r="J1422" i="9"/>
  <c r="I1422" i="9"/>
  <c r="H1422" i="9"/>
  <c r="P1421" i="9"/>
  <c r="L1421" i="9"/>
  <c r="K1421" i="9"/>
  <c r="J1421" i="9"/>
  <c r="I1421" i="9"/>
  <c r="H1421" i="9"/>
  <c r="P1420" i="9"/>
  <c r="L1420" i="9"/>
  <c r="K1420" i="9"/>
  <c r="J1420" i="9"/>
  <c r="I1420" i="9"/>
  <c r="H1420" i="9"/>
  <c r="P1419" i="9"/>
  <c r="L1419" i="9"/>
  <c r="K1419" i="9"/>
  <c r="J1419" i="9"/>
  <c r="I1419" i="9"/>
  <c r="H1419" i="9"/>
  <c r="P1418" i="9"/>
  <c r="L1418" i="9"/>
  <c r="K1418" i="9"/>
  <c r="J1418" i="9"/>
  <c r="I1418" i="9"/>
  <c r="H1418" i="9"/>
  <c r="P1417" i="9"/>
  <c r="L1417" i="9"/>
  <c r="K1417" i="9"/>
  <c r="J1417" i="9"/>
  <c r="I1417" i="9"/>
  <c r="H1417" i="9"/>
  <c r="P1416" i="9"/>
  <c r="L1416" i="9"/>
  <c r="K1416" i="9"/>
  <c r="J1416" i="9"/>
  <c r="I1416" i="9"/>
  <c r="H1416" i="9"/>
  <c r="P1415" i="9"/>
  <c r="L1415" i="9"/>
  <c r="K1415" i="9"/>
  <c r="J1415" i="9"/>
  <c r="I1415" i="9"/>
  <c r="H1415" i="9"/>
  <c r="P1414" i="9"/>
  <c r="L1414" i="9"/>
  <c r="K1414" i="9"/>
  <c r="J1414" i="9"/>
  <c r="I1414" i="9"/>
  <c r="H1414" i="9"/>
  <c r="P1413" i="9"/>
  <c r="L1413" i="9"/>
  <c r="K1413" i="9"/>
  <c r="J1413" i="9"/>
  <c r="I1413" i="9"/>
  <c r="H1413" i="9"/>
  <c r="P1412" i="9"/>
  <c r="L1412" i="9"/>
  <c r="K1412" i="9"/>
  <c r="J1412" i="9"/>
  <c r="I1412" i="9"/>
  <c r="H1412" i="9"/>
  <c r="P1411" i="9"/>
  <c r="L1411" i="9"/>
  <c r="K1411" i="9"/>
  <c r="J1411" i="9"/>
  <c r="I1411" i="9"/>
  <c r="H1411" i="9"/>
  <c r="P1410" i="9"/>
  <c r="L1410" i="9"/>
  <c r="K1410" i="9"/>
  <c r="J1410" i="9"/>
  <c r="I1410" i="9"/>
  <c r="H1410" i="9"/>
  <c r="P1409" i="9"/>
  <c r="L1409" i="9"/>
  <c r="K1409" i="9"/>
  <c r="J1409" i="9"/>
  <c r="I1409" i="9"/>
  <c r="H1409" i="9"/>
  <c r="P1408" i="9"/>
  <c r="L1408" i="9"/>
  <c r="K1408" i="9"/>
  <c r="J1408" i="9"/>
  <c r="I1408" i="9"/>
  <c r="H1408" i="9"/>
  <c r="P1407" i="9"/>
  <c r="L1407" i="9"/>
  <c r="K1407" i="9"/>
  <c r="J1407" i="9"/>
  <c r="I1407" i="9"/>
  <c r="H1407" i="9"/>
  <c r="P1406" i="9"/>
  <c r="L1406" i="9"/>
  <c r="K1406" i="9"/>
  <c r="J1406" i="9"/>
  <c r="I1406" i="9"/>
  <c r="H1406" i="9"/>
  <c r="P1405" i="9"/>
  <c r="L1405" i="9"/>
  <c r="K1405" i="9"/>
  <c r="J1405" i="9"/>
  <c r="I1405" i="9"/>
  <c r="H1405" i="9"/>
  <c r="P1404" i="9"/>
  <c r="L1404" i="9"/>
  <c r="K1404" i="9"/>
  <c r="J1404" i="9"/>
  <c r="I1404" i="9"/>
  <c r="H1404" i="9"/>
  <c r="P1403" i="9"/>
  <c r="L1403" i="9"/>
  <c r="K1403" i="9"/>
  <c r="J1403" i="9"/>
  <c r="I1403" i="9"/>
  <c r="H1403" i="9"/>
  <c r="P1402" i="9"/>
  <c r="L1402" i="9"/>
  <c r="K1402" i="9"/>
  <c r="J1402" i="9"/>
  <c r="I1402" i="9"/>
  <c r="H1402" i="9"/>
  <c r="P1401" i="9"/>
  <c r="L1401" i="9"/>
  <c r="K1401" i="9"/>
  <c r="J1401" i="9"/>
  <c r="I1401" i="9"/>
  <c r="H1401" i="9"/>
  <c r="P1400" i="9"/>
  <c r="L1400" i="9"/>
  <c r="K1400" i="9"/>
  <c r="J1400" i="9"/>
  <c r="I1400" i="9"/>
  <c r="H1400" i="9"/>
  <c r="P1399" i="9"/>
  <c r="L1399" i="9"/>
  <c r="K1399" i="9"/>
  <c r="J1399" i="9"/>
  <c r="I1399" i="9"/>
  <c r="H1399" i="9"/>
  <c r="P1398" i="9"/>
  <c r="L1398" i="9"/>
  <c r="K1398" i="9"/>
  <c r="J1398" i="9"/>
  <c r="I1398" i="9"/>
  <c r="H1398" i="9"/>
  <c r="P1397" i="9"/>
  <c r="L1397" i="9"/>
  <c r="K1397" i="9"/>
  <c r="J1397" i="9"/>
  <c r="I1397" i="9"/>
  <c r="H1397" i="9"/>
  <c r="P1396" i="9"/>
  <c r="L1396" i="9"/>
  <c r="K1396" i="9"/>
  <c r="J1396" i="9"/>
  <c r="I1396" i="9"/>
  <c r="H1396" i="9"/>
  <c r="P1395" i="9"/>
  <c r="L1395" i="9"/>
  <c r="K1395" i="9"/>
  <c r="J1395" i="9"/>
  <c r="I1395" i="9"/>
  <c r="H1395" i="9"/>
  <c r="P1394" i="9"/>
  <c r="L1394" i="9"/>
  <c r="K1394" i="9"/>
  <c r="J1394" i="9"/>
  <c r="I1394" i="9"/>
  <c r="H1394" i="9"/>
  <c r="P1393" i="9"/>
  <c r="L1393" i="9"/>
  <c r="K1393" i="9"/>
  <c r="J1393" i="9"/>
  <c r="I1393" i="9"/>
  <c r="H1393" i="9"/>
  <c r="P1392" i="9"/>
  <c r="L1392" i="9"/>
  <c r="K1392" i="9"/>
  <c r="J1392" i="9"/>
  <c r="I1392" i="9"/>
  <c r="H1392" i="9"/>
  <c r="P1391" i="9"/>
  <c r="L1391" i="9"/>
  <c r="K1391" i="9"/>
  <c r="J1391" i="9"/>
  <c r="I1391" i="9"/>
  <c r="H1391" i="9"/>
  <c r="P1390" i="9"/>
  <c r="L1390" i="9"/>
  <c r="K1390" i="9"/>
  <c r="J1390" i="9"/>
  <c r="I1390" i="9"/>
  <c r="H1390" i="9"/>
  <c r="P1389" i="9"/>
  <c r="L1389" i="9"/>
  <c r="K1389" i="9"/>
  <c r="J1389" i="9"/>
  <c r="I1389" i="9"/>
  <c r="H1389" i="9"/>
  <c r="P1388" i="9"/>
  <c r="L1388" i="9"/>
  <c r="K1388" i="9"/>
  <c r="J1388" i="9"/>
  <c r="I1388" i="9"/>
  <c r="H1388" i="9"/>
  <c r="P1387" i="9"/>
  <c r="L1387" i="9"/>
  <c r="K1387" i="9"/>
  <c r="J1387" i="9"/>
  <c r="I1387" i="9"/>
  <c r="H1387" i="9"/>
  <c r="P1386" i="9"/>
  <c r="L1386" i="9"/>
  <c r="K1386" i="9"/>
  <c r="J1386" i="9"/>
  <c r="I1386" i="9"/>
  <c r="H1386" i="9"/>
  <c r="P1385" i="9"/>
  <c r="L1385" i="9"/>
  <c r="K1385" i="9"/>
  <c r="J1385" i="9"/>
  <c r="I1385" i="9"/>
  <c r="H1385" i="9"/>
  <c r="P1384" i="9"/>
  <c r="L1384" i="9"/>
  <c r="K1384" i="9"/>
  <c r="J1384" i="9"/>
  <c r="I1384" i="9"/>
  <c r="H1384" i="9"/>
  <c r="P1383" i="9"/>
  <c r="L1383" i="9"/>
  <c r="K1383" i="9"/>
  <c r="J1383" i="9"/>
  <c r="I1383" i="9"/>
  <c r="H1383" i="9"/>
  <c r="P1382" i="9"/>
  <c r="L1382" i="9"/>
  <c r="K1382" i="9"/>
  <c r="J1382" i="9"/>
  <c r="I1382" i="9"/>
  <c r="H1382" i="9"/>
  <c r="P1381" i="9"/>
  <c r="L1381" i="9"/>
  <c r="K1381" i="9"/>
  <c r="J1381" i="9"/>
  <c r="I1381" i="9"/>
  <c r="H1381" i="9"/>
  <c r="P1380" i="9"/>
  <c r="L1380" i="9"/>
  <c r="K1380" i="9"/>
  <c r="J1380" i="9"/>
  <c r="I1380" i="9"/>
  <c r="H1380" i="9"/>
  <c r="P1379" i="9"/>
  <c r="L1379" i="9"/>
  <c r="K1379" i="9"/>
  <c r="J1379" i="9"/>
  <c r="I1379" i="9"/>
  <c r="H1379" i="9"/>
  <c r="P1378" i="9"/>
  <c r="L1378" i="9"/>
  <c r="K1378" i="9"/>
  <c r="J1378" i="9"/>
  <c r="I1378" i="9"/>
  <c r="H1378" i="9"/>
  <c r="P1377" i="9"/>
  <c r="L1377" i="9"/>
  <c r="K1377" i="9"/>
  <c r="J1377" i="9"/>
  <c r="I1377" i="9"/>
  <c r="H1377" i="9"/>
  <c r="P1376" i="9"/>
  <c r="L1376" i="9"/>
  <c r="K1376" i="9"/>
  <c r="J1376" i="9"/>
  <c r="I1376" i="9"/>
  <c r="H1376" i="9"/>
  <c r="P1375" i="9"/>
  <c r="L1375" i="9"/>
  <c r="K1375" i="9"/>
  <c r="J1375" i="9"/>
  <c r="I1375" i="9"/>
  <c r="H1375" i="9"/>
  <c r="P1374" i="9"/>
  <c r="L1374" i="9"/>
  <c r="K1374" i="9"/>
  <c r="J1374" i="9"/>
  <c r="I1374" i="9"/>
  <c r="H1374" i="9"/>
  <c r="P1373" i="9"/>
  <c r="L1373" i="9"/>
  <c r="K1373" i="9"/>
  <c r="J1373" i="9"/>
  <c r="I1373" i="9"/>
  <c r="H1373" i="9"/>
  <c r="P1372" i="9"/>
  <c r="L1372" i="9"/>
  <c r="K1372" i="9"/>
  <c r="J1372" i="9"/>
  <c r="I1372" i="9"/>
  <c r="H1372" i="9"/>
  <c r="P1371" i="9"/>
  <c r="L1371" i="9"/>
  <c r="K1371" i="9"/>
  <c r="J1371" i="9"/>
  <c r="I1371" i="9"/>
  <c r="H1371" i="9"/>
  <c r="P1370" i="9"/>
  <c r="L1370" i="9"/>
  <c r="K1370" i="9"/>
  <c r="J1370" i="9"/>
  <c r="I1370" i="9"/>
  <c r="H1370" i="9"/>
  <c r="P1369" i="9"/>
  <c r="L1369" i="9"/>
  <c r="K1369" i="9"/>
  <c r="J1369" i="9"/>
  <c r="I1369" i="9"/>
  <c r="H1369" i="9"/>
  <c r="P1368" i="9"/>
  <c r="L1368" i="9"/>
  <c r="K1368" i="9"/>
  <c r="J1368" i="9"/>
  <c r="I1368" i="9"/>
  <c r="H1368" i="9"/>
  <c r="P1367" i="9"/>
  <c r="L1367" i="9"/>
  <c r="K1367" i="9"/>
  <c r="J1367" i="9"/>
  <c r="I1367" i="9"/>
  <c r="H1367" i="9"/>
  <c r="P1366" i="9"/>
  <c r="L1366" i="9"/>
  <c r="K1366" i="9"/>
  <c r="J1366" i="9"/>
  <c r="I1366" i="9"/>
  <c r="H1366" i="9"/>
  <c r="P1365" i="9"/>
  <c r="L1365" i="9"/>
  <c r="K1365" i="9"/>
  <c r="J1365" i="9"/>
  <c r="I1365" i="9"/>
  <c r="H1365" i="9"/>
  <c r="P1364" i="9"/>
  <c r="L1364" i="9"/>
  <c r="K1364" i="9"/>
  <c r="J1364" i="9"/>
  <c r="I1364" i="9"/>
  <c r="H1364" i="9"/>
  <c r="P1363" i="9"/>
  <c r="L1363" i="9"/>
  <c r="K1363" i="9"/>
  <c r="J1363" i="9"/>
  <c r="I1363" i="9"/>
  <c r="H1363" i="9"/>
  <c r="P1362" i="9"/>
  <c r="L1362" i="9"/>
  <c r="K1362" i="9"/>
  <c r="J1362" i="9"/>
  <c r="I1362" i="9"/>
  <c r="H1362" i="9"/>
  <c r="P1361" i="9"/>
  <c r="L1361" i="9"/>
  <c r="K1361" i="9"/>
  <c r="J1361" i="9"/>
  <c r="I1361" i="9"/>
  <c r="H1361" i="9"/>
  <c r="P1360" i="9"/>
  <c r="L1360" i="9"/>
  <c r="K1360" i="9"/>
  <c r="J1360" i="9"/>
  <c r="I1360" i="9"/>
  <c r="H1360" i="9"/>
  <c r="P1359" i="9"/>
  <c r="L1359" i="9"/>
  <c r="K1359" i="9"/>
  <c r="J1359" i="9"/>
  <c r="I1359" i="9"/>
  <c r="H1359" i="9"/>
  <c r="P1358" i="9"/>
  <c r="L1358" i="9"/>
  <c r="K1358" i="9"/>
  <c r="J1358" i="9"/>
  <c r="I1358" i="9"/>
  <c r="H1358" i="9"/>
  <c r="P1357" i="9"/>
  <c r="L1357" i="9"/>
  <c r="K1357" i="9"/>
  <c r="J1357" i="9"/>
  <c r="I1357" i="9"/>
  <c r="H1357" i="9"/>
  <c r="P1356" i="9"/>
  <c r="L1356" i="9"/>
  <c r="K1356" i="9"/>
  <c r="J1356" i="9"/>
  <c r="I1356" i="9"/>
  <c r="H1356" i="9"/>
  <c r="P1355" i="9"/>
  <c r="L1355" i="9"/>
  <c r="K1355" i="9"/>
  <c r="J1355" i="9"/>
  <c r="I1355" i="9"/>
  <c r="H1355" i="9"/>
  <c r="P1354" i="9"/>
  <c r="L1354" i="9"/>
  <c r="K1354" i="9"/>
  <c r="J1354" i="9"/>
  <c r="I1354" i="9"/>
  <c r="H1354" i="9"/>
  <c r="P1353" i="9"/>
  <c r="L1353" i="9"/>
  <c r="K1353" i="9"/>
  <c r="J1353" i="9"/>
  <c r="I1353" i="9"/>
  <c r="H1353" i="9"/>
  <c r="P1352" i="9"/>
  <c r="L1352" i="9"/>
  <c r="K1352" i="9"/>
  <c r="J1352" i="9"/>
  <c r="I1352" i="9"/>
  <c r="H1352" i="9"/>
  <c r="P1351" i="9"/>
  <c r="L1351" i="9"/>
  <c r="K1351" i="9"/>
  <c r="J1351" i="9"/>
  <c r="I1351" i="9"/>
  <c r="H1351" i="9"/>
  <c r="P1350" i="9"/>
  <c r="L1350" i="9"/>
  <c r="K1350" i="9"/>
  <c r="J1350" i="9"/>
  <c r="I1350" i="9"/>
  <c r="H1350" i="9"/>
  <c r="P1349" i="9"/>
  <c r="L1349" i="9"/>
  <c r="K1349" i="9"/>
  <c r="J1349" i="9"/>
  <c r="I1349" i="9"/>
  <c r="H1349" i="9"/>
  <c r="P1348" i="9"/>
  <c r="L1348" i="9"/>
  <c r="K1348" i="9"/>
  <c r="J1348" i="9"/>
  <c r="I1348" i="9"/>
  <c r="H1348" i="9"/>
  <c r="P1347" i="9"/>
  <c r="L1347" i="9"/>
  <c r="K1347" i="9"/>
  <c r="J1347" i="9"/>
  <c r="I1347" i="9"/>
  <c r="H1347" i="9"/>
  <c r="P1346" i="9"/>
  <c r="L1346" i="9"/>
  <c r="K1346" i="9"/>
  <c r="J1346" i="9"/>
  <c r="I1346" i="9"/>
  <c r="H1346" i="9"/>
  <c r="P1345" i="9"/>
  <c r="L1345" i="9"/>
  <c r="K1345" i="9"/>
  <c r="J1345" i="9"/>
  <c r="I1345" i="9"/>
  <c r="H1345" i="9"/>
  <c r="P1344" i="9"/>
  <c r="L1344" i="9"/>
  <c r="K1344" i="9"/>
  <c r="J1344" i="9"/>
  <c r="I1344" i="9"/>
  <c r="H1344" i="9"/>
  <c r="P1343" i="9"/>
  <c r="L1343" i="9"/>
  <c r="K1343" i="9"/>
  <c r="J1343" i="9"/>
  <c r="I1343" i="9"/>
  <c r="H1343" i="9"/>
  <c r="P1342" i="9"/>
  <c r="L1342" i="9"/>
  <c r="K1342" i="9"/>
  <c r="J1342" i="9"/>
  <c r="I1342" i="9"/>
  <c r="H1342" i="9"/>
  <c r="P1341" i="9"/>
  <c r="L1341" i="9"/>
  <c r="K1341" i="9"/>
  <c r="J1341" i="9"/>
  <c r="I1341" i="9"/>
  <c r="H1341" i="9"/>
  <c r="P1340" i="9"/>
  <c r="L1340" i="9"/>
  <c r="K1340" i="9"/>
  <c r="J1340" i="9"/>
  <c r="I1340" i="9"/>
  <c r="H1340" i="9"/>
  <c r="P1339" i="9"/>
  <c r="L1339" i="9"/>
  <c r="K1339" i="9"/>
  <c r="J1339" i="9"/>
  <c r="I1339" i="9"/>
  <c r="H1339" i="9"/>
  <c r="P1338" i="9"/>
  <c r="L1338" i="9"/>
  <c r="K1338" i="9"/>
  <c r="J1338" i="9"/>
  <c r="I1338" i="9"/>
  <c r="H1338" i="9"/>
  <c r="P1337" i="9"/>
  <c r="L1337" i="9"/>
  <c r="K1337" i="9"/>
  <c r="J1337" i="9"/>
  <c r="I1337" i="9"/>
  <c r="H1337" i="9"/>
  <c r="P1336" i="9"/>
  <c r="L1336" i="9"/>
  <c r="K1336" i="9"/>
  <c r="J1336" i="9"/>
  <c r="I1336" i="9"/>
  <c r="H1336" i="9"/>
  <c r="P1335" i="9"/>
  <c r="L1335" i="9"/>
  <c r="K1335" i="9"/>
  <c r="J1335" i="9"/>
  <c r="I1335" i="9"/>
  <c r="H1335" i="9"/>
  <c r="P1334" i="9"/>
  <c r="L1334" i="9"/>
  <c r="K1334" i="9"/>
  <c r="J1334" i="9"/>
  <c r="I1334" i="9"/>
  <c r="H1334" i="9"/>
  <c r="P1333" i="9"/>
  <c r="L1333" i="9"/>
  <c r="K1333" i="9"/>
  <c r="J1333" i="9"/>
  <c r="I1333" i="9"/>
  <c r="H1333" i="9"/>
  <c r="P1332" i="9"/>
  <c r="L1332" i="9"/>
  <c r="K1332" i="9"/>
  <c r="J1332" i="9"/>
  <c r="I1332" i="9"/>
  <c r="H1332" i="9"/>
  <c r="P1331" i="9"/>
  <c r="L1331" i="9"/>
  <c r="K1331" i="9"/>
  <c r="J1331" i="9"/>
  <c r="I1331" i="9"/>
  <c r="H1331" i="9"/>
  <c r="P1330" i="9"/>
  <c r="L1330" i="9"/>
  <c r="K1330" i="9"/>
  <c r="J1330" i="9"/>
  <c r="I1330" i="9"/>
  <c r="H1330" i="9"/>
  <c r="P1329" i="9"/>
  <c r="L1329" i="9"/>
  <c r="K1329" i="9"/>
  <c r="J1329" i="9"/>
  <c r="I1329" i="9"/>
  <c r="H1329" i="9"/>
  <c r="P1328" i="9"/>
  <c r="L1328" i="9"/>
  <c r="K1328" i="9"/>
  <c r="J1328" i="9"/>
  <c r="I1328" i="9"/>
  <c r="H1328" i="9"/>
  <c r="P1327" i="9"/>
  <c r="L1327" i="9"/>
  <c r="K1327" i="9"/>
  <c r="J1327" i="9"/>
  <c r="I1327" i="9"/>
  <c r="H1327" i="9"/>
  <c r="P1326" i="9"/>
  <c r="L1326" i="9"/>
  <c r="K1326" i="9"/>
  <c r="J1326" i="9"/>
  <c r="I1326" i="9"/>
  <c r="H1326" i="9"/>
  <c r="P1325" i="9"/>
  <c r="L1325" i="9"/>
  <c r="K1325" i="9"/>
  <c r="J1325" i="9"/>
  <c r="I1325" i="9"/>
  <c r="H1325" i="9"/>
  <c r="P1324" i="9"/>
  <c r="L1324" i="9"/>
  <c r="K1324" i="9"/>
  <c r="J1324" i="9"/>
  <c r="I1324" i="9"/>
  <c r="H1324" i="9"/>
  <c r="P1323" i="9"/>
  <c r="L1323" i="9"/>
  <c r="K1323" i="9"/>
  <c r="J1323" i="9"/>
  <c r="I1323" i="9"/>
  <c r="H1323" i="9"/>
  <c r="P1322" i="9"/>
  <c r="L1322" i="9"/>
  <c r="K1322" i="9"/>
  <c r="J1322" i="9"/>
  <c r="I1322" i="9"/>
  <c r="H1322" i="9"/>
  <c r="P1321" i="9"/>
  <c r="L1321" i="9"/>
  <c r="K1321" i="9"/>
  <c r="J1321" i="9"/>
  <c r="I1321" i="9"/>
  <c r="H1321" i="9"/>
  <c r="P1320" i="9"/>
  <c r="L1320" i="9"/>
  <c r="K1320" i="9"/>
  <c r="J1320" i="9"/>
  <c r="I1320" i="9"/>
  <c r="H1320" i="9"/>
  <c r="P1319" i="9"/>
  <c r="L1319" i="9"/>
  <c r="K1319" i="9"/>
  <c r="J1319" i="9"/>
  <c r="I1319" i="9"/>
  <c r="H1319" i="9"/>
  <c r="P1318" i="9"/>
  <c r="L1318" i="9"/>
  <c r="K1318" i="9"/>
  <c r="J1318" i="9"/>
  <c r="I1318" i="9"/>
  <c r="H1318" i="9"/>
  <c r="P1317" i="9"/>
  <c r="L1317" i="9"/>
  <c r="K1317" i="9"/>
  <c r="J1317" i="9"/>
  <c r="I1317" i="9"/>
  <c r="H1317" i="9"/>
  <c r="P1316" i="9"/>
  <c r="L1316" i="9"/>
  <c r="K1316" i="9"/>
  <c r="J1316" i="9"/>
  <c r="I1316" i="9"/>
  <c r="H1316" i="9"/>
  <c r="P1315" i="9"/>
  <c r="L1315" i="9"/>
  <c r="K1315" i="9"/>
  <c r="J1315" i="9"/>
  <c r="I1315" i="9"/>
  <c r="H1315" i="9"/>
  <c r="P1314" i="9"/>
  <c r="L1314" i="9"/>
  <c r="K1314" i="9"/>
  <c r="J1314" i="9"/>
  <c r="I1314" i="9"/>
  <c r="H1314" i="9"/>
  <c r="P1313" i="9"/>
  <c r="L1313" i="9"/>
  <c r="K1313" i="9"/>
  <c r="J1313" i="9"/>
  <c r="I1313" i="9"/>
  <c r="H1313" i="9"/>
  <c r="P1312" i="9"/>
  <c r="L1312" i="9"/>
  <c r="K1312" i="9"/>
  <c r="J1312" i="9"/>
  <c r="I1312" i="9"/>
  <c r="H1312" i="9"/>
  <c r="P1311" i="9"/>
  <c r="L1311" i="9"/>
  <c r="K1311" i="9"/>
  <c r="J1311" i="9"/>
  <c r="I1311" i="9"/>
  <c r="H1311" i="9"/>
  <c r="P1310" i="9"/>
  <c r="L1310" i="9"/>
  <c r="K1310" i="9"/>
  <c r="J1310" i="9"/>
  <c r="I1310" i="9"/>
  <c r="H1310" i="9"/>
  <c r="P1309" i="9"/>
  <c r="L1309" i="9"/>
  <c r="K1309" i="9"/>
  <c r="J1309" i="9"/>
  <c r="I1309" i="9"/>
  <c r="H1309" i="9"/>
  <c r="P1308" i="9"/>
  <c r="L1308" i="9"/>
  <c r="K1308" i="9"/>
  <c r="J1308" i="9"/>
  <c r="I1308" i="9"/>
  <c r="H1308" i="9"/>
  <c r="P1307" i="9"/>
  <c r="L1307" i="9"/>
  <c r="K1307" i="9"/>
  <c r="J1307" i="9"/>
  <c r="I1307" i="9"/>
  <c r="H1307" i="9"/>
  <c r="P1306" i="9"/>
  <c r="L1306" i="9"/>
  <c r="K1306" i="9"/>
  <c r="J1306" i="9"/>
  <c r="I1306" i="9"/>
  <c r="H1306" i="9"/>
  <c r="P1305" i="9"/>
  <c r="L1305" i="9"/>
  <c r="K1305" i="9"/>
  <c r="J1305" i="9"/>
  <c r="I1305" i="9"/>
  <c r="H1305" i="9"/>
  <c r="P1304" i="9"/>
  <c r="L1304" i="9"/>
  <c r="K1304" i="9"/>
  <c r="J1304" i="9"/>
  <c r="I1304" i="9"/>
  <c r="H1304" i="9"/>
  <c r="P1303" i="9"/>
  <c r="L1303" i="9"/>
  <c r="K1303" i="9"/>
  <c r="J1303" i="9"/>
  <c r="I1303" i="9"/>
  <c r="H1303" i="9"/>
  <c r="P1302" i="9"/>
  <c r="L1302" i="9"/>
  <c r="K1302" i="9"/>
  <c r="J1302" i="9"/>
  <c r="I1302" i="9"/>
  <c r="H1302" i="9"/>
  <c r="P1301" i="9"/>
  <c r="L1301" i="9"/>
  <c r="K1301" i="9"/>
  <c r="J1301" i="9"/>
  <c r="I1301" i="9"/>
  <c r="H1301" i="9"/>
  <c r="P1300" i="9"/>
  <c r="L1300" i="9"/>
  <c r="K1300" i="9"/>
  <c r="J1300" i="9"/>
  <c r="I1300" i="9"/>
  <c r="H1300" i="9"/>
  <c r="P1299" i="9"/>
  <c r="L1299" i="9"/>
  <c r="K1299" i="9"/>
  <c r="J1299" i="9"/>
  <c r="I1299" i="9"/>
  <c r="H1299" i="9"/>
  <c r="P1298" i="9"/>
  <c r="L1298" i="9"/>
  <c r="K1298" i="9"/>
  <c r="J1298" i="9"/>
  <c r="I1298" i="9"/>
  <c r="H1298" i="9"/>
  <c r="P1297" i="9"/>
  <c r="L1297" i="9"/>
  <c r="K1297" i="9"/>
  <c r="J1297" i="9"/>
  <c r="I1297" i="9"/>
  <c r="H1297" i="9"/>
  <c r="P1296" i="9"/>
  <c r="L1296" i="9"/>
  <c r="K1296" i="9"/>
  <c r="J1296" i="9"/>
  <c r="I1296" i="9"/>
  <c r="H1296" i="9"/>
  <c r="P1295" i="9"/>
  <c r="L1295" i="9"/>
  <c r="K1295" i="9"/>
  <c r="J1295" i="9"/>
  <c r="I1295" i="9"/>
  <c r="H1295" i="9"/>
  <c r="P1294" i="9"/>
  <c r="L1294" i="9"/>
  <c r="K1294" i="9"/>
  <c r="J1294" i="9"/>
  <c r="I1294" i="9"/>
  <c r="H1294" i="9"/>
  <c r="P1293" i="9"/>
  <c r="L1293" i="9"/>
  <c r="K1293" i="9"/>
  <c r="J1293" i="9"/>
  <c r="I1293" i="9"/>
  <c r="H1293" i="9"/>
  <c r="P1292" i="9"/>
  <c r="L1292" i="9"/>
  <c r="K1292" i="9"/>
  <c r="J1292" i="9"/>
  <c r="I1292" i="9"/>
  <c r="H1292" i="9"/>
  <c r="P1291" i="9"/>
  <c r="L1291" i="9"/>
  <c r="K1291" i="9"/>
  <c r="J1291" i="9"/>
  <c r="I1291" i="9"/>
  <c r="H1291" i="9"/>
  <c r="P1290" i="9"/>
  <c r="L1290" i="9"/>
  <c r="K1290" i="9"/>
  <c r="J1290" i="9"/>
  <c r="I1290" i="9"/>
  <c r="H1290" i="9"/>
  <c r="P1289" i="9"/>
  <c r="L1289" i="9"/>
  <c r="K1289" i="9"/>
  <c r="J1289" i="9"/>
  <c r="I1289" i="9"/>
  <c r="H1289" i="9"/>
  <c r="P1288" i="9"/>
  <c r="L1288" i="9"/>
  <c r="K1288" i="9"/>
  <c r="J1288" i="9"/>
  <c r="I1288" i="9"/>
  <c r="H1288" i="9"/>
  <c r="P1287" i="9"/>
  <c r="L1287" i="9"/>
  <c r="K1287" i="9"/>
  <c r="J1287" i="9"/>
  <c r="I1287" i="9"/>
  <c r="H1287" i="9"/>
  <c r="P1286" i="9"/>
  <c r="L1286" i="9"/>
  <c r="K1286" i="9"/>
  <c r="J1286" i="9"/>
  <c r="I1286" i="9"/>
  <c r="H1286" i="9"/>
  <c r="P1285" i="9"/>
  <c r="L1285" i="9"/>
  <c r="K1285" i="9"/>
  <c r="J1285" i="9"/>
  <c r="I1285" i="9"/>
  <c r="H1285" i="9"/>
  <c r="P1284" i="9"/>
  <c r="L1284" i="9"/>
  <c r="K1284" i="9"/>
  <c r="J1284" i="9"/>
  <c r="I1284" i="9"/>
  <c r="H1284" i="9"/>
  <c r="P1283" i="9"/>
  <c r="L1283" i="9"/>
  <c r="K1283" i="9"/>
  <c r="J1283" i="9"/>
  <c r="I1283" i="9"/>
  <c r="H1283" i="9"/>
  <c r="P1282" i="9"/>
  <c r="L1282" i="9"/>
  <c r="K1282" i="9"/>
  <c r="J1282" i="9"/>
  <c r="I1282" i="9"/>
  <c r="H1282" i="9"/>
  <c r="P1281" i="9"/>
  <c r="L1281" i="9"/>
  <c r="K1281" i="9"/>
  <c r="J1281" i="9"/>
  <c r="I1281" i="9"/>
  <c r="H1281" i="9"/>
  <c r="P1280" i="9"/>
  <c r="L1280" i="9"/>
  <c r="K1280" i="9"/>
  <c r="J1280" i="9"/>
  <c r="I1280" i="9"/>
  <c r="H1280" i="9"/>
  <c r="P1279" i="9"/>
  <c r="L1279" i="9"/>
  <c r="K1279" i="9"/>
  <c r="J1279" i="9"/>
  <c r="I1279" i="9"/>
  <c r="H1279" i="9"/>
  <c r="P1278" i="9"/>
  <c r="L1278" i="9"/>
  <c r="K1278" i="9"/>
  <c r="J1278" i="9"/>
  <c r="I1278" i="9"/>
  <c r="H1278" i="9"/>
  <c r="P1277" i="9"/>
  <c r="L1277" i="9"/>
  <c r="K1277" i="9"/>
  <c r="J1277" i="9"/>
  <c r="I1277" i="9"/>
  <c r="H1277" i="9"/>
  <c r="P1276" i="9"/>
  <c r="L1276" i="9"/>
  <c r="K1276" i="9"/>
  <c r="J1276" i="9"/>
  <c r="I1276" i="9"/>
  <c r="H1276" i="9"/>
  <c r="P1275" i="9"/>
  <c r="L1275" i="9"/>
  <c r="K1275" i="9"/>
  <c r="J1275" i="9"/>
  <c r="I1275" i="9"/>
  <c r="H1275" i="9"/>
  <c r="P1274" i="9"/>
  <c r="L1274" i="9"/>
  <c r="K1274" i="9"/>
  <c r="J1274" i="9"/>
  <c r="I1274" i="9"/>
  <c r="H1274" i="9"/>
  <c r="P1273" i="9"/>
  <c r="L1273" i="9"/>
  <c r="K1273" i="9"/>
  <c r="J1273" i="9"/>
  <c r="I1273" i="9"/>
  <c r="H1273" i="9"/>
  <c r="P1272" i="9"/>
  <c r="L1272" i="9"/>
  <c r="K1272" i="9"/>
  <c r="J1272" i="9"/>
  <c r="I1272" i="9"/>
  <c r="H1272" i="9"/>
  <c r="P1271" i="9"/>
  <c r="L1271" i="9"/>
  <c r="K1271" i="9"/>
  <c r="J1271" i="9"/>
  <c r="I1271" i="9"/>
  <c r="H1271" i="9"/>
  <c r="P1270" i="9"/>
  <c r="L1270" i="9"/>
  <c r="K1270" i="9"/>
  <c r="J1270" i="9"/>
  <c r="I1270" i="9"/>
  <c r="H1270" i="9"/>
  <c r="P1269" i="9"/>
  <c r="L1269" i="9"/>
  <c r="K1269" i="9"/>
  <c r="J1269" i="9"/>
  <c r="I1269" i="9"/>
  <c r="H1269" i="9"/>
  <c r="P1268" i="9"/>
  <c r="L1268" i="9"/>
  <c r="K1268" i="9"/>
  <c r="J1268" i="9"/>
  <c r="I1268" i="9"/>
  <c r="H1268" i="9"/>
  <c r="P1267" i="9"/>
  <c r="L1267" i="9"/>
  <c r="K1267" i="9"/>
  <c r="J1267" i="9"/>
  <c r="I1267" i="9"/>
  <c r="H1267" i="9"/>
  <c r="P1266" i="9"/>
  <c r="L1266" i="9"/>
  <c r="K1266" i="9"/>
  <c r="J1266" i="9"/>
  <c r="I1266" i="9"/>
  <c r="H1266" i="9"/>
  <c r="P1265" i="9"/>
  <c r="L1265" i="9"/>
  <c r="K1265" i="9"/>
  <c r="J1265" i="9"/>
  <c r="I1265" i="9"/>
  <c r="H1265" i="9"/>
  <c r="P1264" i="9"/>
  <c r="L1264" i="9"/>
  <c r="K1264" i="9"/>
  <c r="J1264" i="9"/>
  <c r="I1264" i="9"/>
  <c r="H1264" i="9"/>
  <c r="P1263" i="9"/>
  <c r="L1263" i="9"/>
  <c r="K1263" i="9"/>
  <c r="J1263" i="9"/>
  <c r="I1263" i="9"/>
  <c r="H1263" i="9"/>
  <c r="P1262" i="9"/>
  <c r="L1262" i="9"/>
  <c r="K1262" i="9"/>
  <c r="J1262" i="9"/>
  <c r="I1262" i="9"/>
  <c r="H1262" i="9"/>
  <c r="P1261" i="9"/>
  <c r="L1261" i="9"/>
  <c r="K1261" i="9"/>
  <c r="J1261" i="9"/>
  <c r="I1261" i="9"/>
  <c r="H1261" i="9"/>
  <c r="P1260" i="9"/>
  <c r="L1260" i="9"/>
  <c r="K1260" i="9"/>
  <c r="J1260" i="9"/>
  <c r="I1260" i="9"/>
  <c r="H1260" i="9"/>
  <c r="P1259" i="9"/>
  <c r="L1259" i="9"/>
  <c r="K1259" i="9"/>
  <c r="J1259" i="9"/>
  <c r="I1259" i="9"/>
  <c r="H1259" i="9"/>
  <c r="P1258" i="9"/>
  <c r="L1258" i="9"/>
  <c r="K1258" i="9"/>
  <c r="J1258" i="9"/>
  <c r="I1258" i="9"/>
  <c r="H1258" i="9"/>
  <c r="P1257" i="9"/>
  <c r="L1257" i="9"/>
  <c r="K1257" i="9"/>
  <c r="J1257" i="9"/>
  <c r="I1257" i="9"/>
  <c r="H1257" i="9"/>
  <c r="P1256" i="9"/>
  <c r="L1256" i="9"/>
  <c r="K1256" i="9"/>
  <c r="J1256" i="9"/>
  <c r="I1256" i="9"/>
  <c r="H1256" i="9"/>
  <c r="P1255" i="9"/>
  <c r="L1255" i="9"/>
  <c r="K1255" i="9"/>
  <c r="J1255" i="9"/>
  <c r="I1255" i="9"/>
  <c r="H1255" i="9"/>
  <c r="P1254" i="9"/>
  <c r="L1254" i="9"/>
  <c r="K1254" i="9"/>
  <c r="J1254" i="9"/>
  <c r="I1254" i="9"/>
  <c r="H1254" i="9"/>
  <c r="P1253" i="9"/>
  <c r="L1253" i="9"/>
  <c r="K1253" i="9"/>
  <c r="J1253" i="9"/>
  <c r="I1253" i="9"/>
  <c r="H1253" i="9"/>
  <c r="P1252" i="9"/>
  <c r="L1252" i="9"/>
  <c r="K1252" i="9"/>
  <c r="J1252" i="9"/>
  <c r="I1252" i="9"/>
  <c r="H1252" i="9"/>
  <c r="P1251" i="9"/>
  <c r="L1251" i="9"/>
  <c r="K1251" i="9"/>
  <c r="J1251" i="9"/>
  <c r="I1251" i="9"/>
  <c r="H1251" i="9"/>
  <c r="P1250" i="9"/>
  <c r="L1250" i="9"/>
  <c r="K1250" i="9"/>
  <c r="J1250" i="9"/>
  <c r="I1250" i="9"/>
  <c r="H1250" i="9"/>
  <c r="P1249" i="9"/>
  <c r="L1249" i="9"/>
  <c r="K1249" i="9"/>
  <c r="J1249" i="9"/>
  <c r="I1249" i="9"/>
  <c r="H1249" i="9"/>
  <c r="P1248" i="9"/>
  <c r="L1248" i="9"/>
  <c r="K1248" i="9"/>
  <c r="J1248" i="9"/>
  <c r="I1248" i="9"/>
  <c r="H1248" i="9"/>
  <c r="P1247" i="9"/>
  <c r="L1247" i="9"/>
  <c r="K1247" i="9"/>
  <c r="J1247" i="9"/>
  <c r="I1247" i="9"/>
  <c r="H1247" i="9"/>
  <c r="P1246" i="9"/>
  <c r="L1246" i="9"/>
  <c r="K1246" i="9"/>
  <c r="J1246" i="9"/>
  <c r="I1246" i="9"/>
  <c r="H1246" i="9"/>
  <c r="P1245" i="9"/>
  <c r="L1245" i="9"/>
  <c r="K1245" i="9"/>
  <c r="J1245" i="9"/>
  <c r="I1245" i="9"/>
  <c r="H1245" i="9"/>
  <c r="P1244" i="9"/>
  <c r="L1244" i="9"/>
  <c r="K1244" i="9"/>
  <c r="J1244" i="9"/>
  <c r="I1244" i="9"/>
  <c r="H1244" i="9"/>
  <c r="P1243" i="9"/>
  <c r="L1243" i="9"/>
  <c r="K1243" i="9"/>
  <c r="J1243" i="9"/>
  <c r="I1243" i="9"/>
  <c r="H1243" i="9"/>
  <c r="P1242" i="9"/>
  <c r="L1242" i="9"/>
  <c r="K1242" i="9"/>
  <c r="J1242" i="9"/>
  <c r="I1242" i="9"/>
  <c r="H1242" i="9"/>
  <c r="P1241" i="9"/>
  <c r="L1241" i="9"/>
  <c r="K1241" i="9"/>
  <c r="J1241" i="9"/>
  <c r="I1241" i="9"/>
  <c r="H1241" i="9"/>
  <c r="P1240" i="9"/>
  <c r="L1240" i="9"/>
  <c r="K1240" i="9"/>
  <c r="J1240" i="9"/>
  <c r="I1240" i="9"/>
  <c r="H1240" i="9"/>
  <c r="P1239" i="9"/>
  <c r="L1239" i="9"/>
  <c r="K1239" i="9"/>
  <c r="J1239" i="9"/>
  <c r="I1239" i="9"/>
  <c r="H1239" i="9"/>
  <c r="P1238" i="9"/>
  <c r="L1238" i="9"/>
  <c r="K1238" i="9"/>
  <c r="J1238" i="9"/>
  <c r="I1238" i="9"/>
  <c r="H1238" i="9"/>
  <c r="P1237" i="9"/>
  <c r="L1237" i="9"/>
  <c r="K1237" i="9"/>
  <c r="J1237" i="9"/>
  <c r="I1237" i="9"/>
  <c r="H1237" i="9"/>
  <c r="P1236" i="9"/>
  <c r="L1236" i="9"/>
  <c r="K1236" i="9"/>
  <c r="J1236" i="9"/>
  <c r="I1236" i="9"/>
  <c r="H1236" i="9"/>
  <c r="P1235" i="9"/>
  <c r="L1235" i="9"/>
  <c r="K1235" i="9"/>
  <c r="J1235" i="9"/>
  <c r="I1235" i="9"/>
  <c r="H1235" i="9"/>
  <c r="P1234" i="9"/>
  <c r="L1234" i="9"/>
  <c r="K1234" i="9"/>
  <c r="J1234" i="9"/>
  <c r="I1234" i="9"/>
  <c r="H1234" i="9"/>
  <c r="P1233" i="9"/>
  <c r="L1233" i="9"/>
  <c r="K1233" i="9"/>
  <c r="J1233" i="9"/>
  <c r="I1233" i="9"/>
  <c r="H1233" i="9"/>
  <c r="P1232" i="9"/>
  <c r="L1232" i="9"/>
  <c r="K1232" i="9"/>
  <c r="J1232" i="9"/>
  <c r="I1232" i="9"/>
  <c r="H1232" i="9"/>
  <c r="P1231" i="9"/>
  <c r="L1231" i="9"/>
  <c r="K1231" i="9"/>
  <c r="J1231" i="9"/>
  <c r="I1231" i="9"/>
  <c r="H1231" i="9"/>
  <c r="P1230" i="9"/>
  <c r="L1230" i="9"/>
  <c r="K1230" i="9"/>
  <c r="J1230" i="9"/>
  <c r="I1230" i="9"/>
  <c r="H1230" i="9"/>
  <c r="P1229" i="9"/>
  <c r="L1229" i="9"/>
  <c r="K1229" i="9"/>
  <c r="J1229" i="9"/>
  <c r="I1229" i="9"/>
  <c r="H1229" i="9"/>
  <c r="P1228" i="9"/>
  <c r="L1228" i="9"/>
  <c r="K1228" i="9"/>
  <c r="J1228" i="9"/>
  <c r="I1228" i="9"/>
  <c r="H1228" i="9"/>
  <c r="P1227" i="9"/>
  <c r="L1227" i="9"/>
  <c r="K1227" i="9"/>
  <c r="J1227" i="9"/>
  <c r="I1227" i="9"/>
  <c r="H1227" i="9"/>
  <c r="P1226" i="9"/>
  <c r="L1226" i="9"/>
  <c r="K1226" i="9"/>
  <c r="J1226" i="9"/>
  <c r="I1226" i="9"/>
  <c r="H1226" i="9"/>
  <c r="P1225" i="9"/>
  <c r="L1225" i="9"/>
  <c r="K1225" i="9"/>
  <c r="J1225" i="9"/>
  <c r="I1225" i="9"/>
  <c r="H1225" i="9"/>
  <c r="P1224" i="9"/>
  <c r="L1224" i="9"/>
  <c r="K1224" i="9"/>
  <c r="J1224" i="9"/>
  <c r="I1224" i="9"/>
  <c r="H1224" i="9"/>
  <c r="P1223" i="9"/>
  <c r="L1223" i="9"/>
  <c r="K1223" i="9"/>
  <c r="J1223" i="9"/>
  <c r="I1223" i="9"/>
  <c r="H1223" i="9"/>
  <c r="P1222" i="9"/>
  <c r="L1222" i="9"/>
  <c r="K1222" i="9"/>
  <c r="J1222" i="9"/>
  <c r="I1222" i="9"/>
  <c r="H1222" i="9"/>
  <c r="P1221" i="9"/>
  <c r="L1221" i="9"/>
  <c r="K1221" i="9"/>
  <c r="J1221" i="9"/>
  <c r="I1221" i="9"/>
  <c r="H1221" i="9"/>
  <c r="P1220" i="9"/>
  <c r="L1220" i="9"/>
  <c r="K1220" i="9"/>
  <c r="J1220" i="9"/>
  <c r="I1220" i="9"/>
  <c r="H1220" i="9"/>
  <c r="P1219" i="9"/>
  <c r="L1219" i="9"/>
  <c r="K1219" i="9"/>
  <c r="J1219" i="9"/>
  <c r="I1219" i="9"/>
  <c r="H1219" i="9"/>
  <c r="P1218" i="9"/>
  <c r="L1218" i="9"/>
  <c r="K1218" i="9"/>
  <c r="J1218" i="9"/>
  <c r="I1218" i="9"/>
  <c r="H1218" i="9"/>
  <c r="P1217" i="9"/>
  <c r="L1217" i="9"/>
  <c r="K1217" i="9"/>
  <c r="J1217" i="9"/>
  <c r="I1217" i="9"/>
  <c r="H1217" i="9"/>
  <c r="P1216" i="9"/>
  <c r="L1216" i="9"/>
  <c r="K1216" i="9"/>
  <c r="J1216" i="9"/>
  <c r="I1216" i="9"/>
  <c r="H1216" i="9"/>
  <c r="P1215" i="9"/>
  <c r="L1215" i="9"/>
  <c r="K1215" i="9"/>
  <c r="J1215" i="9"/>
  <c r="I1215" i="9"/>
  <c r="H1215" i="9"/>
  <c r="P1214" i="9"/>
  <c r="L1214" i="9"/>
  <c r="K1214" i="9"/>
  <c r="J1214" i="9"/>
  <c r="I1214" i="9"/>
  <c r="H1214" i="9"/>
  <c r="P1213" i="9"/>
  <c r="L1213" i="9"/>
  <c r="K1213" i="9"/>
  <c r="J1213" i="9"/>
  <c r="I1213" i="9"/>
  <c r="H1213" i="9"/>
  <c r="P1212" i="9"/>
  <c r="L1212" i="9"/>
  <c r="K1212" i="9"/>
  <c r="J1212" i="9"/>
  <c r="I1212" i="9"/>
  <c r="H1212" i="9"/>
  <c r="P1211" i="9"/>
  <c r="L1211" i="9"/>
  <c r="K1211" i="9"/>
  <c r="J1211" i="9"/>
  <c r="I1211" i="9"/>
  <c r="H1211" i="9"/>
  <c r="P1210" i="9"/>
  <c r="L1210" i="9"/>
  <c r="K1210" i="9"/>
  <c r="J1210" i="9"/>
  <c r="I1210" i="9"/>
  <c r="H1210" i="9"/>
  <c r="P1209" i="9"/>
  <c r="L1209" i="9"/>
  <c r="K1209" i="9"/>
  <c r="J1209" i="9"/>
  <c r="I1209" i="9"/>
  <c r="H1209" i="9"/>
  <c r="P1208" i="9"/>
  <c r="L1208" i="9"/>
  <c r="K1208" i="9"/>
  <c r="J1208" i="9"/>
  <c r="I1208" i="9"/>
  <c r="H1208" i="9"/>
  <c r="P1207" i="9"/>
  <c r="L1207" i="9"/>
  <c r="K1207" i="9"/>
  <c r="J1207" i="9"/>
  <c r="I1207" i="9"/>
  <c r="H1207" i="9"/>
  <c r="P1206" i="9"/>
  <c r="L1206" i="9"/>
  <c r="K1206" i="9"/>
  <c r="J1206" i="9"/>
  <c r="I1206" i="9"/>
  <c r="H1206" i="9"/>
  <c r="P1205" i="9"/>
  <c r="L1205" i="9"/>
  <c r="K1205" i="9"/>
  <c r="J1205" i="9"/>
  <c r="I1205" i="9"/>
  <c r="H1205" i="9"/>
  <c r="P1204" i="9"/>
  <c r="L1204" i="9"/>
  <c r="K1204" i="9"/>
  <c r="J1204" i="9"/>
  <c r="I1204" i="9"/>
  <c r="H1204" i="9"/>
  <c r="P1203" i="9"/>
  <c r="L1203" i="9"/>
  <c r="K1203" i="9"/>
  <c r="J1203" i="9"/>
  <c r="I1203" i="9"/>
  <c r="H1203" i="9"/>
  <c r="P1202" i="9"/>
  <c r="L1202" i="9"/>
  <c r="K1202" i="9"/>
  <c r="J1202" i="9"/>
  <c r="I1202" i="9"/>
  <c r="H1202" i="9"/>
  <c r="P1201" i="9"/>
  <c r="L1201" i="9"/>
  <c r="K1201" i="9"/>
  <c r="J1201" i="9"/>
  <c r="I1201" i="9"/>
  <c r="H1201" i="9"/>
  <c r="P1200" i="9"/>
  <c r="L1200" i="9"/>
  <c r="K1200" i="9"/>
  <c r="J1200" i="9"/>
  <c r="I1200" i="9"/>
  <c r="H1200" i="9"/>
  <c r="P1199" i="9"/>
  <c r="L1199" i="9"/>
  <c r="K1199" i="9"/>
  <c r="J1199" i="9"/>
  <c r="I1199" i="9"/>
  <c r="H1199" i="9"/>
  <c r="P1198" i="9"/>
  <c r="L1198" i="9"/>
  <c r="K1198" i="9"/>
  <c r="J1198" i="9"/>
  <c r="I1198" i="9"/>
  <c r="H1198" i="9"/>
  <c r="P1197" i="9"/>
  <c r="L1197" i="9"/>
  <c r="K1197" i="9"/>
  <c r="J1197" i="9"/>
  <c r="I1197" i="9"/>
  <c r="H1197" i="9"/>
  <c r="P1196" i="9"/>
  <c r="L1196" i="9"/>
  <c r="K1196" i="9"/>
  <c r="J1196" i="9"/>
  <c r="I1196" i="9"/>
  <c r="H1196" i="9"/>
  <c r="P1195" i="9"/>
  <c r="L1195" i="9"/>
  <c r="K1195" i="9"/>
  <c r="J1195" i="9"/>
  <c r="I1195" i="9"/>
  <c r="H1195" i="9"/>
  <c r="P1194" i="9"/>
  <c r="L1194" i="9"/>
  <c r="K1194" i="9"/>
  <c r="J1194" i="9"/>
  <c r="I1194" i="9"/>
  <c r="H1194" i="9"/>
  <c r="P1193" i="9"/>
  <c r="L1193" i="9"/>
  <c r="K1193" i="9"/>
  <c r="J1193" i="9"/>
  <c r="I1193" i="9"/>
  <c r="H1193" i="9"/>
  <c r="P1192" i="9"/>
  <c r="L1192" i="9"/>
  <c r="K1192" i="9"/>
  <c r="J1192" i="9"/>
  <c r="I1192" i="9"/>
  <c r="H1192" i="9"/>
  <c r="P1191" i="9"/>
  <c r="L1191" i="9"/>
  <c r="K1191" i="9"/>
  <c r="J1191" i="9"/>
  <c r="I1191" i="9"/>
  <c r="H1191" i="9"/>
  <c r="P1190" i="9"/>
  <c r="L1190" i="9"/>
  <c r="K1190" i="9"/>
  <c r="J1190" i="9"/>
  <c r="I1190" i="9"/>
  <c r="H1190" i="9"/>
  <c r="P1189" i="9"/>
  <c r="L1189" i="9"/>
  <c r="K1189" i="9"/>
  <c r="J1189" i="9"/>
  <c r="I1189" i="9"/>
  <c r="H1189" i="9"/>
  <c r="P1188" i="9"/>
  <c r="L1188" i="9"/>
  <c r="K1188" i="9"/>
  <c r="J1188" i="9"/>
  <c r="I1188" i="9"/>
  <c r="H1188" i="9"/>
  <c r="P1187" i="9"/>
  <c r="L1187" i="9"/>
  <c r="K1187" i="9"/>
  <c r="J1187" i="9"/>
  <c r="I1187" i="9"/>
  <c r="H1187" i="9"/>
  <c r="P1186" i="9"/>
  <c r="L1186" i="9"/>
  <c r="K1186" i="9"/>
  <c r="J1186" i="9"/>
  <c r="I1186" i="9"/>
  <c r="H1186" i="9"/>
  <c r="P1185" i="9"/>
  <c r="L1185" i="9"/>
  <c r="K1185" i="9"/>
  <c r="J1185" i="9"/>
  <c r="I1185" i="9"/>
  <c r="H1185" i="9"/>
  <c r="P1184" i="9"/>
  <c r="L1184" i="9"/>
  <c r="K1184" i="9"/>
  <c r="J1184" i="9"/>
  <c r="I1184" i="9"/>
  <c r="H1184" i="9"/>
  <c r="P1183" i="9"/>
  <c r="L1183" i="9"/>
  <c r="K1183" i="9"/>
  <c r="J1183" i="9"/>
  <c r="I1183" i="9"/>
  <c r="H1183" i="9"/>
  <c r="P1182" i="9"/>
  <c r="L1182" i="9"/>
  <c r="K1182" i="9"/>
  <c r="J1182" i="9"/>
  <c r="I1182" i="9"/>
  <c r="H1182" i="9"/>
  <c r="P1181" i="9"/>
  <c r="L1181" i="9"/>
  <c r="K1181" i="9"/>
  <c r="J1181" i="9"/>
  <c r="I1181" i="9"/>
  <c r="H1181" i="9"/>
  <c r="P1180" i="9"/>
  <c r="L1180" i="9"/>
  <c r="K1180" i="9"/>
  <c r="J1180" i="9"/>
  <c r="I1180" i="9"/>
  <c r="H1180" i="9"/>
  <c r="P1179" i="9"/>
  <c r="L1179" i="9"/>
  <c r="K1179" i="9"/>
  <c r="J1179" i="9"/>
  <c r="I1179" i="9"/>
  <c r="H1179" i="9"/>
  <c r="P1178" i="9"/>
  <c r="L1178" i="9"/>
  <c r="K1178" i="9"/>
  <c r="J1178" i="9"/>
  <c r="I1178" i="9"/>
  <c r="H1178" i="9"/>
  <c r="P1177" i="9"/>
  <c r="L1177" i="9"/>
  <c r="K1177" i="9"/>
  <c r="J1177" i="9"/>
  <c r="I1177" i="9"/>
  <c r="H1177" i="9"/>
  <c r="P1176" i="9"/>
  <c r="L1176" i="9"/>
  <c r="K1176" i="9"/>
  <c r="J1176" i="9"/>
  <c r="I1176" i="9"/>
  <c r="H1176" i="9"/>
  <c r="P1175" i="9"/>
  <c r="L1175" i="9"/>
  <c r="K1175" i="9"/>
  <c r="J1175" i="9"/>
  <c r="I1175" i="9"/>
  <c r="H1175" i="9"/>
  <c r="P1174" i="9"/>
  <c r="L1174" i="9"/>
  <c r="K1174" i="9"/>
  <c r="J1174" i="9"/>
  <c r="I1174" i="9"/>
  <c r="H1174" i="9"/>
  <c r="P1173" i="9"/>
  <c r="L1173" i="9"/>
  <c r="K1173" i="9"/>
  <c r="J1173" i="9"/>
  <c r="I1173" i="9"/>
  <c r="H1173" i="9"/>
  <c r="P1172" i="9"/>
  <c r="L1172" i="9"/>
  <c r="K1172" i="9"/>
  <c r="J1172" i="9"/>
  <c r="I1172" i="9"/>
  <c r="H1172" i="9"/>
  <c r="P1171" i="9"/>
  <c r="L1171" i="9"/>
  <c r="K1171" i="9"/>
  <c r="J1171" i="9"/>
  <c r="I1171" i="9"/>
  <c r="H1171" i="9"/>
  <c r="P1170" i="9"/>
  <c r="L1170" i="9"/>
  <c r="K1170" i="9"/>
  <c r="J1170" i="9"/>
  <c r="I1170" i="9"/>
  <c r="H1170" i="9"/>
  <c r="P1169" i="9"/>
  <c r="L1169" i="9"/>
  <c r="K1169" i="9"/>
  <c r="J1169" i="9"/>
  <c r="I1169" i="9"/>
  <c r="H1169" i="9"/>
  <c r="P1168" i="9"/>
  <c r="L1168" i="9"/>
  <c r="K1168" i="9"/>
  <c r="J1168" i="9"/>
  <c r="I1168" i="9"/>
  <c r="H1168" i="9"/>
  <c r="P1167" i="9"/>
  <c r="L1167" i="9"/>
  <c r="K1167" i="9"/>
  <c r="J1167" i="9"/>
  <c r="I1167" i="9"/>
  <c r="H1167" i="9"/>
  <c r="P1166" i="9"/>
  <c r="L1166" i="9"/>
  <c r="K1166" i="9"/>
  <c r="J1166" i="9"/>
  <c r="I1166" i="9"/>
  <c r="H1166" i="9"/>
  <c r="P1165" i="9"/>
  <c r="L1165" i="9"/>
  <c r="K1165" i="9"/>
  <c r="J1165" i="9"/>
  <c r="I1165" i="9"/>
  <c r="H1165" i="9"/>
  <c r="P1164" i="9"/>
  <c r="L1164" i="9"/>
  <c r="K1164" i="9"/>
  <c r="J1164" i="9"/>
  <c r="I1164" i="9"/>
  <c r="H1164" i="9"/>
  <c r="P1163" i="9"/>
  <c r="L1163" i="9"/>
  <c r="K1163" i="9"/>
  <c r="J1163" i="9"/>
  <c r="I1163" i="9"/>
  <c r="H1163" i="9"/>
  <c r="P1162" i="9"/>
  <c r="L1162" i="9"/>
  <c r="K1162" i="9"/>
  <c r="J1162" i="9"/>
  <c r="I1162" i="9"/>
  <c r="H1162" i="9"/>
  <c r="P1161" i="9"/>
  <c r="L1161" i="9"/>
  <c r="K1161" i="9"/>
  <c r="J1161" i="9"/>
  <c r="I1161" i="9"/>
  <c r="H1161" i="9"/>
  <c r="P1160" i="9"/>
  <c r="L1160" i="9"/>
  <c r="K1160" i="9"/>
  <c r="J1160" i="9"/>
  <c r="I1160" i="9"/>
  <c r="H1160" i="9"/>
  <c r="P1159" i="9"/>
  <c r="L1159" i="9"/>
  <c r="K1159" i="9"/>
  <c r="J1159" i="9"/>
  <c r="I1159" i="9"/>
  <c r="H1159" i="9"/>
  <c r="P1158" i="9"/>
  <c r="L1158" i="9"/>
  <c r="K1158" i="9"/>
  <c r="J1158" i="9"/>
  <c r="I1158" i="9"/>
  <c r="H1158" i="9"/>
  <c r="P1157" i="9"/>
  <c r="L1157" i="9"/>
  <c r="K1157" i="9"/>
  <c r="J1157" i="9"/>
  <c r="I1157" i="9"/>
  <c r="H1157" i="9"/>
  <c r="P1156" i="9"/>
  <c r="L1156" i="9"/>
  <c r="K1156" i="9"/>
  <c r="J1156" i="9"/>
  <c r="I1156" i="9"/>
  <c r="H1156" i="9"/>
  <c r="P1155" i="9"/>
  <c r="L1155" i="9"/>
  <c r="K1155" i="9"/>
  <c r="J1155" i="9"/>
  <c r="I1155" i="9"/>
  <c r="H1155" i="9"/>
  <c r="P1154" i="9"/>
  <c r="L1154" i="9"/>
  <c r="K1154" i="9"/>
  <c r="J1154" i="9"/>
  <c r="I1154" i="9"/>
  <c r="H1154" i="9"/>
  <c r="P1153" i="9"/>
  <c r="L1153" i="9"/>
  <c r="K1153" i="9"/>
  <c r="J1153" i="9"/>
  <c r="I1153" i="9"/>
  <c r="H1153" i="9"/>
  <c r="P1152" i="9"/>
  <c r="L1152" i="9"/>
  <c r="K1152" i="9"/>
  <c r="J1152" i="9"/>
  <c r="I1152" i="9"/>
  <c r="H1152" i="9"/>
  <c r="P1151" i="9"/>
  <c r="L1151" i="9"/>
  <c r="K1151" i="9"/>
  <c r="J1151" i="9"/>
  <c r="I1151" i="9"/>
  <c r="H1151" i="9"/>
  <c r="P1150" i="9"/>
  <c r="L1150" i="9"/>
  <c r="K1150" i="9"/>
  <c r="J1150" i="9"/>
  <c r="I1150" i="9"/>
  <c r="H1150" i="9"/>
  <c r="P1149" i="9"/>
  <c r="L1149" i="9"/>
  <c r="K1149" i="9"/>
  <c r="J1149" i="9"/>
  <c r="I1149" i="9"/>
  <c r="H1149" i="9"/>
  <c r="P1148" i="9"/>
  <c r="L1148" i="9"/>
  <c r="K1148" i="9"/>
  <c r="J1148" i="9"/>
  <c r="I1148" i="9"/>
  <c r="H1148" i="9"/>
  <c r="P1147" i="9"/>
  <c r="L1147" i="9"/>
  <c r="K1147" i="9"/>
  <c r="J1147" i="9"/>
  <c r="I1147" i="9"/>
  <c r="H1147" i="9"/>
  <c r="P1146" i="9"/>
  <c r="L1146" i="9"/>
  <c r="K1146" i="9"/>
  <c r="J1146" i="9"/>
  <c r="I1146" i="9"/>
  <c r="H1146" i="9"/>
  <c r="P1145" i="9"/>
  <c r="L1145" i="9"/>
  <c r="K1145" i="9"/>
  <c r="J1145" i="9"/>
  <c r="I1145" i="9"/>
  <c r="H1145" i="9"/>
  <c r="P1144" i="9"/>
  <c r="L1144" i="9"/>
  <c r="K1144" i="9"/>
  <c r="J1144" i="9"/>
  <c r="I1144" i="9"/>
  <c r="H1144" i="9"/>
  <c r="P1143" i="9"/>
  <c r="L1143" i="9"/>
  <c r="K1143" i="9"/>
  <c r="J1143" i="9"/>
  <c r="I1143" i="9"/>
  <c r="H1143" i="9"/>
  <c r="P1142" i="9"/>
  <c r="L1142" i="9"/>
  <c r="K1142" i="9"/>
  <c r="J1142" i="9"/>
  <c r="I1142" i="9"/>
  <c r="H1142" i="9"/>
  <c r="P1141" i="9"/>
  <c r="L1141" i="9"/>
  <c r="K1141" i="9"/>
  <c r="J1141" i="9"/>
  <c r="I1141" i="9"/>
  <c r="H1141" i="9"/>
  <c r="P1140" i="9"/>
  <c r="L1140" i="9"/>
  <c r="K1140" i="9"/>
  <c r="J1140" i="9"/>
  <c r="I1140" i="9"/>
  <c r="H1140" i="9"/>
  <c r="P1139" i="9"/>
  <c r="L1139" i="9"/>
  <c r="K1139" i="9"/>
  <c r="J1139" i="9"/>
  <c r="I1139" i="9"/>
  <c r="H1139" i="9"/>
  <c r="P1138" i="9"/>
  <c r="L1138" i="9"/>
  <c r="K1138" i="9"/>
  <c r="J1138" i="9"/>
  <c r="I1138" i="9"/>
  <c r="H1138" i="9"/>
  <c r="P1137" i="9"/>
  <c r="L1137" i="9"/>
  <c r="K1137" i="9"/>
  <c r="J1137" i="9"/>
  <c r="I1137" i="9"/>
  <c r="H1137" i="9"/>
  <c r="P1136" i="9"/>
  <c r="L1136" i="9"/>
  <c r="K1136" i="9"/>
  <c r="J1136" i="9"/>
  <c r="I1136" i="9"/>
  <c r="H1136" i="9"/>
  <c r="P1135" i="9"/>
  <c r="L1135" i="9"/>
  <c r="K1135" i="9"/>
  <c r="J1135" i="9"/>
  <c r="I1135" i="9"/>
  <c r="H1135" i="9"/>
  <c r="P1134" i="9"/>
  <c r="L1134" i="9"/>
  <c r="K1134" i="9"/>
  <c r="J1134" i="9"/>
  <c r="I1134" i="9"/>
  <c r="H1134" i="9"/>
  <c r="P1133" i="9"/>
  <c r="L1133" i="9"/>
  <c r="K1133" i="9"/>
  <c r="J1133" i="9"/>
  <c r="I1133" i="9"/>
  <c r="H1133" i="9"/>
  <c r="P1132" i="9"/>
  <c r="L1132" i="9"/>
  <c r="K1132" i="9"/>
  <c r="J1132" i="9"/>
  <c r="I1132" i="9"/>
  <c r="H1132" i="9"/>
  <c r="P1131" i="9"/>
  <c r="L1131" i="9"/>
  <c r="K1131" i="9"/>
  <c r="J1131" i="9"/>
  <c r="I1131" i="9"/>
  <c r="H1131" i="9"/>
  <c r="P1130" i="9"/>
  <c r="L1130" i="9"/>
  <c r="K1130" i="9"/>
  <c r="J1130" i="9"/>
  <c r="I1130" i="9"/>
  <c r="H1130" i="9"/>
  <c r="P1129" i="9"/>
  <c r="L1129" i="9"/>
  <c r="K1129" i="9"/>
  <c r="J1129" i="9"/>
  <c r="I1129" i="9"/>
  <c r="H1129" i="9"/>
  <c r="P1128" i="9"/>
  <c r="L1128" i="9"/>
  <c r="K1128" i="9"/>
  <c r="J1128" i="9"/>
  <c r="I1128" i="9"/>
  <c r="H1128" i="9"/>
  <c r="P1127" i="9"/>
  <c r="L1127" i="9"/>
  <c r="K1127" i="9"/>
  <c r="J1127" i="9"/>
  <c r="I1127" i="9"/>
  <c r="H1127" i="9"/>
  <c r="P1126" i="9"/>
  <c r="L1126" i="9"/>
  <c r="K1126" i="9"/>
  <c r="J1126" i="9"/>
  <c r="I1126" i="9"/>
  <c r="H1126" i="9"/>
  <c r="P1125" i="9"/>
  <c r="L1125" i="9"/>
  <c r="K1125" i="9"/>
  <c r="J1125" i="9"/>
  <c r="I1125" i="9"/>
  <c r="H1125" i="9"/>
  <c r="P1124" i="9"/>
  <c r="L1124" i="9"/>
  <c r="K1124" i="9"/>
  <c r="J1124" i="9"/>
  <c r="I1124" i="9"/>
  <c r="H1124" i="9"/>
  <c r="P1123" i="9"/>
  <c r="L1123" i="9"/>
  <c r="K1123" i="9"/>
  <c r="J1123" i="9"/>
  <c r="I1123" i="9"/>
  <c r="H1123" i="9"/>
  <c r="P1122" i="9"/>
  <c r="L1122" i="9"/>
  <c r="K1122" i="9"/>
  <c r="J1122" i="9"/>
  <c r="I1122" i="9"/>
  <c r="H1122" i="9"/>
  <c r="P1121" i="9"/>
  <c r="L1121" i="9"/>
  <c r="K1121" i="9"/>
  <c r="J1121" i="9"/>
  <c r="I1121" i="9"/>
  <c r="H1121" i="9"/>
  <c r="P1120" i="9"/>
  <c r="L1120" i="9"/>
  <c r="K1120" i="9"/>
  <c r="J1120" i="9"/>
  <c r="I1120" i="9"/>
  <c r="H1120" i="9"/>
  <c r="P1119" i="9"/>
  <c r="L1119" i="9"/>
  <c r="K1119" i="9"/>
  <c r="J1119" i="9"/>
  <c r="I1119" i="9"/>
  <c r="H1119" i="9"/>
  <c r="P1118" i="9"/>
  <c r="L1118" i="9"/>
  <c r="K1118" i="9"/>
  <c r="J1118" i="9"/>
  <c r="I1118" i="9"/>
  <c r="H1118" i="9"/>
  <c r="P1117" i="9"/>
  <c r="L1117" i="9"/>
  <c r="K1117" i="9"/>
  <c r="J1117" i="9"/>
  <c r="I1117" i="9"/>
  <c r="H1117" i="9"/>
  <c r="P1116" i="9"/>
  <c r="L1116" i="9"/>
  <c r="K1116" i="9"/>
  <c r="J1116" i="9"/>
  <c r="I1116" i="9"/>
  <c r="H1116" i="9"/>
  <c r="P1115" i="9"/>
  <c r="L1115" i="9"/>
  <c r="K1115" i="9"/>
  <c r="J1115" i="9"/>
  <c r="I1115" i="9"/>
  <c r="H1115" i="9"/>
  <c r="P1114" i="9"/>
  <c r="L1114" i="9"/>
  <c r="K1114" i="9"/>
  <c r="J1114" i="9"/>
  <c r="I1114" i="9"/>
  <c r="H1114" i="9"/>
  <c r="P1113" i="9"/>
  <c r="L1113" i="9"/>
  <c r="K1113" i="9"/>
  <c r="J1113" i="9"/>
  <c r="I1113" i="9"/>
  <c r="H1113" i="9"/>
  <c r="P1112" i="9"/>
  <c r="L1112" i="9"/>
  <c r="K1112" i="9"/>
  <c r="J1112" i="9"/>
  <c r="I1112" i="9"/>
  <c r="H1112" i="9"/>
  <c r="P1111" i="9"/>
  <c r="L1111" i="9"/>
  <c r="K1111" i="9"/>
  <c r="J1111" i="9"/>
  <c r="I1111" i="9"/>
  <c r="H1111" i="9"/>
  <c r="P1110" i="9"/>
  <c r="L1110" i="9"/>
  <c r="K1110" i="9"/>
  <c r="J1110" i="9"/>
  <c r="I1110" i="9"/>
  <c r="H1110" i="9"/>
  <c r="P1109" i="9"/>
  <c r="L1109" i="9"/>
  <c r="K1109" i="9"/>
  <c r="J1109" i="9"/>
  <c r="I1109" i="9"/>
  <c r="H1109" i="9"/>
  <c r="P1108" i="9"/>
  <c r="L1108" i="9"/>
  <c r="K1108" i="9"/>
  <c r="J1108" i="9"/>
  <c r="I1108" i="9"/>
  <c r="H1108" i="9"/>
  <c r="P1107" i="9"/>
  <c r="L1107" i="9"/>
  <c r="K1107" i="9"/>
  <c r="J1107" i="9"/>
  <c r="I1107" i="9"/>
  <c r="H1107" i="9"/>
  <c r="P1106" i="9"/>
  <c r="L1106" i="9"/>
  <c r="K1106" i="9"/>
  <c r="J1106" i="9"/>
  <c r="I1106" i="9"/>
  <c r="H1106" i="9"/>
  <c r="P1105" i="9"/>
  <c r="L1105" i="9"/>
  <c r="K1105" i="9"/>
  <c r="J1105" i="9"/>
  <c r="I1105" i="9"/>
  <c r="H1105" i="9"/>
  <c r="P1104" i="9"/>
  <c r="L1104" i="9"/>
  <c r="K1104" i="9"/>
  <c r="J1104" i="9"/>
  <c r="I1104" i="9"/>
  <c r="H1104" i="9"/>
  <c r="P1103" i="9"/>
  <c r="L1103" i="9"/>
  <c r="K1103" i="9"/>
  <c r="J1103" i="9"/>
  <c r="I1103" i="9"/>
  <c r="H1103" i="9"/>
  <c r="P1102" i="9"/>
  <c r="L1102" i="9"/>
  <c r="K1102" i="9"/>
  <c r="J1102" i="9"/>
  <c r="I1102" i="9"/>
  <c r="H1102" i="9"/>
  <c r="P1101" i="9"/>
  <c r="L1101" i="9"/>
  <c r="K1101" i="9"/>
  <c r="J1101" i="9"/>
  <c r="I1101" i="9"/>
  <c r="H1101" i="9"/>
  <c r="P1100" i="9"/>
  <c r="L1100" i="9"/>
  <c r="K1100" i="9"/>
  <c r="J1100" i="9"/>
  <c r="I1100" i="9"/>
  <c r="H1100" i="9"/>
  <c r="P1099" i="9"/>
  <c r="L1099" i="9"/>
  <c r="K1099" i="9"/>
  <c r="J1099" i="9"/>
  <c r="I1099" i="9"/>
  <c r="H1099" i="9"/>
  <c r="P1098" i="9"/>
  <c r="L1098" i="9"/>
  <c r="K1098" i="9"/>
  <c r="J1098" i="9"/>
  <c r="I1098" i="9"/>
  <c r="H1098" i="9"/>
  <c r="P1097" i="9"/>
  <c r="L1097" i="9"/>
  <c r="K1097" i="9"/>
  <c r="J1097" i="9"/>
  <c r="I1097" i="9"/>
  <c r="H1097" i="9"/>
  <c r="P1096" i="9"/>
  <c r="L1096" i="9"/>
  <c r="K1096" i="9"/>
  <c r="J1096" i="9"/>
  <c r="I1096" i="9"/>
  <c r="H1096" i="9"/>
  <c r="P1095" i="9"/>
  <c r="L1095" i="9"/>
  <c r="K1095" i="9"/>
  <c r="J1095" i="9"/>
  <c r="I1095" i="9"/>
  <c r="H1095" i="9"/>
  <c r="P1094" i="9"/>
  <c r="L1094" i="9"/>
  <c r="K1094" i="9"/>
  <c r="J1094" i="9"/>
  <c r="I1094" i="9"/>
  <c r="H1094" i="9"/>
  <c r="P1093" i="9"/>
  <c r="L1093" i="9"/>
  <c r="K1093" i="9"/>
  <c r="J1093" i="9"/>
  <c r="I1093" i="9"/>
  <c r="H1093" i="9"/>
  <c r="P1092" i="9"/>
  <c r="L1092" i="9"/>
  <c r="K1092" i="9"/>
  <c r="J1092" i="9"/>
  <c r="I1092" i="9"/>
  <c r="H1092" i="9"/>
  <c r="P1091" i="9"/>
  <c r="L1091" i="9"/>
  <c r="K1091" i="9"/>
  <c r="J1091" i="9"/>
  <c r="I1091" i="9"/>
  <c r="H1091" i="9"/>
  <c r="P1090" i="9"/>
  <c r="L1090" i="9"/>
  <c r="K1090" i="9"/>
  <c r="J1090" i="9"/>
  <c r="I1090" i="9"/>
  <c r="H1090" i="9"/>
  <c r="P1089" i="9"/>
  <c r="L1089" i="9"/>
  <c r="K1089" i="9"/>
  <c r="J1089" i="9"/>
  <c r="I1089" i="9"/>
  <c r="H1089" i="9"/>
  <c r="P1088" i="9"/>
  <c r="L1088" i="9"/>
  <c r="K1088" i="9"/>
  <c r="J1088" i="9"/>
  <c r="I1088" i="9"/>
  <c r="H1088" i="9"/>
  <c r="P1087" i="9"/>
  <c r="L1087" i="9"/>
  <c r="K1087" i="9"/>
  <c r="J1087" i="9"/>
  <c r="I1087" i="9"/>
  <c r="H1087" i="9"/>
  <c r="P1086" i="9"/>
  <c r="L1086" i="9"/>
  <c r="K1086" i="9"/>
  <c r="J1086" i="9"/>
  <c r="I1086" i="9"/>
  <c r="H1086" i="9"/>
  <c r="P1085" i="9"/>
  <c r="L1085" i="9"/>
  <c r="K1085" i="9"/>
  <c r="J1085" i="9"/>
  <c r="I1085" i="9"/>
  <c r="H1085" i="9"/>
  <c r="P1084" i="9"/>
  <c r="L1084" i="9"/>
  <c r="K1084" i="9"/>
  <c r="J1084" i="9"/>
  <c r="I1084" i="9"/>
  <c r="H1084" i="9"/>
  <c r="P1083" i="9"/>
  <c r="L1083" i="9"/>
  <c r="K1083" i="9"/>
  <c r="J1083" i="9"/>
  <c r="I1083" i="9"/>
  <c r="H1083" i="9"/>
  <c r="P1082" i="9"/>
  <c r="L1082" i="9"/>
  <c r="K1082" i="9"/>
  <c r="J1082" i="9"/>
  <c r="I1082" i="9"/>
  <c r="H1082" i="9"/>
  <c r="P1081" i="9"/>
  <c r="L1081" i="9"/>
  <c r="K1081" i="9"/>
  <c r="J1081" i="9"/>
  <c r="I1081" i="9"/>
  <c r="H1081" i="9"/>
  <c r="P1080" i="9"/>
  <c r="L1080" i="9"/>
  <c r="K1080" i="9"/>
  <c r="J1080" i="9"/>
  <c r="I1080" i="9"/>
  <c r="H1080" i="9"/>
  <c r="P1079" i="9"/>
  <c r="L1079" i="9"/>
  <c r="K1079" i="9"/>
  <c r="J1079" i="9"/>
  <c r="I1079" i="9"/>
  <c r="H1079" i="9"/>
  <c r="P1078" i="9"/>
  <c r="L1078" i="9"/>
  <c r="K1078" i="9"/>
  <c r="J1078" i="9"/>
  <c r="I1078" i="9"/>
  <c r="H1078" i="9"/>
  <c r="P1077" i="9"/>
  <c r="L1077" i="9"/>
  <c r="K1077" i="9"/>
  <c r="J1077" i="9"/>
  <c r="I1077" i="9"/>
  <c r="H1077" i="9"/>
  <c r="P1076" i="9"/>
  <c r="L1076" i="9"/>
  <c r="K1076" i="9"/>
  <c r="J1076" i="9"/>
  <c r="I1076" i="9"/>
  <c r="H1076" i="9"/>
  <c r="P1075" i="9"/>
  <c r="L1075" i="9"/>
  <c r="K1075" i="9"/>
  <c r="J1075" i="9"/>
  <c r="I1075" i="9"/>
  <c r="H1075" i="9"/>
  <c r="P1074" i="9"/>
  <c r="L1074" i="9"/>
  <c r="K1074" i="9"/>
  <c r="J1074" i="9"/>
  <c r="I1074" i="9"/>
  <c r="H1074" i="9"/>
  <c r="P1073" i="9"/>
  <c r="L1073" i="9"/>
  <c r="K1073" i="9"/>
  <c r="J1073" i="9"/>
  <c r="I1073" i="9"/>
  <c r="H1073" i="9"/>
  <c r="P1072" i="9"/>
  <c r="L1072" i="9"/>
  <c r="K1072" i="9"/>
  <c r="J1072" i="9"/>
  <c r="I1072" i="9"/>
  <c r="H1072" i="9"/>
  <c r="P1071" i="9"/>
  <c r="L1071" i="9"/>
  <c r="K1071" i="9"/>
  <c r="J1071" i="9"/>
  <c r="I1071" i="9"/>
  <c r="H1071" i="9"/>
  <c r="P1070" i="9"/>
  <c r="L1070" i="9"/>
  <c r="K1070" i="9"/>
  <c r="J1070" i="9"/>
  <c r="I1070" i="9"/>
  <c r="H1070" i="9"/>
  <c r="P1069" i="9"/>
  <c r="L1069" i="9"/>
  <c r="K1069" i="9"/>
  <c r="J1069" i="9"/>
  <c r="I1069" i="9"/>
  <c r="H1069" i="9"/>
  <c r="P1068" i="9"/>
  <c r="L1068" i="9"/>
  <c r="K1068" i="9"/>
  <c r="J1068" i="9"/>
  <c r="I1068" i="9"/>
  <c r="H1068" i="9"/>
  <c r="P1067" i="9"/>
  <c r="L1067" i="9"/>
  <c r="K1067" i="9"/>
  <c r="J1067" i="9"/>
  <c r="I1067" i="9"/>
  <c r="H1067" i="9"/>
  <c r="P1066" i="9"/>
  <c r="L1066" i="9"/>
  <c r="K1066" i="9"/>
  <c r="J1066" i="9"/>
  <c r="I1066" i="9"/>
  <c r="H1066" i="9"/>
  <c r="P1065" i="9"/>
  <c r="L1065" i="9"/>
  <c r="K1065" i="9"/>
  <c r="J1065" i="9"/>
  <c r="I1065" i="9"/>
  <c r="H1065" i="9"/>
  <c r="P1064" i="9"/>
  <c r="L1064" i="9"/>
  <c r="K1064" i="9"/>
  <c r="J1064" i="9"/>
  <c r="I1064" i="9"/>
  <c r="H1064" i="9"/>
  <c r="P1063" i="9"/>
  <c r="L1063" i="9"/>
  <c r="K1063" i="9"/>
  <c r="J1063" i="9"/>
  <c r="I1063" i="9"/>
  <c r="H1063" i="9"/>
  <c r="P1062" i="9"/>
  <c r="L1062" i="9"/>
  <c r="K1062" i="9"/>
  <c r="J1062" i="9"/>
  <c r="I1062" i="9"/>
  <c r="H1062" i="9"/>
  <c r="P1061" i="9"/>
  <c r="L1061" i="9"/>
  <c r="K1061" i="9"/>
  <c r="J1061" i="9"/>
  <c r="I1061" i="9"/>
  <c r="H1061" i="9"/>
  <c r="P1060" i="9"/>
  <c r="L1060" i="9"/>
  <c r="K1060" i="9"/>
  <c r="J1060" i="9"/>
  <c r="I1060" i="9"/>
  <c r="H1060" i="9"/>
  <c r="P1059" i="9"/>
  <c r="L1059" i="9"/>
  <c r="K1059" i="9"/>
  <c r="J1059" i="9"/>
  <c r="I1059" i="9"/>
  <c r="H1059" i="9"/>
  <c r="P1058" i="9"/>
  <c r="L1058" i="9"/>
  <c r="K1058" i="9"/>
  <c r="J1058" i="9"/>
  <c r="I1058" i="9"/>
  <c r="H1058" i="9"/>
  <c r="P1057" i="9"/>
  <c r="L1057" i="9"/>
  <c r="K1057" i="9"/>
  <c r="J1057" i="9"/>
  <c r="I1057" i="9"/>
  <c r="H1057" i="9"/>
  <c r="P1056" i="9"/>
  <c r="L1056" i="9"/>
  <c r="K1056" i="9"/>
  <c r="J1056" i="9"/>
  <c r="I1056" i="9"/>
  <c r="H1056" i="9"/>
  <c r="P1055" i="9"/>
  <c r="L1055" i="9"/>
  <c r="K1055" i="9"/>
  <c r="J1055" i="9"/>
  <c r="I1055" i="9"/>
  <c r="H1055" i="9"/>
  <c r="P1054" i="9"/>
  <c r="L1054" i="9"/>
  <c r="K1054" i="9"/>
  <c r="J1054" i="9"/>
  <c r="I1054" i="9"/>
  <c r="H1054" i="9"/>
  <c r="P1053" i="9"/>
  <c r="L1053" i="9"/>
  <c r="K1053" i="9"/>
  <c r="J1053" i="9"/>
  <c r="I1053" i="9"/>
  <c r="H1053" i="9"/>
  <c r="P1052" i="9"/>
  <c r="L1052" i="9"/>
  <c r="K1052" i="9"/>
  <c r="J1052" i="9"/>
  <c r="I1052" i="9"/>
  <c r="H1052" i="9"/>
  <c r="P1051" i="9"/>
  <c r="L1051" i="9"/>
  <c r="K1051" i="9"/>
  <c r="J1051" i="9"/>
  <c r="I1051" i="9"/>
  <c r="H1051" i="9"/>
  <c r="P1050" i="9"/>
  <c r="L1050" i="9"/>
  <c r="K1050" i="9"/>
  <c r="J1050" i="9"/>
  <c r="I1050" i="9"/>
  <c r="H1050" i="9"/>
  <c r="P1049" i="9"/>
  <c r="L1049" i="9"/>
  <c r="K1049" i="9"/>
  <c r="J1049" i="9"/>
  <c r="I1049" i="9"/>
  <c r="H1049" i="9"/>
  <c r="P1048" i="9"/>
  <c r="L1048" i="9"/>
  <c r="K1048" i="9"/>
  <c r="J1048" i="9"/>
  <c r="I1048" i="9"/>
  <c r="H1048" i="9"/>
  <c r="P1047" i="9"/>
  <c r="L1047" i="9"/>
  <c r="K1047" i="9"/>
  <c r="J1047" i="9"/>
  <c r="I1047" i="9"/>
  <c r="H1047" i="9"/>
  <c r="P1046" i="9"/>
  <c r="L1046" i="9"/>
  <c r="K1046" i="9"/>
  <c r="J1046" i="9"/>
  <c r="I1046" i="9"/>
  <c r="H1046" i="9"/>
  <c r="P1045" i="9"/>
  <c r="L1045" i="9"/>
  <c r="K1045" i="9"/>
  <c r="J1045" i="9"/>
  <c r="I1045" i="9"/>
  <c r="H1045" i="9"/>
  <c r="P1044" i="9"/>
  <c r="L1044" i="9"/>
  <c r="K1044" i="9"/>
  <c r="J1044" i="9"/>
  <c r="I1044" i="9"/>
  <c r="H1044" i="9"/>
  <c r="P1043" i="9"/>
  <c r="L1043" i="9"/>
  <c r="K1043" i="9"/>
  <c r="J1043" i="9"/>
  <c r="I1043" i="9"/>
  <c r="H1043" i="9"/>
  <c r="P1042" i="9"/>
  <c r="L1042" i="9"/>
  <c r="K1042" i="9"/>
  <c r="J1042" i="9"/>
  <c r="I1042" i="9"/>
  <c r="H1042" i="9"/>
  <c r="P1041" i="9"/>
  <c r="L1041" i="9"/>
  <c r="K1041" i="9"/>
  <c r="J1041" i="9"/>
  <c r="I1041" i="9"/>
  <c r="H1041" i="9"/>
  <c r="P1040" i="9"/>
  <c r="L1040" i="9"/>
  <c r="K1040" i="9"/>
  <c r="J1040" i="9"/>
  <c r="I1040" i="9"/>
  <c r="H1040" i="9"/>
  <c r="P1039" i="9"/>
  <c r="L1039" i="9"/>
  <c r="K1039" i="9"/>
  <c r="J1039" i="9"/>
  <c r="I1039" i="9"/>
  <c r="H1039" i="9"/>
  <c r="P1038" i="9"/>
  <c r="L1038" i="9"/>
  <c r="K1038" i="9"/>
  <c r="J1038" i="9"/>
  <c r="I1038" i="9"/>
  <c r="H1038" i="9"/>
  <c r="P1037" i="9"/>
  <c r="L1037" i="9"/>
  <c r="K1037" i="9"/>
  <c r="J1037" i="9"/>
  <c r="I1037" i="9"/>
  <c r="H1037" i="9"/>
  <c r="P1036" i="9"/>
  <c r="L1036" i="9"/>
  <c r="K1036" i="9"/>
  <c r="J1036" i="9"/>
  <c r="I1036" i="9"/>
  <c r="H1036" i="9"/>
  <c r="P1035" i="9"/>
  <c r="L1035" i="9"/>
  <c r="K1035" i="9"/>
  <c r="J1035" i="9"/>
  <c r="I1035" i="9"/>
  <c r="H1035" i="9"/>
  <c r="P1034" i="9"/>
  <c r="L1034" i="9"/>
  <c r="K1034" i="9"/>
  <c r="J1034" i="9"/>
  <c r="I1034" i="9"/>
  <c r="H1034" i="9"/>
  <c r="P1033" i="9"/>
  <c r="L1033" i="9"/>
  <c r="K1033" i="9"/>
  <c r="J1033" i="9"/>
  <c r="I1033" i="9"/>
  <c r="H1033" i="9"/>
  <c r="P1032" i="9"/>
  <c r="L1032" i="9"/>
  <c r="K1032" i="9"/>
  <c r="J1032" i="9"/>
  <c r="I1032" i="9"/>
  <c r="H1032" i="9"/>
  <c r="P1031" i="9"/>
  <c r="L1031" i="9"/>
  <c r="K1031" i="9"/>
  <c r="J1031" i="9"/>
  <c r="I1031" i="9"/>
  <c r="H1031" i="9"/>
  <c r="P1030" i="9"/>
  <c r="L1030" i="9"/>
  <c r="K1030" i="9"/>
  <c r="J1030" i="9"/>
  <c r="I1030" i="9"/>
  <c r="H1030" i="9"/>
  <c r="P1029" i="9"/>
  <c r="L1029" i="9"/>
  <c r="K1029" i="9"/>
  <c r="J1029" i="9"/>
  <c r="I1029" i="9"/>
  <c r="H1029" i="9"/>
  <c r="P1028" i="9"/>
  <c r="L1028" i="9"/>
  <c r="K1028" i="9"/>
  <c r="J1028" i="9"/>
  <c r="I1028" i="9"/>
  <c r="H1028" i="9"/>
  <c r="P1027" i="9"/>
  <c r="L1027" i="9"/>
  <c r="K1027" i="9"/>
  <c r="J1027" i="9"/>
  <c r="I1027" i="9"/>
  <c r="H1027" i="9"/>
  <c r="P1026" i="9"/>
  <c r="L1026" i="9"/>
  <c r="K1026" i="9"/>
  <c r="J1026" i="9"/>
  <c r="I1026" i="9"/>
  <c r="H1026" i="9"/>
  <c r="P1025" i="9"/>
  <c r="L1025" i="9"/>
  <c r="K1025" i="9"/>
  <c r="J1025" i="9"/>
  <c r="I1025" i="9"/>
  <c r="H1025" i="9"/>
  <c r="P1024" i="9"/>
  <c r="L1024" i="9"/>
  <c r="K1024" i="9"/>
  <c r="J1024" i="9"/>
  <c r="I1024" i="9"/>
  <c r="H1024" i="9"/>
  <c r="P1023" i="9"/>
  <c r="L1023" i="9"/>
  <c r="K1023" i="9"/>
  <c r="J1023" i="9"/>
  <c r="I1023" i="9"/>
  <c r="H1023" i="9"/>
  <c r="P1022" i="9"/>
  <c r="L1022" i="9"/>
  <c r="K1022" i="9"/>
  <c r="J1022" i="9"/>
  <c r="I1022" i="9"/>
  <c r="H1022" i="9"/>
  <c r="P1021" i="9"/>
  <c r="L1021" i="9"/>
  <c r="K1021" i="9"/>
  <c r="J1021" i="9"/>
  <c r="I1021" i="9"/>
  <c r="H1021" i="9"/>
  <c r="P1020" i="9"/>
  <c r="L1020" i="9"/>
  <c r="K1020" i="9"/>
  <c r="J1020" i="9"/>
  <c r="I1020" i="9"/>
  <c r="H1020" i="9"/>
  <c r="P1019" i="9"/>
  <c r="L1019" i="9"/>
  <c r="K1019" i="9"/>
  <c r="J1019" i="9"/>
  <c r="I1019" i="9"/>
  <c r="H1019" i="9"/>
  <c r="P1018" i="9"/>
  <c r="L1018" i="9"/>
  <c r="K1018" i="9"/>
  <c r="J1018" i="9"/>
  <c r="I1018" i="9"/>
  <c r="H1018" i="9"/>
  <c r="P1017" i="9"/>
  <c r="L1017" i="9"/>
  <c r="K1017" i="9"/>
  <c r="J1017" i="9"/>
  <c r="I1017" i="9"/>
  <c r="H1017" i="9"/>
  <c r="P1016" i="9"/>
  <c r="L1016" i="9"/>
  <c r="K1016" i="9"/>
  <c r="J1016" i="9"/>
  <c r="I1016" i="9"/>
  <c r="H1016" i="9"/>
  <c r="P1015" i="9"/>
  <c r="L1015" i="9"/>
  <c r="K1015" i="9"/>
  <c r="J1015" i="9"/>
  <c r="I1015" i="9"/>
  <c r="H1015" i="9"/>
  <c r="P1014" i="9"/>
  <c r="L1014" i="9"/>
  <c r="K1014" i="9"/>
  <c r="J1014" i="9"/>
  <c r="I1014" i="9"/>
  <c r="H1014" i="9"/>
  <c r="P1013" i="9"/>
  <c r="L1013" i="9"/>
  <c r="K1013" i="9"/>
  <c r="J1013" i="9"/>
  <c r="I1013" i="9"/>
  <c r="H1013" i="9"/>
  <c r="P1012" i="9"/>
  <c r="L1012" i="9"/>
  <c r="K1012" i="9"/>
  <c r="J1012" i="9"/>
  <c r="I1012" i="9"/>
  <c r="H1012" i="9"/>
  <c r="P1011" i="9"/>
  <c r="L1011" i="9"/>
  <c r="K1011" i="9"/>
  <c r="J1011" i="9"/>
  <c r="I1011" i="9"/>
  <c r="H1011" i="9"/>
  <c r="P1010" i="9"/>
  <c r="L1010" i="9"/>
  <c r="K1010" i="9"/>
  <c r="J1010" i="9"/>
  <c r="I1010" i="9"/>
  <c r="H1010" i="9"/>
  <c r="P1009" i="9"/>
  <c r="L1009" i="9"/>
  <c r="K1009" i="9"/>
  <c r="J1009" i="9"/>
  <c r="I1009" i="9"/>
  <c r="H1009" i="9"/>
  <c r="P1008" i="9"/>
  <c r="L1008" i="9"/>
  <c r="K1008" i="9"/>
  <c r="J1008" i="9"/>
  <c r="I1008" i="9"/>
  <c r="H1008" i="9"/>
  <c r="P1007" i="9"/>
  <c r="L1007" i="9"/>
  <c r="K1007" i="9"/>
  <c r="J1007" i="9"/>
  <c r="I1007" i="9"/>
  <c r="H1007" i="9"/>
  <c r="P1006" i="9"/>
  <c r="L1006" i="9"/>
  <c r="K1006" i="9"/>
  <c r="J1006" i="9"/>
  <c r="I1006" i="9"/>
  <c r="H1006" i="9"/>
  <c r="P1005" i="9"/>
  <c r="L1005" i="9"/>
  <c r="K1005" i="9"/>
  <c r="J1005" i="9"/>
  <c r="I1005" i="9"/>
  <c r="H1005" i="9"/>
  <c r="P1004" i="9"/>
  <c r="L1004" i="9"/>
  <c r="K1004" i="9"/>
  <c r="J1004" i="9"/>
  <c r="I1004" i="9"/>
  <c r="H1004" i="9"/>
  <c r="P1003" i="9"/>
  <c r="L1003" i="9"/>
  <c r="K1003" i="9"/>
  <c r="J1003" i="9"/>
  <c r="I1003" i="9"/>
  <c r="H1003" i="9"/>
  <c r="P1002" i="9"/>
  <c r="L1002" i="9"/>
  <c r="K1002" i="9"/>
  <c r="J1002" i="9"/>
  <c r="I1002" i="9"/>
  <c r="H1002" i="9"/>
  <c r="P1001" i="9"/>
  <c r="L1001" i="9"/>
  <c r="K1001" i="9"/>
  <c r="J1001" i="9"/>
  <c r="I1001" i="9"/>
  <c r="H1001" i="9"/>
  <c r="P1000" i="9"/>
  <c r="L1000" i="9"/>
  <c r="K1000" i="9"/>
  <c r="J1000" i="9"/>
  <c r="I1000" i="9"/>
  <c r="H1000" i="9"/>
  <c r="P999" i="9"/>
  <c r="L999" i="9"/>
  <c r="K999" i="9"/>
  <c r="J999" i="9"/>
  <c r="I999" i="9"/>
  <c r="H999" i="9"/>
  <c r="P998" i="9"/>
  <c r="L998" i="9"/>
  <c r="K998" i="9"/>
  <c r="J998" i="9"/>
  <c r="I998" i="9"/>
  <c r="H998" i="9"/>
  <c r="P997" i="9"/>
  <c r="L997" i="9"/>
  <c r="K997" i="9"/>
  <c r="J997" i="9"/>
  <c r="I997" i="9"/>
  <c r="H997" i="9"/>
  <c r="P996" i="9"/>
  <c r="L996" i="9"/>
  <c r="K996" i="9"/>
  <c r="J996" i="9"/>
  <c r="I996" i="9"/>
  <c r="H996" i="9"/>
  <c r="P995" i="9"/>
  <c r="L995" i="9"/>
  <c r="K995" i="9"/>
  <c r="J995" i="9"/>
  <c r="I995" i="9"/>
  <c r="H995" i="9"/>
  <c r="P994" i="9"/>
  <c r="L994" i="9"/>
  <c r="K994" i="9"/>
  <c r="J994" i="9"/>
  <c r="I994" i="9"/>
  <c r="H994" i="9"/>
  <c r="P993" i="9"/>
  <c r="L993" i="9"/>
  <c r="K993" i="9"/>
  <c r="J993" i="9"/>
  <c r="I993" i="9"/>
  <c r="H993" i="9"/>
  <c r="P992" i="9"/>
  <c r="L992" i="9"/>
  <c r="K992" i="9"/>
  <c r="J992" i="9"/>
  <c r="I992" i="9"/>
  <c r="H992" i="9"/>
  <c r="P991" i="9"/>
  <c r="L991" i="9"/>
  <c r="K991" i="9"/>
  <c r="J991" i="9"/>
  <c r="I991" i="9"/>
  <c r="H991" i="9"/>
  <c r="P990" i="9"/>
  <c r="L990" i="9"/>
  <c r="K990" i="9"/>
  <c r="J990" i="9"/>
  <c r="I990" i="9"/>
  <c r="H990" i="9"/>
  <c r="P989" i="9"/>
  <c r="L989" i="9"/>
  <c r="K989" i="9"/>
  <c r="J989" i="9"/>
  <c r="I989" i="9"/>
  <c r="H989" i="9"/>
  <c r="P988" i="9"/>
  <c r="L988" i="9"/>
  <c r="K988" i="9"/>
  <c r="J988" i="9"/>
  <c r="I988" i="9"/>
  <c r="H988" i="9"/>
  <c r="P987" i="9"/>
  <c r="L987" i="9"/>
  <c r="K987" i="9"/>
  <c r="J987" i="9"/>
  <c r="I987" i="9"/>
  <c r="H987" i="9"/>
  <c r="P986" i="9"/>
  <c r="L986" i="9"/>
  <c r="K986" i="9"/>
  <c r="J986" i="9"/>
  <c r="I986" i="9"/>
  <c r="H986" i="9"/>
  <c r="P985" i="9"/>
  <c r="L985" i="9"/>
  <c r="K985" i="9"/>
  <c r="J985" i="9"/>
  <c r="I985" i="9"/>
  <c r="H985" i="9"/>
  <c r="P984" i="9"/>
  <c r="L984" i="9"/>
  <c r="K984" i="9"/>
  <c r="J984" i="9"/>
  <c r="I984" i="9"/>
  <c r="H984" i="9"/>
  <c r="P983" i="9"/>
  <c r="L983" i="9"/>
  <c r="K983" i="9"/>
  <c r="J983" i="9"/>
  <c r="I983" i="9"/>
  <c r="H983" i="9"/>
  <c r="P982" i="9"/>
  <c r="L982" i="9"/>
  <c r="K982" i="9"/>
  <c r="J982" i="9"/>
  <c r="I982" i="9"/>
  <c r="H982" i="9"/>
  <c r="P981" i="9"/>
  <c r="L981" i="9"/>
  <c r="K981" i="9"/>
  <c r="J981" i="9"/>
  <c r="I981" i="9"/>
  <c r="H981" i="9"/>
  <c r="P980" i="9"/>
  <c r="L980" i="9"/>
  <c r="K980" i="9"/>
  <c r="J980" i="9"/>
  <c r="I980" i="9"/>
  <c r="H980" i="9"/>
  <c r="P979" i="9"/>
  <c r="L979" i="9"/>
  <c r="K979" i="9"/>
  <c r="J979" i="9"/>
  <c r="I979" i="9"/>
  <c r="H979" i="9"/>
  <c r="P978" i="9"/>
  <c r="L978" i="9"/>
  <c r="K978" i="9"/>
  <c r="J978" i="9"/>
  <c r="I978" i="9"/>
  <c r="H978" i="9"/>
  <c r="P977" i="9"/>
  <c r="L977" i="9"/>
  <c r="K977" i="9"/>
  <c r="J977" i="9"/>
  <c r="I977" i="9"/>
  <c r="H977" i="9"/>
  <c r="P976" i="9"/>
  <c r="L976" i="9"/>
  <c r="K976" i="9"/>
  <c r="J976" i="9"/>
  <c r="I976" i="9"/>
  <c r="H976" i="9"/>
  <c r="P975" i="9"/>
  <c r="L975" i="9"/>
  <c r="K975" i="9"/>
  <c r="J975" i="9"/>
  <c r="I975" i="9"/>
  <c r="H975" i="9"/>
  <c r="P974" i="9"/>
  <c r="L974" i="9"/>
  <c r="K974" i="9"/>
  <c r="J974" i="9"/>
  <c r="I974" i="9"/>
  <c r="H974" i="9"/>
  <c r="P973" i="9"/>
  <c r="L973" i="9"/>
  <c r="K973" i="9"/>
  <c r="J973" i="9"/>
  <c r="I973" i="9"/>
  <c r="H973" i="9"/>
  <c r="P972" i="9"/>
  <c r="L972" i="9"/>
  <c r="K972" i="9"/>
  <c r="J972" i="9"/>
  <c r="I972" i="9"/>
  <c r="H972" i="9"/>
  <c r="P971" i="9"/>
  <c r="L971" i="9"/>
  <c r="K971" i="9"/>
  <c r="J971" i="9"/>
  <c r="I971" i="9"/>
  <c r="H971" i="9"/>
  <c r="P970" i="9"/>
  <c r="L970" i="9"/>
  <c r="K970" i="9"/>
  <c r="J970" i="9"/>
  <c r="I970" i="9"/>
  <c r="H970" i="9"/>
  <c r="P969" i="9"/>
  <c r="L969" i="9"/>
  <c r="K969" i="9"/>
  <c r="J969" i="9"/>
  <c r="I969" i="9"/>
  <c r="H969" i="9"/>
  <c r="P968" i="9"/>
  <c r="L968" i="9"/>
  <c r="K968" i="9"/>
  <c r="J968" i="9"/>
  <c r="I968" i="9"/>
  <c r="H968" i="9"/>
  <c r="P967" i="9"/>
  <c r="L967" i="9"/>
  <c r="K967" i="9"/>
  <c r="J967" i="9"/>
  <c r="I967" i="9"/>
  <c r="H967" i="9"/>
  <c r="P966" i="9"/>
  <c r="L966" i="9"/>
  <c r="K966" i="9"/>
  <c r="J966" i="9"/>
  <c r="I966" i="9"/>
  <c r="H966" i="9"/>
  <c r="P965" i="9"/>
  <c r="L965" i="9"/>
  <c r="K965" i="9"/>
  <c r="J965" i="9"/>
  <c r="I965" i="9"/>
  <c r="H965" i="9"/>
  <c r="P964" i="9"/>
  <c r="L964" i="9"/>
  <c r="K964" i="9"/>
  <c r="J964" i="9"/>
  <c r="I964" i="9"/>
  <c r="H964" i="9"/>
  <c r="P963" i="9"/>
  <c r="L963" i="9"/>
  <c r="K963" i="9"/>
  <c r="J963" i="9"/>
  <c r="I963" i="9"/>
  <c r="H963" i="9"/>
  <c r="P962" i="9"/>
  <c r="L962" i="9"/>
  <c r="K962" i="9"/>
  <c r="J962" i="9"/>
  <c r="I962" i="9"/>
  <c r="H962" i="9"/>
  <c r="P961" i="9"/>
  <c r="L961" i="9"/>
  <c r="K961" i="9"/>
  <c r="J961" i="9"/>
  <c r="I961" i="9"/>
  <c r="H961" i="9"/>
  <c r="P960" i="9"/>
  <c r="L960" i="9"/>
  <c r="K960" i="9"/>
  <c r="J960" i="9"/>
  <c r="I960" i="9"/>
  <c r="H960" i="9"/>
  <c r="P959" i="9"/>
  <c r="L959" i="9"/>
  <c r="K959" i="9"/>
  <c r="J959" i="9"/>
  <c r="I959" i="9"/>
  <c r="H959" i="9"/>
  <c r="P958" i="9"/>
  <c r="L958" i="9"/>
  <c r="K958" i="9"/>
  <c r="J958" i="9"/>
  <c r="I958" i="9"/>
  <c r="H958" i="9"/>
  <c r="P957" i="9"/>
  <c r="L957" i="9"/>
  <c r="K957" i="9"/>
  <c r="J957" i="9"/>
  <c r="I957" i="9"/>
  <c r="H957" i="9"/>
  <c r="P956" i="9"/>
  <c r="L956" i="9"/>
  <c r="K956" i="9"/>
  <c r="J956" i="9"/>
  <c r="I956" i="9"/>
  <c r="H956" i="9"/>
  <c r="P955" i="9"/>
  <c r="L955" i="9"/>
  <c r="K955" i="9"/>
  <c r="J955" i="9"/>
  <c r="I955" i="9"/>
  <c r="H955" i="9"/>
  <c r="P954" i="9"/>
  <c r="L954" i="9"/>
  <c r="K954" i="9"/>
  <c r="J954" i="9"/>
  <c r="I954" i="9"/>
  <c r="H954" i="9"/>
  <c r="P953" i="9"/>
  <c r="L953" i="9"/>
  <c r="K953" i="9"/>
  <c r="J953" i="9"/>
  <c r="I953" i="9"/>
  <c r="H953" i="9"/>
  <c r="P952" i="9"/>
  <c r="L952" i="9"/>
  <c r="K952" i="9"/>
  <c r="J952" i="9"/>
  <c r="I952" i="9"/>
  <c r="H952" i="9"/>
  <c r="P951" i="9"/>
  <c r="L951" i="9"/>
  <c r="K951" i="9"/>
  <c r="J951" i="9"/>
  <c r="I951" i="9"/>
  <c r="H951" i="9"/>
  <c r="P950" i="9"/>
  <c r="L950" i="9"/>
  <c r="K950" i="9"/>
  <c r="J950" i="9"/>
  <c r="I950" i="9"/>
  <c r="H950" i="9"/>
  <c r="P949" i="9"/>
  <c r="L949" i="9"/>
  <c r="K949" i="9"/>
  <c r="J949" i="9"/>
  <c r="I949" i="9"/>
  <c r="H949" i="9"/>
  <c r="P948" i="9"/>
  <c r="L948" i="9"/>
  <c r="K948" i="9"/>
  <c r="J948" i="9"/>
  <c r="I948" i="9"/>
  <c r="H948" i="9"/>
  <c r="P947" i="9"/>
  <c r="L947" i="9"/>
  <c r="K947" i="9"/>
  <c r="J947" i="9"/>
  <c r="I947" i="9"/>
  <c r="H947" i="9"/>
  <c r="P946" i="9"/>
  <c r="L946" i="9"/>
  <c r="K946" i="9"/>
  <c r="J946" i="9"/>
  <c r="I946" i="9"/>
  <c r="H946" i="9"/>
  <c r="P945" i="9"/>
  <c r="L945" i="9"/>
  <c r="K945" i="9"/>
  <c r="J945" i="9"/>
  <c r="I945" i="9"/>
  <c r="H945" i="9"/>
  <c r="P944" i="9"/>
  <c r="L944" i="9"/>
  <c r="K944" i="9"/>
  <c r="J944" i="9"/>
  <c r="I944" i="9"/>
  <c r="H944" i="9"/>
  <c r="P943" i="9"/>
  <c r="L943" i="9"/>
  <c r="K943" i="9"/>
  <c r="J943" i="9"/>
  <c r="I943" i="9"/>
  <c r="H943" i="9"/>
  <c r="P942" i="9"/>
  <c r="L942" i="9"/>
  <c r="K942" i="9"/>
  <c r="J942" i="9"/>
  <c r="I942" i="9"/>
  <c r="H942" i="9"/>
  <c r="P941" i="9"/>
  <c r="L941" i="9"/>
  <c r="K941" i="9"/>
  <c r="J941" i="9"/>
  <c r="I941" i="9"/>
  <c r="H941" i="9"/>
  <c r="P940" i="9"/>
  <c r="L940" i="9"/>
  <c r="K940" i="9"/>
  <c r="J940" i="9"/>
  <c r="I940" i="9"/>
  <c r="H940" i="9"/>
  <c r="P939" i="9"/>
  <c r="L939" i="9"/>
  <c r="K939" i="9"/>
  <c r="J939" i="9"/>
  <c r="I939" i="9"/>
  <c r="H939" i="9"/>
  <c r="P938" i="9"/>
  <c r="L938" i="9"/>
  <c r="K938" i="9"/>
  <c r="J938" i="9"/>
  <c r="I938" i="9"/>
  <c r="H938" i="9"/>
  <c r="P937" i="9"/>
  <c r="L937" i="9"/>
  <c r="K937" i="9"/>
  <c r="J937" i="9"/>
  <c r="I937" i="9"/>
  <c r="H937" i="9"/>
  <c r="P936" i="9"/>
  <c r="L936" i="9"/>
  <c r="K936" i="9"/>
  <c r="J936" i="9"/>
  <c r="I936" i="9"/>
  <c r="H936" i="9"/>
  <c r="P935" i="9"/>
  <c r="L935" i="9"/>
  <c r="K935" i="9"/>
  <c r="J935" i="9"/>
  <c r="I935" i="9"/>
  <c r="H935" i="9"/>
  <c r="P934" i="9"/>
  <c r="L934" i="9"/>
  <c r="K934" i="9"/>
  <c r="J934" i="9"/>
  <c r="I934" i="9"/>
  <c r="H934" i="9"/>
  <c r="P933" i="9"/>
  <c r="L933" i="9"/>
  <c r="K933" i="9"/>
  <c r="J933" i="9"/>
  <c r="I933" i="9"/>
  <c r="H933" i="9"/>
  <c r="P932" i="9"/>
  <c r="L932" i="9"/>
  <c r="K932" i="9"/>
  <c r="J932" i="9"/>
  <c r="I932" i="9"/>
  <c r="H932" i="9"/>
  <c r="P931" i="9"/>
  <c r="L931" i="9"/>
  <c r="K931" i="9"/>
  <c r="J931" i="9"/>
  <c r="I931" i="9"/>
  <c r="H931" i="9"/>
  <c r="P930" i="9"/>
  <c r="L930" i="9"/>
  <c r="K930" i="9"/>
  <c r="J930" i="9"/>
  <c r="I930" i="9"/>
  <c r="H930" i="9"/>
  <c r="P929" i="9"/>
  <c r="L929" i="9"/>
  <c r="K929" i="9"/>
  <c r="J929" i="9"/>
  <c r="I929" i="9"/>
  <c r="H929" i="9"/>
  <c r="P928" i="9"/>
  <c r="L928" i="9"/>
  <c r="K928" i="9"/>
  <c r="J928" i="9"/>
  <c r="I928" i="9"/>
  <c r="H928" i="9"/>
  <c r="P927" i="9"/>
  <c r="L927" i="9"/>
  <c r="K927" i="9"/>
  <c r="J927" i="9"/>
  <c r="I927" i="9"/>
  <c r="H927" i="9"/>
  <c r="P926" i="9"/>
  <c r="L926" i="9"/>
  <c r="K926" i="9"/>
  <c r="J926" i="9"/>
  <c r="I926" i="9"/>
  <c r="H926" i="9"/>
  <c r="P925" i="9"/>
  <c r="L925" i="9"/>
  <c r="K925" i="9"/>
  <c r="J925" i="9"/>
  <c r="I925" i="9"/>
  <c r="H925" i="9"/>
  <c r="P924" i="9"/>
  <c r="L924" i="9"/>
  <c r="K924" i="9"/>
  <c r="J924" i="9"/>
  <c r="I924" i="9"/>
  <c r="H924" i="9"/>
  <c r="P923" i="9"/>
  <c r="L923" i="9"/>
  <c r="K923" i="9"/>
  <c r="J923" i="9"/>
  <c r="I923" i="9"/>
  <c r="H923" i="9"/>
  <c r="P922" i="9"/>
  <c r="L922" i="9"/>
  <c r="K922" i="9"/>
  <c r="J922" i="9"/>
  <c r="I922" i="9"/>
  <c r="H922" i="9"/>
  <c r="P921" i="9"/>
  <c r="L921" i="9"/>
  <c r="K921" i="9"/>
  <c r="J921" i="9"/>
  <c r="I921" i="9"/>
  <c r="H921" i="9"/>
  <c r="P920" i="9"/>
  <c r="L920" i="9"/>
  <c r="K920" i="9"/>
  <c r="J920" i="9"/>
  <c r="I920" i="9"/>
  <c r="H920" i="9"/>
  <c r="P919" i="9"/>
  <c r="L919" i="9"/>
  <c r="K919" i="9"/>
  <c r="J919" i="9"/>
  <c r="I919" i="9"/>
  <c r="H919" i="9"/>
  <c r="P918" i="9"/>
  <c r="L918" i="9"/>
  <c r="K918" i="9"/>
  <c r="J918" i="9"/>
  <c r="I918" i="9"/>
  <c r="H918" i="9"/>
  <c r="P917" i="9"/>
  <c r="L917" i="9"/>
  <c r="K917" i="9"/>
  <c r="J917" i="9"/>
  <c r="I917" i="9"/>
  <c r="H917" i="9"/>
  <c r="P916" i="9"/>
  <c r="L916" i="9"/>
  <c r="K916" i="9"/>
  <c r="J916" i="9"/>
  <c r="I916" i="9"/>
  <c r="H916" i="9"/>
  <c r="P915" i="9"/>
  <c r="L915" i="9"/>
  <c r="K915" i="9"/>
  <c r="J915" i="9"/>
  <c r="I915" i="9"/>
  <c r="H915" i="9"/>
  <c r="P914" i="9"/>
  <c r="L914" i="9"/>
  <c r="K914" i="9"/>
  <c r="J914" i="9"/>
  <c r="I914" i="9"/>
  <c r="H914" i="9"/>
  <c r="P913" i="9"/>
  <c r="L913" i="9"/>
  <c r="K913" i="9"/>
  <c r="J913" i="9"/>
  <c r="I913" i="9"/>
  <c r="H913" i="9"/>
  <c r="P912" i="9"/>
  <c r="L912" i="9"/>
  <c r="K912" i="9"/>
  <c r="J912" i="9"/>
  <c r="I912" i="9"/>
  <c r="H912" i="9"/>
  <c r="P911" i="9"/>
  <c r="L911" i="9"/>
  <c r="K911" i="9"/>
  <c r="J911" i="9"/>
  <c r="I911" i="9"/>
  <c r="H911" i="9"/>
  <c r="P910" i="9"/>
  <c r="L910" i="9"/>
  <c r="K910" i="9"/>
  <c r="J910" i="9"/>
  <c r="I910" i="9"/>
  <c r="H910" i="9"/>
  <c r="P909" i="9"/>
  <c r="L909" i="9"/>
  <c r="K909" i="9"/>
  <c r="J909" i="9"/>
  <c r="I909" i="9"/>
  <c r="H909" i="9"/>
  <c r="P908" i="9"/>
  <c r="L908" i="9"/>
  <c r="K908" i="9"/>
  <c r="J908" i="9"/>
  <c r="I908" i="9"/>
  <c r="H908" i="9"/>
  <c r="P907" i="9"/>
  <c r="L907" i="9"/>
  <c r="K907" i="9"/>
  <c r="J907" i="9"/>
  <c r="I907" i="9"/>
  <c r="H907" i="9"/>
  <c r="P906" i="9"/>
  <c r="L906" i="9"/>
  <c r="K906" i="9"/>
  <c r="J906" i="9"/>
  <c r="I906" i="9"/>
  <c r="H906" i="9"/>
  <c r="P905" i="9"/>
  <c r="L905" i="9"/>
  <c r="K905" i="9"/>
  <c r="J905" i="9"/>
  <c r="I905" i="9"/>
  <c r="H905" i="9"/>
  <c r="P904" i="9"/>
  <c r="L904" i="9"/>
  <c r="K904" i="9"/>
  <c r="J904" i="9"/>
  <c r="I904" i="9"/>
  <c r="H904" i="9"/>
  <c r="P903" i="9"/>
  <c r="L903" i="9"/>
  <c r="K903" i="9"/>
  <c r="J903" i="9"/>
  <c r="I903" i="9"/>
  <c r="H903" i="9"/>
  <c r="P902" i="9"/>
  <c r="L902" i="9"/>
  <c r="K902" i="9"/>
  <c r="J902" i="9"/>
  <c r="I902" i="9"/>
  <c r="H902" i="9"/>
  <c r="P901" i="9"/>
  <c r="L901" i="9"/>
  <c r="K901" i="9"/>
  <c r="J901" i="9"/>
  <c r="I901" i="9"/>
  <c r="H901" i="9"/>
  <c r="P900" i="9"/>
  <c r="L900" i="9"/>
  <c r="K900" i="9"/>
  <c r="J900" i="9"/>
  <c r="I900" i="9"/>
  <c r="H900" i="9"/>
  <c r="P899" i="9"/>
  <c r="L899" i="9"/>
  <c r="K899" i="9"/>
  <c r="J899" i="9"/>
  <c r="I899" i="9"/>
  <c r="H899" i="9"/>
  <c r="P898" i="9"/>
  <c r="L898" i="9"/>
  <c r="K898" i="9"/>
  <c r="J898" i="9"/>
  <c r="I898" i="9"/>
  <c r="H898" i="9"/>
  <c r="P897" i="9"/>
  <c r="L897" i="9"/>
  <c r="K897" i="9"/>
  <c r="J897" i="9"/>
  <c r="I897" i="9"/>
  <c r="H897" i="9"/>
  <c r="P896" i="9"/>
  <c r="L896" i="9"/>
  <c r="K896" i="9"/>
  <c r="J896" i="9"/>
  <c r="I896" i="9"/>
  <c r="H896" i="9"/>
  <c r="P895" i="9"/>
  <c r="L895" i="9"/>
  <c r="K895" i="9"/>
  <c r="J895" i="9"/>
  <c r="I895" i="9"/>
  <c r="H895" i="9"/>
  <c r="P894" i="9"/>
  <c r="L894" i="9"/>
  <c r="K894" i="9"/>
  <c r="J894" i="9"/>
  <c r="I894" i="9"/>
  <c r="H894" i="9"/>
  <c r="P893" i="9"/>
  <c r="L893" i="9"/>
  <c r="K893" i="9"/>
  <c r="J893" i="9"/>
  <c r="I893" i="9"/>
  <c r="H893" i="9"/>
  <c r="P892" i="9"/>
  <c r="L892" i="9"/>
  <c r="K892" i="9"/>
  <c r="J892" i="9"/>
  <c r="I892" i="9"/>
  <c r="H892" i="9"/>
  <c r="P891" i="9"/>
  <c r="L891" i="9"/>
  <c r="K891" i="9"/>
  <c r="J891" i="9"/>
  <c r="I891" i="9"/>
  <c r="H891" i="9"/>
  <c r="P890" i="9"/>
  <c r="L890" i="9"/>
  <c r="K890" i="9"/>
  <c r="J890" i="9"/>
  <c r="I890" i="9"/>
  <c r="H890" i="9"/>
  <c r="P889" i="9"/>
  <c r="L889" i="9"/>
  <c r="K889" i="9"/>
  <c r="J889" i="9"/>
  <c r="I889" i="9"/>
  <c r="H889" i="9"/>
  <c r="P888" i="9"/>
  <c r="L888" i="9"/>
  <c r="K888" i="9"/>
  <c r="J888" i="9"/>
  <c r="I888" i="9"/>
  <c r="H888" i="9"/>
  <c r="P887" i="9"/>
  <c r="L887" i="9"/>
  <c r="K887" i="9"/>
  <c r="J887" i="9"/>
  <c r="I887" i="9"/>
  <c r="H887" i="9"/>
  <c r="P886" i="9"/>
  <c r="L886" i="9"/>
  <c r="K886" i="9"/>
  <c r="J886" i="9"/>
  <c r="I886" i="9"/>
  <c r="H886" i="9"/>
  <c r="P885" i="9"/>
  <c r="L885" i="9"/>
  <c r="K885" i="9"/>
  <c r="J885" i="9"/>
  <c r="I885" i="9"/>
  <c r="H885" i="9"/>
  <c r="P884" i="9"/>
  <c r="L884" i="9"/>
  <c r="K884" i="9"/>
  <c r="J884" i="9"/>
  <c r="I884" i="9"/>
  <c r="H884" i="9"/>
  <c r="P883" i="9"/>
  <c r="L883" i="9"/>
  <c r="K883" i="9"/>
  <c r="J883" i="9"/>
  <c r="I883" i="9"/>
  <c r="H883" i="9"/>
  <c r="P882" i="9"/>
  <c r="L882" i="9"/>
  <c r="K882" i="9"/>
  <c r="J882" i="9"/>
  <c r="I882" i="9"/>
  <c r="H882" i="9"/>
  <c r="P881" i="9"/>
  <c r="L881" i="9"/>
  <c r="K881" i="9"/>
  <c r="J881" i="9"/>
  <c r="I881" i="9"/>
  <c r="H881" i="9"/>
  <c r="P880" i="9"/>
  <c r="L880" i="9"/>
  <c r="K880" i="9"/>
  <c r="J880" i="9"/>
  <c r="I880" i="9"/>
  <c r="H880" i="9"/>
  <c r="P879" i="9"/>
  <c r="L879" i="9"/>
  <c r="K879" i="9"/>
  <c r="J879" i="9"/>
  <c r="I879" i="9"/>
  <c r="H879" i="9"/>
  <c r="P878" i="9"/>
  <c r="L878" i="9"/>
  <c r="K878" i="9"/>
  <c r="J878" i="9"/>
  <c r="I878" i="9"/>
  <c r="H878" i="9"/>
  <c r="P877" i="9"/>
  <c r="L877" i="9"/>
  <c r="K877" i="9"/>
  <c r="J877" i="9"/>
  <c r="I877" i="9"/>
  <c r="H877" i="9"/>
  <c r="P876" i="9"/>
  <c r="L876" i="9"/>
  <c r="K876" i="9"/>
  <c r="J876" i="9"/>
  <c r="I876" i="9"/>
  <c r="H876" i="9"/>
  <c r="P875" i="9"/>
  <c r="L875" i="9"/>
  <c r="K875" i="9"/>
  <c r="J875" i="9"/>
  <c r="I875" i="9"/>
  <c r="H875" i="9"/>
  <c r="P874" i="9"/>
  <c r="L874" i="9"/>
  <c r="K874" i="9"/>
  <c r="J874" i="9"/>
  <c r="I874" i="9"/>
  <c r="H874" i="9"/>
  <c r="P873" i="9"/>
  <c r="L873" i="9"/>
  <c r="K873" i="9"/>
  <c r="J873" i="9"/>
  <c r="I873" i="9"/>
  <c r="H873" i="9"/>
  <c r="P872" i="9"/>
  <c r="L872" i="9"/>
  <c r="K872" i="9"/>
  <c r="J872" i="9"/>
  <c r="I872" i="9"/>
  <c r="H872" i="9"/>
  <c r="P871" i="9"/>
  <c r="L871" i="9"/>
  <c r="K871" i="9"/>
  <c r="J871" i="9"/>
  <c r="I871" i="9"/>
  <c r="H871" i="9"/>
  <c r="P870" i="9"/>
  <c r="L870" i="9"/>
  <c r="K870" i="9"/>
  <c r="J870" i="9"/>
  <c r="I870" i="9"/>
  <c r="H870" i="9"/>
  <c r="P869" i="9"/>
  <c r="L869" i="9"/>
  <c r="K869" i="9"/>
  <c r="J869" i="9"/>
  <c r="I869" i="9"/>
  <c r="H869" i="9"/>
  <c r="P868" i="9"/>
  <c r="L868" i="9"/>
  <c r="K868" i="9"/>
  <c r="J868" i="9"/>
  <c r="I868" i="9"/>
  <c r="H868" i="9"/>
  <c r="P867" i="9"/>
  <c r="L867" i="9"/>
  <c r="K867" i="9"/>
  <c r="J867" i="9"/>
  <c r="I867" i="9"/>
  <c r="H867" i="9"/>
  <c r="P866" i="9"/>
  <c r="L866" i="9"/>
  <c r="K866" i="9"/>
  <c r="J866" i="9"/>
  <c r="I866" i="9"/>
  <c r="H866" i="9"/>
  <c r="P865" i="9"/>
  <c r="L865" i="9"/>
  <c r="K865" i="9"/>
  <c r="J865" i="9"/>
  <c r="I865" i="9"/>
  <c r="H865" i="9"/>
  <c r="P864" i="9"/>
  <c r="L864" i="9"/>
  <c r="K864" i="9"/>
  <c r="J864" i="9"/>
  <c r="I864" i="9"/>
  <c r="H864" i="9"/>
  <c r="P863" i="9"/>
  <c r="L863" i="9"/>
  <c r="K863" i="9"/>
  <c r="J863" i="9"/>
  <c r="I863" i="9"/>
  <c r="H863" i="9"/>
  <c r="P862" i="9"/>
  <c r="L862" i="9"/>
  <c r="K862" i="9"/>
  <c r="J862" i="9"/>
  <c r="I862" i="9"/>
  <c r="H862" i="9"/>
  <c r="P861" i="9"/>
  <c r="L861" i="9"/>
  <c r="K861" i="9"/>
  <c r="J861" i="9"/>
  <c r="I861" i="9"/>
  <c r="H861" i="9"/>
  <c r="P860" i="9"/>
  <c r="L860" i="9"/>
  <c r="K860" i="9"/>
  <c r="J860" i="9"/>
  <c r="I860" i="9"/>
  <c r="H860" i="9"/>
  <c r="P859" i="9"/>
  <c r="L859" i="9"/>
  <c r="K859" i="9"/>
  <c r="J859" i="9"/>
  <c r="I859" i="9"/>
  <c r="H859" i="9"/>
  <c r="P858" i="9"/>
  <c r="L858" i="9"/>
  <c r="K858" i="9"/>
  <c r="J858" i="9"/>
  <c r="I858" i="9"/>
  <c r="H858" i="9"/>
  <c r="P857" i="9"/>
  <c r="L857" i="9"/>
  <c r="K857" i="9"/>
  <c r="J857" i="9"/>
  <c r="I857" i="9"/>
  <c r="H857" i="9"/>
  <c r="P856" i="9"/>
  <c r="L856" i="9"/>
  <c r="K856" i="9"/>
  <c r="J856" i="9"/>
  <c r="I856" i="9"/>
  <c r="H856" i="9"/>
  <c r="P855" i="9"/>
  <c r="L855" i="9"/>
  <c r="K855" i="9"/>
  <c r="J855" i="9"/>
  <c r="I855" i="9"/>
  <c r="H855" i="9"/>
  <c r="P854" i="9"/>
  <c r="L854" i="9"/>
  <c r="K854" i="9"/>
  <c r="J854" i="9"/>
  <c r="I854" i="9"/>
  <c r="H854" i="9"/>
  <c r="P853" i="9"/>
  <c r="L853" i="9"/>
  <c r="K853" i="9"/>
  <c r="J853" i="9"/>
  <c r="I853" i="9"/>
  <c r="H853" i="9"/>
  <c r="P852" i="9"/>
  <c r="L852" i="9"/>
  <c r="K852" i="9"/>
  <c r="J852" i="9"/>
  <c r="I852" i="9"/>
  <c r="H852" i="9"/>
  <c r="P851" i="9"/>
  <c r="L851" i="9"/>
  <c r="K851" i="9"/>
  <c r="J851" i="9"/>
  <c r="I851" i="9"/>
  <c r="H851" i="9"/>
  <c r="P850" i="9"/>
  <c r="L850" i="9"/>
  <c r="K850" i="9"/>
  <c r="J850" i="9"/>
  <c r="I850" i="9"/>
  <c r="H850" i="9"/>
  <c r="P849" i="9"/>
  <c r="L849" i="9"/>
  <c r="K849" i="9"/>
  <c r="J849" i="9"/>
  <c r="I849" i="9"/>
  <c r="H849" i="9"/>
  <c r="P848" i="9"/>
  <c r="L848" i="9"/>
  <c r="K848" i="9"/>
  <c r="J848" i="9"/>
  <c r="I848" i="9"/>
  <c r="H848" i="9"/>
  <c r="P847" i="9"/>
  <c r="L847" i="9"/>
  <c r="K847" i="9"/>
  <c r="J847" i="9"/>
  <c r="I847" i="9"/>
  <c r="H847" i="9"/>
  <c r="P846" i="9"/>
  <c r="L846" i="9"/>
  <c r="K846" i="9"/>
  <c r="J846" i="9"/>
  <c r="I846" i="9"/>
  <c r="H846" i="9"/>
  <c r="P845" i="9"/>
  <c r="L845" i="9"/>
  <c r="K845" i="9"/>
  <c r="J845" i="9"/>
  <c r="I845" i="9"/>
  <c r="H845" i="9"/>
  <c r="P844" i="9"/>
  <c r="L844" i="9"/>
  <c r="K844" i="9"/>
  <c r="J844" i="9"/>
  <c r="I844" i="9"/>
  <c r="H844" i="9"/>
  <c r="P843" i="9"/>
  <c r="L843" i="9"/>
  <c r="K843" i="9"/>
  <c r="J843" i="9"/>
  <c r="I843" i="9"/>
  <c r="H843" i="9"/>
  <c r="P842" i="9"/>
  <c r="L842" i="9"/>
  <c r="K842" i="9"/>
  <c r="J842" i="9"/>
  <c r="I842" i="9"/>
  <c r="H842" i="9"/>
  <c r="P841" i="9"/>
  <c r="L841" i="9"/>
  <c r="K841" i="9"/>
  <c r="J841" i="9"/>
  <c r="I841" i="9"/>
  <c r="H841" i="9"/>
  <c r="P840" i="9"/>
  <c r="L840" i="9"/>
  <c r="K840" i="9"/>
  <c r="J840" i="9"/>
  <c r="I840" i="9"/>
  <c r="H840" i="9"/>
  <c r="P839" i="9"/>
  <c r="L839" i="9"/>
  <c r="K839" i="9"/>
  <c r="J839" i="9"/>
  <c r="I839" i="9"/>
  <c r="H839" i="9"/>
  <c r="P838" i="9"/>
  <c r="L838" i="9"/>
  <c r="K838" i="9"/>
  <c r="J838" i="9"/>
  <c r="I838" i="9"/>
  <c r="H838" i="9"/>
  <c r="P837" i="9"/>
  <c r="L837" i="9"/>
  <c r="K837" i="9"/>
  <c r="J837" i="9"/>
  <c r="I837" i="9"/>
  <c r="H837" i="9"/>
  <c r="P836" i="9"/>
  <c r="L836" i="9"/>
  <c r="K836" i="9"/>
  <c r="J836" i="9"/>
  <c r="I836" i="9"/>
  <c r="H836" i="9"/>
  <c r="P835" i="9"/>
  <c r="L835" i="9"/>
  <c r="K835" i="9"/>
  <c r="J835" i="9"/>
  <c r="I835" i="9"/>
  <c r="H835" i="9"/>
  <c r="P834" i="9"/>
  <c r="L834" i="9"/>
  <c r="K834" i="9"/>
  <c r="J834" i="9"/>
  <c r="I834" i="9"/>
  <c r="H834" i="9"/>
  <c r="P833" i="9"/>
  <c r="L833" i="9"/>
  <c r="K833" i="9"/>
  <c r="J833" i="9"/>
  <c r="I833" i="9"/>
  <c r="H833" i="9"/>
  <c r="P832" i="9"/>
  <c r="L832" i="9"/>
  <c r="K832" i="9"/>
  <c r="J832" i="9"/>
  <c r="I832" i="9"/>
  <c r="H832" i="9"/>
  <c r="P831" i="9"/>
  <c r="L831" i="9"/>
  <c r="K831" i="9"/>
  <c r="J831" i="9"/>
  <c r="I831" i="9"/>
  <c r="H831" i="9"/>
  <c r="P830" i="9"/>
  <c r="L830" i="9"/>
  <c r="K830" i="9"/>
  <c r="J830" i="9"/>
  <c r="I830" i="9"/>
  <c r="H830" i="9"/>
  <c r="P829" i="9"/>
  <c r="L829" i="9"/>
  <c r="K829" i="9"/>
  <c r="J829" i="9"/>
  <c r="I829" i="9"/>
  <c r="H829" i="9"/>
  <c r="P828" i="9"/>
  <c r="L828" i="9"/>
  <c r="K828" i="9"/>
  <c r="J828" i="9"/>
  <c r="I828" i="9"/>
  <c r="H828" i="9"/>
  <c r="P827" i="9"/>
  <c r="L827" i="9"/>
  <c r="K827" i="9"/>
  <c r="J827" i="9"/>
  <c r="I827" i="9"/>
  <c r="H827" i="9"/>
  <c r="P826" i="9"/>
  <c r="L826" i="9"/>
  <c r="K826" i="9"/>
  <c r="J826" i="9"/>
  <c r="I826" i="9"/>
  <c r="H826" i="9"/>
  <c r="P825" i="9"/>
  <c r="L825" i="9"/>
  <c r="K825" i="9"/>
  <c r="J825" i="9"/>
  <c r="I825" i="9"/>
  <c r="H825" i="9"/>
  <c r="P824" i="9"/>
  <c r="L824" i="9"/>
  <c r="K824" i="9"/>
  <c r="J824" i="9"/>
  <c r="I824" i="9"/>
  <c r="H824" i="9"/>
  <c r="P823" i="9"/>
  <c r="L823" i="9"/>
  <c r="K823" i="9"/>
  <c r="J823" i="9"/>
  <c r="I823" i="9"/>
  <c r="H823" i="9"/>
  <c r="P822" i="9"/>
  <c r="L822" i="9"/>
  <c r="K822" i="9"/>
  <c r="J822" i="9"/>
  <c r="I822" i="9"/>
  <c r="H822" i="9"/>
  <c r="P821" i="9"/>
  <c r="L821" i="9"/>
  <c r="K821" i="9"/>
  <c r="J821" i="9"/>
  <c r="I821" i="9"/>
  <c r="H821" i="9"/>
  <c r="P820" i="9"/>
  <c r="L820" i="9"/>
  <c r="K820" i="9"/>
  <c r="J820" i="9"/>
  <c r="I820" i="9"/>
  <c r="H820" i="9"/>
  <c r="P819" i="9"/>
  <c r="L819" i="9"/>
  <c r="K819" i="9"/>
  <c r="J819" i="9"/>
  <c r="I819" i="9"/>
  <c r="H819" i="9"/>
  <c r="P818" i="9"/>
  <c r="L818" i="9"/>
  <c r="K818" i="9"/>
  <c r="J818" i="9"/>
  <c r="I818" i="9"/>
  <c r="H818" i="9"/>
  <c r="P817" i="9"/>
  <c r="L817" i="9"/>
  <c r="K817" i="9"/>
  <c r="J817" i="9"/>
  <c r="I817" i="9"/>
  <c r="H817" i="9"/>
  <c r="P816" i="9"/>
  <c r="L816" i="9"/>
  <c r="K816" i="9"/>
  <c r="J816" i="9"/>
  <c r="I816" i="9"/>
  <c r="H816" i="9"/>
  <c r="P815" i="9"/>
  <c r="L815" i="9"/>
  <c r="K815" i="9"/>
  <c r="J815" i="9"/>
  <c r="I815" i="9"/>
  <c r="H815" i="9"/>
  <c r="P814" i="9"/>
  <c r="L814" i="9"/>
  <c r="K814" i="9"/>
  <c r="J814" i="9"/>
  <c r="I814" i="9"/>
  <c r="H814" i="9"/>
  <c r="P813" i="9"/>
  <c r="L813" i="9"/>
  <c r="K813" i="9"/>
  <c r="J813" i="9"/>
  <c r="I813" i="9"/>
  <c r="H813" i="9"/>
  <c r="P812" i="9"/>
  <c r="L812" i="9"/>
  <c r="K812" i="9"/>
  <c r="J812" i="9"/>
  <c r="I812" i="9"/>
  <c r="H812" i="9"/>
  <c r="P811" i="9"/>
  <c r="L811" i="9"/>
  <c r="K811" i="9"/>
  <c r="J811" i="9"/>
  <c r="I811" i="9"/>
  <c r="H811" i="9"/>
  <c r="P810" i="9"/>
  <c r="L810" i="9"/>
  <c r="K810" i="9"/>
  <c r="J810" i="9"/>
  <c r="I810" i="9"/>
  <c r="H810" i="9"/>
  <c r="P809" i="9"/>
  <c r="L809" i="9"/>
  <c r="K809" i="9"/>
  <c r="J809" i="9"/>
  <c r="I809" i="9"/>
  <c r="H809" i="9"/>
  <c r="P808" i="9"/>
  <c r="L808" i="9"/>
  <c r="K808" i="9"/>
  <c r="J808" i="9"/>
  <c r="I808" i="9"/>
  <c r="H808" i="9"/>
  <c r="P807" i="9"/>
  <c r="L807" i="9"/>
  <c r="K807" i="9"/>
  <c r="J807" i="9"/>
  <c r="I807" i="9"/>
  <c r="H807" i="9"/>
  <c r="P806" i="9"/>
  <c r="L806" i="9"/>
  <c r="K806" i="9"/>
  <c r="J806" i="9"/>
  <c r="I806" i="9"/>
  <c r="H806" i="9"/>
  <c r="P805" i="9"/>
  <c r="L805" i="9"/>
  <c r="K805" i="9"/>
  <c r="J805" i="9"/>
  <c r="I805" i="9"/>
  <c r="H805" i="9"/>
  <c r="P804" i="9"/>
  <c r="L804" i="9"/>
  <c r="K804" i="9"/>
  <c r="J804" i="9"/>
  <c r="I804" i="9"/>
  <c r="H804" i="9"/>
  <c r="P803" i="9"/>
  <c r="L803" i="9"/>
  <c r="K803" i="9"/>
  <c r="J803" i="9"/>
  <c r="I803" i="9"/>
  <c r="H803" i="9"/>
  <c r="P802" i="9"/>
  <c r="L802" i="9"/>
  <c r="K802" i="9"/>
  <c r="J802" i="9"/>
  <c r="I802" i="9"/>
  <c r="H802" i="9"/>
  <c r="P801" i="9"/>
  <c r="L801" i="9"/>
  <c r="K801" i="9"/>
  <c r="J801" i="9"/>
  <c r="I801" i="9"/>
  <c r="H801" i="9"/>
  <c r="P800" i="9"/>
  <c r="L800" i="9"/>
  <c r="K800" i="9"/>
  <c r="J800" i="9"/>
  <c r="I800" i="9"/>
  <c r="H800" i="9"/>
  <c r="P799" i="9"/>
  <c r="L799" i="9"/>
  <c r="K799" i="9"/>
  <c r="J799" i="9"/>
  <c r="I799" i="9"/>
  <c r="H799" i="9"/>
  <c r="P798" i="9"/>
  <c r="L798" i="9"/>
  <c r="K798" i="9"/>
  <c r="J798" i="9"/>
  <c r="I798" i="9"/>
  <c r="H798" i="9"/>
  <c r="P797" i="9"/>
  <c r="L797" i="9"/>
  <c r="K797" i="9"/>
  <c r="J797" i="9"/>
  <c r="I797" i="9"/>
  <c r="H797" i="9"/>
  <c r="P796" i="9"/>
  <c r="L796" i="9"/>
  <c r="K796" i="9"/>
  <c r="J796" i="9"/>
  <c r="I796" i="9"/>
  <c r="H796" i="9"/>
  <c r="P795" i="9"/>
  <c r="L795" i="9"/>
  <c r="K795" i="9"/>
  <c r="J795" i="9"/>
  <c r="I795" i="9"/>
  <c r="H795" i="9"/>
  <c r="P794" i="9"/>
  <c r="L794" i="9"/>
  <c r="K794" i="9"/>
  <c r="J794" i="9"/>
  <c r="I794" i="9"/>
  <c r="H794" i="9"/>
  <c r="P793" i="9"/>
  <c r="L793" i="9"/>
  <c r="K793" i="9"/>
  <c r="J793" i="9"/>
  <c r="I793" i="9"/>
  <c r="H793" i="9"/>
  <c r="P792" i="9"/>
  <c r="L792" i="9"/>
  <c r="K792" i="9"/>
  <c r="J792" i="9"/>
  <c r="I792" i="9"/>
  <c r="H792" i="9"/>
  <c r="P791" i="9"/>
  <c r="L791" i="9"/>
  <c r="K791" i="9"/>
  <c r="J791" i="9"/>
  <c r="I791" i="9"/>
  <c r="H791" i="9"/>
  <c r="P790" i="9"/>
  <c r="L790" i="9"/>
  <c r="K790" i="9"/>
  <c r="J790" i="9"/>
  <c r="I790" i="9"/>
  <c r="H790" i="9"/>
  <c r="P789" i="9"/>
  <c r="L789" i="9"/>
  <c r="K789" i="9"/>
  <c r="J789" i="9"/>
  <c r="I789" i="9"/>
  <c r="H789" i="9"/>
  <c r="P788" i="9"/>
  <c r="L788" i="9"/>
  <c r="K788" i="9"/>
  <c r="J788" i="9"/>
  <c r="I788" i="9"/>
  <c r="H788" i="9"/>
  <c r="P787" i="9"/>
  <c r="L787" i="9"/>
  <c r="K787" i="9"/>
  <c r="J787" i="9"/>
  <c r="I787" i="9"/>
  <c r="H787" i="9"/>
  <c r="P786" i="9"/>
  <c r="L786" i="9"/>
  <c r="K786" i="9"/>
  <c r="J786" i="9"/>
  <c r="I786" i="9"/>
  <c r="H786" i="9"/>
  <c r="P785" i="9"/>
  <c r="L785" i="9"/>
  <c r="K785" i="9"/>
  <c r="J785" i="9"/>
  <c r="I785" i="9"/>
  <c r="H785" i="9"/>
  <c r="P784" i="9"/>
  <c r="L784" i="9"/>
  <c r="K784" i="9"/>
  <c r="J784" i="9"/>
  <c r="I784" i="9"/>
  <c r="H784" i="9"/>
  <c r="P783" i="9"/>
  <c r="L783" i="9"/>
  <c r="K783" i="9"/>
  <c r="J783" i="9"/>
  <c r="I783" i="9"/>
  <c r="H783" i="9"/>
  <c r="P782" i="9"/>
  <c r="L782" i="9"/>
  <c r="K782" i="9"/>
  <c r="J782" i="9"/>
  <c r="I782" i="9"/>
  <c r="H782" i="9"/>
  <c r="P781" i="9"/>
  <c r="L781" i="9"/>
  <c r="K781" i="9"/>
  <c r="J781" i="9"/>
  <c r="I781" i="9"/>
  <c r="H781" i="9"/>
  <c r="P780" i="9"/>
  <c r="L780" i="9"/>
  <c r="K780" i="9"/>
  <c r="J780" i="9"/>
  <c r="I780" i="9"/>
  <c r="H780" i="9"/>
  <c r="P779" i="9"/>
  <c r="L779" i="9"/>
  <c r="K779" i="9"/>
  <c r="J779" i="9"/>
  <c r="I779" i="9"/>
  <c r="H779" i="9"/>
  <c r="P778" i="9"/>
  <c r="L778" i="9"/>
  <c r="K778" i="9"/>
  <c r="J778" i="9"/>
  <c r="I778" i="9"/>
  <c r="H778" i="9"/>
  <c r="P777" i="9"/>
  <c r="L777" i="9"/>
  <c r="K777" i="9"/>
  <c r="J777" i="9"/>
  <c r="I777" i="9"/>
  <c r="H777" i="9"/>
  <c r="P776" i="9"/>
  <c r="L776" i="9"/>
  <c r="K776" i="9"/>
  <c r="J776" i="9"/>
  <c r="I776" i="9"/>
  <c r="H776" i="9"/>
  <c r="P775" i="9"/>
  <c r="L775" i="9"/>
  <c r="K775" i="9"/>
  <c r="J775" i="9"/>
  <c r="I775" i="9"/>
  <c r="H775" i="9"/>
  <c r="P774" i="9"/>
  <c r="L774" i="9"/>
  <c r="K774" i="9"/>
  <c r="J774" i="9"/>
  <c r="I774" i="9"/>
  <c r="H774" i="9"/>
  <c r="P773" i="9"/>
  <c r="L773" i="9"/>
  <c r="K773" i="9"/>
  <c r="J773" i="9"/>
  <c r="I773" i="9"/>
  <c r="H773" i="9"/>
  <c r="P772" i="9"/>
  <c r="L772" i="9"/>
  <c r="K772" i="9"/>
  <c r="J772" i="9"/>
  <c r="I772" i="9"/>
  <c r="H772" i="9"/>
  <c r="P771" i="9"/>
  <c r="L771" i="9"/>
  <c r="K771" i="9"/>
  <c r="J771" i="9"/>
  <c r="I771" i="9"/>
  <c r="H771" i="9"/>
  <c r="P770" i="9"/>
  <c r="L770" i="9"/>
  <c r="K770" i="9"/>
  <c r="J770" i="9"/>
  <c r="I770" i="9"/>
  <c r="H770" i="9"/>
  <c r="P769" i="9"/>
  <c r="L769" i="9"/>
  <c r="K769" i="9"/>
  <c r="J769" i="9"/>
  <c r="I769" i="9"/>
  <c r="H769" i="9"/>
  <c r="P768" i="9"/>
  <c r="L768" i="9"/>
  <c r="K768" i="9"/>
  <c r="J768" i="9"/>
  <c r="I768" i="9"/>
  <c r="H768" i="9"/>
  <c r="P767" i="9"/>
  <c r="L767" i="9"/>
  <c r="K767" i="9"/>
  <c r="J767" i="9"/>
  <c r="I767" i="9"/>
  <c r="H767" i="9"/>
  <c r="P766" i="9"/>
  <c r="L766" i="9"/>
  <c r="K766" i="9"/>
  <c r="J766" i="9"/>
  <c r="I766" i="9"/>
  <c r="H766" i="9"/>
  <c r="P765" i="9"/>
  <c r="L765" i="9"/>
  <c r="K765" i="9"/>
  <c r="J765" i="9"/>
  <c r="I765" i="9"/>
  <c r="H765" i="9"/>
  <c r="P764" i="9"/>
  <c r="L764" i="9"/>
  <c r="K764" i="9"/>
  <c r="J764" i="9"/>
  <c r="I764" i="9"/>
  <c r="H764" i="9"/>
  <c r="P763" i="9"/>
  <c r="L763" i="9"/>
  <c r="K763" i="9"/>
  <c r="J763" i="9"/>
  <c r="I763" i="9"/>
  <c r="H763" i="9"/>
  <c r="P762" i="9"/>
  <c r="L762" i="9"/>
  <c r="K762" i="9"/>
  <c r="J762" i="9"/>
  <c r="I762" i="9"/>
  <c r="H762" i="9"/>
  <c r="P761" i="9"/>
  <c r="L761" i="9"/>
  <c r="K761" i="9"/>
  <c r="J761" i="9"/>
  <c r="I761" i="9"/>
  <c r="H761" i="9"/>
  <c r="P760" i="9"/>
  <c r="L760" i="9"/>
  <c r="K760" i="9"/>
  <c r="J760" i="9"/>
  <c r="I760" i="9"/>
  <c r="H760" i="9"/>
  <c r="P759" i="9"/>
  <c r="L759" i="9"/>
  <c r="K759" i="9"/>
  <c r="J759" i="9"/>
  <c r="I759" i="9"/>
  <c r="H759" i="9"/>
  <c r="P758" i="9"/>
  <c r="L758" i="9"/>
  <c r="K758" i="9"/>
  <c r="J758" i="9"/>
  <c r="I758" i="9"/>
  <c r="H758" i="9"/>
  <c r="P757" i="9"/>
  <c r="L757" i="9"/>
  <c r="K757" i="9"/>
  <c r="J757" i="9"/>
  <c r="I757" i="9"/>
  <c r="H757" i="9"/>
  <c r="P756" i="9"/>
  <c r="L756" i="9"/>
  <c r="K756" i="9"/>
  <c r="J756" i="9"/>
  <c r="I756" i="9"/>
  <c r="H756" i="9"/>
  <c r="P755" i="9"/>
  <c r="L755" i="9"/>
  <c r="K755" i="9"/>
  <c r="J755" i="9"/>
  <c r="I755" i="9"/>
  <c r="H755" i="9"/>
  <c r="P754" i="9"/>
  <c r="L754" i="9"/>
  <c r="K754" i="9"/>
  <c r="J754" i="9"/>
  <c r="I754" i="9"/>
  <c r="H754" i="9"/>
  <c r="P753" i="9"/>
  <c r="L753" i="9"/>
  <c r="K753" i="9"/>
  <c r="J753" i="9"/>
  <c r="I753" i="9"/>
  <c r="H753" i="9"/>
  <c r="P752" i="9"/>
  <c r="L752" i="9"/>
  <c r="K752" i="9"/>
  <c r="J752" i="9"/>
  <c r="I752" i="9"/>
  <c r="H752" i="9"/>
  <c r="P751" i="9"/>
  <c r="L751" i="9"/>
  <c r="K751" i="9"/>
  <c r="J751" i="9"/>
  <c r="I751" i="9"/>
  <c r="H751" i="9"/>
  <c r="P750" i="9"/>
  <c r="L750" i="9"/>
  <c r="K750" i="9"/>
  <c r="J750" i="9"/>
  <c r="I750" i="9"/>
  <c r="H750" i="9"/>
  <c r="P749" i="9"/>
  <c r="L749" i="9"/>
  <c r="K749" i="9"/>
  <c r="J749" i="9"/>
  <c r="I749" i="9"/>
  <c r="H749" i="9"/>
  <c r="P748" i="9"/>
  <c r="L748" i="9"/>
  <c r="K748" i="9"/>
  <c r="J748" i="9"/>
  <c r="I748" i="9"/>
  <c r="H748" i="9"/>
  <c r="P747" i="9"/>
  <c r="L747" i="9"/>
  <c r="K747" i="9"/>
  <c r="J747" i="9"/>
  <c r="I747" i="9"/>
  <c r="H747" i="9"/>
  <c r="P746" i="9"/>
  <c r="L746" i="9"/>
  <c r="K746" i="9"/>
  <c r="J746" i="9"/>
  <c r="I746" i="9"/>
  <c r="H746" i="9"/>
  <c r="P745" i="9"/>
  <c r="L745" i="9"/>
  <c r="K745" i="9"/>
  <c r="J745" i="9"/>
  <c r="I745" i="9"/>
  <c r="H745" i="9"/>
  <c r="P744" i="9"/>
  <c r="L744" i="9"/>
  <c r="K744" i="9"/>
  <c r="J744" i="9"/>
  <c r="I744" i="9"/>
  <c r="H744" i="9"/>
  <c r="P743" i="9"/>
  <c r="L743" i="9"/>
  <c r="K743" i="9"/>
  <c r="J743" i="9"/>
  <c r="I743" i="9"/>
  <c r="H743" i="9"/>
  <c r="P742" i="9"/>
  <c r="L742" i="9"/>
  <c r="K742" i="9"/>
  <c r="J742" i="9"/>
  <c r="I742" i="9"/>
  <c r="H742" i="9"/>
  <c r="P741" i="9"/>
  <c r="L741" i="9"/>
  <c r="K741" i="9"/>
  <c r="J741" i="9"/>
  <c r="I741" i="9"/>
  <c r="H741" i="9"/>
  <c r="P740" i="9"/>
  <c r="L740" i="9"/>
  <c r="K740" i="9"/>
  <c r="J740" i="9"/>
  <c r="I740" i="9"/>
  <c r="H740" i="9"/>
  <c r="P739" i="9"/>
  <c r="L739" i="9"/>
  <c r="K739" i="9"/>
  <c r="J739" i="9"/>
  <c r="I739" i="9"/>
  <c r="H739" i="9"/>
  <c r="P738" i="9"/>
  <c r="L738" i="9"/>
  <c r="K738" i="9"/>
  <c r="J738" i="9"/>
  <c r="I738" i="9"/>
  <c r="H738" i="9"/>
  <c r="P737" i="9"/>
  <c r="L737" i="9"/>
  <c r="K737" i="9"/>
  <c r="J737" i="9"/>
  <c r="I737" i="9"/>
  <c r="H737" i="9"/>
  <c r="P736" i="9"/>
  <c r="L736" i="9"/>
  <c r="K736" i="9"/>
  <c r="J736" i="9"/>
  <c r="I736" i="9"/>
  <c r="H736" i="9"/>
  <c r="P735" i="9"/>
  <c r="L735" i="9"/>
  <c r="K735" i="9"/>
  <c r="J735" i="9"/>
  <c r="I735" i="9"/>
  <c r="H735" i="9"/>
  <c r="P734" i="9"/>
  <c r="L734" i="9"/>
  <c r="K734" i="9"/>
  <c r="J734" i="9"/>
  <c r="I734" i="9"/>
  <c r="H734" i="9"/>
  <c r="P733" i="9"/>
  <c r="L733" i="9"/>
  <c r="K733" i="9"/>
  <c r="J733" i="9"/>
  <c r="I733" i="9"/>
  <c r="H733" i="9"/>
  <c r="P732" i="9"/>
  <c r="L732" i="9"/>
  <c r="K732" i="9"/>
  <c r="J732" i="9"/>
  <c r="I732" i="9"/>
  <c r="H732" i="9"/>
  <c r="P731" i="9"/>
  <c r="L731" i="9"/>
  <c r="K731" i="9"/>
  <c r="J731" i="9"/>
  <c r="I731" i="9"/>
  <c r="H731" i="9"/>
  <c r="P730" i="9"/>
  <c r="L730" i="9"/>
  <c r="K730" i="9"/>
  <c r="J730" i="9"/>
  <c r="I730" i="9"/>
  <c r="H730" i="9"/>
  <c r="P729" i="9"/>
  <c r="L729" i="9"/>
  <c r="K729" i="9"/>
  <c r="J729" i="9"/>
  <c r="I729" i="9"/>
  <c r="H729" i="9"/>
  <c r="P728" i="9"/>
  <c r="L728" i="9"/>
  <c r="K728" i="9"/>
  <c r="J728" i="9"/>
  <c r="I728" i="9"/>
  <c r="H728" i="9"/>
  <c r="P727" i="9"/>
  <c r="L727" i="9"/>
  <c r="K727" i="9"/>
  <c r="J727" i="9"/>
  <c r="I727" i="9"/>
  <c r="H727" i="9"/>
  <c r="P726" i="9"/>
  <c r="L726" i="9"/>
  <c r="K726" i="9"/>
  <c r="J726" i="9"/>
  <c r="I726" i="9"/>
  <c r="H726" i="9"/>
  <c r="P725" i="9"/>
  <c r="L725" i="9"/>
  <c r="K725" i="9"/>
  <c r="J725" i="9"/>
  <c r="I725" i="9"/>
  <c r="H725" i="9"/>
  <c r="P724" i="9"/>
  <c r="L724" i="9"/>
  <c r="K724" i="9"/>
  <c r="J724" i="9"/>
  <c r="I724" i="9"/>
  <c r="H724" i="9"/>
  <c r="P723" i="9"/>
  <c r="L723" i="9"/>
  <c r="K723" i="9"/>
  <c r="J723" i="9"/>
  <c r="I723" i="9"/>
  <c r="H723" i="9"/>
  <c r="P722" i="9"/>
  <c r="L722" i="9"/>
  <c r="K722" i="9"/>
  <c r="J722" i="9"/>
  <c r="I722" i="9"/>
  <c r="H722" i="9"/>
  <c r="P721" i="9"/>
  <c r="L721" i="9"/>
  <c r="K721" i="9"/>
  <c r="J721" i="9"/>
  <c r="I721" i="9"/>
  <c r="H721" i="9"/>
  <c r="P720" i="9"/>
  <c r="L720" i="9"/>
  <c r="K720" i="9"/>
  <c r="J720" i="9"/>
  <c r="I720" i="9"/>
  <c r="H720" i="9"/>
  <c r="P719" i="9"/>
  <c r="L719" i="9"/>
  <c r="K719" i="9"/>
  <c r="J719" i="9"/>
  <c r="I719" i="9"/>
  <c r="H719" i="9"/>
  <c r="P718" i="9"/>
  <c r="L718" i="9"/>
  <c r="K718" i="9"/>
  <c r="J718" i="9"/>
  <c r="I718" i="9"/>
  <c r="H718" i="9"/>
  <c r="P717" i="9"/>
  <c r="L717" i="9"/>
  <c r="K717" i="9"/>
  <c r="J717" i="9"/>
  <c r="I717" i="9"/>
  <c r="H717" i="9"/>
  <c r="P716" i="9"/>
  <c r="L716" i="9"/>
  <c r="K716" i="9"/>
  <c r="J716" i="9"/>
  <c r="I716" i="9"/>
  <c r="H716" i="9"/>
  <c r="P715" i="9"/>
  <c r="L715" i="9"/>
  <c r="K715" i="9"/>
  <c r="J715" i="9"/>
  <c r="I715" i="9"/>
  <c r="H715" i="9"/>
  <c r="P714" i="9"/>
  <c r="L714" i="9"/>
  <c r="K714" i="9"/>
  <c r="J714" i="9"/>
  <c r="I714" i="9"/>
  <c r="H714" i="9"/>
  <c r="P713" i="9"/>
  <c r="L713" i="9"/>
  <c r="K713" i="9"/>
  <c r="J713" i="9"/>
  <c r="I713" i="9"/>
  <c r="H713" i="9"/>
  <c r="P712" i="9"/>
  <c r="L712" i="9"/>
  <c r="K712" i="9"/>
  <c r="J712" i="9"/>
  <c r="I712" i="9"/>
  <c r="H712" i="9"/>
  <c r="P711" i="9"/>
  <c r="L711" i="9"/>
  <c r="K711" i="9"/>
  <c r="J711" i="9"/>
  <c r="I711" i="9"/>
  <c r="H711" i="9"/>
  <c r="P710" i="9"/>
  <c r="L710" i="9"/>
  <c r="K710" i="9"/>
  <c r="J710" i="9"/>
  <c r="I710" i="9"/>
  <c r="H710" i="9"/>
  <c r="P709" i="9"/>
  <c r="L709" i="9"/>
  <c r="K709" i="9"/>
  <c r="J709" i="9"/>
  <c r="I709" i="9"/>
  <c r="H709" i="9"/>
  <c r="P708" i="9"/>
  <c r="L708" i="9"/>
  <c r="K708" i="9"/>
  <c r="J708" i="9"/>
  <c r="I708" i="9"/>
  <c r="H708" i="9"/>
  <c r="P707" i="9"/>
  <c r="L707" i="9"/>
  <c r="K707" i="9"/>
  <c r="J707" i="9"/>
  <c r="I707" i="9"/>
  <c r="H707" i="9"/>
  <c r="P706" i="9"/>
  <c r="L706" i="9"/>
  <c r="K706" i="9"/>
  <c r="J706" i="9"/>
  <c r="I706" i="9"/>
  <c r="H706" i="9"/>
  <c r="P705" i="9"/>
  <c r="L705" i="9"/>
  <c r="K705" i="9"/>
  <c r="J705" i="9"/>
  <c r="I705" i="9"/>
  <c r="H705" i="9"/>
  <c r="P704" i="9"/>
  <c r="L704" i="9"/>
  <c r="K704" i="9"/>
  <c r="J704" i="9"/>
  <c r="I704" i="9"/>
  <c r="H704" i="9"/>
  <c r="P703" i="9"/>
  <c r="L703" i="9"/>
  <c r="K703" i="9"/>
  <c r="J703" i="9"/>
  <c r="I703" i="9"/>
  <c r="H703" i="9"/>
  <c r="P702" i="9"/>
  <c r="L702" i="9"/>
  <c r="K702" i="9"/>
  <c r="J702" i="9"/>
  <c r="I702" i="9"/>
  <c r="H702" i="9"/>
  <c r="P701" i="9"/>
  <c r="L701" i="9"/>
  <c r="K701" i="9"/>
  <c r="J701" i="9"/>
  <c r="I701" i="9"/>
  <c r="H701" i="9"/>
  <c r="P700" i="9"/>
  <c r="L700" i="9"/>
  <c r="K700" i="9"/>
  <c r="J700" i="9"/>
  <c r="I700" i="9"/>
  <c r="H700" i="9"/>
  <c r="P699" i="9"/>
  <c r="L699" i="9"/>
  <c r="K699" i="9"/>
  <c r="J699" i="9"/>
  <c r="I699" i="9"/>
  <c r="H699" i="9"/>
  <c r="P698" i="9"/>
  <c r="L698" i="9"/>
  <c r="K698" i="9"/>
  <c r="J698" i="9"/>
  <c r="I698" i="9"/>
  <c r="H698" i="9"/>
  <c r="P697" i="9"/>
  <c r="L697" i="9"/>
  <c r="K697" i="9"/>
  <c r="J697" i="9"/>
  <c r="I697" i="9"/>
  <c r="H697" i="9"/>
  <c r="P696" i="9"/>
  <c r="L696" i="9"/>
  <c r="K696" i="9"/>
  <c r="J696" i="9"/>
  <c r="I696" i="9"/>
  <c r="H696" i="9"/>
  <c r="P695" i="9"/>
  <c r="L695" i="9"/>
  <c r="K695" i="9"/>
  <c r="J695" i="9"/>
  <c r="I695" i="9"/>
  <c r="H695" i="9"/>
  <c r="P694" i="9"/>
  <c r="L694" i="9"/>
  <c r="K694" i="9"/>
  <c r="J694" i="9"/>
  <c r="I694" i="9"/>
  <c r="H694" i="9"/>
  <c r="P693" i="9"/>
  <c r="L693" i="9"/>
  <c r="K693" i="9"/>
  <c r="J693" i="9"/>
  <c r="I693" i="9"/>
  <c r="H693" i="9"/>
  <c r="P692" i="9"/>
  <c r="L692" i="9"/>
  <c r="K692" i="9"/>
  <c r="J692" i="9"/>
  <c r="I692" i="9"/>
  <c r="H692" i="9"/>
  <c r="P691" i="9"/>
  <c r="L691" i="9"/>
  <c r="K691" i="9"/>
  <c r="J691" i="9"/>
  <c r="I691" i="9"/>
  <c r="H691" i="9"/>
  <c r="P690" i="9"/>
  <c r="L690" i="9"/>
  <c r="K690" i="9"/>
  <c r="J690" i="9"/>
  <c r="I690" i="9"/>
  <c r="H690" i="9"/>
  <c r="P689" i="9"/>
  <c r="L689" i="9"/>
  <c r="K689" i="9"/>
  <c r="J689" i="9"/>
  <c r="I689" i="9"/>
  <c r="H689" i="9"/>
  <c r="P688" i="9"/>
  <c r="L688" i="9"/>
  <c r="K688" i="9"/>
  <c r="J688" i="9"/>
  <c r="I688" i="9"/>
  <c r="H688" i="9"/>
  <c r="P687" i="9"/>
  <c r="L687" i="9"/>
  <c r="K687" i="9"/>
  <c r="J687" i="9"/>
  <c r="I687" i="9"/>
  <c r="H687" i="9"/>
  <c r="P686" i="9"/>
  <c r="L686" i="9"/>
  <c r="K686" i="9"/>
  <c r="J686" i="9"/>
  <c r="I686" i="9"/>
  <c r="H686" i="9"/>
  <c r="P685" i="9"/>
  <c r="L685" i="9"/>
  <c r="K685" i="9"/>
  <c r="J685" i="9"/>
  <c r="I685" i="9"/>
  <c r="H685" i="9"/>
  <c r="P684" i="9"/>
  <c r="L684" i="9"/>
  <c r="K684" i="9"/>
  <c r="J684" i="9"/>
  <c r="I684" i="9"/>
  <c r="H684" i="9"/>
  <c r="P683" i="9"/>
  <c r="L683" i="9"/>
  <c r="K683" i="9"/>
  <c r="J683" i="9"/>
  <c r="I683" i="9"/>
  <c r="H683" i="9"/>
  <c r="P682" i="9"/>
  <c r="L682" i="9"/>
  <c r="K682" i="9"/>
  <c r="J682" i="9"/>
  <c r="I682" i="9"/>
  <c r="H682" i="9"/>
  <c r="P681" i="9"/>
  <c r="L681" i="9"/>
  <c r="K681" i="9"/>
  <c r="J681" i="9"/>
  <c r="I681" i="9"/>
  <c r="H681" i="9"/>
  <c r="P680" i="9"/>
  <c r="L680" i="9"/>
  <c r="K680" i="9"/>
  <c r="J680" i="9"/>
  <c r="I680" i="9"/>
  <c r="H680" i="9"/>
  <c r="P679" i="9"/>
  <c r="L679" i="9"/>
  <c r="K679" i="9"/>
  <c r="J679" i="9"/>
  <c r="I679" i="9"/>
  <c r="H679" i="9"/>
  <c r="P678" i="9"/>
  <c r="L678" i="9"/>
  <c r="K678" i="9"/>
  <c r="J678" i="9"/>
  <c r="I678" i="9"/>
  <c r="H678" i="9"/>
  <c r="P677" i="9"/>
  <c r="L677" i="9"/>
  <c r="K677" i="9"/>
  <c r="J677" i="9"/>
  <c r="I677" i="9"/>
  <c r="H677" i="9"/>
  <c r="P676" i="9"/>
  <c r="L676" i="9"/>
  <c r="K676" i="9"/>
  <c r="J676" i="9"/>
  <c r="I676" i="9"/>
  <c r="H676" i="9"/>
  <c r="P675" i="9"/>
  <c r="L675" i="9"/>
  <c r="K675" i="9"/>
  <c r="J675" i="9"/>
  <c r="I675" i="9"/>
  <c r="H675" i="9"/>
  <c r="P674" i="9"/>
  <c r="L674" i="9"/>
  <c r="K674" i="9"/>
  <c r="J674" i="9"/>
  <c r="I674" i="9"/>
  <c r="H674" i="9"/>
  <c r="P673" i="9"/>
  <c r="L673" i="9"/>
  <c r="K673" i="9"/>
  <c r="J673" i="9"/>
  <c r="I673" i="9"/>
  <c r="H673" i="9"/>
  <c r="P672" i="9"/>
  <c r="L672" i="9"/>
  <c r="K672" i="9"/>
  <c r="J672" i="9"/>
  <c r="I672" i="9"/>
  <c r="H672" i="9"/>
  <c r="P671" i="9"/>
  <c r="L671" i="9"/>
  <c r="K671" i="9"/>
  <c r="J671" i="9"/>
  <c r="I671" i="9"/>
  <c r="H671" i="9"/>
  <c r="P670" i="9"/>
  <c r="L670" i="9"/>
  <c r="K670" i="9"/>
  <c r="J670" i="9"/>
  <c r="I670" i="9"/>
  <c r="H670" i="9"/>
  <c r="P669" i="9"/>
  <c r="L669" i="9"/>
  <c r="K669" i="9"/>
  <c r="J669" i="9"/>
  <c r="I669" i="9"/>
  <c r="H669" i="9"/>
  <c r="P668" i="9"/>
  <c r="L668" i="9"/>
  <c r="K668" i="9"/>
  <c r="J668" i="9"/>
  <c r="I668" i="9"/>
  <c r="H668" i="9"/>
  <c r="P667" i="9"/>
  <c r="L667" i="9"/>
  <c r="K667" i="9"/>
  <c r="J667" i="9"/>
  <c r="I667" i="9"/>
  <c r="H667" i="9"/>
  <c r="P666" i="9"/>
  <c r="L666" i="9"/>
  <c r="K666" i="9"/>
  <c r="J666" i="9"/>
  <c r="I666" i="9"/>
  <c r="H666" i="9"/>
  <c r="P665" i="9"/>
  <c r="L665" i="9"/>
  <c r="K665" i="9"/>
  <c r="J665" i="9"/>
  <c r="I665" i="9"/>
  <c r="H665" i="9"/>
  <c r="P664" i="9"/>
  <c r="L664" i="9"/>
  <c r="K664" i="9"/>
  <c r="J664" i="9"/>
  <c r="I664" i="9"/>
  <c r="H664" i="9"/>
  <c r="P663" i="9"/>
  <c r="L663" i="9"/>
  <c r="K663" i="9"/>
  <c r="J663" i="9"/>
  <c r="I663" i="9"/>
  <c r="H663" i="9"/>
  <c r="P662" i="9"/>
  <c r="L662" i="9"/>
  <c r="K662" i="9"/>
  <c r="J662" i="9"/>
  <c r="I662" i="9"/>
  <c r="H662" i="9"/>
  <c r="P661" i="9"/>
  <c r="L661" i="9"/>
  <c r="K661" i="9"/>
  <c r="J661" i="9"/>
  <c r="I661" i="9"/>
  <c r="H661" i="9"/>
  <c r="P660" i="9"/>
  <c r="L660" i="9"/>
  <c r="K660" i="9"/>
  <c r="J660" i="9"/>
  <c r="I660" i="9"/>
  <c r="H660" i="9"/>
  <c r="P659" i="9"/>
  <c r="L659" i="9"/>
  <c r="K659" i="9"/>
  <c r="J659" i="9"/>
  <c r="I659" i="9"/>
  <c r="H659" i="9"/>
  <c r="P658" i="9"/>
  <c r="L658" i="9"/>
  <c r="K658" i="9"/>
  <c r="J658" i="9"/>
  <c r="I658" i="9"/>
  <c r="H658" i="9"/>
  <c r="P657" i="9"/>
  <c r="L657" i="9"/>
  <c r="K657" i="9"/>
  <c r="J657" i="9"/>
  <c r="I657" i="9"/>
  <c r="H657" i="9"/>
  <c r="P656" i="9"/>
  <c r="L656" i="9"/>
  <c r="K656" i="9"/>
  <c r="J656" i="9"/>
  <c r="I656" i="9"/>
  <c r="H656" i="9"/>
  <c r="P655" i="9"/>
  <c r="L655" i="9"/>
  <c r="K655" i="9"/>
  <c r="J655" i="9"/>
  <c r="I655" i="9"/>
  <c r="H655" i="9"/>
  <c r="P654" i="9"/>
  <c r="L654" i="9"/>
  <c r="K654" i="9"/>
  <c r="J654" i="9"/>
  <c r="I654" i="9"/>
  <c r="H654" i="9"/>
  <c r="P653" i="9"/>
  <c r="L653" i="9"/>
  <c r="K653" i="9"/>
  <c r="J653" i="9"/>
  <c r="I653" i="9"/>
  <c r="H653" i="9"/>
  <c r="P652" i="9"/>
  <c r="L652" i="9"/>
  <c r="K652" i="9"/>
  <c r="J652" i="9"/>
  <c r="I652" i="9"/>
  <c r="H652" i="9"/>
  <c r="P651" i="9"/>
  <c r="L651" i="9"/>
  <c r="K651" i="9"/>
  <c r="J651" i="9"/>
  <c r="I651" i="9"/>
  <c r="H651" i="9"/>
  <c r="P650" i="9"/>
  <c r="L650" i="9"/>
  <c r="K650" i="9"/>
  <c r="J650" i="9"/>
  <c r="I650" i="9"/>
  <c r="H650" i="9"/>
  <c r="P649" i="9"/>
  <c r="L649" i="9"/>
  <c r="K649" i="9"/>
  <c r="J649" i="9"/>
  <c r="I649" i="9"/>
  <c r="H649" i="9"/>
  <c r="P648" i="9"/>
  <c r="L648" i="9"/>
  <c r="K648" i="9"/>
  <c r="J648" i="9"/>
  <c r="I648" i="9"/>
  <c r="H648" i="9"/>
  <c r="P647" i="9"/>
  <c r="L647" i="9"/>
  <c r="K647" i="9"/>
  <c r="J647" i="9"/>
  <c r="I647" i="9"/>
  <c r="H647" i="9"/>
  <c r="P646" i="9"/>
  <c r="L646" i="9"/>
  <c r="K646" i="9"/>
  <c r="J646" i="9"/>
  <c r="I646" i="9"/>
  <c r="H646" i="9"/>
  <c r="P645" i="9"/>
  <c r="L645" i="9"/>
  <c r="K645" i="9"/>
  <c r="J645" i="9"/>
  <c r="I645" i="9"/>
  <c r="H645" i="9"/>
  <c r="P644" i="9"/>
  <c r="L644" i="9"/>
  <c r="K644" i="9"/>
  <c r="J644" i="9"/>
  <c r="I644" i="9"/>
  <c r="H644" i="9"/>
  <c r="P643" i="9"/>
  <c r="L643" i="9"/>
  <c r="K643" i="9"/>
  <c r="J643" i="9"/>
  <c r="I643" i="9"/>
  <c r="H643" i="9"/>
  <c r="P642" i="9"/>
  <c r="L642" i="9"/>
  <c r="K642" i="9"/>
  <c r="J642" i="9"/>
  <c r="I642" i="9"/>
  <c r="H642" i="9"/>
  <c r="P641" i="9"/>
  <c r="L641" i="9"/>
  <c r="K641" i="9"/>
  <c r="J641" i="9"/>
  <c r="I641" i="9"/>
  <c r="H641" i="9"/>
  <c r="P640" i="9"/>
  <c r="L640" i="9"/>
  <c r="K640" i="9"/>
  <c r="J640" i="9"/>
  <c r="I640" i="9"/>
  <c r="H640" i="9"/>
  <c r="P639" i="9"/>
  <c r="L639" i="9"/>
  <c r="K639" i="9"/>
  <c r="J639" i="9"/>
  <c r="I639" i="9"/>
  <c r="H639" i="9"/>
  <c r="P638" i="9"/>
  <c r="L638" i="9"/>
  <c r="K638" i="9"/>
  <c r="J638" i="9"/>
  <c r="I638" i="9"/>
  <c r="H638" i="9"/>
  <c r="P637" i="9"/>
  <c r="L637" i="9"/>
  <c r="K637" i="9"/>
  <c r="J637" i="9"/>
  <c r="I637" i="9"/>
  <c r="H637" i="9"/>
  <c r="P636" i="9"/>
  <c r="L636" i="9"/>
  <c r="K636" i="9"/>
  <c r="J636" i="9"/>
  <c r="I636" i="9"/>
  <c r="H636" i="9"/>
  <c r="P635" i="9"/>
  <c r="L635" i="9"/>
  <c r="K635" i="9"/>
  <c r="J635" i="9"/>
  <c r="I635" i="9"/>
  <c r="H635" i="9"/>
  <c r="P634" i="9"/>
  <c r="L634" i="9"/>
  <c r="K634" i="9"/>
  <c r="J634" i="9"/>
  <c r="I634" i="9"/>
  <c r="H634" i="9"/>
  <c r="P633" i="9"/>
  <c r="L633" i="9"/>
  <c r="K633" i="9"/>
  <c r="J633" i="9"/>
  <c r="I633" i="9"/>
  <c r="H633" i="9"/>
  <c r="P632" i="9"/>
  <c r="L632" i="9"/>
  <c r="K632" i="9"/>
  <c r="J632" i="9"/>
  <c r="I632" i="9"/>
  <c r="H632" i="9"/>
  <c r="P631" i="9"/>
  <c r="L631" i="9"/>
  <c r="K631" i="9"/>
  <c r="J631" i="9"/>
  <c r="I631" i="9"/>
  <c r="H631" i="9"/>
  <c r="P630" i="9"/>
  <c r="L630" i="9"/>
  <c r="K630" i="9"/>
  <c r="J630" i="9"/>
  <c r="I630" i="9"/>
  <c r="H630" i="9"/>
  <c r="P629" i="9"/>
  <c r="L629" i="9"/>
  <c r="K629" i="9"/>
  <c r="J629" i="9"/>
  <c r="I629" i="9"/>
  <c r="H629" i="9"/>
  <c r="P628" i="9"/>
  <c r="L628" i="9"/>
  <c r="K628" i="9"/>
  <c r="J628" i="9"/>
  <c r="I628" i="9"/>
  <c r="H628" i="9"/>
  <c r="P627" i="9"/>
  <c r="L627" i="9"/>
  <c r="K627" i="9"/>
  <c r="J627" i="9"/>
  <c r="I627" i="9"/>
  <c r="H627" i="9"/>
  <c r="P626" i="9"/>
  <c r="L626" i="9"/>
  <c r="K626" i="9"/>
  <c r="J626" i="9"/>
  <c r="I626" i="9"/>
  <c r="H626" i="9"/>
  <c r="P625" i="9"/>
  <c r="L625" i="9"/>
  <c r="K625" i="9"/>
  <c r="J625" i="9"/>
  <c r="I625" i="9"/>
  <c r="H625" i="9"/>
  <c r="P624" i="9"/>
  <c r="L624" i="9"/>
  <c r="K624" i="9"/>
  <c r="J624" i="9"/>
  <c r="I624" i="9"/>
  <c r="H624" i="9"/>
  <c r="P623" i="9"/>
  <c r="L623" i="9"/>
  <c r="K623" i="9"/>
  <c r="J623" i="9"/>
  <c r="I623" i="9"/>
  <c r="H623" i="9"/>
  <c r="P622" i="9"/>
  <c r="L622" i="9"/>
  <c r="K622" i="9"/>
  <c r="J622" i="9"/>
  <c r="I622" i="9"/>
  <c r="H622" i="9"/>
  <c r="P621" i="9"/>
  <c r="L621" i="9"/>
  <c r="K621" i="9"/>
  <c r="J621" i="9"/>
  <c r="I621" i="9"/>
  <c r="H621" i="9"/>
  <c r="P620" i="9"/>
  <c r="L620" i="9"/>
  <c r="K620" i="9"/>
  <c r="J620" i="9"/>
  <c r="I620" i="9"/>
  <c r="H620" i="9"/>
  <c r="P619" i="9"/>
  <c r="L619" i="9"/>
  <c r="K619" i="9"/>
  <c r="J619" i="9"/>
  <c r="I619" i="9"/>
  <c r="H619" i="9"/>
  <c r="P618" i="9"/>
  <c r="L618" i="9"/>
  <c r="K618" i="9"/>
  <c r="J618" i="9"/>
  <c r="I618" i="9"/>
  <c r="H618" i="9"/>
  <c r="P617" i="9"/>
  <c r="L617" i="9"/>
  <c r="K617" i="9"/>
  <c r="J617" i="9"/>
  <c r="I617" i="9"/>
  <c r="H617" i="9"/>
  <c r="P616" i="9"/>
  <c r="L616" i="9"/>
  <c r="K616" i="9"/>
  <c r="J616" i="9"/>
  <c r="I616" i="9"/>
  <c r="H616" i="9"/>
  <c r="P615" i="9"/>
  <c r="L615" i="9"/>
  <c r="K615" i="9"/>
  <c r="J615" i="9"/>
  <c r="I615" i="9"/>
  <c r="H615" i="9"/>
  <c r="P614" i="9"/>
  <c r="L614" i="9"/>
  <c r="K614" i="9"/>
  <c r="J614" i="9"/>
  <c r="I614" i="9"/>
  <c r="H614" i="9"/>
  <c r="P613" i="9"/>
  <c r="L613" i="9"/>
  <c r="K613" i="9"/>
  <c r="J613" i="9"/>
  <c r="I613" i="9"/>
  <c r="H613" i="9"/>
  <c r="P612" i="9"/>
  <c r="L612" i="9"/>
  <c r="K612" i="9"/>
  <c r="J612" i="9"/>
  <c r="I612" i="9"/>
  <c r="H612" i="9"/>
  <c r="P611" i="9"/>
  <c r="L611" i="9"/>
  <c r="K611" i="9"/>
  <c r="J611" i="9"/>
  <c r="I611" i="9"/>
  <c r="H611" i="9"/>
  <c r="P610" i="9"/>
  <c r="L610" i="9"/>
  <c r="K610" i="9"/>
  <c r="J610" i="9"/>
  <c r="I610" i="9"/>
  <c r="H610" i="9"/>
  <c r="P609" i="9"/>
  <c r="L609" i="9"/>
  <c r="K609" i="9"/>
  <c r="J609" i="9"/>
  <c r="I609" i="9"/>
  <c r="H609" i="9"/>
  <c r="P608" i="9"/>
  <c r="L608" i="9"/>
  <c r="K608" i="9"/>
  <c r="J608" i="9"/>
  <c r="I608" i="9"/>
  <c r="H608" i="9"/>
  <c r="P607" i="9"/>
  <c r="L607" i="9"/>
  <c r="K607" i="9"/>
  <c r="J607" i="9"/>
  <c r="I607" i="9"/>
  <c r="H607" i="9"/>
  <c r="P606" i="9"/>
  <c r="L606" i="9"/>
  <c r="K606" i="9"/>
  <c r="J606" i="9"/>
  <c r="I606" i="9"/>
  <c r="H606" i="9"/>
  <c r="P605" i="9"/>
  <c r="L605" i="9"/>
  <c r="K605" i="9"/>
  <c r="J605" i="9"/>
  <c r="I605" i="9"/>
  <c r="H605" i="9"/>
  <c r="P604" i="9"/>
  <c r="L604" i="9"/>
  <c r="K604" i="9"/>
  <c r="J604" i="9"/>
  <c r="I604" i="9"/>
  <c r="H604" i="9"/>
  <c r="P603" i="9"/>
  <c r="L603" i="9"/>
  <c r="K603" i="9"/>
  <c r="J603" i="9"/>
  <c r="I603" i="9"/>
  <c r="H603" i="9"/>
  <c r="P602" i="9"/>
  <c r="L602" i="9"/>
  <c r="K602" i="9"/>
  <c r="J602" i="9"/>
  <c r="I602" i="9"/>
  <c r="H602" i="9"/>
  <c r="P601" i="9"/>
  <c r="L601" i="9"/>
  <c r="K601" i="9"/>
  <c r="J601" i="9"/>
  <c r="I601" i="9"/>
  <c r="H601" i="9"/>
  <c r="P600" i="9"/>
  <c r="L600" i="9"/>
  <c r="K600" i="9"/>
  <c r="J600" i="9"/>
  <c r="I600" i="9"/>
  <c r="H600" i="9"/>
  <c r="P599" i="9"/>
  <c r="L599" i="9"/>
  <c r="K599" i="9"/>
  <c r="J599" i="9"/>
  <c r="I599" i="9"/>
  <c r="H599" i="9"/>
  <c r="P598" i="9"/>
  <c r="L598" i="9"/>
  <c r="K598" i="9"/>
  <c r="J598" i="9"/>
  <c r="I598" i="9"/>
  <c r="H598" i="9"/>
  <c r="P597" i="9"/>
  <c r="L597" i="9"/>
  <c r="K597" i="9"/>
  <c r="J597" i="9"/>
  <c r="I597" i="9"/>
  <c r="H597" i="9"/>
  <c r="P596" i="9"/>
  <c r="L596" i="9"/>
  <c r="K596" i="9"/>
  <c r="J596" i="9"/>
  <c r="I596" i="9"/>
  <c r="H596" i="9"/>
  <c r="P595" i="9"/>
  <c r="L595" i="9"/>
  <c r="K595" i="9"/>
  <c r="J595" i="9"/>
  <c r="I595" i="9"/>
  <c r="H595" i="9"/>
  <c r="P594" i="9"/>
  <c r="L594" i="9"/>
  <c r="K594" i="9"/>
  <c r="J594" i="9"/>
  <c r="I594" i="9"/>
  <c r="H594" i="9"/>
  <c r="P593" i="9"/>
  <c r="L593" i="9"/>
  <c r="K593" i="9"/>
  <c r="J593" i="9"/>
  <c r="I593" i="9"/>
  <c r="H593" i="9"/>
  <c r="P592" i="9"/>
  <c r="L592" i="9"/>
  <c r="K592" i="9"/>
  <c r="J592" i="9"/>
  <c r="I592" i="9"/>
  <c r="H592" i="9"/>
  <c r="P591" i="9"/>
  <c r="L591" i="9"/>
  <c r="K591" i="9"/>
  <c r="J591" i="9"/>
  <c r="I591" i="9"/>
  <c r="H591" i="9"/>
  <c r="P590" i="9"/>
  <c r="L590" i="9"/>
  <c r="K590" i="9"/>
  <c r="J590" i="9"/>
  <c r="I590" i="9"/>
  <c r="H590" i="9"/>
  <c r="P589" i="9"/>
  <c r="L589" i="9"/>
  <c r="K589" i="9"/>
  <c r="J589" i="9"/>
  <c r="I589" i="9"/>
  <c r="H589" i="9"/>
  <c r="P588" i="9"/>
  <c r="L588" i="9"/>
  <c r="K588" i="9"/>
  <c r="J588" i="9"/>
  <c r="I588" i="9"/>
  <c r="H588" i="9"/>
  <c r="P587" i="9"/>
  <c r="L587" i="9"/>
  <c r="K587" i="9"/>
  <c r="J587" i="9"/>
  <c r="I587" i="9"/>
  <c r="H587" i="9"/>
  <c r="P586" i="9"/>
  <c r="L586" i="9"/>
  <c r="K586" i="9"/>
  <c r="J586" i="9"/>
  <c r="I586" i="9"/>
  <c r="H586" i="9"/>
  <c r="P585" i="9"/>
  <c r="L585" i="9"/>
  <c r="K585" i="9"/>
  <c r="J585" i="9"/>
  <c r="I585" i="9"/>
  <c r="H585" i="9"/>
  <c r="P584" i="9"/>
  <c r="L584" i="9"/>
  <c r="K584" i="9"/>
  <c r="J584" i="9"/>
  <c r="I584" i="9"/>
  <c r="H584" i="9"/>
  <c r="P583" i="9"/>
  <c r="L583" i="9"/>
  <c r="K583" i="9"/>
  <c r="J583" i="9"/>
  <c r="I583" i="9"/>
  <c r="H583" i="9"/>
  <c r="P582" i="9"/>
  <c r="L582" i="9"/>
  <c r="K582" i="9"/>
  <c r="J582" i="9"/>
  <c r="I582" i="9"/>
  <c r="H582" i="9"/>
  <c r="P581" i="9"/>
  <c r="L581" i="9"/>
  <c r="K581" i="9"/>
  <c r="J581" i="9"/>
  <c r="I581" i="9"/>
  <c r="H581" i="9"/>
  <c r="P580" i="9"/>
  <c r="L580" i="9"/>
  <c r="K580" i="9"/>
  <c r="J580" i="9"/>
  <c r="I580" i="9"/>
  <c r="H580" i="9"/>
  <c r="P579" i="9"/>
  <c r="L579" i="9"/>
  <c r="K579" i="9"/>
  <c r="J579" i="9"/>
  <c r="I579" i="9"/>
  <c r="H579" i="9"/>
  <c r="P578" i="9"/>
  <c r="L578" i="9"/>
  <c r="K578" i="9"/>
  <c r="J578" i="9"/>
  <c r="I578" i="9"/>
  <c r="H578" i="9"/>
  <c r="P577" i="9"/>
  <c r="L577" i="9"/>
  <c r="K577" i="9"/>
  <c r="J577" i="9"/>
  <c r="I577" i="9"/>
  <c r="H577" i="9"/>
  <c r="P576" i="9"/>
  <c r="L576" i="9"/>
  <c r="K576" i="9"/>
  <c r="J576" i="9"/>
  <c r="I576" i="9"/>
  <c r="H576" i="9"/>
  <c r="P575" i="9"/>
  <c r="L575" i="9"/>
  <c r="K575" i="9"/>
  <c r="J575" i="9"/>
  <c r="I575" i="9"/>
  <c r="H575" i="9"/>
  <c r="P574" i="9"/>
  <c r="L574" i="9"/>
  <c r="K574" i="9"/>
  <c r="J574" i="9"/>
  <c r="I574" i="9"/>
  <c r="H574" i="9"/>
  <c r="P573" i="9"/>
  <c r="L573" i="9"/>
  <c r="K573" i="9"/>
  <c r="J573" i="9"/>
  <c r="I573" i="9"/>
  <c r="H573" i="9"/>
  <c r="P572" i="9"/>
  <c r="L572" i="9"/>
  <c r="K572" i="9"/>
  <c r="J572" i="9"/>
  <c r="I572" i="9"/>
  <c r="H572" i="9"/>
  <c r="P571" i="9"/>
  <c r="L571" i="9"/>
  <c r="K571" i="9"/>
  <c r="J571" i="9"/>
  <c r="I571" i="9"/>
  <c r="H571" i="9"/>
  <c r="P570" i="9"/>
  <c r="L570" i="9"/>
  <c r="K570" i="9"/>
  <c r="J570" i="9"/>
  <c r="I570" i="9"/>
  <c r="H570" i="9"/>
  <c r="P569" i="9"/>
  <c r="L569" i="9"/>
  <c r="K569" i="9"/>
  <c r="J569" i="9"/>
  <c r="I569" i="9"/>
  <c r="H569" i="9"/>
  <c r="P568" i="9"/>
  <c r="L568" i="9"/>
  <c r="K568" i="9"/>
  <c r="J568" i="9"/>
  <c r="I568" i="9"/>
  <c r="H568" i="9"/>
  <c r="P567" i="9"/>
  <c r="L567" i="9"/>
  <c r="K567" i="9"/>
  <c r="J567" i="9"/>
  <c r="I567" i="9"/>
  <c r="H567" i="9"/>
  <c r="P566" i="9"/>
  <c r="L566" i="9"/>
  <c r="K566" i="9"/>
  <c r="J566" i="9"/>
  <c r="I566" i="9"/>
  <c r="H566" i="9"/>
  <c r="P565" i="9"/>
  <c r="L565" i="9"/>
  <c r="K565" i="9"/>
  <c r="J565" i="9"/>
  <c r="I565" i="9"/>
  <c r="H565" i="9"/>
  <c r="P564" i="9"/>
  <c r="L564" i="9"/>
  <c r="K564" i="9"/>
  <c r="J564" i="9"/>
  <c r="I564" i="9"/>
  <c r="H564" i="9"/>
  <c r="P563" i="9"/>
  <c r="L563" i="9"/>
  <c r="K563" i="9"/>
  <c r="J563" i="9"/>
  <c r="I563" i="9"/>
  <c r="H563" i="9"/>
  <c r="P562" i="9"/>
  <c r="L562" i="9"/>
  <c r="K562" i="9"/>
  <c r="J562" i="9"/>
  <c r="I562" i="9"/>
  <c r="H562" i="9"/>
  <c r="P561" i="9"/>
  <c r="L561" i="9"/>
  <c r="K561" i="9"/>
  <c r="J561" i="9"/>
  <c r="I561" i="9"/>
  <c r="H561" i="9"/>
  <c r="P560" i="9"/>
  <c r="L560" i="9"/>
  <c r="K560" i="9"/>
  <c r="J560" i="9"/>
  <c r="I560" i="9"/>
  <c r="H560" i="9"/>
  <c r="P559" i="9"/>
  <c r="L559" i="9"/>
  <c r="K559" i="9"/>
  <c r="J559" i="9"/>
  <c r="I559" i="9"/>
  <c r="H559" i="9"/>
  <c r="P558" i="9"/>
  <c r="L558" i="9"/>
  <c r="K558" i="9"/>
  <c r="J558" i="9"/>
  <c r="I558" i="9"/>
  <c r="H558" i="9"/>
  <c r="P557" i="9"/>
  <c r="L557" i="9"/>
  <c r="K557" i="9"/>
  <c r="J557" i="9"/>
  <c r="I557" i="9"/>
  <c r="H557" i="9"/>
  <c r="P556" i="9"/>
  <c r="L556" i="9"/>
  <c r="K556" i="9"/>
  <c r="J556" i="9"/>
  <c r="I556" i="9"/>
  <c r="H556" i="9"/>
  <c r="P555" i="9"/>
  <c r="L555" i="9"/>
  <c r="K555" i="9"/>
  <c r="J555" i="9"/>
  <c r="I555" i="9"/>
  <c r="H555" i="9"/>
  <c r="P554" i="9"/>
  <c r="L554" i="9"/>
  <c r="K554" i="9"/>
  <c r="J554" i="9"/>
  <c r="I554" i="9"/>
  <c r="H554" i="9"/>
  <c r="P553" i="9"/>
  <c r="L553" i="9"/>
  <c r="K553" i="9"/>
  <c r="J553" i="9"/>
  <c r="I553" i="9"/>
  <c r="H553" i="9"/>
  <c r="P552" i="9"/>
  <c r="L552" i="9"/>
  <c r="K552" i="9"/>
  <c r="J552" i="9"/>
  <c r="I552" i="9"/>
  <c r="H552" i="9"/>
  <c r="P551" i="9"/>
  <c r="L551" i="9"/>
  <c r="K551" i="9"/>
  <c r="J551" i="9"/>
  <c r="I551" i="9"/>
  <c r="H551" i="9"/>
  <c r="P550" i="9"/>
  <c r="L550" i="9"/>
  <c r="K550" i="9"/>
  <c r="J550" i="9"/>
  <c r="I550" i="9"/>
  <c r="H550" i="9"/>
  <c r="P549" i="9"/>
  <c r="L549" i="9"/>
  <c r="K549" i="9"/>
  <c r="J549" i="9"/>
  <c r="I549" i="9"/>
  <c r="H549" i="9"/>
  <c r="P548" i="9"/>
  <c r="L548" i="9"/>
  <c r="K548" i="9"/>
  <c r="J548" i="9"/>
  <c r="I548" i="9"/>
  <c r="H548" i="9"/>
  <c r="P547" i="9"/>
  <c r="L547" i="9"/>
  <c r="K547" i="9"/>
  <c r="J547" i="9"/>
  <c r="I547" i="9"/>
  <c r="H547" i="9"/>
  <c r="P546" i="9"/>
  <c r="L546" i="9"/>
  <c r="K546" i="9"/>
  <c r="J546" i="9"/>
  <c r="I546" i="9"/>
  <c r="H546" i="9"/>
  <c r="P545" i="9"/>
  <c r="L545" i="9"/>
  <c r="K545" i="9"/>
  <c r="J545" i="9"/>
  <c r="I545" i="9"/>
  <c r="H545" i="9"/>
  <c r="P544" i="9"/>
  <c r="L544" i="9"/>
  <c r="K544" i="9"/>
  <c r="J544" i="9"/>
  <c r="I544" i="9"/>
  <c r="H544" i="9"/>
  <c r="P543" i="9"/>
  <c r="L543" i="9"/>
  <c r="K543" i="9"/>
  <c r="J543" i="9"/>
  <c r="I543" i="9"/>
  <c r="H543" i="9"/>
  <c r="P542" i="9"/>
  <c r="L542" i="9"/>
  <c r="K542" i="9"/>
  <c r="J542" i="9"/>
  <c r="I542" i="9"/>
  <c r="H542" i="9"/>
  <c r="P541" i="9"/>
  <c r="L541" i="9"/>
  <c r="K541" i="9"/>
  <c r="J541" i="9"/>
  <c r="I541" i="9"/>
  <c r="H541" i="9"/>
  <c r="P540" i="9"/>
  <c r="L540" i="9"/>
  <c r="K540" i="9"/>
  <c r="J540" i="9"/>
  <c r="I540" i="9"/>
  <c r="H540" i="9"/>
  <c r="P539" i="9"/>
  <c r="L539" i="9"/>
  <c r="K539" i="9"/>
  <c r="J539" i="9"/>
  <c r="I539" i="9"/>
  <c r="H539" i="9"/>
  <c r="P538" i="9"/>
  <c r="L538" i="9"/>
  <c r="K538" i="9"/>
  <c r="J538" i="9"/>
  <c r="I538" i="9"/>
  <c r="H538" i="9"/>
  <c r="P537" i="9"/>
  <c r="L537" i="9"/>
  <c r="K537" i="9"/>
  <c r="J537" i="9"/>
  <c r="I537" i="9"/>
  <c r="H537" i="9"/>
  <c r="P536" i="9"/>
  <c r="L536" i="9"/>
  <c r="K536" i="9"/>
  <c r="J536" i="9"/>
  <c r="I536" i="9"/>
  <c r="H536" i="9"/>
  <c r="P535" i="9"/>
  <c r="L535" i="9"/>
  <c r="K535" i="9"/>
  <c r="J535" i="9"/>
  <c r="I535" i="9"/>
  <c r="H535" i="9"/>
  <c r="P534" i="9"/>
  <c r="L534" i="9"/>
  <c r="K534" i="9"/>
  <c r="J534" i="9"/>
  <c r="I534" i="9"/>
  <c r="H534" i="9"/>
  <c r="P533" i="9"/>
  <c r="L533" i="9"/>
  <c r="K533" i="9"/>
  <c r="J533" i="9"/>
  <c r="I533" i="9"/>
  <c r="H533" i="9"/>
  <c r="P532" i="9"/>
  <c r="L532" i="9"/>
  <c r="K532" i="9"/>
  <c r="J532" i="9"/>
  <c r="I532" i="9"/>
  <c r="H532" i="9"/>
  <c r="P531" i="9"/>
  <c r="L531" i="9"/>
  <c r="K531" i="9"/>
  <c r="J531" i="9"/>
  <c r="I531" i="9"/>
  <c r="H531" i="9"/>
  <c r="P530" i="9"/>
  <c r="L530" i="9"/>
  <c r="K530" i="9"/>
  <c r="J530" i="9"/>
  <c r="I530" i="9"/>
  <c r="H530" i="9"/>
  <c r="P529" i="9"/>
  <c r="L529" i="9"/>
  <c r="K529" i="9"/>
  <c r="J529" i="9"/>
  <c r="I529" i="9"/>
  <c r="H529" i="9"/>
  <c r="P528" i="9"/>
  <c r="L528" i="9"/>
  <c r="K528" i="9"/>
  <c r="J528" i="9"/>
  <c r="I528" i="9"/>
  <c r="H528" i="9"/>
  <c r="P527" i="9"/>
  <c r="L527" i="9"/>
  <c r="K527" i="9"/>
  <c r="J527" i="9"/>
  <c r="I527" i="9"/>
  <c r="H527" i="9"/>
  <c r="P526" i="9"/>
  <c r="L526" i="9"/>
  <c r="K526" i="9"/>
  <c r="J526" i="9"/>
  <c r="I526" i="9"/>
  <c r="H526" i="9"/>
  <c r="P525" i="9"/>
  <c r="L525" i="9"/>
  <c r="K525" i="9"/>
  <c r="J525" i="9"/>
  <c r="I525" i="9"/>
  <c r="H525" i="9"/>
  <c r="P524" i="9"/>
  <c r="L524" i="9"/>
  <c r="K524" i="9"/>
  <c r="J524" i="9"/>
  <c r="I524" i="9"/>
  <c r="H524" i="9"/>
  <c r="P523" i="9"/>
  <c r="L523" i="9"/>
  <c r="K523" i="9"/>
  <c r="J523" i="9"/>
  <c r="I523" i="9"/>
  <c r="H523" i="9"/>
  <c r="P522" i="9"/>
  <c r="L522" i="9"/>
  <c r="K522" i="9"/>
  <c r="J522" i="9"/>
  <c r="I522" i="9"/>
  <c r="H522" i="9"/>
  <c r="P521" i="9"/>
  <c r="L521" i="9"/>
  <c r="K521" i="9"/>
  <c r="J521" i="9"/>
  <c r="I521" i="9"/>
  <c r="H521" i="9"/>
  <c r="P520" i="9"/>
  <c r="L520" i="9"/>
  <c r="K520" i="9"/>
  <c r="J520" i="9"/>
  <c r="I520" i="9"/>
  <c r="H520" i="9"/>
  <c r="P519" i="9"/>
  <c r="L519" i="9"/>
  <c r="K519" i="9"/>
  <c r="J519" i="9"/>
  <c r="I519" i="9"/>
  <c r="H519" i="9"/>
  <c r="P518" i="9"/>
  <c r="L518" i="9"/>
  <c r="K518" i="9"/>
  <c r="J518" i="9"/>
  <c r="I518" i="9"/>
  <c r="H518" i="9"/>
  <c r="P517" i="9"/>
  <c r="L517" i="9"/>
  <c r="K517" i="9"/>
  <c r="J517" i="9"/>
  <c r="I517" i="9"/>
  <c r="H517" i="9"/>
  <c r="P516" i="9"/>
  <c r="L516" i="9"/>
  <c r="K516" i="9"/>
  <c r="J516" i="9"/>
  <c r="I516" i="9"/>
  <c r="H516" i="9"/>
  <c r="P515" i="9"/>
  <c r="L515" i="9"/>
  <c r="K515" i="9"/>
  <c r="J515" i="9"/>
  <c r="I515" i="9"/>
  <c r="H515" i="9"/>
  <c r="P514" i="9"/>
  <c r="L514" i="9"/>
  <c r="K514" i="9"/>
  <c r="J514" i="9"/>
  <c r="I514" i="9"/>
  <c r="H514" i="9"/>
  <c r="P513" i="9"/>
  <c r="L513" i="9"/>
  <c r="K513" i="9"/>
  <c r="J513" i="9"/>
  <c r="I513" i="9"/>
  <c r="H513" i="9"/>
  <c r="P512" i="9"/>
  <c r="L512" i="9"/>
  <c r="K512" i="9"/>
  <c r="J512" i="9"/>
  <c r="I512" i="9"/>
  <c r="H512" i="9"/>
  <c r="P511" i="9"/>
  <c r="L511" i="9"/>
  <c r="K511" i="9"/>
  <c r="J511" i="9"/>
  <c r="I511" i="9"/>
  <c r="H511" i="9"/>
  <c r="P510" i="9"/>
  <c r="L510" i="9"/>
  <c r="K510" i="9"/>
  <c r="J510" i="9"/>
  <c r="I510" i="9"/>
  <c r="H510" i="9"/>
  <c r="P509" i="9"/>
  <c r="L509" i="9"/>
  <c r="K509" i="9"/>
  <c r="J509" i="9"/>
  <c r="I509" i="9"/>
  <c r="H509" i="9"/>
  <c r="P508" i="9"/>
  <c r="L508" i="9"/>
  <c r="K508" i="9"/>
  <c r="J508" i="9"/>
  <c r="I508" i="9"/>
  <c r="H508" i="9"/>
  <c r="P507" i="9"/>
  <c r="L507" i="9"/>
  <c r="K507" i="9"/>
  <c r="J507" i="9"/>
  <c r="I507" i="9"/>
  <c r="H507" i="9"/>
  <c r="P506" i="9"/>
  <c r="L506" i="9"/>
  <c r="K506" i="9"/>
  <c r="J506" i="9"/>
  <c r="I506" i="9"/>
  <c r="H506" i="9"/>
  <c r="P505" i="9"/>
  <c r="L505" i="9"/>
  <c r="K505" i="9"/>
  <c r="J505" i="9"/>
  <c r="I505" i="9"/>
  <c r="H505" i="9"/>
  <c r="P504" i="9"/>
  <c r="L504" i="9"/>
  <c r="K504" i="9"/>
  <c r="J504" i="9"/>
  <c r="I504" i="9"/>
  <c r="H504" i="9"/>
  <c r="P503" i="9"/>
  <c r="L503" i="9"/>
  <c r="K503" i="9"/>
  <c r="J503" i="9"/>
  <c r="I503" i="9"/>
  <c r="H503" i="9"/>
  <c r="P502" i="9"/>
  <c r="L502" i="9"/>
  <c r="K502" i="9"/>
  <c r="J502" i="9"/>
  <c r="I502" i="9"/>
  <c r="H502" i="9"/>
  <c r="P501" i="9"/>
  <c r="L501" i="9"/>
  <c r="K501" i="9"/>
  <c r="J501" i="9"/>
  <c r="I501" i="9"/>
  <c r="H501" i="9"/>
  <c r="P500" i="9"/>
  <c r="L500" i="9"/>
  <c r="K500" i="9"/>
  <c r="J500" i="9"/>
  <c r="I500" i="9"/>
  <c r="H500" i="9"/>
  <c r="P499" i="9"/>
  <c r="L499" i="9"/>
  <c r="K499" i="9"/>
  <c r="J499" i="9"/>
  <c r="I499" i="9"/>
  <c r="H499" i="9"/>
  <c r="P498" i="9"/>
  <c r="L498" i="9"/>
  <c r="K498" i="9"/>
  <c r="J498" i="9"/>
  <c r="I498" i="9"/>
  <c r="H498" i="9"/>
  <c r="P497" i="9"/>
  <c r="L497" i="9"/>
  <c r="K497" i="9"/>
  <c r="J497" i="9"/>
  <c r="I497" i="9"/>
  <c r="H497" i="9"/>
  <c r="P496" i="9"/>
  <c r="L496" i="9"/>
  <c r="K496" i="9"/>
  <c r="J496" i="9"/>
  <c r="I496" i="9"/>
  <c r="H496" i="9"/>
  <c r="P495" i="9"/>
  <c r="L495" i="9"/>
  <c r="K495" i="9"/>
  <c r="J495" i="9"/>
  <c r="I495" i="9"/>
  <c r="H495" i="9"/>
  <c r="P494" i="9"/>
  <c r="L494" i="9"/>
  <c r="K494" i="9"/>
  <c r="J494" i="9"/>
  <c r="I494" i="9"/>
  <c r="H494" i="9"/>
  <c r="P493" i="9"/>
  <c r="L493" i="9"/>
  <c r="K493" i="9"/>
  <c r="J493" i="9"/>
  <c r="I493" i="9"/>
  <c r="H493" i="9"/>
  <c r="P492" i="9"/>
  <c r="L492" i="9"/>
  <c r="K492" i="9"/>
  <c r="J492" i="9"/>
  <c r="I492" i="9"/>
  <c r="H492" i="9"/>
  <c r="P491" i="9"/>
  <c r="L491" i="9"/>
  <c r="K491" i="9"/>
  <c r="J491" i="9"/>
  <c r="I491" i="9"/>
  <c r="H491" i="9"/>
  <c r="P490" i="9"/>
  <c r="L490" i="9"/>
  <c r="K490" i="9"/>
  <c r="J490" i="9"/>
  <c r="I490" i="9"/>
  <c r="H490" i="9"/>
  <c r="P489" i="9"/>
  <c r="L489" i="9"/>
  <c r="K489" i="9"/>
  <c r="J489" i="9"/>
  <c r="I489" i="9"/>
  <c r="H489" i="9"/>
  <c r="P488" i="9"/>
  <c r="L488" i="9"/>
  <c r="K488" i="9"/>
  <c r="J488" i="9"/>
  <c r="I488" i="9"/>
  <c r="H488" i="9"/>
  <c r="P487" i="9"/>
  <c r="L487" i="9"/>
  <c r="K487" i="9"/>
  <c r="J487" i="9"/>
  <c r="I487" i="9"/>
  <c r="H487" i="9"/>
  <c r="P486" i="9"/>
  <c r="L486" i="9"/>
  <c r="K486" i="9"/>
  <c r="J486" i="9"/>
  <c r="I486" i="9"/>
  <c r="H486" i="9"/>
  <c r="P485" i="9"/>
  <c r="L485" i="9"/>
  <c r="K485" i="9"/>
  <c r="J485" i="9"/>
  <c r="I485" i="9"/>
  <c r="H485" i="9"/>
  <c r="P484" i="9"/>
  <c r="L484" i="9"/>
  <c r="K484" i="9"/>
  <c r="J484" i="9"/>
  <c r="I484" i="9"/>
  <c r="H484" i="9"/>
  <c r="P483" i="9"/>
  <c r="L483" i="9"/>
  <c r="K483" i="9"/>
  <c r="J483" i="9"/>
  <c r="I483" i="9"/>
  <c r="H483" i="9"/>
  <c r="P482" i="9"/>
  <c r="L482" i="9"/>
  <c r="K482" i="9"/>
  <c r="J482" i="9"/>
  <c r="I482" i="9"/>
  <c r="H482" i="9"/>
  <c r="P481" i="9"/>
  <c r="L481" i="9"/>
  <c r="K481" i="9"/>
  <c r="J481" i="9"/>
  <c r="I481" i="9"/>
  <c r="H481" i="9"/>
  <c r="P480" i="9"/>
  <c r="L480" i="9"/>
  <c r="K480" i="9"/>
  <c r="J480" i="9"/>
  <c r="I480" i="9"/>
  <c r="H480" i="9"/>
  <c r="P479" i="9"/>
  <c r="L479" i="9"/>
  <c r="K479" i="9"/>
  <c r="J479" i="9"/>
  <c r="I479" i="9"/>
  <c r="H479" i="9"/>
  <c r="P478" i="9"/>
  <c r="L478" i="9"/>
  <c r="K478" i="9"/>
  <c r="J478" i="9"/>
  <c r="I478" i="9"/>
  <c r="H478" i="9"/>
  <c r="P477" i="9"/>
  <c r="L477" i="9"/>
  <c r="K477" i="9"/>
  <c r="J477" i="9"/>
  <c r="I477" i="9"/>
  <c r="H477" i="9"/>
  <c r="P476" i="9"/>
  <c r="L476" i="9"/>
  <c r="K476" i="9"/>
  <c r="J476" i="9"/>
  <c r="I476" i="9"/>
  <c r="H476" i="9"/>
  <c r="P475" i="9"/>
  <c r="L475" i="9"/>
  <c r="K475" i="9"/>
  <c r="J475" i="9"/>
  <c r="I475" i="9"/>
  <c r="H475" i="9"/>
  <c r="P474" i="9"/>
  <c r="L474" i="9"/>
  <c r="K474" i="9"/>
  <c r="J474" i="9"/>
  <c r="I474" i="9"/>
  <c r="H474" i="9"/>
  <c r="P473" i="9"/>
  <c r="L473" i="9"/>
  <c r="K473" i="9"/>
  <c r="J473" i="9"/>
  <c r="I473" i="9"/>
  <c r="H473" i="9"/>
  <c r="P472" i="9"/>
  <c r="L472" i="9"/>
  <c r="K472" i="9"/>
  <c r="J472" i="9"/>
  <c r="I472" i="9"/>
  <c r="H472" i="9"/>
  <c r="P471" i="9"/>
  <c r="L471" i="9"/>
  <c r="K471" i="9"/>
  <c r="J471" i="9"/>
  <c r="I471" i="9"/>
  <c r="H471" i="9"/>
  <c r="P470" i="9"/>
  <c r="L470" i="9"/>
  <c r="K470" i="9"/>
  <c r="J470" i="9"/>
  <c r="I470" i="9"/>
  <c r="H470" i="9"/>
  <c r="P469" i="9"/>
  <c r="L469" i="9"/>
  <c r="K469" i="9"/>
  <c r="J469" i="9"/>
  <c r="I469" i="9"/>
  <c r="H469" i="9"/>
  <c r="P468" i="9"/>
  <c r="L468" i="9"/>
  <c r="K468" i="9"/>
  <c r="J468" i="9"/>
  <c r="I468" i="9"/>
  <c r="H468" i="9"/>
  <c r="P467" i="9"/>
  <c r="L467" i="9"/>
  <c r="K467" i="9"/>
  <c r="J467" i="9"/>
  <c r="I467" i="9"/>
  <c r="H467" i="9"/>
  <c r="P466" i="9"/>
  <c r="L466" i="9"/>
  <c r="K466" i="9"/>
  <c r="J466" i="9"/>
  <c r="I466" i="9"/>
  <c r="H466" i="9"/>
  <c r="P465" i="9"/>
  <c r="L465" i="9"/>
  <c r="K465" i="9"/>
  <c r="J465" i="9"/>
  <c r="I465" i="9"/>
  <c r="H465" i="9"/>
  <c r="P464" i="9"/>
  <c r="L464" i="9"/>
  <c r="K464" i="9"/>
  <c r="J464" i="9"/>
  <c r="I464" i="9"/>
  <c r="H464" i="9"/>
  <c r="P463" i="9"/>
  <c r="L463" i="9"/>
  <c r="K463" i="9"/>
  <c r="J463" i="9"/>
  <c r="I463" i="9"/>
  <c r="H463" i="9"/>
  <c r="P462" i="9"/>
  <c r="L462" i="9"/>
  <c r="K462" i="9"/>
  <c r="J462" i="9"/>
  <c r="I462" i="9"/>
  <c r="H462" i="9"/>
  <c r="P461" i="9"/>
  <c r="L461" i="9"/>
  <c r="K461" i="9"/>
  <c r="J461" i="9"/>
  <c r="I461" i="9"/>
  <c r="H461" i="9"/>
  <c r="P460" i="9"/>
  <c r="L460" i="9"/>
  <c r="K460" i="9"/>
  <c r="J460" i="9"/>
  <c r="I460" i="9"/>
  <c r="H460" i="9"/>
  <c r="P459" i="9"/>
  <c r="L459" i="9"/>
  <c r="K459" i="9"/>
  <c r="J459" i="9"/>
  <c r="I459" i="9"/>
  <c r="H459" i="9"/>
  <c r="P458" i="9"/>
  <c r="L458" i="9"/>
  <c r="K458" i="9"/>
  <c r="J458" i="9"/>
  <c r="I458" i="9"/>
  <c r="H458" i="9"/>
  <c r="P457" i="9"/>
  <c r="L457" i="9"/>
  <c r="K457" i="9"/>
  <c r="J457" i="9"/>
  <c r="I457" i="9"/>
  <c r="H457" i="9"/>
  <c r="P456" i="9"/>
  <c r="L456" i="9"/>
  <c r="K456" i="9"/>
  <c r="J456" i="9"/>
  <c r="I456" i="9"/>
  <c r="H456" i="9"/>
  <c r="P455" i="9"/>
  <c r="L455" i="9"/>
  <c r="K455" i="9"/>
  <c r="J455" i="9"/>
  <c r="I455" i="9"/>
  <c r="H455" i="9"/>
  <c r="P454" i="9"/>
  <c r="L454" i="9"/>
  <c r="K454" i="9"/>
  <c r="J454" i="9"/>
  <c r="I454" i="9"/>
  <c r="H454" i="9"/>
  <c r="P453" i="9"/>
  <c r="L453" i="9"/>
  <c r="K453" i="9"/>
  <c r="J453" i="9"/>
  <c r="I453" i="9"/>
  <c r="H453" i="9"/>
  <c r="P452" i="9"/>
  <c r="L452" i="9"/>
  <c r="K452" i="9"/>
  <c r="J452" i="9"/>
  <c r="I452" i="9"/>
  <c r="H452" i="9"/>
  <c r="P451" i="9"/>
  <c r="L451" i="9"/>
  <c r="K451" i="9"/>
  <c r="J451" i="9"/>
  <c r="I451" i="9"/>
  <c r="H451" i="9"/>
  <c r="P450" i="9"/>
  <c r="L450" i="9"/>
  <c r="K450" i="9"/>
  <c r="J450" i="9"/>
  <c r="I450" i="9"/>
  <c r="H450" i="9"/>
  <c r="P449" i="9"/>
  <c r="L449" i="9"/>
  <c r="K449" i="9"/>
  <c r="J449" i="9"/>
  <c r="I449" i="9"/>
  <c r="H449" i="9"/>
  <c r="P448" i="9"/>
  <c r="L448" i="9"/>
  <c r="K448" i="9"/>
  <c r="J448" i="9"/>
  <c r="I448" i="9"/>
  <c r="H448" i="9"/>
  <c r="P447" i="9"/>
  <c r="L447" i="9"/>
  <c r="K447" i="9"/>
  <c r="J447" i="9"/>
  <c r="I447" i="9"/>
  <c r="H447" i="9"/>
  <c r="P446" i="9"/>
  <c r="L446" i="9"/>
  <c r="K446" i="9"/>
  <c r="J446" i="9"/>
  <c r="I446" i="9"/>
  <c r="H446" i="9"/>
  <c r="P445" i="9"/>
  <c r="L445" i="9"/>
  <c r="K445" i="9"/>
  <c r="J445" i="9"/>
  <c r="I445" i="9"/>
  <c r="H445" i="9"/>
  <c r="P444" i="9"/>
  <c r="L444" i="9"/>
  <c r="K444" i="9"/>
  <c r="J444" i="9"/>
  <c r="I444" i="9"/>
  <c r="H444" i="9"/>
  <c r="P443" i="9"/>
  <c r="L443" i="9"/>
  <c r="K443" i="9"/>
  <c r="J443" i="9"/>
  <c r="I443" i="9"/>
  <c r="H443" i="9"/>
  <c r="P442" i="9"/>
  <c r="L442" i="9"/>
  <c r="K442" i="9"/>
  <c r="J442" i="9"/>
  <c r="I442" i="9"/>
  <c r="H442" i="9"/>
  <c r="P441" i="9"/>
  <c r="L441" i="9"/>
  <c r="K441" i="9"/>
  <c r="J441" i="9"/>
  <c r="I441" i="9"/>
  <c r="H441" i="9"/>
  <c r="P440" i="9"/>
  <c r="L440" i="9"/>
  <c r="K440" i="9"/>
  <c r="J440" i="9"/>
  <c r="I440" i="9"/>
  <c r="H440" i="9"/>
  <c r="P439" i="9"/>
  <c r="L439" i="9"/>
  <c r="K439" i="9"/>
  <c r="J439" i="9"/>
  <c r="I439" i="9"/>
  <c r="H439" i="9"/>
  <c r="P438" i="9"/>
  <c r="L438" i="9"/>
  <c r="K438" i="9"/>
  <c r="J438" i="9"/>
  <c r="I438" i="9"/>
  <c r="H438" i="9"/>
  <c r="P437" i="9"/>
  <c r="L437" i="9"/>
  <c r="K437" i="9"/>
  <c r="J437" i="9"/>
  <c r="I437" i="9"/>
  <c r="H437" i="9"/>
  <c r="P436" i="9"/>
  <c r="L436" i="9"/>
  <c r="K436" i="9"/>
  <c r="J436" i="9"/>
  <c r="I436" i="9"/>
  <c r="H436" i="9"/>
  <c r="P435" i="9"/>
  <c r="L435" i="9"/>
  <c r="K435" i="9"/>
  <c r="J435" i="9"/>
  <c r="I435" i="9"/>
  <c r="H435" i="9"/>
  <c r="P434" i="9"/>
  <c r="L434" i="9"/>
  <c r="K434" i="9"/>
  <c r="J434" i="9"/>
  <c r="I434" i="9"/>
  <c r="H434" i="9"/>
  <c r="P433" i="9"/>
  <c r="L433" i="9"/>
  <c r="K433" i="9"/>
  <c r="J433" i="9"/>
  <c r="I433" i="9"/>
  <c r="H433" i="9"/>
  <c r="P432" i="9"/>
  <c r="L432" i="9"/>
  <c r="K432" i="9"/>
  <c r="J432" i="9"/>
  <c r="I432" i="9"/>
  <c r="H432" i="9"/>
  <c r="P431" i="9"/>
  <c r="L431" i="9"/>
  <c r="K431" i="9"/>
  <c r="J431" i="9"/>
  <c r="I431" i="9"/>
  <c r="H431" i="9"/>
  <c r="P430" i="9"/>
  <c r="L430" i="9"/>
  <c r="K430" i="9"/>
  <c r="J430" i="9"/>
  <c r="I430" i="9"/>
  <c r="H430" i="9"/>
  <c r="P429" i="9"/>
  <c r="L429" i="9"/>
  <c r="K429" i="9"/>
  <c r="J429" i="9"/>
  <c r="I429" i="9"/>
  <c r="H429" i="9"/>
  <c r="P428" i="9"/>
  <c r="L428" i="9"/>
  <c r="K428" i="9"/>
  <c r="J428" i="9"/>
  <c r="I428" i="9"/>
  <c r="H428" i="9"/>
  <c r="P427" i="9"/>
  <c r="L427" i="9"/>
  <c r="K427" i="9"/>
  <c r="J427" i="9"/>
  <c r="I427" i="9"/>
  <c r="H427" i="9"/>
  <c r="P426" i="9"/>
  <c r="L426" i="9"/>
  <c r="K426" i="9"/>
  <c r="J426" i="9"/>
  <c r="I426" i="9"/>
  <c r="H426" i="9"/>
  <c r="P425" i="9"/>
  <c r="L425" i="9"/>
  <c r="K425" i="9"/>
  <c r="J425" i="9"/>
  <c r="I425" i="9"/>
  <c r="H425" i="9"/>
  <c r="P424" i="9"/>
  <c r="L424" i="9"/>
  <c r="K424" i="9"/>
  <c r="J424" i="9"/>
  <c r="I424" i="9"/>
  <c r="H424" i="9"/>
  <c r="P423" i="9"/>
  <c r="L423" i="9"/>
  <c r="K423" i="9"/>
  <c r="J423" i="9"/>
  <c r="I423" i="9"/>
  <c r="H423" i="9"/>
  <c r="P422" i="9"/>
  <c r="L422" i="9"/>
  <c r="K422" i="9"/>
  <c r="J422" i="9"/>
  <c r="I422" i="9"/>
  <c r="H422" i="9"/>
  <c r="P421" i="9"/>
  <c r="L421" i="9"/>
  <c r="K421" i="9"/>
  <c r="J421" i="9"/>
  <c r="I421" i="9"/>
  <c r="H421" i="9"/>
  <c r="P420" i="9"/>
  <c r="L420" i="9"/>
  <c r="K420" i="9"/>
  <c r="J420" i="9"/>
  <c r="I420" i="9"/>
  <c r="H420" i="9"/>
  <c r="P419" i="9"/>
  <c r="L419" i="9"/>
  <c r="K419" i="9"/>
  <c r="J419" i="9"/>
  <c r="I419" i="9"/>
  <c r="H419" i="9"/>
  <c r="P418" i="9"/>
  <c r="L418" i="9"/>
  <c r="K418" i="9"/>
  <c r="J418" i="9"/>
  <c r="I418" i="9"/>
  <c r="H418" i="9"/>
  <c r="P417" i="9"/>
  <c r="L417" i="9"/>
  <c r="K417" i="9"/>
  <c r="J417" i="9"/>
  <c r="I417" i="9"/>
  <c r="H417" i="9"/>
  <c r="P416" i="9"/>
  <c r="L416" i="9"/>
  <c r="K416" i="9"/>
  <c r="J416" i="9"/>
  <c r="I416" i="9"/>
  <c r="H416" i="9"/>
  <c r="P415" i="9"/>
  <c r="L415" i="9"/>
  <c r="K415" i="9"/>
  <c r="J415" i="9"/>
  <c r="I415" i="9"/>
  <c r="H415" i="9"/>
  <c r="P414" i="9"/>
  <c r="L414" i="9"/>
  <c r="K414" i="9"/>
  <c r="J414" i="9"/>
  <c r="I414" i="9"/>
  <c r="H414" i="9"/>
  <c r="P413" i="9"/>
  <c r="L413" i="9"/>
  <c r="K413" i="9"/>
  <c r="J413" i="9"/>
  <c r="I413" i="9"/>
  <c r="H413" i="9"/>
  <c r="P412" i="9"/>
  <c r="L412" i="9"/>
  <c r="K412" i="9"/>
  <c r="J412" i="9"/>
  <c r="I412" i="9"/>
  <c r="H412" i="9"/>
  <c r="P411" i="9"/>
  <c r="L411" i="9"/>
  <c r="K411" i="9"/>
  <c r="J411" i="9"/>
  <c r="I411" i="9"/>
  <c r="H411" i="9"/>
  <c r="P410" i="9"/>
  <c r="L410" i="9"/>
  <c r="K410" i="9"/>
  <c r="J410" i="9"/>
  <c r="I410" i="9"/>
  <c r="H410" i="9"/>
  <c r="P409" i="9"/>
  <c r="L409" i="9"/>
  <c r="K409" i="9"/>
  <c r="J409" i="9"/>
  <c r="I409" i="9"/>
  <c r="H409" i="9"/>
  <c r="P408" i="9"/>
  <c r="L408" i="9"/>
  <c r="K408" i="9"/>
  <c r="J408" i="9"/>
  <c r="I408" i="9"/>
  <c r="H408" i="9"/>
  <c r="P407" i="9"/>
  <c r="L407" i="9"/>
  <c r="K407" i="9"/>
  <c r="J407" i="9"/>
  <c r="I407" i="9"/>
  <c r="H407" i="9"/>
  <c r="P406" i="9"/>
  <c r="L406" i="9"/>
  <c r="K406" i="9"/>
  <c r="J406" i="9"/>
  <c r="I406" i="9"/>
  <c r="H406" i="9"/>
  <c r="P405" i="9"/>
  <c r="L405" i="9"/>
  <c r="K405" i="9"/>
  <c r="J405" i="9"/>
  <c r="I405" i="9"/>
  <c r="H405" i="9"/>
  <c r="P404" i="9"/>
  <c r="L404" i="9"/>
  <c r="K404" i="9"/>
  <c r="J404" i="9"/>
  <c r="I404" i="9"/>
  <c r="H404" i="9"/>
  <c r="P403" i="9"/>
  <c r="L403" i="9"/>
  <c r="K403" i="9"/>
  <c r="J403" i="9"/>
  <c r="I403" i="9"/>
  <c r="H403" i="9"/>
  <c r="P402" i="9"/>
  <c r="L402" i="9"/>
  <c r="K402" i="9"/>
  <c r="J402" i="9"/>
  <c r="I402" i="9"/>
  <c r="H402" i="9"/>
  <c r="P401" i="9"/>
  <c r="L401" i="9"/>
  <c r="K401" i="9"/>
  <c r="J401" i="9"/>
  <c r="I401" i="9"/>
  <c r="H401" i="9"/>
  <c r="P400" i="9"/>
  <c r="L400" i="9"/>
  <c r="K400" i="9"/>
  <c r="J400" i="9"/>
  <c r="I400" i="9"/>
  <c r="H400" i="9"/>
  <c r="P399" i="9"/>
  <c r="L399" i="9"/>
  <c r="K399" i="9"/>
  <c r="J399" i="9"/>
  <c r="I399" i="9"/>
  <c r="H399" i="9"/>
  <c r="P398" i="9"/>
  <c r="L398" i="9"/>
  <c r="K398" i="9"/>
  <c r="J398" i="9"/>
  <c r="I398" i="9"/>
  <c r="H398" i="9"/>
  <c r="P397" i="9"/>
  <c r="L397" i="9"/>
  <c r="K397" i="9"/>
  <c r="J397" i="9"/>
  <c r="I397" i="9"/>
  <c r="H397" i="9"/>
  <c r="P396" i="9"/>
  <c r="L396" i="9"/>
  <c r="K396" i="9"/>
  <c r="J396" i="9"/>
  <c r="I396" i="9"/>
  <c r="H396" i="9"/>
  <c r="P395" i="9"/>
  <c r="L395" i="9"/>
  <c r="K395" i="9"/>
  <c r="J395" i="9"/>
  <c r="I395" i="9"/>
  <c r="H395" i="9"/>
  <c r="P394" i="9"/>
  <c r="L394" i="9"/>
  <c r="K394" i="9"/>
  <c r="J394" i="9"/>
  <c r="I394" i="9"/>
  <c r="H394" i="9"/>
  <c r="P393" i="9"/>
  <c r="L393" i="9"/>
  <c r="K393" i="9"/>
  <c r="J393" i="9"/>
  <c r="I393" i="9"/>
  <c r="H393" i="9"/>
  <c r="P392" i="9"/>
  <c r="L392" i="9"/>
  <c r="K392" i="9"/>
  <c r="J392" i="9"/>
  <c r="I392" i="9"/>
  <c r="H392" i="9"/>
  <c r="P391" i="9"/>
  <c r="L391" i="9"/>
  <c r="K391" i="9"/>
  <c r="J391" i="9"/>
  <c r="I391" i="9"/>
  <c r="H391" i="9"/>
  <c r="P390" i="9"/>
  <c r="L390" i="9"/>
  <c r="K390" i="9"/>
  <c r="J390" i="9"/>
  <c r="I390" i="9"/>
  <c r="H390" i="9"/>
  <c r="P389" i="9"/>
  <c r="L389" i="9"/>
  <c r="K389" i="9"/>
  <c r="J389" i="9"/>
  <c r="I389" i="9"/>
  <c r="H389" i="9"/>
  <c r="P388" i="9"/>
  <c r="L388" i="9"/>
  <c r="K388" i="9"/>
  <c r="J388" i="9"/>
  <c r="I388" i="9"/>
  <c r="H388" i="9"/>
  <c r="P387" i="9"/>
  <c r="L387" i="9"/>
  <c r="K387" i="9"/>
  <c r="J387" i="9"/>
  <c r="I387" i="9"/>
  <c r="H387" i="9"/>
  <c r="P386" i="9"/>
  <c r="L386" i="9"/>
  <c r="K386" i="9"/>
  <c r="J386" i="9"/>
  <c r="I386" i="9"/>
  <c r="H386" i="9"/>
  <c r="P385" i="9"/>
  <c r="L385" i="9"/>
  <c r="K385" i="9"/>
  <c r="J385" i="9"/>
  <c r="I385" i="9"/>
  <c r="H385" i="9"/>
  <c r="P384" i="9"/>
  <c r="L384" i="9"/>
  <c r="K384" i="9"/>
  <c r="J384" i="9"/>
  <c r="I384" i="9"/>
  <c r="H384" i="9"/>
  <c r="P383" i="9"/>
  <c r="L383" i="9"/>
  <c r="K383" i="9"/>
  <c r="J383" i="9"/>
  <c r="I383" i="9"/>
  <c r="H383" i="9"/>
  <c r="P382" i="9"/>
  <c r="L382" i="9"/>
  <c r="K382" i="9"/>
  <c r="J382" i="9"/>
  <c r="I382" i="9"/>
  <c r="H382" i="9"/>
  <c r="P381" i="9"/>
  <c r="L381" i="9"/>
  <c r="K381" i="9"/>
  <c r="J381" i="9"/>
  <c r="I381" i="9"/>
  <c r="H381" i="9"/>
  <c r="P380" i="9"/>
  <c r="L380" i="9"/>
  <c r="K380" i="9"/>
  <c r="J380" i="9"/>
  <c r="I380" i="9"/>
  <c r="H380" i="9"/>
  <c r="P379" i="9"/>
  <c r="L379" i="9"/>
  <c r="K379" i="9"/>
  <c r="J379" i="9"/>
  <c r="I379" i="9"/>
  <c r="H379" i="9"/>
  <c r="P378" i="9"/>
  <c r="L378" i="9"/>
  <c r="K378" i="9"/>
  <c r="J378" i="9"/>
  <c r="I378" i="9"/>
  <c r="H378" i="9"/>
  <c r="P377" i="9"/>
  <c r="L377" i="9"/>
  <c r="K377" i="9"/>
  <c r="J377" i="9"/>
  <c r="I377" i="9"/>
  <c r="H377" i="9"/>
  <c r="P376" i="9"/>
  <c r="L376" i="9"/>
  <c r="K376" i="9"/>
  <c r="J376" i="9"/>
  <c r="I376" i="9"/>
  <c r="H376" i="9"/>
  <c r="P375" i="9"/>
  <c r="L375" i="9"/>
  <c r="K375" i="9"/>
  <c r="J375" i="9"/>
  <c r="I375" i="9"/>
  <c r="H375" i="9"/>
  <c r="P374" i="9"/>
  <c r="L374" i="9"/>
  <c r="K374" i="9"/>
  <c r="J374" i="9"/>
  <c r="I374" i="9"/>
  <c r="H374" i="9"/>
  <c r="P373" i="9"/>
  <c r="L373" i="9"/>
  <c r="K373" i="9"/>
  <c r="J373" i="9"/>
  <c r="I373" i="9"/>
  <c r="H373" i="9"/>
  <c r="P372" i="9"/>
  <c r="L372" i="9"/>
  <c r="K372" i="9"/>
  <c r="J372" i="9"/>
  <c r="I372" i="9"/>
  <c r="H372" i="9"/>
  <c r="P371" i="9"/>
  <c r="L371" i="9"/>
  <c r="K371" i="9"/>
  <c r="J371" i="9"/>
  <c r="I371" i="9"/>
  <c r="H371" i="9"/>
  <c r="P370" i="9"/>
  <c r="L370" i="9"/>
  <c r="K370" i="9"/>
  <c r="J370" i="9"/>
  <c r="I370" i="9"/>
  <c r="H370" i="9"/>
  <c r="P369" i="9"/>
  <c r="L369" i="9"/>
  <c r="K369" i="9"/>
  <c r="J369" i="9"/>
  <c r="I369" i="9"/>
  <c r="H369" i="9"/>
  <c r="P368" i="9"/>
  <c r="L368" i="9"/>
  <c r="K368" i="9"/>
  <c r="J368" i="9"/>
  <c r="I368" i="9"/>
  <c r="H368" i="9"/>
  <c r="P367" i="9"/>
  <c r="L367" i="9"/>
  <c r="K367" i="9"/>
  <c r="J367" i="9"/>
  <c r="I367" i="9"/>
  <c r="H367" i="9"/>
  <c r="P366" i="9"/>
  <c r="L366" i="9"/>
  <c r="K366" i="9"/>
  <c r="J366" i="9"/>
  <c r="I366" i="9"/>
  <c r="H366" i="9"/>
  <c r="P365" i="9"/>
  <c r="L365" i="9"/>
  <c r="K365" i="9"/>
  <c r="J365" i="9"/>
  <c r="I365" i="9"/>
  <c r="H365" i="9"/>
  <c r="P364" i="9"/>
  <c r="L364" i="9"/>
  <c r="K364" i="9"/>
  <c r="J364" i="9"/>
  <c r="I364" i="9"/>
  <c r="H364" i="9"/>
  <c r="P363" i="9"/>
  <c r="L363" i="9"/>
  <c r="K363" i="9"/>
  <c r="J363" i="9"/>
  <c r="I363" i="9"/>
  <c r="H363" i="9"/>
  <c r="P362" i="9"/>
  <c r="L362" i="9"/>
  <c r="K362" i="9"/>
  <c r="J362" i="9"/>
  <c r="I362" i="9"/>
  <c r="H362" i="9"/>
  <c r="P361" i="9"/>
  <c r="L361" i="9"/>
  <c r="K361" i="9"/>
  <c r="J361" i="9"/>
  <c r="I361" i="9"/>
  <c r="H361" i="9"/>
  <c r="P360" i="9"/>
  <c r="L360" i="9"/>
  <c r="K360" i="9"/>
  <c r="J360" i="9"/>
  <c r="I360" i="9"/>
  <c r="H360" i="9"/>
  <c r="P359" i="9"/>
  <c r="L359" i="9"/>
  <c r="K359" i="9"/>
  <c r="J359" i="9"/>
  <c r="I359" i="9"/>
  <c r="H359" i="9"/>
  <c r="P358" i="9"/>
  <c r="L358" i="9"/>
  <c r="K358" i="9"/>
  <c r="J358" i="9"/>
  <c r="I358" i="9"/>
  <c r="H358" i="9"/>
  <c r="P357" i="9"/>
  <c r="L357" i="9"/>
  <c r="K357" i="9"/>
  <c r="J357" i="9"/>
  <c r="I357" i="9"/>
  <c r="H357" i="9"/>
  <c r="P356" i="9"/>
  <c r="L356" i="9"/>
  <c r="K356" i="9"/>
  <c r="J356" i="9"/>
  <c r="I356" i="9"/>
  <c r="H356" i="9"/>
  <c r="P355" i="9"/>
  <c r="L355" i="9"/>
  <c r="K355" i="9"/>
  <c r="J355" i="9"/>
  <c r="I355" i="9"/>
  <c r="H355" i="9"/>
  <c r="P354" i="9"/>
  <c r="L354" i="9"/>
  <c r="K354" i="9"/>
  <c r="J354" i="9"/>
  <c r="I354" i="9"/>
  <c r="H354" i="9"/>
  <c r="P353" i="9"/>
  <c r="L353" i="9"/>
  <c r="K353" i="9"/>
  <c r="J353" i="9"/>
  <c r="I353" i="9"/>
  <c r="H353" i="9"/>
  <c r="P352" i="9"/>
  <c r="L352" i="9"/>
  <c r="K352" i="9"/>
  <c r="J352" i="9"/>
  <c r="I352" i="9"/>
  <c r="H352" i="9"/>
  <c r="P351" i="9"/>
  <c r="L351" i="9"/>
  <c r="K351" i="9"/>
  <c r="J351" i="9"/>
  <c r="I351" i="9"/>
  <c r="H351" i="9"/>
  <c r="P350" i="9"/>
  <c r="L350" i="9"/>
  <c r="K350" i="9"/>
  <c r="J350" i="9"/>
  <c r="I350" i="9"/>
  <c r="H350" i="9"/>
  <c r="P349" i="9"/>
  <c r="L349" i="9"/>
  <c r="K349" i="9"/>
  <c r="J349" i="9"/>
  <c r="I349" i="9"/>
  <c r="H349" i="9"/>
  <c r="P348" i="9"/>
  <c r="L348" i="9"/>
  <c r="K348" i="9"/>
  <c r="J348" i="9"/>
  <c r="I348" i="9"/>
  <c r="H348" i="9"/>
  <c r="P347" i="9"/>
  <c r="L347" i="9"/>
  <c r="K347" i="9"/>
  <c r="J347" i="9"/>
  <c r="I347" i="9"/>
  <c r="H347" i="9"/>
  <c r="P346" i="9"/>
  <c r="L346" i="9"/>
  <c r="K346" i="9"/>
  <c r="J346" i="9"/>
  <c r="I346" i="9"/>
  <c r="H346" i="9"/>
  <c r="P345" i="9"/>
  <c r="L345" i="9"/>
  <c r="K345" i="9"/>
  <c r="J345" i="9"/>
  <c r="I345" i="9"/>
  <c r="H345" i="9"/>
  <c r="P344" i="9"/>
  <c r="L344" i="9"/>
  <c r="K344" i="9"/>
  <c r="J344" i="9"/>
  <c r="I344" i="9"/>
  <c r="H344" i="9"/>
  <c r="P343" i="9"/>
  <c r="L343" i="9"/>
  <c r="K343" i="9"/>
  <c r="J343" i="9"/>
  <c r="I343" i="9"/>
  <c r="H343" i="9"/>
  <c r="P342" i="9"/>
  <c r="L342" i="9"/>
  <c r="K342" i="9"/>
  <c r="J342" i="9"/>
  <c r="I342" i="9"/>
  <c r="H342" i="9"/>
  <c r="P341" i="9"/>
  <c r="L341" i="9"/>
  <c r="K341" i="9"/>
  <c r="J341" i="9"/>
  <c r="I341" i="9"/>
  <c r="H341" i="9"/>
  <c r="P340" i="9"/>
  <c r="L340" i="9"/>
  <c r="K340" i="9"/>
  <c r="J340" i="9"/>
  <c r="I340" i="9"/>
  <c r="H340" i="9"/>
  <c r="P339" i="9"/>
  <c r="L339" i="9"/>
  <c r="K339" i="9"/>
  <c r="J339" i="9"/>
  <c r="I339" i="9"/>
  <c r="H339" i="9"/>
  <c r="P338" i="9"/>
  <c r="L338" i="9"/>
  <c r="K338" i="9"/>
  <c r="J338" i="9"/>
  <c r="I338" i="9"/>
  <c r="H338" i="9"/>
  <c r="P337" i="9"/>
  <c r="L337" i="9"/>
  <c r="K337" i="9"/>
  <c r="J337" i="9"/>
  <c r="I337" i="9"/>
  <c r="H337" i="9"/>
  <c r="P336" i="9"/>
  <c r="L336" i="9"/>
  <c r="K336" i="9"/>
  <c r="J336" i="9"/>
  <c r="I336" i="9"/>
  <c r="H336" i="9"/>
  <c r="P335" i="9"/>
  <c r="L335" i="9"/>
  <c r="K335" i="9"/>
  <c r="J335" i="9"/>
  <c r="I335" i="9"/>
  <c r="H335" i="9"/>
  <c r="P334" i="9"/>
  <c r="L334" i="9"/>
  <c r="K334" i="9"/>
  <c r="J334" i="9"/>
  <c r="I334" i="9"/>
  <c r="H334" i="9"/>
  <c r="P333" i="9"/>
  <c r="L333" i="9"/>
  <c r="K333" i="9"/>
  <c r="J333" i="9"/>
  <c r="I333" i="9"/>
  <c r="H333" i="9"/>
  <c r="P332" i="9"/>
  <c r="L332" i="9"/>
  <c r="K332" i="9"/>
  <c r="J332" i="9"/>
  <c r="I332" i="9"/>
  <c r="H332" i="9"/>
  <c r="P331" i="9"/>
  <c r="L331" i="9"/>
  <c r="K331" i="9"/>
  <c r="J331" i="9"/>
  <c r="I331" i="9"/>
  <c r="H331" i="9"/>
  <c r="P330" i="9"/>
  <c r="L330" i="9"/>
  <c r="K330" i="9"/>
  <c r="J330" i="9"/>
  <c r="I330" i="9"/>
  <c r="H330" i="9"/>
  <c r="P329" i="9"/>
  <c r="L329" i="9"/>
  <c r="K329" i="9"/>
  <c r="J329" i="9"/>
  <c r="I329" i="9"/>
  <c r="H329" i="9"/>
  <c r="P328" i="9"/>
  <c r="L328" i="9"/>
  <c r="K328" i="9"/>
  <c r="J328" i="9"/>
  <c r="I328" i="9"/>
  <c r="H328" i="9"/>
  <c r="P327" i="9"/>
  <c r="L327" i="9"/>
  <c r="K327" i="9"/>
  <c r="J327" i="9"/>
  <c r="I327" i="9"/>
  <c r="H327" i="9"/>
  <c r="P326" i="9"/>
  <c r="L326" i="9"/>
  <c r="K326" i="9"/>
  <c r="J326" i="9"/>
  <c r="I326" i="9"/>
  <c r="H326" i="9"/>
  <c r="P325" i="9"/>
  <c r="L325" i="9"/>
  <c r="K325" i="9"/>
  <c r="J325" i="9"/>
  <c r="I325" i="9"/>
  <c r="H325" i="9"/>
  <c r="P324" i="9"/>
  <c r="L324" i="9"/>
  <c r="K324" i="9"/>
  <c r="J324" i="9"/>
  <c r="I324" i="9"/>
  <c r="H324" i="9"/>
  <c r="P323" i="9"/>
  <c r="L323" i="9"/>
  <c r="K323" i="9"/>
  <c r="J323" i="9"/>
  <c r="I323" i="9"/>
  <c r="H323" i="9"/>
  <c r="P322" i="9"/>
  <c r="L322" i="9"/>
  <c r="K322" i="9"/>
  <c r="J322" i="9"/>
  <c r="I322" i="9"/>
  <c r="H322" i="9"/>
  <c r="P321" i="9"/>
  <c r="L321" i="9"/>
  <c r="K321" i="9"/>
  <c r="J321" i="9"/>
  <c r="I321" i="9"/>
  <c r="H321" i="9"/>
  <c r="P320" i="9"/>
  <c r="L320" i="9"/>
  <c r="K320" i="9"/>
  <c r="J320" i="9"/>
  <c r="I320" i="9"/>
  <c r="H320" i="9"/>
  <c r="P319" i="9"/>
  <c r="L319" i="9"/>
  <c r="K319" i="9"/>
  <c r="J319" i="9"/>
  <c r="I319" i="9"/>
  <c r="H319" i="9"/>
  <c r="P318" i="9"/>
  <c r="L318" i="9"/>
  <c r="K318" i="9"/>
  <c r="J318" i="9"/>
  <c r="I318" i="9"/>
  <c r="H318" i="9"/>
  <c r="P317" i="9"/>
  <c r="L317" i="9"/>
  <c r="K317" i="9"/>
  <c r="J317" i="9"/>
  <c r="I317" i="9"/>
  <c r="H317" i="9"/>
  <c r="P316" i="9"/>
  <c r="L316" i="9"/>
  <c r="K316" i="9"/>
  <c r="J316" i="9"/>
  <c r="I316" i="9"/>
  <c r="H316" i="9"/>
  <c r="P315" i="9"/>
  <c r="L315" i="9"/>
  <c r="K315" i="9"/>
  <c r="J315" i="9"/>
  <c r="I315" i="9"/>
  <c r="H315" i="9"/>
  <c r="P314" i="9"/>
  <c r="L314" i="9"/>
  <c r="K314" i="9"/>
  <c r="J314" i="9"/>
  <c r="I314" i="9"/>
  <c r="H314" i="9"/>
  <c r="P313" i="9"/>
  <c r="L313" i="9"/>
  <c r="K313" i="9"/>
  <c r="J313" i="9"/>
  <c r="I313" i="9"/>
  <c r="H313" i="9"/>
  <c r="P312" i="9"/>
  <c r="L312" i="9"/>
  <c r="K312" i="9"/>
  <c r="J312" i="9"/>
  <c r="I312" i="9"/>
  <c r="H312" i="9"/>
  <c r="P311" i="9"/>
  <c r="L311" i="9"/>
  <c r="K311" i="9"/>
  <c r="J311" i="9"/>
  <c r="I311" i="9"/>
  <c r="H311" i="9"/>
  <c r="P310" i="9"/>
  <c r="L310" i="9"/>
  <c r="K310" i="9"/>
  <c r="J310" i="9"/>
  <c r="I310" i="9"/>
  <c r="H310" i="9"/>
  <c r="P309" i="9"/>
  <c r="L309" i="9"/>
  <c r="K309" i="9"/>
  <c r="J309" i="9"/>
  <c r="I309" i="9"/>
  <c r="H309" i="9"/>
  <c r="P308" i="9"/>
  <c r="L308" i="9"/>
  <c r="K308" i="9"/>
  <c r="J308" i="9"/>
  <c r="I308" i="9"/>
  <c r="H308" i="9"/>
  <c r="P307" i="9"/>
  <c r="L307" i="9"/>
  <c r="K307" i="9"/>
  <c r="J307" i="9"/>
  <c r="I307" i="9"/>
  <c r="H307" i="9"/>
  <c r="P306" i="9"/>
  <c r="L306" i="9"/>
  <c r="K306" i="9"/>
  <c r="J306" i="9"/>
  <c r="I306" i="9"/>
  <c r="H306" i="9"/>
  <c r="P305" i="9"/>
  <c r="L305" i="9"/>
  <c r="K305" i="9"/>
  <c r="J305" i="9"/>
  <c r="I305" i="9"/>
  <c r="H305" i="9"/>
  <c r="P304" i="9"/>
  <c r="L304" i="9"/>
  <c r="K304" i="9"/>
  <c r="J304" i="9"/>
  <c r="I304" i="9"/>
  <c r="H304" i="9"/>
  <c r="P303" i="9"/>
  <c r="L303" i="9"/>
  <c r="K303" i="9"/>
  <c r="J303" i="9"/>
  <c r="I303" i="9"/>
  <c r="H303" i="9"/>
  <c r="P302" i="9"/>
  <c r="L302" i="9"/>
  <c r="K302" i="9"/>
  <c r="J302" i="9"/>
  <c r="I302" i="9"/>
  <c r="H302" i="9"/>
  <c r="P301" i="9"/>
  <c r="L301" i="9"/>
  <c r="K301" i="9"/>
  <c r="J301" i="9"/>
  <c r="I301" i="9"/>
  <c r="H301" i="9"/>
  <c r="P300" i="9"/>
  <c r="L300" i="9"/>
  <c r="K300" i="9"/>
  <c r="J300" i="9"/>
  <c r="I300" i="9"/>
  <c r="H300" i="9"/>
  <c r="P299" i="9"/>
  <c r="L299" i="9"/>
  <c r="K299" i="9"/>
  <c r="J299" i="9"/>
  <c r="I299" i="9"/>
  <c r="H299" i="9"/>
  <c r="P298" i="9"/>
  <c r="L298" i="9"/>
  <c r="K298" i="9"/>
  <c r="J298" i="9"/>
  <c r="I298" i="9"/>
  <c r="H298" i="9"/>
  <c r="P297" i="9"/>
  <c r="L297" i="9"/>
  <c r="K297" i="9"/>
  <c r="J297" i="9"/>
  <c r="I297" i="9"/>
  <c r="H297" i="9"/>
  <c r="P296" i="9"/>
  <c r="L296" i="9"/>
  <c r="K296" i="9"/>
  <c r="J296" i="9"/>
  <c r="I296" i="9"/>
  <c r="H296" i="9"/>
  <c r="P295" i="9"/>
  <c r="L295" i="9"/>
  <c r="K295" i="9"/>
  <c r="J295" i="9"/>
  <c r="I295" i="9"/>
  <c r="H295" i="9"/>
  <c r="P294" i="9"/>
  <c r="L294" i="9"/>
  <c r="K294" i="9"/>
  <c r="J294" i="9"/>
  <c r="I294" i="9"/>
  <c r="H294" i="9"/>
  <c r="P293" i="9"/>
  <c r="L293" i="9"/>
  <c r="K293" i="9"/>
  <c r="J293" i="9"/>
  <c r="I293" i="9"/>
  <c r="H293" i="9"/>
  <c r="P292" i="9"/>
  <c r="L292" i="9"/>
  <c r="K292" i="9"/>
  <c r="J292" i="9"/>
  <c r="I292" i="9"/>
  <c r="H292" i="9"/>
  <c r="P291" i="9"/>
  <c r="L291" i="9"/>
  <c r="K291" i="9"/>
  <c r="J291" i="9"/>
  <c r="I291" i="9"/>
  <c r="H291" i="9"/>
  <c r="P290" i="9"/>
  <c r="L290" i="9"/>
  <c r="K290" i="9"/>
  <c r="J290" i="9"/>
  <c r="I290" i="9"/>
  <c r="H290" i="9"/>
  <c r="P289" i="9"/>
  <c r="L289" i="9"/>
  <c r="K289" i="9"/>
  <c r="J289" i="9"/>
  <c r="I289" i="9"/>
  <c r="H289" i="9"/>
  <c r="P288" i="9"/>
  <c r="L288" i="9"/>
  <c r="K288" i="9"/>
  <c r="J288" i="9"/>
  <c r="I288" i="9"/>
  <c r="H288" i="9"/>
  <c r="P287" i="9"/>
  <c r="L287" i="9"/>
  <c r="K287" i="9"/>
  <c r="J287" i="9"/>
  <c r="I287" i="9"/>
  <c r="H287" i="9"/>
  <c r="P286" i="9"/>
  <c r="L286" i="9"/>
  <c r="K286" i="9"/>
  <c r="J286" i="9"/>
  <c r="I286" i="9"/>
  <c r="H286" i="9"/>
  <c r="P285" i="9"/>
  <c r="L285" i="9"/>
  <c r="K285" i="9"/>
  <c r="J285" i="9"/>
  <c r="I285" i="9"/>
  <c r="H285" i="9"/>
  <c r="P284" i="9"/>
  <c r="L284" i="9"/>
  <c r="K284" i="9"/>
  <c r="J284" i="9"/>
  <c r="I284" i="9"/>
  <c r="H284" i="9"/>
  <c r="P283" i="9"/>
  <c r="L283" i="9"/>
  <c r="K283" i="9"/>
  <c r="J283" i="9"/>
  <c r="I283" i="9"/>
  <c r="H283" i="9"/>
  <c r="P282" i="9"/>
  <c r="L282" i="9"/>
  <c r="K282" i="9"/>
  <c r="J282" i="9"/>
  <c r="I282" i="9"/>
  <c r="H282" i="9"/>
  <c r="P281" i="9"/>
  <c r="L281" i="9"/>
  <c r="K281" i="9"/>
  <c r="J281" i="9"/>
  <c r="I281" i="9"/>
  <c r="H281" i="9"/>
  <c r="P280" i="9"/>
  <c r="L280" i="9"/>
  <c r="K280" i="9"/>
  <c r="J280" i="9"/>
  <c r="I280" i="9"/>
  <c r="H280" i="9"/>
  <c r="P279" i="9"/>
  <c r="L279" i="9"/>
  <c r="K279" i="9"/>
  <c r="J279" i="9"/>
  <c r="I279" i="9"/>
  <c r="H279" i="9"/>
  <c r="P278" i="9"/>
  <c r="L278" i="9"/>
  <c r="K278" i="9"/>
  <c r="J278" i="9"/>
  <c r="I278" i="9"/>
  <c r="H278" i="9"/>
  <c r="P277" i="9"/>
  <c r="L277" i="9"/>
  <c r="K277" i="9"/>
  <c r="J277" i="9"/>
  <c r="I277" i="9"/>
  <c r="H277" i="9"/>
  <c r="P276" i="9"/>
  <c r="L276" i="9"/>
  <c r="K276" i="9"/>
  <c r="J276" i="9"/>
  <c r="I276" i="9"/>
  <c r="H276" i="9"/>
  <c r="P275" i="9"/>
  <c r="L275" i="9"/>
  <c r="K275" i="9"/>
  <c r="J275" i="9"/>
  <c r="I275" i="9"/>
  <c r="H275" i="9"/>
  <c r="P274" i="9"/>
  <c r="L274" i="9"/>
  <c r="K274" i="9"/>
  <c r="J274" i="9"/>
  <c r="I274" i="9"/>
  <c r="H274" i="9"/>
  <c r="P273" i="9"/>
  <c r="L273" i="9"/>
  <c r="K273" i="9"/>
  <c r="J273" i="9"/>
  <c r="I273" i="9"/>
  <c r="H273" i="9"/>
  <c r="P272" i="9"/>
  <c r="L272" i="9"/>
  <c r="K272" i="9"/>
  <c r="J272" i="9"/>
  <c r="I272" i="9"/>
  <c r="H272" i="9"/>
  <c r="P271" i="9"/>
  <c r="L271" i="9"/>
  <c r="K271" i="9"/>
  <c r="J271" i="9"/>
  <c r="I271" i="9"/>
  <c r="H271" i="9"/>
  <c r="P270" i="9"/>
  <c r="L270" i="9"/>
  <c r="K270" i="9"/>
  <c r="J270" i="9"/>
  <c r="I270" i="9"/>
  <c r="H270" i="9"/>
  <c r="P269" i="9"/>
  <c r="L269" i="9"/>
  <c r="K269" i="9"/>
  <c r="J269" i="9"/>
  <c r="I269" i="9"/>
  <c r="H269" i="9"/>
  <c r="P268" i="9"/>
  <c r="L268" i="9"/>
  <c r="K268" i="9"/>
  <c r="J268" i="9"/>
  <c r="I268" i="9"/>
  <c r="H268" i="9"/>
  <c r="P267" i="9"/>
  <c r="L267" i="9"/>
  <c r="K267" i="9"/>
  <c r="J267" i="9"/>
  <c r="I267" i="9"/>
  <c r="H267" i="9"/>
  <c r="P266" i="9"/>
  <c r="L266" i="9"/>
  <c r="K266" i="9"/>
  <c r="J266" i="9"/>
  <c r="I266" i="9"/>
  <c r="H266" i="9"/>
  <c r="P265" i="9"/>
  <c r="L265" i="9"/>
  <c r="K265" i="9"/>
  <c r="J265" i="9"/>
  <c r="I265" i="9"/>
  <c r="H265" i="9"/>
  <c r="P264" i="9"/>
  <c r="L264" i="9"/>
  <c r="K264" i="9"/>
  <c r="J264" i="9"/>
  <c r="I264" i="9"/>
  <c r="H264" i="9"/>
  <c r="P263" i="9"/>
  <c r="L263" i="9"/>
  <c r="K263" i="9"/>
  <c r="J263" i="9"/>
  <c r="I263" i="9"/>
  <c r="H263" i="9"/>
  <c r="P262" i="9"/>
  <c r="L262" i="9"/>
  <c r="K262" i="9"/>
  <c r="J262" i="9"/>
  <c r="I262" i="9"/>
  <c r="H262" i="9"/>
  <c r="P261" i="9"/>
  <c r="L261" i="9"/>
  <c r="K261" i="9"/>
  <c r="J261" i="9"/>
  <c r="I261" i="9"/>
  <c r="H261" i="9"/>
  <c r="P260" i="9"/>
  <c r="L260" i="9"/>
  <c r="K260" i="9"/>
  <c r="J260" i="9"/>
  <c r="I260" i="9"/>
  <c r="H260" i="9"/>
  <c r="P259" i="9"/>
  <c r="L259" i="9"/>
  <c r="K259" i="9"/>
  <c r="J259" i="9"/>
  <c r="I259" i="9"/>
  <c r="H259" i="9"/>
  <c r="P258" i="9"/>
  <c r="L258" i="9"/>
  <c r="K258" i="9"/>
  <c r="J258" i="9"/>
  <c r="I258" i="9"/>
  <c r="H258" i="9"/>
  <c r="P257" i="9"/>
  <c r="L257" i="9"/>
  <c r="K257" i="9"/>
  <c r="J257" i="9"/>
  <c r="I257" i="9"/>
  <c r="H257" i="9"/>
  <c r="P256" i="9"/>
  <c r="L256" i="9"/>
  <c r="K256" i="9"/>
  <c r="J256" i="9"/>
  <c r="I256" i="9"/>
  <c r="H256" i="9"/>
  <c r="P255" i="9"/>
  <c r="L255" i="9"/>
  <c r="K255" i="9"/>
  <c r="J255" i="9"/>
  <c r="I255" i="9"/>
  <c r="H255" i="9"/>
  <c r="P254" i="9"/>
  <c r="L254" i="9"/>
  <c r="K254" i="9"/>
  <c r="J254" i="9"/>
  <c r="I254" i="9"/>
  <c r="H254" i="9"/>
  <c r="P253" i="9"/>
  <c r="L253" i="9"/>
  <c r="K253" i="9"/>
  <c r="J253" i="9"/>
  <c r="I253" i="9"/>
  <c r="H253" i="9"/>
  <c r="P252" i="9"/>
  <c r="L252" i="9"/>
  <c r="K252" i="9"/>
  <c r="J252" i="9"/>
  <c r="I252" i="9"/>
  <c r="H252" i="9"/>
  <c r="P251" i="9"/>
  <c r="L251" i="9"/>
  <c r="K251" i="9"/>
  <c r="J251" i="9"/>
  <c r="I251" i="9"/>
  <c r="H251" i="9"/>
  <c r="P250" i="9"/>
  <c r="L250" i="9"/>
  <c r="K250" i="9"/>
  <c r="J250" i="9"/>
  <c r="I250" i="9"/>
  <c r="H250" i="9"/>
  <c r="P249" i="9"/>
  <c r="L249" i="9"/>
  <c r="K249" i="9"/>
  <c r="J249" i="9"/>
  <c r="I249" i="9"/>
  <c r="H249" i="9"/>
  <c r="P248" i="9"/>
  <c r="L248" i="9"/>
  <c r="K248" i="9"/>
  <c r="J248" i="9"/>
  <c r="I248" i="9"/>
  <c r="H248" i="9"/>
  <c r="P247" i="9"/>
  <c r="L247" i="9"/>
  <c r="K247" i="9"/>
  <c r="J247" i="9"/>
  <c r="I247" i="9"/>
  <c r="H247" i="9"/>
  <c r="P246" i="9"/>
  <c r="L246" i="9"/>
  <c r="K246" i="9"/>
  <c r="J246" i="9"/>
  <c r="I246" i="9"/>
  <c r="H246" i="9"/>
  <c r="P245" i="9"/>
  <c r="L245" i="9"/>
  <c r="K245" i="9"/>
  <c r="J245" i="9"/>
  <c r="I245" i="9"/>
  <c r="H245" i="9"/>
  <c r="P244" i="9"/>
  <c r="L244" i="9"/>
  <c r="K244" i="9"/>
  <c r="J244" i="9"/>
  <c r="I244" i="9"/>
  <c r="H244" i="9"/>
  <c r="P243" i="9"/>
  <c r="L243" i="9"/>
  <c r="K243" i="9"/>
  <c r="J243" i="9"/>
  <c r="I243" i="9"/>
  <c r="H243" i="9"/>
  <c r="P242" i="9"/>
  <c r="L242" i="9"/>
  <c r="K242" i="9"/>
  <c r="J242" i="9"/>
  <c r="I242" i="9"/>
  <c r="H242" i="9"/>
  <c r="P241" i="9"/>
  <c r="L241" i="9"/>
  <c r="K241" i="9"/>
  <c r="J241" i="9"/>
  <c r="I241" i="9"/>
  <c r="H241" i="9"/>
  <c r="P240" i="9"/>
  <c r="L240" i="9"/>
  <c r="K240" i="9"/>
  <c r="J240" i="9"/>
  <c r="I240" i="9"/>
  <c r="H240" i="9"/>
  <c r="P239" i="9"/>
  <c r="L239" i="9"/>
  <c r="K239" i="9"/>
  <c r="J239" i="9"/>
  <c r="I239" i="9"/>
  <c r="H239" i="9"/>
  <c r="P238" i="9"/>
  <c r="L238" i="9"/>
  <c r="K238" i="9"/>
  <c r="J238" i="9"/>
  <c r="I238" i="9"/>
  <c r="H238" i="9"/>
  <c r="P237" i="9"/>
  <c r="L237" i="9"/>
  <c r="K237" i="9"/>
  <c r="J237" i="9"/>
  <c r="I237" i="9"/>
  <c r="H237" i="9"/>
  <c r="P236" i="9"/>
  <c r="L236" i="9"/>
  <c r="K236" i="9"/>
  <c r="J236" i="9"/>
  <c r="I236" i="9"/>
  <c r="H236" i="9"/>
  <c r="P235" i="9"/>
  <c r="L235" i="9"/>
  <c r="K235" i="9"/>
  <c r="J235" i="9"/>
  <c r="I235" i="9"/>
  <c r="H235" i="9"/>
  <c r="P234" i="9"/>
  <c r="L234" i="9"/>
  <c r="K234" i="9"/>
  <c r="J234" i="9"/>
  <c r="I234" i="9"/>
  <c r="H234" i="9"/>
  <c r="P233" i="9"/>
  <c r="L233" i="9"/>
  <c r="K233" i="9"/>
  <c r="J233" i="9"/>
  <c r="I233" i="9"/>
  <c r="H233" i="9"/>
  <c r="P232" i="9"/>
  <c r="L232" i="9"/>
  <c r="K232" i="9"/>
  <c r="J232" i="9"/>
  <c r="I232" i="9"/>
  <c r="H232" i="9"/>
  <c r="P231" i="9"/>
  <c r="L231" i="9"/>
  <c r="K231" i="9"/>
  <c r="J231" i="9"/>
  <c r="I231" i="9"/>
  <c r="H231" i="9"/>
  <c r="P230" i="9"/>
  <c r="L230" i="9"/>
  <c r="K230" i="9"/>
  <c r="J230" i="9"/>
  <c r="I230" i="9"/>
  <c r="H230" i="9"/>
  <c r="P229" i="9"/>
  <c r="L229" i="9"/>
  <c r="K229" i="9"/>
  <c r="J229" i="9"/>
  <c r="I229" i="9"/>
  <c r="H229" i="9"/>
  <c r="P228" i="9"/>
  <c r="L228" i="9"/>
  <c r="K228" i="9"/>
  <c r="J228" i="9"/>
  <c r="I228" i="9"/>
  <c r="H228" i="9"/>
  <c r="P227" i="9"/>
  <c r="L227" i="9"/>
  <c r="K227" i="9"/>
  <c r="J227" i="9"/>
  <c r="I227" i="9"/>
  <c r="H227" i="9"/>
  <c r="P226" i="9"/>
  <c r="L226" i="9"/>
  <c r="K226" i="9"/>
  <c r="J226" i="9"/>
  <c r="I226" i="9"/>
  <c r="H226" i="9"/>
  <c r="P225" i="9"/>
  <c r="L225" i="9"/>
  <c r="K225" i="9"/>
  <c r="J225" i="9"/>
  <c r="I225" i="9"/>
  <c r="H225" i="9"/>
  <c r="P224" i="9"/>
  <c r="L224" i="9"/>
  <c r="K224" i="9"/>
  <c r="J224" i="9"/>
  <c r="I224" i="9"/>
  <c r="H224" i="9"/>
  <c r="P223" i="9"/>
  <c r="L223" i="9"/>
  <c r="K223" i="9"/>
  <c r="J223" i="9"/>
  <c r="I223" i="9"/>
  <c r="H223" i="9"/>
  <c r="P222" i="9"/>
  <c r="L222" i="9"/>
  <c r="K222" i="9"/>
  <c r="J222" i="9"/>
  <c r="I222" i="9"/>
  <c r="H222" i="9"/>
  <c r="P221" i="9"/>
  <c r="L221" i="9"/>
  <c r="K221" i="9"/>
  <c r="J221" i="9"/>
  <c r="I221" i="9"/>
  <c r="H221" i="9"/>
  <c r="P220" i="9"/>
  <c r="L220" i="9"/>
  <c r="K220" i="9"/>
  <c r="J220" i="9"/>
  <c r="I220" i="9"/>
  <c r="H220" i="9"/>
  <c r="P219" i="9"/>
  <c r="L219" i="9"/>
  <c r="K219" i="9"/>
  <c r="J219" i="9"/>
  <c r="I219" i="9"/>
  <c r="H219" i="9"/>
  <c r="P218" i="9"/>
  <c r="L218" i="9"/>
  <c r="K218" i="9"/>
  <c r="J218" i="9"/>
  <c r="I218" i="9"/>
  <c r="H218" i="9"/>
  <c r="P217" i="9"/>
  <c r="L217" i="9"/>
  <c r="K217" i="9"/>
  <c r="J217" i="9"/>
  <c r="I217" i="9"/>
  <c r="H217" i="9"/>
  <c r="P216" i="9"/>
  <c r="L216" i="9"/>
  <c r="K216" i="9"/>
  <c r="J216" i="9"/>
  <c r="I216" i="9"/>
  <c r="H216" i="9"/>
  <c r="P215" i="9"/>
  <c r="L215" i="9"/>
  <c r="K215" i="9"/>
  <c r="J215" i="9"/>
  <c r="I215" i="9"/>
  <c r="H215" i="9"/>
  <c r="P214" i="9"/>
  <c r="L214" i="9"/>
  <c r="K214" i="9"/>
  <c r="J214" i="9"/>
  <c r="I214" i="9"/>
  <c r="H214" i="9"/>
  <c r="P213" i="9"/>
  <c r="L213" i="9"/>
  <c r="K213" i="9"/>
  <c r="J213" i="9"/>
  <c r="I213" i="9"/>
  <c r="H213" i="9"/>
  <c r="P212" i="9"/>
  <c r="L212" i="9"/>
  <c r="K212" i="9"/>
  <c r="J212" i="9"/>
  <c r="I212" i="9"/>
  <c r="H212" i="9"/>
  <c r="P211" i="9"/>
  <c r="L211" i="9"/>
  <c r="K211" i="9"/>
  <c r="J211" i="9"/>
  <c r="I211" i="9"/>
  <c r="H211" i="9"/>
  <c r="P210" i="9"/>
  <c r="L210" i="9"/>
  <c r="K210" i="9"/>
  <c r="J210" i="9"/>
  <c r="I210" i="9"/>
  <c r="H210" i="9"/>
  <c r="P209" i="9"/>
  <c r="L209" i="9"/>
  <c r="K209" i="9"/>
  <c r="J209" i="9"/>
  <c r="I209" i="9"/>
  <c r="H209" i="9"/>
  <c r="P208" i="9"/>
  <c r="L208" i="9"/>
  <c r="K208" i="9"/>
  <c r="J208" i="9"/>
  <c r="I208" i="9"/>
  <c r="H208" i="9"/>
  <c r="P207" i="9"/>
  <c r="L207" i="9"/>
  <c r="K207" i="9"/>
  <c r="J207" i="9"/>
  <c r="I207" i="9"/>
  <c r="H207" i="9"/>
  <c r="P206" i="9"/>
  <c r="L206" i="9"/>
  <c r="K206" i="9"/>
  <c r="J206" i="9"/>
  <c r="I206" i="9"/>
  <c r="H206" i="9"/>
  <c r="P205" i="9"/>
  <c r="L205" i="9"/>
  <c r="K205" i="9"/>
  <c r="J205" i="9"/>
  <c r="I205" i="9"/>
  <c r="H205" i="9"/>
  <c r="P204" i="9"/>
  <c r="L204" i="9"/>
  <c r="K204" i="9"/>
  <c r="J204" i="9"/>
  <c r="I204" i="9"/>
  <c r="H204" i="9"/>
  <c r="P203" i="9"/>
  <c r="L203" i="9"/>
  <c r="K203" i="9"/>
  <c r="J203" i="9"/>
  <c r="I203" i="9"/>
  <c r="H203" i="9"/>
  <c r="P202" i="9"/>
  <c r="L202" i="9"/>
  <c r="K202" i="9"/>
  <c r="J202" i="9"/>
  <c r="I202" i="9"/>
  <c r="H202" i="9"/>
  <c r="P201" i="9"/>
  <c r="L201" i="9"/>
  <c r="K201" i="9"/>
  <c r="J201" i="9"/>
  <c r="I201" i="9"/>
  <c r="H201" i="9"/>
  <c r="P200" i="9"/>
  <c r="L200" i="9"/>
  <c r="K200" i="9"/>
  <c r="J200" i="9"/>
  <c r="I200" i="9"/>
  <c r="H200" i="9"/>
  <c r="P199" i="9"/>
  <c r="L199" i="9"/>
  <c r="K199" i="9"/>
  <c r="J199" i="9"/>
  <c r="I199" i="9"/>
  <c r="H199" i="9"/>
  <c r="P198" i="9"/>
  <c r="L198" i="9"/>
  <c r="K198" i="9"/>
  <c r="J198" i="9"/>
  <c r="I198" i="9"/>
  <c r="H198" i="9"/>
  <c r="P197" i="9"/>
  <c r="L197" i="9"/>
  <c r="K197" i="9"/>
  <c r="J197" i="9"/>
  <c r="I197" i="9"/>
  <c r="H197" i="9"/>
  <c r="P196" i="9"/>
  <c r="L196" i="9"/>
  <c r="K196" i="9"/>
  <c r="J196" i="9"/>
  <c r="I196" i="9"/>
  <c r="H196" i="9"/>
  <c r="P195" i="9"/>
  <c r="L195" i="9"/>
  <c r="K195" i="9"/>
  <c r="J195" i="9"/>
  <c r="I195" i="9"/>
  <c r="H195" i="9"/>
  <c r="P194" i="9"/>
  <c r="L194" i="9"/>
  <c r="K194" i="9"/>
  <c r="J194" i="9"/>
  <c r="I194" i="9"/>
  <c r="H194" i="9"/>
  <c r="P193" i="9"/>
  <c r="L193" i="9"/>
  <c r="K193" i="9"/>
  <c r="J193" i="9"/>
  <c r="I193" i="9"/>
  <c r="H193" i="9"/>
  <c r="P192" i="9"/>
  <c r="L192" i="9"/>
  <c r="K192" i="9"/>
  <c r="J192" i="9"/>
  <c r="I192" i="9"/>
  <c r="H192" i="9"/>
  <c r="P191" i="9"/>
  <c r="L191" i="9"/>
  <c r="K191" i="9"/>
  <c r="J191" i="9"/>
  <c r="I191" i="9"/>
  <c r="H191" i="9"/>
  <c r="P190" i="9"/>
  <c r="L190" i="9"/>
  <c r="K190" i="9"/>
  <c r="J190" i="9"/>
  <c r="I190" i="9"/>
  <c r="H190" i="9"/>
  <c r="P189" i="9"/>
  <c r="L189" i="9"/>
  <c r="K189" i="9"/>
  <c r="J189" i="9"/>
  <c r="I189" i="9"/>
  <c r="H189" i="9"/>
  <c r="P188" i="9"/>
  <c r="L188" i="9"/>
  <c r="K188" i="9"/>
  <c r="J188" i="9"/>
  <c r="I188" i="9"/>
  <c r="H188" i="9"/>
  <c r="P187" i="9"/>
  <c r="L187" i="9"/>
  <c r="K187" i="9"/>
  <c r="J187" i="9"/>
  <c r="I187" i="9"/>
  <c r="H187" i="9"/>
  <c r="P186" i="9"/>
  <c r="L186" i="9"/>
  <c r="K186" i="9"/>
  <c r="J186" i="9"/>
  <c r="I186" i="9"/>
  <c r="H186" i="9"/>
  <c r="P185" i="9"/>
  <c r="L185" i="9"/>
  <c r="K185" i="9"/>
  <c r="J185" i="9"/>
  <c r="I185" i="9"/>
  <c r="H185" i="9"/>
  <c r="P184" i="9"/>
  <c r="L184" i="9"/>
  <c r="K184" i="9"/>
  <c r="J184" i="9"/>
  <c r="I184" i="9"/>
  <c r="H184" i="9"/>
  <c r="P183" i="9"/>
  <c r="L183" i="9"/>
  <c r="K183" i="9"/>
  <c r="J183" i="9"/>
  <c r="I183" i="9"/>
  <c r="H183" i="9"/>
  <c r="P182" i="9"/>
  <c r="L182" i="9"/>
  <c r="K182" i="9"/>
  <c r="J182" i="9"/>
  <c r="I182" i="9"/>
  <c r="H182" i="9"/>
  <c r="P181" i="9"/>
  <c r="L181" i="9"/>
  <c r="K181" i="9"/>
  <c r="J181" i="9"/>
  <c r="I181" i="9"/>
  <c r="H181" i="9"/>
  <c r="P180" i="9"/>
  <c r="L180" i="9"/>
  <c r="K180" i="9"/>
  <c r="J180" i="9"/>
  <c r="I180" i="9"/>
  <c r="H180" i="9"/>
  <c r="P179" i="9"/>
  <c r="L179" i="9"/>
  <c r="K179" i="9"/>
  <c r="J179" i="9"/>
  <c r="I179" i="9"/>
  <c r="H179" i="9"/>
  <c r="P178" i="9"/>
  <c r="L178" i="9"/>
  <c r="K178" i="9"/>
  <c r="J178" i="9"/>
  <c r="I178" i="9"/>
  <c r="H178" i="9"/>
  <c r="P177" i="9"/>
  <c r="L177" i="9"/>
  <c r="K177" i="9"/>
  <c r="J177" i="9"/>
  <c r="I177" i="9"/>
  <c r="H177" i="9"/>
  <c r="P176" i="9"/>
  <c r="L176" i="9"/>
  <c r="K176" i="9"/>
  <c r="J176" i="9"/>
  <c r="I176" i="9"/>
  <c r="H176" i="9"/>
  <c r="P175" i="9"/>
  <c r="L175" i="9"/>
  <c r="K175" i="9"/>
  <c r="J175" i="9"/>
  <c r="I175" i="9"/>
  <c r="H175" i="9"/>
  <c r="P174" i="9"/>
  <c r="L174" i="9"/>
  <c r="K174" i="9"/>
  <c r="J174" i="9"/>
  <c r="I174" i="9"/>
  <c r="H174" i="9"/>
  <c r="P173" i="9"/>
  <c r="L173" i="9"/>
  <c r="K173" i="9"/>
  <c r="J173" i="9"/>
  <c r="I173" i="9"/>
  <c r="H173" i="9"/>
  <c r="P172" i="9"/>
  <c r="L172" i="9"/>
  <c r="K172" i="9"/>
  <c r="J172" i="9"/>
  <c r="I172" i="9"/>
  <c r="H172" i="9"/>
  <c r="P171" i="9"/>
  <c r="L171" i="9"/>
  <c r="K171" i="9"/>
  <c r="J171" i="9"/>
  <c r="I171" i="9"/>
  <c r="H171" i="9"/>
  <c r="P170" i="9"/>
  <c r="L170" i="9"/>
  <c r="K170" i="9"/>
  <c r="J170" i="9"/>
  <c r="I170" i="9"/>
  <c r="H170" i="9"/>
  <c r="P169" i="9"/>
  <c r="L169" i="9"/>
  <c r="K169" i="9"/>
  <c r="J169" i="9"/>
  <c r="I169" i="9"/>
  <c r="H169" i="9"/>
  <c r="P168" i="9"/>
  <c r="L168" i="9"/>
  <c r="K168" i="9"/>
  <c r="J168" i="9"/>
  <c r="I168" i="9"/>
  <c r="H168" i="9"/>
  <c r="P167" i="9"/>
  <c r="L167" i="9"/>
  <c r="K167" i="9"/>
  <c r="J167" i="9"/>
  <c r="I167" i="9"/>
  <c r="H167" i="9"/>
  <c r="P166" i="9"/>
  <c r="L166" i="9"/>
  <c r="K166" i="9"/>
  <c r="J166" i="9"/>
  <c r="I166" i="9"/>
  <c r="H166" i="9"/>
  <c r="P165" i="9"/>
  <c r="L165" i="9"/>
  <c r="K165" i="9"/>
  <c r="J165" i="9"/>
  <c r="I165" i="9"/>
  <c r="H165" i="9"/>
  <c r="P164" i="9"/>
  <c r="L164" i="9"/>
  <c r="K164" i="9"/>
  <c r="J164" i="9"/>
  <c r="I164" i="9"/>
  <c r="H164" i="9"/>
  <c r="P163" i="9"/>
  <c r="L163" i="9"/>
  <c r="K163" i="9"/>
  <c r="J163" i="9"/>
  <c r="I163" i="9"/>
  <c r="H163" i="9"/>
  <c r="P162" i="9"/>
  <c r="L162" i="9"/>
  <c r="K162" i="9"/>
  <c r="J162" i="9"/>
  <c r="I162" i="9"/>
  <c r="H162" i="9"/>
  <c r="P161" i="9"/>
  <c r="L161" i="9"/>
  <c r="K161" i="9"/>
  <c r="J161" i="9"/>
  <c r="I161" i="9"/>
  <c r="H161" i="9"/>
  <c r="P160" i="9"/>
  <c r="L160" i="9"/>
  <c r="K160" i="9"/>
  <c r="J160" i="9"/>
  <c r="I160" i="9"/>
  <c r="H160" i="9"/>
  <c r="P159" i="9"/>
  <c r="L159" i="9"/>
  <c r="K159" i="9"/>
  <c r="J159" i="9"/>
  <c r="I159" i="9"/>
  <c r="H159" i="9"/>
  <c r="P158" i="9"/>
  <c r="L158" i="9"/>
  <c r="K158" i="9"/>
  <c r="J158" i="9"/>
  <c r="I158" i="9"/>
  <c r="H158" i="9"/>
  <c r="P157" i="9"/>
  <c r="L157" i="9"/>
  <c r="K157" i="9"/>
  <c r="J157" i="9"/>
  <c r="I157" i="9"/>
  <c r="H157" i="9"/>
  <c r="P156" i="9"/>
  <c r="L156" i="9"/>
  <c r="K156" i="9"/>
  <c r="J156" i="9"/>
  <c r="I156" i="9"/>
  <c r="H156" i="9"/>
  <c r="P155" i="9"/>
  <c r="L155" i="9"/>
  <c r="K155" i="9"/>
  <c r="J155" i="9"/>
  <c r="I155" i="9"/>
  <c r="H155" i="9"/>
  <c r="P154" i="9"/>
  <c r="L154" i="9"/>
  <c r="K154" i="9"/>
  <c r="J154" i="9"/>
  <c r="I154" i="9"/>
  <c r="H154" i="9"/>
  <c r="P153" i="9"/>
  <c r="L153" i="9"/>
  <c r="K153" i="9"/>
  <c r="J153" i="9"/>
  <c r="I153" i="9"/>
  <c r="H153" i="9"/>
  <c r="P152" i="9"/>
  <c r="L152" i="9"/>
  <c r="K152" i="9"/>
  <c r="J152" i="9"/>
  <c r="I152" i="9"/>
  <c r="H152" i="9"/>
  <c r="P151" i="9"/>
  <c r="L151" i="9"/>
  <c r="K151" i="9"/>
  <c r="J151" i="9"/>
  <c r="I151" i="9"/>
  <c r="H151" i="9"/>
  <c r="P150" i="9"/>
  <c r="L150" i="9"/>
  <c r="K150" i="9"/>
  <c r="J150" i="9"/>
  <c r="I150" i="9"/>
  <c r="H150" i="9"/>
  <c r="P149" i="9"/>
  <c r="L149" i="9"/>
  <c r="K149" i="9"/>
  <c r="J149" i="9"/>
  <c r="I149" i="9"/>
  <c r="H149" i="9"/>
  <c r="P148" i="9"/>
  <c r="L148" i="9"/>
  <c r="K148" i="9"/>
  <c r="J148" i="9"/>
  <c r="I148" i="9"/>
  <c r="H148" i="9"/>
  <c r="P147" i="9"/>
  <c r="L147" i="9"/>
  <c r="K147" i="9"/>
  <c r="J147" i="9"/>
  <c r="I147" i="9"/>
  <c r="H147" i="9"/>
  <c r="P146" i="9"/>
  <c r="L146" i="9"/>
  <c r="K146" i="9"/>
  <c r="J146" i="9"/>
  <c r="I146" i="9"/>
  <c r="H146" i="9"/>
  <c r="P145" i="9"/>
  <c r="L145" i="9"/>
  <c r="K145" i="9"/>
  <c r="J145" i="9"/>
  <c r="I145" i="9"/>
  <c r="H145" i="9"/>
  <c r="P144" i="9"/>
  <c r="L144" i="9"/>
  <c r="K144" i="9"/>
  <c r="J144" i="9"/>
  <c r="I144" i="9"/>
  <c r="H144" i="9"/>
  <c r="P143" i="9"/>
  <c r="L143" i="9"/>
  <c r="K143" i="9"/>
  <c r="J143" i="9"/>
  <c r="I143" i="9"/>
  <c r="H143" i="9"/>
  <c r="P142" i="9"/>
  <c r="L142" i="9"/>
  <c r="K142" i="9"/>
  <c r="J142" i="9"/>
  <c r="I142" i="9"/>
  <c r="H142" i="9"/>
  <c r="P141" i="9"/>
  <c r="L141" i="9"/>
  <c r="K141" i="9"/>
  <c r="J141" i="9"/>
  <c r="I141" i="9"/>
  <c r="H141" i="9"/>
  <c r="P140" i="9"/>
  <c r="L140" i="9"/>
  <c r="K140" i="9"/>
  <c r="J140" i="9"/>
  <c r="I140" i="9"/>
  <c r="H140" i="9"/>
  <c r="P139" i="9"/>
  <c r="L139" i="9"/>
  <c r="K139" i="9"/>
  <c r="J139" i="9"/>
  <c r="I139" i="9"/>
  <c r="H139" i="9"/>
  <c r="P138" i="9"/>
  <c r="L138" i="9"/>
  <c r="K138" i="9"/>
  <c r="J138" i="9"/>
  <c r="I138" i="9"/>
  <c r="H138" i="9"/>
  <c r="P137" i="9"/>
  <c r="L137" i="9"/>
  <c r="K137" i="9"/>
  <c r="J137" i="9"/>
  <c r="I137" i="9"/>
  <c r="H137" i="9"/>
  <c r="P136" i="9"/>
  <c r="L136" i="9"/>
  <c r="K136" i="9"/>
  <c r="J136" i="9"/>
  <c r="I136" i="9"/>
  <c r="H136" i="9"/>
  <c r="P135" i="9"/>
  <c r="L135" i="9"/>
  <c r="K135" i="9"/>
  <c r="J135" i="9"/>
  <c r="I135" i="9"/>
  <c r="H135" i="9"/>
  <c r="P134" i="9"/>
  <c r="L134" i="9"/>
  <c r="K134" i="9"/>
  <c r="J134" i="9"/>
  <c r="I134" i="9"/>
  <c r="H134" i="9"/>
  <c r="P133" i="9"/>
  <c r="L133" i="9"/>
  <c r="K133" i="9"/>
  <c r="J133" i="9"/>
  <c r="I133" i="9"/>
  <c r="H133" i="9"/>
  <c r="P132" i="9"/>
  <c r="L132" i="9"/>
  <c r="K132" i="9"/>
  <c r="J132" i="9"/>
  <c r="I132" i="9"/>
  <c r="H132" i="9"/>
  <c r="P131" i="9"/>
  <c r="L131" i="9"/>
  <c r="K131" i="9"/>
  <c r="J131" i="9"/>
  <c r="I131" i="9"/>
  <c r="H131" i="9"/>
  <c r="P130" i="9"/>
  <c r="L130" i="9"/>
  <c r="K130" i="9"/>
  <c r="J130" i="9"/>
  <c r="I130" i="9"/>
  <c r="H130" i="9"/>
  <c r="P129" i="9"/>
  <c r="L129" i="9"/>
  <c r="K129" i="9"/>
  <c r="J129" i="9"/>
  <c r="I129" i="9"/>
  <c r="H129" i="9"/>
  <c r="P128" i="9"/>
  <c r="L128" i="9"/>
  <c r="K128" i="9"/>
  <c r="J128" i="9"/>
  <c r="I128" i="9"/>
  <c r="H128" i="9"/>
  <c r="P127" i="9"/>
  <c r="L127" i="9"/>
  <c r="K127" i="9"/>
  <c r="J127" i="9"/>
  <c r="I127" i="9"/>
  <c r="H127" i="9"/>
  <c r="P126" i="9"/>
  <c r="L126" i="9"/>
  <c r="K126" i="9"/>
  <c r="J126" i="9"/>
  <c r="I126" i="9"/>
  <c r="H126" i="9"/>
  <c r="P125" i="9"/>
  <c r="L125" i="9"/>
  <c r="K125" i="9"/>
  <c r="J125" i="9"/>
  <c r="I125" i="9"/>
  <c r="H125" i="9"/>
  <c r="P124" i="9"/>
  <c r="L124" i="9"/>
  <c r="K124" i="9"/>
  <c r="J124" i="9"/>
  <c r="I124" i="9"/>
  <c r="H124" i="9"/>
  <c r="P123" i="9"/>
  <c r="L123" i="9"/>
  <c r="K123" i="9"/>
  <c r="J123" i="9"/>
  <c r="I123" i="9"/>
  <c r="H123" i="9"/>
  <c r="P122" i="9"/>
  <c r="L122" i="9"/>
  <c r="K122" i="9"/>
  <c r="J122" i="9"/>
  <c r="I122" i="9"/>
  <c r="H122" i="9"/>
  <c r="P121" i="9"/>
  <c r="L121" i="9"/>
  <c r="K121" i="9"/>
  <c r="J121" i="9"/>
  <c r="I121" i="9"/>
  <c r="H121" i="9"/>
  <c r="P120" i="9"/>
  <c r="L120" i="9"/>
  <c r="K120" i="9"/>
  <c r="J120" i="9"/>
  <c r="I120" i="9"/>
  <c r="H120" i="9"/>
  <c r="P119" i="9"/>
  <c r="L119" i="9"/>
  <c r="K119" i="9"/>
  <c r="J119" i="9"/>
  <c r="I119" i="9"/>
  <c r="H119" i="9"/>
  <c r="P118" i="9"/>
  <c r="L118" i="9"/>
  <c r="K118" i="9"/>
  <c r="J118" i="9"/>
  <c r="I118" i="9"/>
  <c r="H118" i="9"/>
  <c r="P117" i="9"/>
  <c r="L117" i="9"/>
  <c r="K117" i="9"/>
  <c r="J117" i="9"/>
  <c r="I117" i="9"/>
  <c r="H117" i="9"/>
  <c r="P116" i="9"/>
  <c r="L116" i="9"/>
  <c r="K116" i="9"/>
  <c r="J116" i="9"/>
  <c r="I116" i="9"/>
  <c r="H116" i="9"/>
  <c r="P115" i="9"/>
  <c r="L115" i="9"/>
  <c r="K115" i="9"/>
  <c r="J115" i="9"/>
  <c r="I115" i="9"/>
  <c r="H115" i="9"/>
  <c r="P114" i="9"/>
  <c r="L114" i="9"/>
  <c r="K114" i="9"/>
  <c r="J114" i="9"/>
  <c r="I114" i="9"/>
  <c r="H114" i="9"/>
  <c r="P113" i="9"/>
  <c r="L113" i="9"/>
  <c r="K113" i="9"/>
  <c r="J113" i="9"/>
  <c r="I113" i="9"/>
  <c r="H113" i="9"/>
  <c r="P112" i="9"/>
  <c r="L112" i="9"/>
  <c r="K112" i="9"/>
  <c r="J112" i="9"/>
  <c r="I112" i="9"/>
  <c r="H112" i="9"/>
  <c r="P111" i="9"/>
  <c r="L111" i="9"/>
  <c r="K111" i="9"/>
  <c r="J111" i="9"/>
  <c r="I111" i="9"/>
  <c r="H111" i="9"/>
  <c r="P110" i="9"/>
  <c r="L110" i="9"/>
  <c r="K110" i="9"/>
  <c r="J110" i="9"/>
  <c r="I110" i="9"/>
  <c r="H110" i="9"/>
  <c r="P109" i="9"/>
  <c r="L109" i="9"/>
  <c r="K109" i="9"/>
  <c r="J109" i="9"/>
  <c r="I109" i="9"/>
  <c r="H109" i="9"/>
  <c r="P108" i="9"/>
  <c r="L108" i="9"/>
  <c r="K108" i="9"/>
  <c r="J108" i="9"/>
  <c r="I108" i="9"/>
  <c r="H108" i="9"/>
  <c r="P107" i="9"/>
  <c r="L107" i="9"/>
  <c r="K107" i="9"/>
  <c r="J107" i="9"/>
  <c r="I107" i="9"/>
  <c r="H107" i="9"/>
  <c r="P106" i="9"/>
  <c r="L106" i="9"/>
  <c r="K106" i="9"/>
  <c r="J106" i="9"/>
  <c r="I106" i="9"/>
  <c r="H106" i="9"/>
  <c r="P105" i="9"/>
  <c r="L105" i="9"/>
  <c r="K105" i="9"/>
  <c r="J105" i="9"/>
  <c r="I105" i="9"/>
  <c r="H105" i="9"/>
  <c r="P104" i="9"/>
  <c r="L104" i="9"/>
  <c r="K104" i="9"/>
  <c r="J104" i="9"/>
  <c r="I104" i="9"/>
  <c r="H104" i="9"/>
  <c r="P103" i="9"/>
  <c r="L103" i="9"/>
  <c r="K103" i="9"/>
  <c r="J103" i="9"/>
  <c r="I103" i="9"/>
  <c r="H103" i="9"/>
  <c r="P102" i="9"/>
  <c r="L102" i="9"/>
  <c r="K102" i="9"/>
  <c r="J102" i="9"/>
  <c r="I102" i="9"/>
  <c r="H102" i="9"/>
  <c r="P101" i="9"/>
  <c r="L101" i="9"/>
  <c r="K101" i="9"/>
  <c r="J101" i="9"/>
  <c r="I101" i="9"/>
  <c r="H101" i="9"/>
  <c r="P100" i="9"/>
  <c r="L100" i="9"/>
  <c r="K100" i="9"/>
  <c r="J100" i="9"/>
  <c r="I100" i="9"/>
  <c r="H100" i="9"/>
  <c r="P99" i="9"/>
  <c r="L99" i="9"/>
  <c r="K99" i="9"/>
  <c r="J99" i="9"/>
  <c r="I99" i="9"/>
  <c r="H99" i="9"/>
  <c r="P98" i="9"/>
  <c r="L98" i="9"/>
  <c r="K98" i="9"/>
  <c r="J98" i="9"/>
  <c r="I98" i="9"/>
  <c r="H98" i="9"/>
  <c r="P97" i="9"/>
  <c r="L97" i="9"/>
  <c r="K97" i="9"/>
  <c r="J97" i="9"/>
  <c r="I97" i="9"/>
  <c r="H97" i="9"/>
  <c r="P96" i="9"/>
  <c r="L96" i="9"/>
  <c r="K96" i="9"/>
  <c r="J96" i="9"/>
  <c r="I96" i="9"/>
  <c r="H96" i="9"/>
  <c r="P95" i="9"/>
  <c r="L95" i="9"/>
  <c r="K95" i="9"/>
  <c r="J95" i="9"/>
  <c r="I95" i="9"/>
  <c r="H95" i="9"/>
  <c r="P94" i="9"/>
  <c r="L94" i="9"/>
  <c r="K94" i="9"/>
  <c r="J94" i="9"/>
  <c r="I94" i="9"/>
  <c r="H94" i="9"/>
  <c r="P93" i="9"/>
  <c r="L93" i="9"/>
  <c r="K93" i="9"/>
  <c r="J93" i="9"/>
  <c r="I93" i="9"/>
  <c r="H93" i="9"/>
  <c r="P92" i="9"/>
  <c r="L92" i="9"/>
  <c r="K92" i="9"/>
  <c r="J92" i="9"/>
  <c r="I92" i="9"/>
  <c r="H92" i="9"/>
  <c r="P91" i="9"/>
  <c r="L91" i="9"/>
  <c r="K91" i="9"/>
  <c r="J91" i="9"/>
  <c r="I91" i="9"/>
  <c r="H91" i="9"/>
  <c r="P90" i="9"/>
  <c r="L90" i="9"/>
  <c r="K90" i="9"/>
  <c r="J90" i="9"/>
  <c r="I90" i="9"/>
  <c r="H90" i="9"/>
  <c r="P89" i="9"/>
  <c r="L89" i="9"/>
  <c r="K89" i="9"/>
  <c r="J89" i="9"/>
  <c r="I89" i="9"/>
  <c r="H89" i="9"/>
  <c r="P88" i="9"/>
  <c r="L88" i="9"/>
  <c r="K88" i="9"/>
  <c r="J88" i="9"/>
  <c r="I88" i="9"/>
  <c r="H88" i="9"/>
  <c r="P87" i="9"/>
  <c r="L87" i="9"/>
  <c r="K87" i="9"/>
  <c r="J87" i="9"/>
  <c r="I87" i="9"/>
  <c r="H87" i="9"/>
  <c r="P86" i="9"/>
  <c r="L86" i="9"/>
  <c r="K86" i="9"/>
  <c r="J86" i="9"/>
  <c r="I86" i="9"/>
  <c r="H86" i="9"/>
  <c r="P85" i="9"/>
  <c r="L85" i="9"/>
  <c r="K85" i="9"/>
  <c r="J85" i="9"/>
  <c r="I85" i="9"/>
  <c r="H85" i="9"/>
  <c r="P84" i="9"/>
  <c r="L84" i="9"/>
  <c r="K84" i="9"/>
  <c r="J84" i="9"/>
  <c r="I84" i="9"/>
  <c r="H84" i="9"/>
  <c r="P83" i="9"/>
  <c r="L83" i="9"/>
  <c r="K83" i="9"/>
  <c r="J83" i="9"/>
  <c r="I83" i="9"/>
  <c r="H83" i="9"/>
  <c r="P82" i="9"/>
  <c r="L82" i="9"/>
  <c r="K82" i="9"/>
  <c r="J82" i="9"/>
  <c r="I82" i="9"/>
  <c r="H82" i="9"/>
  <c r="P81" i="9"/>
  <c r="L81" i="9"/>
  <c r="K81" i="9"/>
  <c r="J81" i="9"/>
  <c r="I81" i="9"/>
  <c r="H81" i="9"/>
  <c r="P80" i="9"/>
  <c r="L80" i="9"/>
  <c r="K80" i="9"/>
  <c r="J80" i="9"/>
  <c r="I80" i="9"/>
  <c r="H80" i="9"/>
  <c r="P79" i="9"/>
  <c r="L79" i="9"/>
  <c r="K79" i="9"/>
  <c r="J79" i="9"/>
  <c r="I79" i="9"/>
  <c r="H79" i="9"/>
  <c r="P78" i="9"/>
  <c r="L78" i="9"/>
  <c r="K78" i="9"/>
  <c r="J78" i="9"/>
  <c r="I78" i="9"/>
  <c r="H78" i="9"/>
  <c r="P77" i="9"/>
  <c r="L77" i="9"/>
  <c r="K77" i="9"/>
  <c r="J77" i="9"/>
  <c r="I77" i="9"/>
  <c r="H77" i="9"/>
  <c r="P76" i="9"/>
  <c r="L76" i="9"/>
  <c r="K76" i="9"/>
  <c r="J76" i="9"/>
  <c r="I76" i="9"/>
  <c r="H76" i="9"/>
  <c r="P75" i="9"/>
  <c r="L75" i="9"/>
  <c r="K75" i="9"/>
  <c r="J75" i="9"/>
  <c r="I75" i="9"/>
  <c r="H75" i="9"/>
  <c r="P74" i="9"/>
  <c r="L74" i="9"/>
  <c r="K74" i="9"/>
  <c r="J74" i="9"/>
  <c r="I74" i="9"/>
  <c r="H74" i="9"/>
  <c r="P73" i="9"/>
  <c r="L73" i="9"/>
  <c r="K73" i="9"/>
  <c r="J73" i="9"/>
  <c r="I73" i="9"/>
  <c r="H73" i="9"/>
  <c r="P72" i="9"/>
  <c r="L72" i="9"/>
  <c r="K72" i="9"/>
  <c r="J72" i="9"/>
  <c r="I72" i="9"/>
  <c r="H72" i="9"/>
  <c r="P71" i="9"/>
  <c r="L71" i="9"/>
  <c r="K71" i="9"/>
  <c r="J71" i="9"/>
  <c r="I71" i="9"/>
  <c r="H71" i="9"/>
  <c r="P70" i="9"/>
  <c r="L70" i="9"/>
  <c r="K70" i="9"/>
  <c r="J70" i="9"/>
  <c r="I70" i="9"/>
  <c r="H70" i="9"/>
  <c r="P69" i="9"/>
  <c r="L69" i="9"/>
  <c r="K69" i="9"/>
  <c r="J69" i="9"/>
  <c r="I69" i="9"/>
  <c r="H69" i="9"/>
  <c r="P68" i="9"/>
  <c r="L68" i="9"/>
  <c r="K68" i="9"/>
  <c r="J68" i="9"/>
  <c r="I68" i="9"/>
  <c r="H68" i="9"/>
  <c r="P67" i="9"/>
  <c r="L67" i="9"/>
  <c r="K67" i="9"/>
  <c r="J67" i="9"/>
  <c r="I67" i="9"/>
  <c r="H67" i="9"/>
  <c r="P66" i="9"/>
  <c r="L66" i="9"/>
  <c r="K66" i="9"/>
  <c r="J66" i="9"/>
  <c r="I66" i="9"/>
  <c r="H66" i="9"/>
  <c r="P65" i="9"/>
  <c r="L65" i="9"/>
  <c r="K65" i="9"/>
  <c r="J65" i="9"/>
  <c r="I65" i="9"/>
  <c r="H65" i="9"/>
  <c r="P64" i="9"/>
  <c r="L64" i="9"/>
  <c r="K64" i="9"/>
  <c r="J64" i="9"/>
  <c r="I64" i="9"/>
  <c r="H64" i="9"/>
  <c r="P63" i="9"/>
  <c r="L63" i="9"/>
  <c r="K63" i="9"/>
  <c r="J63" i="9"/>
  <c r="I63" i="9"/>
  <c r="H63" i="9"/>
  <c r="P62" i="9"/>
  <c r="L62" i="9"/>
  <c r="K62" i="9"/>
  <c r="J62" i="9"/>
  <c r="I62" i="9"/>
  <c r="H62" i="9"/>
  <c r="P61" i="9"/>
  <c r="L61" i="9"/>
  <c r="K61" i="9"/>
  <c r="J61" i="9"/>
  <c r="I61" i="9"/>
  <c r="H61" i="9"/>
  <c r="P60" i="9"/>
  <c r="L60" i="9"/>
  <c r="K60" i="9"/>
  <c r="J60" i="9"/>
  <c r="I60" i="9"/>
  <c r="H60" i="9"/>
  <c r="P59" i="9"/>
  <c r="L59" i="9"/>
  <c r="K59" i="9"/>
  <c r="J59" i="9"/>
  <c r="I59" i="9"/>
  <c r="H59" i="9"/>
  <c r="P58" i="9"/>
  <c r="L58" i="9"/>
  <c r="K58" i="9"/>
  <c r="J58" i="9"/>
  <c r="I58" i="9"/>
  <c r="H58" i="9"/>
  <c r="P57" i="9"/>
  <c r="L57" i="9"/>
  <c r="K57" i="9"/>
  <c r="J57" i="9"/>
  <c r="I57" i="9"/>
  <c r="H57" i="9"/>
  <c r="P56" i="9"/>
  <c r="L56" i="9"/>
  <c r="K56" i="9"/>
  <c r="J56" i="9"/>
  <c r="I56" i="9"/>
  <c r="H56" i="9"/>
  <c r="P55" i="9"/>
  <c r="L55" i="9"/>
  <c r="K55" i="9"/>
  <c r="J55" i="9"/>
  <c r="I55" i="9"/>
  <c r="H55" i="9"/>
  <c r="P54" i="9"/>
  <c r="L54" i="9"/>
  <c r="K54" i="9"/>
  <c r="J54" i="9"/>
  <c r="I54" i="9"/>
  <c r="H54" i="9"/>
  <c r="P53" i="9"/>
  <c r="L53" i="9"/>
  <c r="K53" i="9"/>
  <c r="J53" i="9"/>
  <c r="I53" i="9"/>
  <c r="H53" i="9"/>
  <c r="P52" i="9"/>
  <c r="L52" i="9"/>
  <c r="K52" i="9"/>
  <c r="J52" i="9"/>
  <c r="I52" i="9"/>
  <c r="H52" i="9"/>
  <c r="P51" i="9"/>
  <c r="L51" i="9"/>
  <c r="K51" i="9"/>
  <c r="J51" i="9"/>
  <c r="I51" i="9"/>
  <c r="H51" i="9"/>
  <c r="P50" i="9"/>
  <c r="L50" i="9"/>
  <c r="K50" i="9"/>
  <c r="J50" i="9"/>
  <c r="I50" i="9"/>
  <c r="H50" i="9"/>
  <c r="P49" i="9"/>
  <c r="L49" i="9"/>
  <c r="K49" i="9"/>
  <c r="J49" i="9"/>
  <c r="I49" i="9"/>
  <c r="H49" i="9"/>
  <c r="P48" i="9"/>
  <c r="L48" i="9"/>
  <c r="K48" i="9"/>
  <c r="J48" i="9"/>
  <c r="I48" i="9"/>
  <c r="H48" i="9"/>
  <c r="P47" i="9"/>
  <c r="L47" i="9"/>
  <c r="K47" i="9"/>
  <c r="J47" i="9"/>
  <c r="I47" i="9"/>
  <c r="H47" i="9"/>
  <c r="P46" i="9"/>
  <c r="L46" i="9"/>
  <c r="K46" i="9"/>
  <c r="J46" i="9"/>
  <c r="I46" i="9"/>
  <c r="H46" i="9"/>
  <c r="P45" i="9"/>
  <c r="L45" i="9"/>
  <c r="K45" i="9"/>
  <c r="J45" i="9"/>
  <c r="I45" i="9"/>
  <c r="H45" i="9"/>
  <c r="P44" i="9"/>
  <c r="L44" i="9"/>
  <c r="K44" i="9"/>
  <c r="J44" i="9"/>
  <c r="I44" i="9"/>
  <c r="H44" i="9"/>
  <c r="P43" i="9"/>
  <c r="L43" i="9"/>
  <c r="K43" i="9"/>
  <c r="J43" i="9"/>
  <c r="I43" i="9"/>
  <c r="H43" i="9"/>
  <c r="P42" i="9"/>
  <c r="L42" i="9"/>
  <c r="K42" i="9"/>
  <c r="J42" i="9"/>
  <c r="I42" i="9"/>
  <c r="H42" i="9"/>
  <c r="P41" i="9"/>
  <c r="L41" i="9"/>
  <c r="K41" i="9"/>
  <c r="J41" i="9"/>
  <c r="I41" i="9"/>
  <c r="H41" i="9"/>
  <c r="P40" i="9"/>
  <c r="L40" i="9"/>
  <c r="K40" i="9"/>
  <c r="J40" i="9"/>
  <c r="I40" i="9"/>
  <c r="H40" i="9"/>
  <c r="P39" i="9"/>
  <c r="L39" i="9"/>
  <c r="K39" i="9"/>
  <c r="J39" i="9"/>
  <c r="I39" i="9"/>
  <c r="H39" i="9"/>
  <c r="P38" i="9"/>
  <c r="L38" i="9"/>
  <c r="K38" i="9"/>
  <c r="J38" i="9"/>
  <c r="I38" i="9"/>
  <c r="H38" i="9"/>
  <c r="P37" i="9"/>
  <c r="L37" i="9"/>
  <c r="K37" i="9"/>
  <c r="J37" i="9"/>
  <c r="I37" i="9"/>
  <c r="H37" i="9"/>
  <c r="P36" i="9"/>
  <c r="L36" i="9"/>
  <c r="K36" i="9"/>
  <c r="J36" i="9"/>
  <c r="I36" i="9"/>
  <c r="H36" i="9"/>
  <c r="P35" i="9"/>
  <c r="L35" i="9"/>
  <c r="K35" i="9"/>
  <c r="J35" i="9"/>
  <c r="I35" i="9"/>
  <c r="H35" i="9"/>
  <c r="P34" i="9"/>
  <c r="L34" i="9"/>
  <c r="K34" i="9"/>
  <c r="J34" i="9"/>
  <c r="I34" i="9"/>
  <c r="H34" i="9"/>
  <c r="P33" i="9"/>
  <c r="L33" i="9"/>
  <c r="K33" i="9"/>
  <c r="J33" i="9"/>
  <c r="I33" i="9"/>
  <c r="H33" i="9"/>
  <c r="P32" i="9"/>
  <c r="L32" i="9"/>
  <c r="K32" i="9"/>
  <c r="J32" i="9"/>
  <c r="I32" i="9"/>
  <c r="H32" i="9"/>
  <c r="P31" i="9"/>
  <c r="L31" i="9"/>
  <c r="K31" i="9"/>
  <c r="J31" i="9"/>
  <c r="I31" i="9"/>
  <c r="H31" i="9"/>
  <c r="P30" i="9"/>
  <c r="L30" i="9"/>
  <c r="K30" i="9"/>
  <c r="J30" i="9"/>
  <c r="I30" i="9"/>
  <c r="H30" i="9"/>
  <c r="P29" i="9"/>
  <c r="L29" i="9"/>
  <c r="K29" i="9"/>
  <c r="J29" i="9"/>
  <c r="I29" i="9"/>
  <c r="H29" i="9"/>
  <c r="P28" i="9"/>
  <c r="L28" i="9"/>
  <c r="K28" i="9"/>
  <c r="J28" i="9"/>
  <c r="I28" i="9"/>
  <c r="H28" i="9"/>
  <c r="P27" i="9"/>
  <c r="L27" i="9"/>
  <c r="K27" i="9"/>
  <c r="J27" i="9"/>
  <c r="I27" i="9"/>
  <c r="H27" i="9"/>
  <c r="P26" i="9"/>
  <c r="L26" i="9"/>
  <c r="K26" i="9"/>
  <c r="J26" i="9"/>
  <c r="I26" i="9"/>
  <c r="H26" i="9"/>
  <c r="P25" i="9"/>
  <c r="L25" i="9"/>
  <c r="K25" i="9"/>
  <c r="J25" i="9"/>
  <c r="I25" i="9"/>
  <c r="H25" i="9"/>
  <c r="P24" i="9"/>
  <c r="L24" i="9"/>
  <c r="K24" i="9"/>
  <c r="J24" i="9"/>
  <c r="I24" i="9"/>
  <c r="H24" i="9"/>
  <c r="P23" i="9"/>
  <c r="L23" i="9"/>
  <c r="K23" i="9"/>
  <c r="J23" i="9"/>
  <c r="I23" i="9"/>
  <c r="H23" i="9"/>
  <c r="P22" i="9"/>
  <c r="L22" i="9"/>
  <c r="K22" i="9"/>
  <c r="J22" i="9"/>
  <c r="I22" i="9"/>
  <c r="H22" i="9"/>
  <c r="P21" i="9"/>
  <c r="L21" i="9"/>
  <c r="K21" i="9"/>
  <c r="J21" i="9"/>
  <c r="I21" i="9"/>
  <c r="H21" i="9"/>
  <c r="P20" i="9"/>
  <c r="L20" i="9"/>
  <c r="K20" i="9"/>
  <c r="J20" i="9"/>
  <c r="I20" i="9"/>
  <c r="H20" i="9"/>
  <c r="P19" i="9"/>
  <c r="L19" i="9"/>
  <c r="K19" i="9"/>
  <c r="J19" i="9"/>
  <c r="I19" i="9"/>
  <c r="H19" i="9"/>
  <c r="P18" i="9"/>
  <c r="L18" i="9"/>
  <c r="K18" i="9"/>
  <c r="J18" i="9"/>
  <c r="I18" i="9"/>
  <c r="H18" i="9"/>
  <c r="P17" i="9"/>
  <c r="L17" i="9"/>
  <c r="K17" i="9"/>
  <c r="J17" i="9"/>
  <c r="I17" i="9"/>
  <c r="H17" i="9"/>
  <c r="P16" i="9"/>
  <c r="L16" i="9"/>
  <c r="K16" i="9"/>
  <c r="J16" i="9"/>
  <c r="I16" i="9"/>
  <c r="H16" i="9"/>
  <c r="P15" i="9"/>
  <c r="L15" i="9"/>
  <c r="K15" i="9"/>
  <c r="J15" i="9"/>
  <c r="I15" i="9"/>
  <c r="H15" i="9"/>
  <c r="P14" i="9"/>
  <c r="L14" i="9"/>
  <c r="K14" i="9"/>
  <c r="J14" i="9"/>
  <c r="I14" i="9"/>
  <c r="H14" i="9"/>
  <c r="P13" i="9"/>
  <c r="L13" i="9"/>
  <c r="K13" i="9"/>
  <c r="J13" i="9"/>
  <c r="I13" i="9"/>
  <c r="H13" i="9"/>
  <c r="P12" i="9"/>
  <c r="L12" i="9"/>
  <c r="K12" i="9"/>
  <c r="J12" i="9"/>
  <c r="I12" i="9"/>
  <c r="H12" i="9"/>
  <c r="P11" i="9"/>
  <c r="L11" i="9"/>
  <c r="K11" i="9"/>
  <c r="J11" i="9"/>
  <c r="I11" i="9"/>
  <c r="H11" i="9"/>
  <c r="P10" i="9"/>
  <c r="L10" i="9"/>
  <c r="K10" i="9"/>
  <c r="J10" i="9"/>
  <c r="I10" i="9"/>
  <c r="H10" i="9"/>
  <c r="P9" i="9"/>
  <c r="L9" i="9"/>
  <c r="K9" i="9"/>
  <c r="J9" i="9"/>
  <c r="I9" i="9"/>
  <c r="H9" i="9"/>
  <c r="P8" i="9"/>
  <c r="L8" i="9"/>
  <c r="K8" i="9"/>
  <c r="J8" i="9"/>
  <c r="I8" i="9"/>
  <c r="H8" i="9"/>
  <c r="P7" i="9"/>
  <c r="L7" i="9"/>
  <c r="K7" i="9"/>
  <c r="J7" i="9"/>
  <c r="I7" i="9"/>
  <c r="H7" i="9"/>
  <c r="P6" i="9"/>
  <c r="L6" i="9"/>
  <c r="K6" i="9"/>
  <c r="J6" i="9"/>
  <c r="I6" i="9"/>
  <c r="H6" i="9"/>
  <c r="V5" i="9"/>
  <c r="P5" i="9"/>
  <c r="L5" i="9"/>
  <c r="K5" i="9"/>
  <c r="J5" i="9"/>
  <c r="I5" i="9"/>
  <c r="H5" i="9"/>
  <c r="U4" i="9"/>
  <c r="P4" i="9"/>
  <c r="L4" i="9"/>
  <c r="K4" i="9"/>
  <c r="J4" i="9"/>
  <c r="I4" i="9"/>
  <c r="H4" i="9"/>
  <c r="R3" i="9"/>
  <c r="P3" i="9"/>
  <c r="L3" i="9"/>
  <c r="K3" i="9"/>
  <c r="J3" i="9"/>
  <c r="I3" i="9"/>
  <c r="H3" i="9"/>
  <c r="AB2" i="9"/>
  <c r="R2" i="9"/>
  <c r="P2" i="9"/>
  <c r="Q2" i="9" s="1"/>
  <c r="Q3" i="9" s="1"/>
  <c r="Q4" i="9" s="1"/>
  <c r="Q5" i="9" s="1"/>
  <c r="Q6" i="9" s="1"/>
  <c r="Q7" i="9" s="1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34" i="9" s="1"/>
  <c r="Q35" i="9" s="1"/>
  <c r="Q36" i="9" s="1"/>
  <c r="Q37" i="9" s="1"/>
  <c r="Q38" i="9" s="1"/>
  <c r="Q39" i="9" s="1"/>
  <c r="Q40" i="9" s="1"/>
  <c r="Q41" i="9" s="1"/>
  <c r="Q42" i="9" s="1"/>
  <c r="Q43" i="9" s="1"/>
  <c r="Q44" i="9" s="1"/>
  <c r="Q45" i="9" s="1"/>
  <c r="Q46" i="9" s="1"/>
  <c r="Q47" i="9" s="1"/>
  <c r="Q48" i="9" s="1"/>
  <c r="Q49" i="9" s="1"/>
  <c r="Q50" i="9" s="1"/>
  <c r="Q51" i="9" s="1"/>
  <c r="Q52" i="9" s="1"/>
  <c r="Q53" i="9" s="1"/>
  <c r="Q54" i="9" s="1"/>
  <c r="Q55" i="9" s="1"/>
  <c r="Q56" i="9" s="1"/>
  <c r="Q57" i="9" s="1"/>
  <c r="Q58" i="9" s="1"/>
  <c r="Q59" i="9" s="1"/>
  <c r="Q60" i="9" s="1"/>
  <c r="Q61" i="9" s="1"/>
  <c r="Q62" i="9" s="1"/>
  <c r="Q63" i="9" s="1"/>
  <c r="Q64" i="9" s="1"/>
  <c r="Q65" i="9" s="1"/>
  <c r="Q66" i="9" s="1"/>
  <c r="Q67" i="9" s="1"/>
  <c r="Q68" i="9" s="1"/>
  <c r="Q69" i="9" s="1"/>
  <c r="Q70" i="9" s="1"/>
  <c r="Q71" i="9" s="1"/>
  <c r="Q72" i="9" s="1"/>
  <c r="Q73" i="9" s="1"/>
  <c r="Q74" i="9" s="1"/>
  <c r="Q75" i="9" s="1"/>
  <c r="Q76" i="9" s="1"/>
  <c r="Q77" i="9" s="1"/>
  <c r="Q78" i="9" s="1"/>
  <c r="Q79" i="9" s="1"/>
  <c r="Q80" i="9" s="1"/>
  <c r="Q81" i="9" s="1"/>
  <c r="Q82" i="9" s="1"/>
  <c r="Q83" i="9" s="1"/>
  <c r="Q84" i="9" s="1"/>
  <c r="Q85" i="9" s="1"/>
  <c r="Q86" i="9" s="1"/>
  <c r="Q87" i="9" s="1"/>
  <c r="Q88" i="9" s="1"/>
  <c r="Q89" i="9" s="1"/>
  <c r="Q90" i="9" s="1"/>
  <c r="Q91" i="9" s="1"/>
  <c r="Q92" i="9" s="1"/>
  <c r="Q93" i="9" s="1"/>
  <c r="Q94" i="9" s="1"/>
  <c r="Q95" i="9" s="1"/>
  <c r="Q96" i="9" s="1"/>
  <c r="Q97" i="9" s="1"/>
  <c r="Q98" i="9" s="1"/>
  <c r="Q99" i="9" s="1"/>
  <c r="Q100" i="9" s="1"/>
  <c r="Q101" i="9" s="1"/>
  <c r="Q102" i="9" s="1"/>
  <c r="Q103" i="9" s="1"/>
  <c r="Q104" i="9" s="1"/>
  <c r="Q105" i="9" s="1"/>
  <c r="Q106" i="9" s="1"/>
  <c r="Q107" i="9" s="1"/>
  <c r="Q108" i="9" s="1"/>
  <c r="Q109" i="9" s="1"/>
  <c r="Q110" i="9" s="1"/>
  <c r="Q111" i="9" s="1"/>
  <c r="Q112" i="9" s="1"/>
  <c r="Q113" i="9" s="1"/>
  <c r="Q114" i="9" s="1"/>
  <c r="Q115" i="9" s="1"/>
  <c r="Q116" i="9" s="1"/>
  <c r="Q117" i="9" s="1"/>
  <c r="Q118" i="9" s="1"/>
  <c r="Q119" i="9" s="1"/>
  <c r="Q120" i="9" s="1"/>
  <c r="Q121" i="9" s="1"/>
  <c r="Q122" i="9" s="1"/>
  <c r="Q123" i="9" s="1"/>
  <c r="Q124" i="9" s="1"/>
  <c r="Q125" i="9" s="1"/>
  <c r="Q126" i="9" s="1"/>
  <c r="Q127" i="9" s="1"/>
  <c r="Q128" i="9" s="1"/>
  <c r="Q129" i="9" s="1"/>
  <c r="Q130" i="9" s="1"/>
  <c r="Q131" i="9" s="1"/>
  <c r="Q132" i="9" s="1"/>
  <c r="Q133" i="9" s="1"/>
  <c r="Q134" i="9" s="1"/>
  <c r="Q135" i="9" s="1"/>
  <c r="Q136" i="9" s="1"/>
  <c r="Q137" i="9" s="1"/>
  <c r="Q138" i="9" s="1"/>
  <c r="Q139" i="9" s="1"/>
  <c r="Q140" i="9" s="1"/>
  <c r="Q141" i="9" s="1"/>
  <c r="Q142" i="9" s="1"/>
  <c r="Q143" i="9" s="1"/>
  <c r="Q144" i="9" s="1"/>
  <c r="Q145" i="9" s="1"/>
  <c r="Q146" i="9" s="1"/>
  <c r="Q147" i="9" s="1"/>
  <c r="Q148" i="9" s="1"/>
  <c r="Q149" i="9" s="1"/>
  <c r="Q150" i="9" s="1"/>
  <c r="Q151" i="9" s="1"/>
  <c r="Q152" i="9" s="1"/>
  <c r="Q153" i="9" s="1"/>
  <c r="Q154" i="9" s="1"/>
  <c r="Q155" i="9" s="1"/>
  <c r="Q156" i="9" s="1"/>
  <c r="Q157" i="9" s="1"/>
  <c r="Q158" i="9" s="1"/>
  <c r="Q159" i="9" s="1"/>
  <c r="Q160" i="9" s="1"/>
  <c r="Q161" i="9" s="1"/>
  <c r="Q162" i="9" s="1"/>
  <c r="Q163" i="9" s="1"/>
  <c r="Q164" i="9" s="1"/>
  <c r="Q165" i="9" s="1"/>
  <c r="Q166" i="9" s="1"/>
  <c r="Q167" i="9" s="1"/>
  <c r="Q168" i="9" s="1"/>
  <c r="Q169" i="9" s="1"/>
  <c r="Q170" i="9" s="1"/>
  <c r="Q171" i="9" s="1"/>
  <c r="Q172" i="9" s="1"/>
  <c r="Q173" i="9" s="1"/>
  <c r="Q174" i="9" s="1"/>
  <c r="Q175" i="9" s="1"/>
  <c r="Q176" i="9" s="1"/>
  <c r="Q177" i="9" s="1"/>
  <c r="Q178" i="9" s="1"/>
  <c r="Q179" i="9" s="1"/>
  <c r="Q180" i="9" s="1"/>
  <c r="Q181" i="9" s="1"/>
  <c r="Q182" i="9" s="1"/>
  <c r="Q183" i="9" s="1"/>
  <c r="Q184" i="9" s="1"/>
  <c r="Q185" i="9" s="1"/>
  <c r="Q186" i="9" s="1"/>
  <c r="Q187" i="9" s="1"/>
  <c r="Q188" i="9" s="1"/>
  <c r="Q189" i="9" s="1"/>
  <c r="Q190" i="9" s="1"/>
  <c r="Q191" i="9" s="1"/>
  <c r="Q192" i="9" s="1"/>
  <c r="Q193" i="9" s="1"/>
  <c r="Q194" i="9" s="1"/>
  <c r="Q195" i="9" s="1"/>
  <c r="Q196" i="9" s="1"/>
  <c r="Q197" i="9" s="1"/>
  <c r="Q198" i="9" s="1"/>
  <c r="Q199" i="9" s="1"/>
  <c r="Q200" i="9" s="1"/>
  <c r="Q201" i="9" s="1"/>
  <c r="Q202" i="9" s="1"/>
  <c r="Q203" i="9" s="1"/>
  <c r="Q204" i="9" s="1"/>
  <c r="Q205" i="9" s="1"/>
  <c r="Q206" i="9" s="1"/>
  <c r="Q207" i="9" s="1"/>
  <c r="Q208" i="9" s="1"/>
  <c r="Q209" i="9" s="1"/>
  <c r="Q210" i="9" s="1"/>
  <c r="Q211" i="9" s="1"/>
  <c r="Q212" i="9" s="1"/>
  <c r="Q213" i="9" s="1"/>
  <c r="Q214" i="9" s="1"/>
  <c r="Q215" i="9" s="1"/>
  <c r="Q216" i="9" s="1"/>
  <c r="Q217" i="9" s="1"/>
  <c r="Q218" i="9" s="1"/>
  <c r="Q219" i="9" s="1"/>
  <c r="Q220" i="9" s="1"/>
  <c r="Q221" i="9" s="1"/>
  <c r="Q222" i="9" s="1"/>
  <c r="Q223" i="9" s="1"/>
  <c r="Q224" i="9" s="1"/>
  <c r="Q225" i="9" s="1"/>
  <c r="Q226" i="9" s="1"/>
  <c r="Q227" i="9" s="1"/>
  <c r="Q228" i="9" s="1"/>
  <c r="Q229" i="9" s="1"/>
  <c r="Q230" i="9" s="1"/>
  <c r="Q231" i="9" s="1"/>
  <c r="Q232" i="9" s="1"/>
  <c r="Q233" i="9" s="1"/>
  <c r="Q234" i="9" s="1"/>
  <c r="Q235" i="9" s="1"/>
  <c r="Q236" i="9" s="1"/>
  <c r="Q237" i="9" s="1"/>
  <c r="Q238" i="9" s="1"/>
  <c r="Q239" i="9" s="1"/>
  <c r="Q240" i="9" s="1"/>
  <c r="Q241" i="9" s="1"/>
  <c r="Q242" i="9" s="1"/>
  <c r="Q243" i="9" s="1"/>
  <c r="Q244" i="9" s="1"/>
  <c r="Q245" i="9" s="1"/>
  <c r="Q246" i="9" s="1"/>
  <c r="Q247" i="9" s="1"/>
  <c r="Q248" i="9" s="1"/>
  <c r="Q249" i="9" s="1"/>
  <c r="Q250" i="9" s="1"/>
  <c r="Q251" i="9" s="1"/>
  <c r="Q252" i="9" s="1"/>
  <c r="Q253" i="9" s="1"/>
  <c r="Q254" i="9" s="1"/>
  <c r="Q255" i="9" s="1"/>
  <c r="Q256" i="9" s="1"/>
  <c r="Q257" i="9" s="1"/>
  <c r="Q258" i="9" s="1"/>
  <c r="Q259" i="9" s="1"/>
  <c r="Q260" i="9" s="1"/>
  <c r="Q261" i="9" s="1"/>
  <c r="Q262" i="9" s="1"/>
  <c r="Q263" i="9" s="1"/>
  <c r="Q264" i="9" s="1"/>
  <c r="Q265" i="9" s="1"/>
  <c r="Q266" i="9" s="1"/>
  <c r="Q267" i="9" s="1"/>
  <c r="Q268" i="9" s="1"/>
  <c r="Q269" i="9" s="1"/>
  <c r="Q270" i="9" s="1"/>
  <c r="Q271" i="9" s="1"/>
  <c r="Q272" i="9" s="1"/>
  <c r="Q273" i="9" s="1"/>
  <c r="Q274" i="9" s="1"/>
  <c r="Q275" i="9" s="1"/>
  <c r="Q276" i="9" s="1"/>
  <c r="Q277" i="9" s="1"/>
  <c r="Q278" i="9" s="1"/>
  <c r="Q279" i="9" s="1"/>
  <c r="Q280" i="9" s="1"/>
  <c r="Q281" i="9" s="1"/>
  <c r="Q282" i="9" s="1"/>
  <c r="Q283" i="9" s="1"/>
  <c r="Q284" i="9" s="1"/>
  <c r="Q285" i="9" s="1"/>
  <c r="Q286" i="9" s="1"/>
  <c r="Q287" i="9" s="1"/>
  <c r="Q288" i="9" s="1"/>
  <c r="Q289" i="9" s="1"/>
  <c r="Q290" i="9" s="1"/>
  <c r="Q291" i="9" s="1"/>
  <c r="Q292" i="9" s="1"/>
  <c r="Q293" i="9" s="1"/>
  <c r="Q294" i="9" s="1"/>
  <c r="Q295" i="9" s="1"/>
  <c r="Q296" i="9" s="1"/>
  <c r="Q297" i="9" s="1"/>
  <c r="Q298" i="9" s="1"/>
  <c r="Q299" i="9" s="1"/>
  <c r="Q300" i="9" s="1"/>
  <c r="Q301" i="9" s="1"/>
  <c r="Q302" i="9" s="1"/>
  <c r="Q303" i="9" s="1"/>
  <c r="Q304" i="9" s="1"/>
  <c r="Q305" i="9" s="1"/>
  <c r="Q306" i="9" s="1"/>
  <c r="Q307" i="9" s="1"/>
  <c r="Q308" i="9" s="1"/>
  <c r="Q309" i="9" s="1"/>
  <c r="Q310" i="9" s="1"/>
  <c r="Q311" i="9" s="1"/>
  <c r="Q312" i="9" s="1"/>
  <c r="Q313" i="9" s="1"/>
  <c r="Q314" i="9" s="1"/>
  <c r="Q315" i="9" s="1"/>
  <c r="Q316" i="9" s="1"/>
  <c r="Q317" i="9" s="1"/>
  <c r="Q318" i="9" s="1"/>
  <c r="Q319" i="9" s="1"/>
  <c r="Q320" i="9" s="1"/>
  <c r="Q321" i="9" s="1"/>
  <c r="Q322" i="9" s="1"/>
  <c r="Q323" i="9" s="1"/>
  <c r="Q324" i="9" s="1"/>
  <c r="Q325" i="9" s="1"/>
  <c r="Q326" i="9" s="1"/>
  <c r="Q327" i="9" s="1"/>
  <c r="Q328" i="9" s="1"/>
  <c r="Q329" i="9" s="1"/>
  <c r="Q330" i="9" s="1"/>
  <c r="Q331" i="9" s="1"/>
  <c r="Q332" i="9" s="1"/>
  <c r="Q333" i="9" s="1"/>
  <c r="Q334" i="9" s="1"/>
  <c r="Q335" i="9" s="1"/>
  <c r="Q336" i="9" s="1"/>
  <c r="Q337" i="9" s="1"/>
  <c r="Q338" i="9" s="1"/>
  <c r="Q339" i="9" s="1"/>
  <c r="Q340" i="9" s="1"/>
  <c r="Q341" i="9" s="1"/>
  <c r="Q342" i="9" s="1"/>
  <c r="Q343" i="9" s="1"/>
  <c r="Q344" i="9" s="1"/>
  <c r="Q345" i="9" s="1"/>
  <c r="Q346" i="9" s="1"/>
  <c r="Q347" i="9" s="1"/>
  <c r="Q348" i="9" s="1"/>
  <c r="Q349" i="9" s="1"/>
  <c r="Q350" i="9" s="1"/>
  <c r="Q351" i="9" s="1"/>
  <c r="Q352" i="9" s="1"/>
  <c r="Q353" i="9" s="1"/>
  <c r="Q354" i="9" s="1"/>
  <c r="Q355" i="9" s="1"/>
  <c r="Q356" i="9" s="1"/>
  <c r="Q357" i="9" s="1"/>
  <c r="Q358" i="9" s="1"/>
  <c r="Q359" i="9" s="1"/>
  <c r="Q360" i="9" s="1"/>
  <c r="Q361" i="9" s="1"/>
  <c r="Q362" i="9" s="1"/>
  <c r="Q363" i="9" s="1"/>
  <c r="Q364" i="9" s="1"/>
  <c r="Q365" i="9" s="1"/>
  <c r="Q366" i="9" s="1"/>
  <c r="Q367" i="9" s="1"/>
  <c r="Q368" i="9" s="1"/>
  <c r="Q369" i="9" s="1"/>
  <c r="Q370" i="9" s="1"/>
  <c r="Q371" i="9" s="1"/>
  <c r="Q372" i="9" s="1"/>
  <c r="Q373" i="9" s="1"/>
  <c r="Q374" i="9" s="1"/>
  <c r="Q375" i="9" s="1"/>
  <c r="Q376" i="9" s="1"/>
  <c r="Q377" i="9" s="1"/>
  <c r="Q378" i="9" s="1"/>
  <c r="Q379" i="9" s="1"/>
  <c r="Q380" i="9" s="1"/>
  <c r="Q381" i="9" s="1"/>
  <c r="Q382" i="9" s="1"/>
  <c r="Q383" i="9" s="1"/>
  <c r="Q384" i="9" s="1"/>
  <c r="Q385" i="9" s="1"/>
  <c r="Q386" i="9" s="1"/>
  <c r="Q387" i="9" s="1"/>
  <c r="Q388" i="9" s="1"/>
  <c r="Q389" i="9" s="1"/>
  <c r="Q390" i="9" s="1"/>
  <c r="Q391" i="9" s="1"/>
  <c r="Q392" i="9" s="1"/>
  <c r="Q393" i="9" s="1"/>
  <c r="Q394" i="9" s="1"/>
  <c r="Q395" i="9" s="1"/>
  <c r="Q396" i="9" s="1"/>
  <c r="Q397" i="9" s="1"/>
  <c r="Q398" i="9" s="1"/>
  <c r="Q399" i="9" s="1"/>
  <c r="Q400" i="9" s="1"/>
  <c r="Q401" i="9" s="1"/>
  <c r="Q402" i="9" s="1"/>
  <c r="Q403" i="9" s="1"/>
  <c r="Q404" i="9" s="1"/>
  <c r="Q405" i="9" s="1"/>
  <c r="Q406" i="9" s="1"/>
  <c r="Q407" i="9" s="1"/>
  <c r="Q408" i="9" s="1"/>
  <c r="Q409" i="9" s="1"/>
  <c r="Q410" i="9" s="1"/>
  <c r="Q411" i="9" s="1"/>
  <c r="Q412" i="9" s="1"/>
  <c r="Q413" i="9" s="1"/>
  <c r="Q414" i="9" s="1"/>
  <c r="Q415" i="9" s="1"/>
  <c r="Q416" i="9" s="1"/>
  <c r="Q417" i="9" s="1"/>
  <c r="Q418" i="9" s="1"/>
  <c r="Q419" i="9" s="1"/>
  <c r="Q420" i="9" s="1"/>
  <c r="Q421" i="9" s="1"/>
  <c r="Q422" i="9" s="1"/>
  <c r="Q423" i="9" s="1"/>
  <c r="Q424" i="9" s="1"/>
  <c r="Q425" i="9" s="1"/>
  <c r="Q426" i="9" s="1"/>
  <c r="Q427" i="9" s="1"/>
  <c r="Q428" i="9" s="1"/>
  <c r="Q429" i="9" s="1"/>
  <c r="Q430" i="9" s="1"/>
  <c r="Q431" i="9" s="1"/>
  <c r="Q432" i="9" s="1"/>
  <c r="Q433" i="9" s="1"/>
  <c r="Q434" i="9" s="1"/>
  <c r="Q435" i="9" s="1"/>
  <c r="Q436" i="9" s="1"/>
  <c r="Q437" i="9" s="1"/>
  <c r="Q438" i="9" s="1"/>
  <c r="Q439" i="9" s="1"/>
  <c r="Q440" i="9" s="1"/>
  <c r="Q441" i="9" s="1"/>
  <c r="Q442" i="9" s="1"/>
  <c r="Q443" i="9" s="1"/>
  <c r="Q444" i="9" s="1"/>
  <c r="Q445" i="9" s="1"/>
  <c r="Q446" i="9" s="1"/>
  <c r="Q447" i="9" s="1"/>
  <c r="Q448" i="9" s="1"/>
  <c r="Q449" i="9" s="1"/>
  <c r="Q450" i="9" s="1"/>
  <c r="Q451" i="9" s="1"/>
  <c r="Q452" i="9" s="1"/>
  <c r="Q453" i="9" s="1"/>
  <c r="Q454" i="9" s="1"/>
  <c r="Q455" i="9" s="1"/>
  <c r="Q456" i="9" s="1"/>
  <c r="Q457" i="9" s="1"/>
  <c r="Q458" i="9" s="1"/>
  <c r="Q459" i="9" s="1"/>
  <c r="Q460" i="9" s="1"/>
  <c r="Q461" i="9" s="1"/>
  <c r="Q462" i="9" s="1"/>
  <c r="Q463" i="9" s="1"/>
  <c r="Q464" i="9" s="1"/>
  <c r="Q465" i="9" s="1"/>
  <c r="Q466" i="9" s="1"/>
  <c r="Q467" i="9" s="1"/>
  <c r="Q468" i="9" s="1"/>
  <c r="Q469" i="9" s="1"/>
  <c r="Q470" i="9" s="1"/>
  <c r="Q471" i="9" s="1"/>
  <c r="Q472" i="9" s="1"/>
  <c r="Q473" i="9" s="1"/>
  <c r="Q474" i="9" s="1"/>
  <c r="Q475" i="9" s="1"/>
  <c r="Q476" i="9" s="1"/>
  <c r="Q477" i="9" s="1"/>
  <c r="Q478" i="9" s="1"/>
  <c r="Q479" i="9" s="1"/>
  <c r="Q480" i="9" s="1"/>
  <c r="Q481" i="9" s="1"/>
  <c r="Q482" i="9" s="1"/>
  <c r="Q483" i="9" s="1"/>
  <c r="Q484" i="9" s="1"/>
  <c r="Q485" i="9" s="1"/>
  <c r="Q486" i="9" s="1"/>
  <c r="Q487" i="9" s="1"/>
  <c r="Q488" i="9" s="1"/>
  <c r="Q489" i="9" s="1"/>
  <c r="Q490" i="9" s="1"/>
  <c r="Q491" i="9" s="1"/>
  <c r="Q492" i="9" s="1"/>
  <c r="Q493" i="9" s="1"/>
  <c r="Q494" i="9" s="1"/>
  <c r="Q495" i="9" s="1"/>
  <c r="Q496" i="9" s="1"/>
  <c r="Q497" i="9" s="1"/>
  <c r="Q498" i="9" s="1"/>
  <c r="Q499" i="9" s="1"/>
  <c r="Q500" i="9" s="1"/>
  <c r="Q501" i="9" s="1"/>
  <c r="Q502" i="9" s="1"/>
  <c r="Q503" i="9" s="1"/>
  <c r="Q504" i="9" s="1"/>
  <c r="Q505" i="9" s="1"/>
  <c r="Q506" i="9" s="1"/>
  <c r="Q507" i="9" s="1"/>
  <c r="Q508" i="9" s="1"/>
  <c r="Q509" i="9" s="1"/>
  <c r="Q510" i="9" s="1"/>
  <c r="Q511" i="9" s="1"/>
  <c r="Q512" i="9" s="1"/>
  <c r="Q513" i="9" s="1"/>
  <c r="Q514" i="9" s="1"/>
  <c r="Q515" i="9" s="1"/>
  <c r="Q516" i="9" s="1"/>
  <c r="Q517" i="9" s="1"/>
  <c r="Q518" i="9" s="1"/>
  <c r="Q519" i="9" s="1"/>
  <c r="Q520" i="9" s="1"/>
  <c r="Q521" i="9" s="1"/>
  <c r="Q522" i="9" s="1"/>
  <c r="Q523" i="9" s="1"/>
  <c r="Q524" i="9" s="1"/>
  <c r="Q525" i="9" s="1"/>
  <c r="Q526" i="9" s="1"/>
  <c r="Q527" i="9" s="1"/>
  <c r="Q528" i="9" s="1"/>
  <c r="Q529" i="9" s="1"/>
  <c r="Q530" i="9" s="1"/>
  <c r="Q531" i="9" s="1"/>
  <c r="Q532" i="9" s="1"/>
  <c r="Q533" i="9" s="1"/>
  <c r="Q534" i="9" s="1"/>
  <c r="Q535" i="9" s="1"/>
  <c r="Q536" i="9" s="1"/>
  <c r="Q537" i="9" s="1"/>
  <c r="Q538" i="9" s="1"/>
  <c r="Q539" i="9" s="1"/>
  <c r="Q540" i="9" s="1"/>
  <c r="Q541" i="9" s="1"/>
  <c r="Q542" i="9" s="1"/>
  <c r="Q543" i="9" s="1"/>
  <c r="Q544" i="9" s="1"/>
  <c r="Q545" i="9" s="1"/>
  <c r="Q546" i="9" s="1"/>
  <c r="Q547" i="9" s="1"/>
  <c r="Q548" i="9" s="1"/>
  <c r="Q549" i="9" s="1"/>
  <c r="Q550" i="9" s="1"/>
  <c r="Q551" i="9" s="1"/>
  <c r="Q552" i="9" s="1"/>
  <c r="Q553" i="9" s="1"/>
  <c r="Q554" i="9" s="1"/>
  <c r="Q555" i="9" s="1"/>
  <c r="Q556" i="9" s="1"/>
  <c r="Q557" i="9" s="1"/>
  <c r="Q558" i="9" s="1"/>
  <c r="Q559" i="9" s="1"/>
  <c r="Q560" i="9" s="1"/>
  <c r="Q561" i="9" s="1"/>
  <c r="Q562" i="9" s="1"/>
  <c r="Q563" i="9" s="1"/>
  <c r="Q564" i="9" s="1"/>
  <c r="Q565" i="9" s="1"/>
  <c r="Q566" i="9" s="1"/>
  <c r="Q567" i="9" s="1"/>
  <c r="Q568" i="9" s="1"/>
  <c r="Q569" i="9" s="1"/>
  <c r="Q570" i="9" s="1"/>
  <c r="Q571" i="9" s="1"/>
  <c r="Q572" i="9" s="1"/>
  <c r="Q573" i="9" s="1"/>
  <c r="Q574" i="9" s="1"/>
  <c r="Q575" i="9" s="1"/>
  <c r="Q576" i="9" s="1"/>
  <c r="Q577" i="9" s="1"/>
  <c r="Q578" i="9" s="1"/>
  <c r="Q579" i="9" s="1"/>
  <c r="Q580" i="9" s="1"/>
  <c r="Q581" i="9" s="1"/>
  <c r="Q582" i="9" s="1"/>
  <c r="Q583" i="9" s="1"/>
  <c r="Q584" i="9" s="1"/>
  <c r="Q585" i="9" s="1"/>
  <c r="Q586" i="9" s="1"/>
  <c r="Q587" i="9" s="1"/>
  <c r="Q588" i="9" s="1"/>
  <c r="Q589" i="9" s="1"/>
  <c r="Q590" i="9" s="1"/>
  <c r="Q591" i="9" s="1"/>
  <c r="Q592" i="9" s="1"/>
  <c r="Q593" i="9" s="1"/>
  <c r="Q594" i="9" s="1"/>
  <c r="Q595" i="9" s="1"/>
  <c r="Q596" i="9" s="1"/>
  <c r="Q597" i="9" s="1"/>
  <c r="Q598" i="9" s="1"/>
  <c r="Q599" i="9" s="1"/>
  <c r="Q600" i="9" s="1"/>
  <c r="Q601" i="9" s="1"/>
  <c r="Q602" i="9" s="1"/>
  <c r="Q603" i="9" s="1"/>
  <c r="Q604" i="9" s="1"/>
  <c r="Q605" i="9" s="1"/>
  <c r="Q606" i="9" s="1"/>
  <c r="Q607" i="9" s="1"/>
  <c r="Q608" i="9" s="1"/>
  <c r="Q609" i="9" s="1"/>
  <c r="Q610" i="9" s="1"/>
  <c r="Q611" i="9" s="1"/>
  <c r="Q612" i="9" s="1"/>
  <c r="Q613" i="9" s="1"/>
  <c r="Q614" i="9" s="1"/>
  <c r="Q615" i="9" s="1"/>
  <c r="Q616" i="9" s="1"/>
  <c r="Q617" i="9" s="1"/>
  <c r="Q618" i="9" s="1"/>
  <c r="Q619" i="9" s="1"/>
  <c r="Q620" i="9" s="1"/>
  <c r="Q621" i="9" s="1"/>
  <c r="Q622" i="9" s="1"/>
  <c r="Q623" i="9" s="1"/>
  <c r="Q624" i="9" s="1"/>
  <c r="Q625" i="9" s="1"/>
  <c r="Q626" i="9" s="1"/>
  <c r="Q627" i="9" s="1"/>
  <c r="Q628" i="9" s="1"/>
  <c r="Q629" i="9" s="1"/>
  <c r="Q630" i="9" s="1"/>
  <c r="Q631" i="9" s="1"/>
  <c r="Q632" i="9" s="1"/>
  <c r="Q633" i="9" s="1"/>
  <c r="Q634" i="9" s="1"/>
  <c r="Q635" i="9" s="1"/>
  <c r="Q636" i="9" s="1"/>
  <c r="Q637" i="9" s="1"/>
  <c r="Q638" i="9" s="1"/>
  <c r="Q639" i="9" s="1"/>
  <c r="Q640" i="9" s="1"/>
  <c r="Q641" i="9" s="1"/>
  <c r="Q642" i="9" s="1"/>
  <c r="Q643" i="9" s="1"/>
  <c r="Q644" i="9" s="1"/>
  <c r="Q645" i="9" s="1"/>
  <c r="Q646" i="9" s="1"/>
  <c r="Q647" i="9" s="1"/>
  <c r="Q648" i="9" s="1"/>
  <c r="Q649" i="9" s="1"/>
  <c r="Q650" i="9" s="1"/>
  <c r="Q651" i="9" s="1"/>
  <c r="Q652" i="9" s="1"/>
  <c r="Q653" i="9" s="1"/>
  <c r="Q654" i="9" s="1"/>
  <c r="Q655" i="9" s="1"/>
  <c r="Q656" i="9" s="1"/>
  <c r="Q657" i="9" s="1"/>
  <c r="Q658" i="9" s="1"/>
  <c r="Q659" i="9" s="1"/>
  <c r="Q660" i="9" s="1"/>
  <c r="Q661" i="9" s="1"/>
  <c r="Q662" i="9" s="1"/>
  <c r="Q663" i="9" s="1"/>
  <c r="Q664" i="9" s="1"/>
  <c r="Q665" i="9" s="1"/>
  <c r="Q666" i="9" s="1"/>
  <c r="Q667" i="9" s="1"/>
  <c r="Q668" i="9" s="1"/>
  <c r="Q669" i="9" s="1"/>
  <c r="Q670" i="9" s="1"/>
  <c r="Q671" i="9" s="1"/>
  <c r="Q672" i="9" s="1"/>
  <c r="Q673" i="9" s="1"/>
  <c r="Q674" i="9" s="1"/>
  <c r="Q675" i="9" s="1"/>
  <c r="Q676" i="9" s="1"/>
  <c r="Q677" i="9" s="1"/>
  <c r="Q678" i="9" s="1"/>
  <c r="Q679" i="9" s="1"/>
  <c r="Q680" i="9" s="1"/>
  <c r="Q681" i="9" s="1"/>
  <c r="Q682" i="9" s="1"/>
  <c r="Q683" i="9" s="1"/>
  <c r="Q684" i="9" s="1"/>
  <c r="Q685" i="9" s="1"/>
  <c r="Q686" i="9" s="1"/>
  <c r="Q687" i="9" s="1"/>
  <c r="Q688" i="9" s="1"/>
  <c r="Q689" i="9" s="1"/>
  <c r="Q690" i="9" s="1"/>
  <c r="Q691" i="9" s="1"/>
  <c r="Q692" i="9" s="1"/>
  <c r="Q693" i="9" s="1"/>
  <c r="Q694" i="9" s="1"/>
  <c r="Q695" i="9" s="1"/>
  <c r="Q696" i="9" s="1"/>
  <c r="Q697" i="9" s="1"/>
  <c r="Q698" i="9" s="1"/>
  <c r="Q699" i="9" s="1"/>
  <c r="Q700" i="9" s="1"/>
  <c r="Q701" i="9" s="1"/>
  <c r="Q702" i="9" s="1"/>
  <c r="Q703" i="9" s="1"/>
  <c r="Q704" i="9" s="1"/>
  <c r="Q705" i="9" s="1"/>
  <c r="Q706" i="9" s="1"/>
  <c r="Q707" i="9" s="1"/>
  <c r="Q708" i="9" s="1"/>
  <c r="Q709" i="9" s="1"/>
  <c r="Q710" i="9" s="1"/>
  <c r="Q711" i="9" s="1"/>
  <c r="Q712" i="9" s="1"/>
  <c r="Q713" i="9" s="1"/>
  <c r="Q714" i="9" s="1"/>
  <c r="Q715" i="9" s="1"/>
  <c r="Q716" i="9" s="1"/>
  <c r="Q717" i="9" s="1"/>
  <c r="Q718" i="9" s="1"/>
  <c r="Q719" i="9" s="1"/>
  <c r="Q720" i="9" s="1"/>
  <c r="Q721" i="9" s="1"/>
  <c r="Q722" i="9" s="1"/>
  <c r="Q723" i="9" s="1"/>
  <c r="Q724" i="9" s="1"/>
  <c r="Q725" i="9" s="1"/>
  <c r="Q726" i="9" s="1"/>
  <c r="Q727" i="9" s="1"/>
  <c r="Q728" i="9" s="1"/>
  <c r="Q729" i="9" s="1"/>
  <c r="Q730" i="9" s="1"/>
  <c r="Q731" i="9" s="1"/>
  <c r="Q732" i="9" s="1"/>
  <c r="Q733" i="9" s="1"/>
  <c r="Q734" i="9" s="1"/>
  <c r="Q735" i="9" s="1"/>
  <c r="Q736" i="9" s="1"/>
  <c r="Q737" i="9" s="1"/>
  <c r="Q738" i="9" s="1"/>
  <c r="Q739" i="9" s="1"/>
  <c r="Q740" i="9" s="1"/>
  <c r="Q741" i="9" s="1"/>
  <c r="Q742" i="9" s="1"/>
  <c r="Q743" i="9" s="1"/>
  <c r="Q744" i="9" s="1"/>
  <c r="Q745" i="9" s="1"/>
  <c r="Q746" i="9" s="1"/>
  <c r="Q747" i="9" s="1"/>
  <c r="Q748" i="9" s="1"/>
  <c r="Q749" i="9" s="1"/>
  <c r="Q750" i="9" s="1"/>
  <c r="Q751" i="9" s="1"/>
  <c r="Q752" i="9" s="1"/>
  <c r="Q753" i="9" s="1"/>
  <c r="Q754" i="9" s="1"/>
  <c r="Q755" i="9" s="1"/>
  <c r="Q756" i="9" s="1"/>
  <c r="Q757" i="9" s="1"/>
  <c r="Q758" i="9" s="1"/>
  <c r="Q759" i="9" s="1"/>
  <c r="Q760" i="9" s="1"/>
  <c r="Q761" i="9" s="1"/>
  <c r="Q762" i="9" s="1"/>
  <c r="Q763" i="9" s="1"/>
  <c r="Q764" i="9" s="1"/>
  <c r="Q765" i="9" s="1"/>
  <c r="Q766" i="9" s="1"/>
  <c r="Q767" i="9" s="1"/>
  <c r="Q768" i="9" s="1"/>
  <c r="Q769" i="9" s="1"/>
  <c r="Q770" i="9" s="1"/>
  <c r="Q771" i="9" s="1"/>
  <c r="Q772" i="9" s="1"/>
  <c r="Q773" i="9" s="1"/>
  <c r="Q774" i="9" s="1"/>
  <c r="Q775" i="9" s="1"/>
  <c r="Q776" i="9" s="1"/>
  <c r="Q777" i="9" s="1"/>
  <c r="Q778" i="9" s="1"/>
  <c r="Q779" i="9" s="1"/>
  <c r="Q780" i="9" s="1"/>
  <c r="Q781" i="9" s="1"/>
  <c r="Q782" i="9" s="1"/>
  <c r="Q783" i="9" s="1"/>
  <c r="Q784" i="9" s="1"/>
  <c r="Q785" i="9" s="1"/>
  <c r="Q786" i="9" s="1"/>
  <c r="Q787" i="9" s="1"/>
  <c r="Q788" i="9" s="1"/>
  <c r="Q789" i="9" s="1"/>
  <c r="Q790" i="9" s="1"/>
  <c r="Q791" i="9" s="1"/>
  <c r="Q792" i="9" s="1"/>
  <c r="Q793" i="9" s="1"/>
  <c r="Q794" i="9" s="1"/>
  <c r="Q795" i="9" s="1"/>
  <c r="Q796" i="9" s="1"/>
  <c r="Q797" i="9" s="1"/>
  <c r="Q798" i="9" s="1"/>
  <c r="Q799" i="9" s="1"/>
  <c r="Q800" i="9" s="1"/>
  <c r="Q801" i="9" s="1"/>
  <c r="Q802" i="9" s="1"/>
  <c r="Q803" i="9" s="1"/>
  <c r="Q804" i="9" s="1"/>
  <c r="Q805" i="9" s="1"/>
  <c r="Q806" i="9" s="1"/>
  <c r="Q807" i="9" s="1"/>
  <c r="Q808" i="9" s="1"/>
  <c r="Q809" i="9" s="1"/>
  <c r="Q810" i="9" s="1"/>
  <c r="Q811" i="9" s="1"/>
  <c r="Q812" i="9" s="1"/>
  <c r="Q813" i="9" s="1"/>
  <c r="Q814" i="9" s="1"/>
  <c r="Q815" i="9" s="1"/>
  <c r="Q816" i="9" s="1"/>
  <c r="Q817" i="9" s="1"/>
  <c r="Q818" i="9" s="1"/>
  <c r="Q819" i="9" s="1"/>
  <c r="Q820" i="9" s="1"/>
  <c r="Q821" i="9" s="1"/>
  <c r="Q822" i="9" s="1"/>
  <c r="Q823" i="9" s="1"/>
  <c r="Q824" i="9" s="1"/>
  <c r="Q825" i="9" s="1"/>
  <c r="Q826" i="9" s="1"/>
  <c r="Q827" i="9" s="1"/>
  <c r="Q828" i="9" s="1"/>
  <c r="Q829" i="9" s="1"/>
  <c r="Q830" i="9" s="1"/>
  <c r="Q831" i="9" s="1"/>
  <c r="Q832" i="9" s="1"/>
  <c r="Q833" i="9" s="1"/>
  <c r="Q834" i="9" s="1"/>
  <c r="Q835" i="9" s="1"/>
  <c r="Q836" i="9" s="1"/>
  <c r="Q837" i="9" s="1"/>
  <c r="Q838" i="9" s="1"/>
  <c r="Q839" i="9" s="1"/>
  <c r="Q840" i="9" s="1"/>
  <c r="Q841" i="9" s="1"/>
  <c r="Q842" i="9" s="1"/>
  <c r="Q843" i="9" s="1"/>
  <c r="Q844" i="9" s="1"/>
  <c r="Q845" i="9" s="1"/>
  <c r="Q846" i="9" s="1"/>
  <c r="Q847" i="9" s="1"/>
  <c r="Q848" i="9" s="1"/>
  <c r="Q849" i="9" s="1"/>
  <c r="Q850" i="9" s="1"/>
  <c r="Q851" i="9" s="1"/>
  <c r="Q852" i="9" s="1"/>
  <c r="Q853" i="9" s="1"/>
  <c r="Q854" i="9" s="1"/>
  <c r="Q855" i="9" s="1"/>
  <c r="Q856" i="9" s="1"/>
  <c r="Q857" i="9" s="1"/>
  <c r="Q858" i="9" s="1"/>
  <c r="Q859" i="9" s="1"/>
  <c r="Q860" i="9" s="1"/>
  <c r="Q861" i="9" s="1"/>
  <c r="Q862" i="9" s="1"/>
  <c r="Q863" i="9" s="1"/>
  <c r="Q864" i="9" s="1"/>
  <c r="Q865" i="9" s="1"/>
  <c r="Q866" i="9" s="1"/>
  <c r="Q867" i="9" s="1"/>
  <c r="Q868" i="9" s="1"/>
  <c r="Q869" i="9" s="1"/>
  <c r="Q870" i="9" s="1"/>
  <c r="Q871" i="9" s="1"/>
  <c r="Q872" i="9" s="1"/>
  <c r="Q873" i="9" s="1"/>
  <c r="Q874" i="9" s="1"/>
  <c r="Q875" i="9" s="1"/>
  <c r="Q876" i="9" s="1"/>
  <c r="Q877" i="9" s="1"/>
  <c r="Q878" i="9" s="1"/>
  <c r="Q879" i="9" s="1"/>
  <c r="Q880" i="9" s="1"/>
  <c r="Q881" i="9" s="1"/>
  <c r="Q882" i="9" s="1"/>
  <c r="Q883" i="9" s="1"/>
  <c r="Q884" i="9" s="1"/>
  <c r="Q885" i="9" s="1"/>
  <c r="Q886" i="9" s="1"/>
  <c r="Q887" i="9" s="1"/>
  <c r="Q888" i="9" s="1"/>
  <c r="Q889" i="9" s="1"/>
  <c r="Q890" i="9" s="1"/>
  <c r="Q891" i="9" s="1"/>
  <c r="Q892" i="9" s="1"/>
  <c r="Q893" i="9" s="1"/>
  <c r="Q894" i="9" s="1"/>
  <c r="Q895" i="9" s="1"/>
  <c r="Q896" i="9" s="1"/>
  <c r="Q897" i="9" s="1"/>
  <c r="Q898" i="9" s="1"/>
  <c r="Q899" i="9" s="1"/>
  <c r="Q900" i="9" s="1"/>
  <c r="Q901" i="9" s="1"/>
  <c r="Q902" i="9" s="1"/>
  <c r="Q903" i="9" s="1"/>
  <c r="Q904" i="9" s="1"/>
  <c r="Q905" i="9" s="1"/>
  <c r="Q906" i="9" s="1"/>
  <c r="Q907" i="9" s="1"/>
  <c r="Q908" i="9" s="1"/>
  <c r="Q909" i="9" s="1"/>
  <c r="Q910" i="9" s="1"/>
  <c r="Q911" i="9" s="1"/>
  <c r="Q912" i="9" s="1"/>
  <c r="Q913" i="9" s="1"/>
  <c r="Q914" i="9" s="1"/>
  <c r="Q915" i="9" s="1"/>
  <c r="Q916" i="9" s="1"/>
  <c r="Q917" i="9" s="1"/>
  <c r="Q918" i="9" s="1"/>
  <c r="Q919" i="9" s="1"/>
  <c r="Q920" i="9" s="1"/>
  <c r="Q921" i="9" s="1"/>
  <c r="Q922" i="9" s="1"/>
  <c r="Q923" i="9" s="1"/>
  <c r="Q924" i="9" s="1"/>
  <c r="Q925" i="9" s="1"/>
  <c r="Q926" i="9" s="1"/>
  <c r="Q927" i="9" s="1"/>
  <c r="Q928" i="9" s="1"/>
  <c r="Q929" i="9" s="1"/>
  <c r="Q930" i="9" s="1"/>
  <c r="Q931" i="9" s="1"/>
  <c r="Q932" i="9" s="1"/>
  <c r="Q933" i="9" s="1"/>
  <c r="Q934" i="9" s="1"/>
  <c r="Q935" i="9" s="1"/>
  <c r="Q936" i="9" s="1"/>
  <c r="Q937" i="9" s="1"/>
  <c r="Q938" i="9" s="1"/>
  <c r="Q939" i="9" s="1"/>
  <c r="Q940" i="9" s="1"/>
  <c r="Q941" i="9" s="1"/>
  <c r="Q942" i="9" s="1"/>
  <c r="Q943" i="9" s="1"/>
  <c r="Q944" i="9" s="1"/>
  <c r="Q945" i="9" s="1"/>
  <c r="Q946" i="9" s="1"/>
  <c r="Q947" i="9" s="1"/>
  <c r="Q948" i="9" s="1"/>
  <c r="Q949" i="9" s="1"/>
  <c r="Q950" i="9" s="1"/>
  <c r="Q951" i="9" s="1"/>
  <c r="Q952" i="9" s="1"/>
  <c r="Q953" i="9" s="1"/>
  <c r="Q954" i="9" s="1"/>
  <c r="Q955" i="9" s="1"/>
  <c r="Q956" i="9" s="1"/>
  <c r="Q957" i="9" s="1"/>
  <c r="Q958" i="9" s="1"/>
  <c r="Q959" i="9" s="1"/>
  <c r="Q960" i="9" s="1"/>
  <c r="Q961" i="9" s="1"/>
  <c r="Q962" i="9" s="1"/>
  <c r="Q963" i="9" s="1"/>
  <c r="Q964" i="9" s="1"/>
  <c r="Q965" i="9" s="1"/>
  <c r="Q966" i="9" s="1"/>
  <c r="Q967" i="9" s="1"/>
  <c r="Q968" i="9" s="1"/>
  <c r="Q969" i="9" s="1"/>
  <c r="Q970" i="9" s="1"/>
  <c r="Q971" i="9" s="1"/>
  <c r="Q972" i="9" s="1"/>
  <c r="Q973" i="9" s="1"/>
  <c r="Q974" i="9" s="1"/>
  <c r="Q975" i="9" s="1"/>
  <c r="Q976" i="9" s="1"/>
  <c r="Q977" i="9" s="1"/>
  <c r="Q978" i="9" s="1"/>
  <c r="Q979" i="9" s="1"/>
  <c r="Q980" i="9" s="1"/>
  <c r="Q981" i="9" s="1"/>
  <c r="Q982" i="9" s="1"/>
  <c r="Q983" i="9" s="1"/>
  <c r="Q984" i="9" s="1"/>
  <c r="Q985" i="9" s="1"/>
  <c r="Q986" i="9" s="1"/>
  <c r="Q987" i="9" s="1"/>
  <c r="Q988" i="9" s="1"/>
  <c r="Q989" i="9" s="1"/>
  <c r="Q990" i="9" s="1"/>
  <c r="Q991" i="9" s="1"/>
  <c r="Q992" i="9" s="1"/>
  <c r="Q993" i="9" s="1"/>
  <c r="Q994" i="9" s="1"/>
  <c r="Q995" i="9" s="1"/>
  <c r="Q996" i="9" s="1"/>
  <c r="Q997" i="9" s="1"/>
  <c r="Q998" i="9" s="1"/>
  <c r="Q999" i="9" s="1"/>
  <c r="Q1000" i="9" s="1"/>
  <c r="Q1001" i="9" s="1"/>
  <c r="Q1002" i="9" s="1"/>
  <c r="Q1003" i="9" s="1"/>
  <c r="Q1004" i="9" s="1"/>
  <c r="Q1005" i="9" s="1"/>
  <c r="Q1006" i="9" s="1"/>
  <c r="Q1007" i="9" s="1"/>
  <c r="Q1008" i="9" s="1"/>
  <c r="Q1009" i="9" s="1"/>
  <c r="Q1010" i="9" s="1"/>
  <c r="Q1011" i="9" s="1"/>
  <c r="Q1012" i="9" s="1"/>
  <c r="Q1013" i="9" s="1"/>
  <c r="Q1014" i="9" s="1"/>
  <c r="Q1015" i="9" s="1"/>
  <c r="Q1016" i="9" s="1"/>
  <c r="Q1017" i="9" s="1"/>
  <c r="Q1018" i="9" s="1"/>
  <c r="Q1019" i="9" s="1"/>
  <c r="Q1020" i="9" s="1"/>
  <c r="Q1021" i="9" s="1"/>
  <c r="Q1022" i="9" s="1"/>
  <c r="Q1023" i="9" s="1"/>
  <c r="Q1024" i="9" s="1"/>
  <c r="Q1025" i="9" s="1"/>
  <c r="Q1026" i="9" s="1"/>
  <c r="Q1027" i="9" s="1"/>
  <c r="Q1028" i="9" s="1"/>
  <c r="Q1029" i="9" s="1"/>
  <c r="Q1030" i="9" s="1"/>
  <c r="Q1031" i="9" s="1"/>
  <c r="Q1032" i="9" s="1"/>
  <c r="Q1033" i="9" s="1"/>
  <c r="Q1034" i="9" s="1"/>
  <c r="Q1035" i="9" s="1"/>
  <c r="Q1036" i="9" s="1"/>
  <c r="Q1037" i="9" s="1"/>
  <c r="Q1038" i="9" s="1"/>
  <c r="Q1039" i="9" s="1"/>
  <c r="Q1040" i="9" s="1"/>
  <c r="Q1041" i="9" s="1"/>
  <c r="Q1042" i="9" s="1"/>
  <c r="Q1043" i="9" s="1"/>
  <c r="Q1044" i="9" s="1"/>
  <c r="Q1045" i="9" s="1"/>
  <c r="Q1046" i="9" s="1"/>
  <c r="Q1047" i="9" s="1"/>
  <c r="Q1048" i="9" s="1"/>
  <c r="Q1049" i="9" s="1"/>
  <c r="Q1050" i="9" s="1"/>
  <c r="Q1051" i="9" s="1"/>
  <c r="Q1052" i="9" s="1"/>
  <c r="Q1053" i="9" s="1"/>
  <c r="Q1054" i="9" s="1"/>
  <c r="Q1055" i="9" s="1"/>
  <c r="Q1056" i="9" s="1"/>
  <c r="Q1057" i="9" s="1"/>
  <c r="Q1058" i="9" s="1"/>
  <c r="Q1059" i="9" s="1"/>
  <c r="Q1060" i="9" s="1"/>
  <c r="Q1061" i="9" s="1"/>
  <c r="Q1062" i="9" s="1"/>
  <c r="Q1063" i="9" s="1"/>
  <c r="Q1064" i="9" s="1"/>
  <c r="Q1065" i="9" s="1"/>
  <c r="Q1066" i="9" s="1"/>
  <c r="Q1067" i="9" s="1"/>
  <c r="Q1068" i="9" s="1"/>
  <c r="Q1069" i="9" s="1"/>
  <c r="Q1070" i="9" s="1"/>
  <c r="Q1071" i="9" s="1"/>
  <c r="Q1072" i="9" s="1"/>
  <c r="Q1073" i="9" s="1"/>
  <c r="Q1074" i="9" s="1"/>
  <c r="Q1075" i="9" s="1"/>
  <c r="Q1076" i="9" s="1"/>
  <c r="Q1077" i="9" s="1"/>
  <c r="Q1078" i="9" s="1"/>
  <c r="Q1079" i="9" s="1"/>
  <c r="Q1080" i="9" s="1"/>
  <c r="Q1081" i="9" s="1"/>
  <c r="Q1082" i="9" s="1"/>
  <c r="Q1083" i="9" s="1"/>
  <c r="Q1084" i="9" s="1"/>
  <c r="Q1085" i="9" s="1"/>
  <c r="Q1086" i="9" s="1"/>
  <c r="Q1087" i="9" s="1"/>
  <c r="Q1088" i="9" s="1"/>
  <c r="Q1089" i="9" s="1"/>
  <c r="Q1090" i="9" s="1"/>
  <c r="Q1091" i="9" s="1"/>
  <c r="Q1092" i="9" s="1"/>
  <c r="Q1093" i="9" s="1"/>
  <c r="Q1094" i="9" s="1"/>
  <c r="Q1095" i="9" s="1"/>
  <c r="Q1096" i="9" s="1"/>
  <c r="Q1097" i="9" s="1"/>
  <c r="Q1098" i="9" s="1"/>
  <c r="Q1099" i="9" s="1"/>
  <c r="Q1100" i="9" s="1"/>
  <c r="Q1101" i="9" s="1"/>
  <c r="Q1102" i="9" s="1"/>
  <c r="Q1103" i="9" s="1"/>
  <c r="Q1104" i="9" s="1"/>
  <c r="Q1105" i="9" s="1"/>
  <c r="Q1106" i="9" s="1"/>
  <c r="Q1107" i="9" s="1"/>
  <c r="Q1108" i="9" s="1"/>
  <c r="Q1109" i="9" s="1"/>
  <c r="Q1110" i="9" s="1"/>
  <c r="Q1111" i="9" s="1"/>
  <c r="Q1112" i="9" s="1"/>
  <c r="Q1113" i="9" s="1"/>
  <c r="Q1114" i="9" s="1"/>
  <c r="Q1115" i="9" s="1"/>
  <c r="Q1116" i="9" s="1"/>
  <c r="Q1117" i="9" s="1"/>
  <c r="Q1118" i="9" s="1"/>
  <c r="Q1119" i="9" s="1"/>
  <c r="Q1120" i="9" s="1"/>
  <c r="Q1121" i="9" s="1"/>
  <c r="Q1122" i="9" s="1"/>
  <c r="Q1123" i="9" s="1"/>
  <c r="Q1124" i="9" s="1"/>
  <c r="Q1125" i="9" s="1"/>
  <c r="Q1126" i="9" s="1"/>
  <c r="Q1127" i="9" s="1"/>
  <c r="Q1128" i="9" s="1"/>
  <c r="Q1129" i="9" s="1"/>
  <c r="Q1130" i="9" s="1"/>
  <c r="Q1131" i="9" s="1"/>
  <c r="Q1132" i="9" s="1"/>
  <c r="Q1133" i="9" s="1"/>
  <c r="Q1134" i="9" s="1"/>
  <c r="Q1135" i="9" s="1"/>
  <c r="Q1136" i="9" s="1"/>
  <c r="Q1137" i="9" s="1"/>
  <c r="Q1138" i="9" s="1"/>
  <c r="Q1139" i="9" s="1"/>
  <c r="Q1140" i="9" s="1"/>
  <c r="Q1141" i="9" s="1"/>
  <c r="Q1142" i="9" s="1"/>
  <c r="Q1143" i="9" s="1"/>
  <c r="Q1144" i="9" s="1"/>
  <c r="Q1145" i="9" s="1"/>
  <c r="Q1146" i="9" s="1"/>
  <c r="Q1147" i="9" s="1"/>
  <c r="Q1148" i="9" s="1"/>
  <c r="Q1149" i="9" s="1"/>
  <c r="Q1150" i="9" s="1"/>
  <c r="Q1151" i="9" s="1"/>
  <c r="Q1152" i="9" s="1"/>
  <c r="Q1153" i="9" s="1"/>
  <c r="Q1154" i="9" s="1"/>
  <c r="Q1155" i="9" s="1"/>
  <c r="Q1156" i="9" s="1"/>
  <c r="Q1157" i="9" s="1"/>
  <c r="Q1158" i="9" s="1"/>
  <c r="Q1159" i="9" s="1"/>
  <c r="Q1160" i="9" s="1"/>
  <c r="Q1161" i="9" s="1"/>
  <c r="Q1162" i="9" s="1"/>
  <c r="Q1163" i="9" s="1"/>
  <c r="Q1164" i="9" s="1"/>
  <c r="Q1165" i="9" s="1"/>
  <c r="Q1166" i="9" s="1"/>
  <c r="Q1167" i="9" s="1"/>
  <c r="Q1168" i="9" s="1"/>
  <c r="Q1169" i="9" s="1"/>
  <c r="Q1170" i="9" s="1"/>
  <c r="Q1171" i="9" s="1"/>
  <c r="Q1172" i="9" s="1"/>
  <c r="Q1173" i="9" s="1"/>
  <c r="Q1174" i="9" s="1"/>
  <c r="Q1175" i="9" s="1"/>
  <c r="Q1176" i="9" s="1"/>
  <c r="Q1177" i="9" s="1"/>
  <c r="Q1178" i="9" s="1"/>
  <c r="Q1179" i="9" s="1"/>
  <c r="Q1180" i="9" s="1"/>
  <c r="Q1181" i="9" s="1"/>
  <c r="Q1182" i="9" s="1"/>
  <c r="Q1183" i="9" s="1"/>
  <c r="Q1184" i="9" s="1"/>
  <c r="Q1185" i="9" s="1"/>
  <c r="Q1186" i="9" s="1"/>
  <c r="Q1187" i="9" s="1"/>
  <c r="Q1188" i="9" s="1"/>
  <c r="Q1189" i="9" s="1"/>
  <c r="Q1190" i="9" s="1"/>
  <c r="Q1191" i="9" s="1"/>
  <c r="Q1192" i="9" s="1"/>
  <c r="Q1193" i="9" s="1"/>
  <c r="Q1194" i="9" s="1"/>
  <c r="Q1195" i="9" s="1"/>
  <c r="Q1196" i="9" s="1"/>
  <c r="Q1197" i="9" s="1"/>
  <c r="Q1198" i="9" s="1"/>
  <c r="Q1199" i="9" s="1"/>
  <c r="Q1200" i="9" s="1"/>
  <c r="Q1201" i="9" s="1"/>
  <c r="Q1202" i="9" s="1"/>
  <c r="Q1203" i="9" s="1"/>
  <c r="Q1204" i="9" s="1"/>
  <c r="Q1205" i="9" s="1"/>
  <c r="Q1206" i="9" s="1"/>
  <c r="Q1207" i="9" s="1"/>
  <c r="Q1208" i="9" s="1"/>
  <c r="Q1209" i="9" s="1"/>
  <c r="Q1210" i="9" s="1"/>
  <c r="Q1211" i="9" s="1"/>
  <c r="Q1212" i="9" s="1"/>
  <c r="Q1213" i="9" s="1"/>
  <c r="Q1214" i="9" s="1"/>
  <c r="Q1215" i="9" s="1"/>
  <c r="Q1216" i="9" s="1"/>
  <c r="Q1217" i="9" s="1"/>
  <c r="Q1218" i="9" s="1"/>
  <c r="Q1219" i="9" s="1"/>
  <c r="Q1220" i="9" s="1"/>
  <c r="Q1221" i="9" s="1"/>
  <c r="Q1222" i="9" s="1"/>
  <c r="Q1223" i="9" s="1"/>
  <c r="Q1224" i="9" s="1"/>
  <c r="Q1225" i="9" s="1"/>
  <c r="Q1226" i="9" s="1"/>
  <c r="Q1227" i="9" s="1"/>
  <c r="Q1228" i="9" s="1"/>
  <c r="Q1229" i="9" s="1"/>
  <c r="Q1230" i="9" s="1"/>
  <c r="Q1231" i="9" s="1"/>
  <c r="Q1232" i="9" s="1"/>
  <c r="Q1233" i="9" s="1"/>
  <c r="Q1234" i="9" s="1"/>
  <c r="Q1235" i="9" s="1"/>
  <c r="Q1236" i="9" s="1"/>
  <c r="Q1237" i="9" s="1"/>
  <c r="Q1238" i="9" s="1"/>
  <c r="Q1239" i="9" s="1"/>
  <c r="Q1240" i="9" s="1"/>
  <c r="Q1241" i="9" s="1"/>
  <c r="Q1242" i="9" s="1"/>
  <c r="Q1243" i="9" s="1"/>
  <c r="Q1244" i="9" s="1"/>
  <c r="Q1245" i="9" s="1"/>
  <c r="Q1246" i="9" s="1"/>
  <c r="Q1247" i="9" s="1"/>
  <c r="Q1248" i="9" s="1"/>
  <c r="Q1249" i="9" s="1"/>
  <c r="Q1250" i="9" s="1"/>
  <c r="Q1251" i="9" s="1"/>
  <c r="Q1252" i="9" s="1"/>
  <c r="Q1253" i="9" s="1"/>
  <c r="Q1254" i="9" s="1"/>
  <c r="Q1255" i="9" s="1"/>
  <c r="Q1256" i="9" s="1"/>
  <c r="Q1257" i="9" s="1"/>
  <c r="Q1258" i="9" s="1"/>
  <c r="Q1259" i="9" s="1"/>
  <c r="Q1260" i="9" s="1"/>
  <c r="Q1261" i="9" s="1"/>
  <c r="Q1262" i="9" s="1"/>
  <c r="Q1263" i="9" s="1"/>
  <c r="Q1264" i="9" s="1"/>
  <c r="Q1265" i="9" s="1"/>
  <c r="Q1266" i="9" s="1"/>
  <c r="Q1267" i="9" s="1"/>
  <c r="Q1268" i="9" s="1"/>
  <c r="Q1269" i="9" s="1"/>
  <c r="Q1270" i="9" s="1"/>
  <c r="Q1271" i="9" s="1"/>
  <c r="Q1272" i="9" s="1"/>
  <c r="Q1273" i="9" s="1"/>
  <c r="Q1274" i="9" s="1"/>
  <c r="Q1275" i="9" s="1"/>
  <c r="Q1276" i="9" s="1"/>
  <c r="Q1277" i="9" s="1"/>
  <c r="Q1278" i="9" s="1"/>
  <c r="Q1279" i="9" s="1"/>
  <c r="Q1280" i="9" s="1"/>
  <c r="Q1281" i="9" s="1"/>
  <c r="Q1282" i="9" s="1"/>
  <c r="Q1283" i="9" s="1"/>
  <c r="Q1284" i="9" s="1"/>
  <c r="Q1285" i="9" s="1"/>
  <c r="Q1286" i="9" s="1"/>
  <c r="Q1287" i="9" s="1"/>
  <c r="Q1288" i="9" s="1"/>
  <c r="Q1289" i="9" s="1"/>
  <c r="Q1290" i="9" s="1"/>
  <c r="Q1291" i="9" s="1"/>
  <c r="Q1292" i="9" s="1"/>
  <c r="Q1293" i="9" s="1"/>
  <c r="Q1294" i="9" s="1"/>
  <c r="Q1295" i="9" s="1"/>
  <c r="Q1296" i="9" s="1"/>
  <c r="Q1297" i="9" s="1"/>
  <c r="Q1298" i="9" s="1"/>
  <c r="Q1299" i="9" s="1"/>
  <c r="Q1300" i="9" s="1"/>
  <c r="Q1301" i="9" s="1"/>
  <c r="Q1302" i="9" s="1"/>
  <c r="Q1303" i="9" s="1"/>
  <c r="Q1304" i="9" s="1"/>
  <c r="Q1305" i="9" s="1"/>
  <c r="Q1306" i="9" s="1"/>
  <c r="Q1307" i="9" s="1"/>
  <c r="Q1308" i="9" s="1"/>
  <c r="Q1309" i="9" s="1"/>
  <c r="Q1310" i="9" s="1"/>
  <c r="Q1311" i="9" s="1"/>
  <c r="Q1312" i="9" s="1"/>
  <c r="Q1313" i="9" s="1"/>
  <c r="Q1314" i="9" s="1"/>
  <c r="Q1315" i="9" s="1"/>
  <c r="Q1316" i="9" s="1"/>
  <c r="Q1317" i="9" s="1"/>
  <c r="Q1318" i="9" s="1"/>
  <c r="Q1319" i="9" s="1"/>
  <c r="Q1320" i="9" s="1"/>
  <c r="Q1321" i="9" s="1"/>
  <c r="Q1322" i="9" s="1"/>
  <c r="Q1323" i="9" s="1"/>
  <c r="Q1324" i="9" s="1"/>
  <c r="Q1325" i="9" s="1"/>
  <c r="Q1326" i="9" s="1"/>
  <c r="Q1327" i="9" s="1"/>
  <c r="Q1328" i="9" s="1"/>
  <c r="Q1329" i="9" s="1"/>
  <c r="Q1330" i="9" s="1"/>
  <c r="Q1331" i="9" s="1"/>
  <c r="Q1332" i="9" s="1"/>
  <c r="Q1333" i="9" s="1"/>
  <c r="Q1334" i="9" s="1"/>
  <c r="Q1335" i="9" s="1"/>
  <c r="Q1336" i="9" s="1"/>
  <c r="Q1337" i="9" s="1"/>
  <c r="Q1338" i="9" s="1"/>
  <c r="Q1339" i="9" s="1"/>
  <c r="Q1340" i="9" s="1"/>
  <c r="Q1341" i="9" s="1"/>
  <c r="Q1342" i="9" s="1"/>
  <c r="Q1343" i="9" s="1"/>
  <c r="Q1344" i="9" s="1"/>
  <c r="Q1345" i="9" s="1"/>
  <c r="Q1346" i="9" s="1"/>
  <c r="Q1347" i="9" s="1"/>
  <c r="Q1348" i="9" s="1"/>
  <c r="Q1349" i="9" s="1"/>
  <c r="Q1350" i="9" s="1"/>
  <c r="Q1351" i="9" s="1"/>
  <c r="Q1352" i="9" s="1"/>
  <c r="Q1353" i="9" s="1"/>
  <c r="Q1354" i="9" s="1"/>
  <c r="Q1355" i="9" s="1"/>
  <c r="Q1356" i="9" s="1"/>
  <c r="Q1357" i="9" s="1"/>
  <c r="Q1358" i="9" s="1"/>
  <c r="Q1359" i="9" s="1"/>
  <c r="Q1360" i="9" s="1"/>
  <c r="Q1361" i="9" s="1"/>
  <c r="Q1362" i="9" s="1"/>
  <c r="Q1363" i="9" s="1"/>
  <c r="Q1364" i="9" s="1"/>
  <c r="Q1365" i="9" s="1"/>
  <c r="Q1366" i="9" s="1"/>
  <c r="Q1367" i="9" s="1"/>
  <c r="Q1368" i="9" s="1"/>
  <c r="Q1369" i="9" s="1"/>
  <c r="Q1370" i="9" s="1"/>
  <c r="Q1371" i="9" s="1"/>
  <c r="Q1372" i="9" s="1"/>
  <c r="Q1373" i="9" s="1"/>
  <c r="Q1374" i="9" s="1"/>
  <c r="Q1375" i="9" s="1"/>
  <c r="Q1376" i="9" s="1"/>
  <c r="Q1377" i="9" s="1"/>
  <c r="Q1378" i="9" s="1"/>
  <c r="Q1379" i="9" s="1"/>
  <c r="Q1380" i="9" s="1"/>
  <c r="Q1381" i="9" s="1"/>
  <c r="Q1382" i="9" s="1"/>
  <c r="Q1383" i="9" s="1"/>
  <c r="Q1384" i="9" s="1"/>
  <c r="Q1385" i="9" s="1"/>
  <c r="Q1386" i="9" s="1"/>
  <c r="Q1387" i="9" s="1"/>
  <c r="Q1388" i="9" s="1"/>
  <c r="Q1389" i="9" s="1"/>
  <c r="Q1390" i="9" s="1"/>
  <c r="Q1391" i="9" s="1"/>
  <c r="Q1392" i="9" s="1"/>
  <c r="Q1393" i="9" s="1"/>
  <c r="Q1394" i="9" s="1"/>
  <c r="Q1395" i="9" s="1"/>
  <c r="Q1396" i="9" s="1"/>
  <c r="Q1397" i="9" s="1"/>
  <c r="Q1398" i="9" s="1"/>
  <c r="Q1399" i="9" s="1"/>
  <c r="Q1400" i="9" s="1"/>
  <c r="Q1401" i="9" s="1"/>
  <c r="Q1402" i="9" s="1"/>
  <c r="Q1403" i="9" s="1"/>
  <c r="Q1404" i="9" s="1"/>
  <c r="Q1405" i="9" s="1"/>
  <c r="Q1406" i="9" s="1"/>
  <c r="Q1407" i="9" s="1"/>
  <c r="Q1408" i="9" s="1"/>
  <c r="Q1409" i="9" s="1"/>
  <c r="Q1410" i="9" s="1"/>
  <c r="Q1411" i="9" s="1"/>
  <c r="Q1412" i="9" s="1"/>
  <c r="Q1413" i="9" s="1"/>
  <c r="Q1414" i="9" s="1"/>
  <c r="Q1415" i="9" s="1"/>
  <c r="Q1416" i="9" s="1"/>
  <c r="Q1417" i="9" s="1"/>
  <c r="Q1418" i="9" s="1"/>
  <c r="Q1419" i="9" s="1"/>
  <c r="Q1420" i="9" s="1"/>
  <c r="Q1421" i="9" s="1"/>
  <c r="Q1422" i="9" s="1"/>
  <c r="Q1423" i="9" s="1"/>
  <c r="Q1424" i="9" s="1"/>
  <c r="Q1425" i="9" s="1"/>
  <c r="Q1426" i="9" s="1"/>
  <c r="Q1427" i="9" s="1"/>
  <c r="Q1428" i="9" s="1"/>
  <c r="Q1429" i="9" s="1"/>
  <c r="Q1430" i="9" s="1"/>
  <c r="Q1431" i="9" s="1"/>
  <c r="Q1432" i="9" s="1"/>
  <c r="Q1433" i="9" s="1"/>
  <c r="Q1434" i="9" s="1"/>
  <c r="Q1435" i="9" s="1"/>
  <c r="Q1436" i="9" s="1"/>
  <c r="Q1437" i="9" s="1"/>
  <c r="Q1438" i="9" s="1"/>
  <c r="Q1439" i="9" s="1"/>
  <c r="Q1440" i="9" s="1"/>
  <c r="Q1441" i="9" s="1"/>
  <c r="Q1442" i="9" s="1"/>
  <c r="Q1443" i="9" s="1"/>
  <c r="Q1444" i="9" s="1"/>
  <c r="Q1445" i="9" s="1"/>
  <c r="Q1446" i="9" s="1"/>
  <c r="Q1447" i="9" s="1"/>
  <c r="Q1448" i="9" s="1"/>
  <c r="Q1449" i="9" s="1"/>
  <c r="Q1450" i="9" s="1"/>
  <c r="Q1451" i="9" s="1"/>
  <c r="Q1452" i="9" s="1"/>
  <c r="Q1453" i="9" s="1"/>
  <c r="Q1454" i="9" s="1"/>
  <c r="Q1455" i="9" s="1"/>
  <c r="Q1456" i="9" s="1"/>
  <c r="Q1457" i="9" s="1"/>
  <c r="Q1458" i="9" s="1"/>
  <c r="Q1459" i="9" s="1"/>
  <c r="Q1460" i="9" s="1"/>
  <c r="Q1461" i="9" s="1"/>
  <c r="Q1462" i="9" s="1"/>
  <c r="Q1463" i="9" s="1"/>
  <c r="Q1464" i="9" s="1"/>
  <c r="Q1465" i="9" s="1"/>
  <c r="Q1466" i="9" s="1"/>
  <c r="Q1467" i="9" s="1"/>
  <c r="Q1468" i="9" s="1"/>
  <c r="Q1469" i="9" s="1"/>
  <c r="Q1470" i="9" s="1"/>
  <c r="Q1471" i="9" s="1"/>
  <c r="Q1472" i="9" s="1"/>
  <c r="Q1473" i="9" s="1"/>
  <c r="Q1474" i="9" s="1"/>
  <c r="Q1475" i="9" s="1"/>
  <c r="Q1476" i="9" s="1"/>
  <c r="Q1477" i="9" s="1"/>
  <c r="Q1478" i="9" s="1"/>
  <c r="Q1479" i="9" s="1"/>
  <c r="Q1480" i="9" s="1"/>
  <c r="Q1481" i="9" s="1"/>
  <c r="Q1482" i="9" s="1"/>
  <c r="Q1483" i="9" s="1"/>
  <c r="Q1484" i="9" s="1"/>
  <c r="Q1485" i="9" s="1"/>
  <c r="Q1486" i="9" s="1"/>
  <c r="Q1487" i="9" s="1"/>
  <c r="Q1488" i="9" s="1"/>
  <c r="Q1489" i="9" s="1"/>
  <c r="Q1490" i="9" s="1"/>
  <c r="Q1491" i="9" s="1"/>
  <c r="Q1492" i="9" s="1"/>
  <c r="Q1493" i="9" s="1"/>
  <c r="Q1494" i="9" s="1"/>
  <c r="Q1495" i="9" s="1"/>
  <c r="Q1496" i="9" s="1"/>
  <c r="Q1497" i="9" s="1"/>
  <c r="Q1498" i="9" s="1"/>
  <c r="Q1499" i="9" s="1"/>
  <c r="Q1500" i="9" s="1"/>
  <c r="Q1501" i="9" s="1"/>
  <c r="Q1502" i="9" s="1"/>
  <c r="Q1503" i="9" s="1"/>
  <c r="Q1504" i="9" s="1"/>
  <c r="Q1505" i="9" s="1"/>
  <c r="Q1506" i="9" s="1"/>
  <c r="Q1507" i="9" s="1"/>
  <c r="Q1508" i="9" s="1"/>
  <c r="Q1509" i="9" s="1"/>
  <c r="Q1510" i="9" s="1"/>
  <c r="Q1511" i="9" s="1"/>
  <c r="Q1512" i="9" s="1"/>
  <c r="Q1513" i="9" s="1"/>
  <c r="Q1514" i="9" s="1"/>
  <c r="Q1515" i="9" s="1"/>
  <c r="Q1516" i="9" s="1"/>
  <c r="Q1517" i="9" s="1"/>
  <c r="Q1518" i="9" s="1"/>
  <c r="Q1519" i="9" s="1"/>
  <c r="Q1520" i="9" s="1"/>
  <c r="Q1521" i="9" s="1"/>
  <c r="Q1522" i="9" s="1"/>
  <c r="Q1523" i="9" s="1"/>
  <c r="Q1524" i="9" s="1"/>
  <c r="Q1525" i="9" s="1"/>
  <c r="Q1526" i="9" s="1"/>
  <c r="Q1527" i="9" s="1"/>
  <c r="Q1528" i="9" s="1"/>
  <c r="Q1529" i="9" s="1"/>
  <c r="Q1530" i="9" s="1"/>
  <c r="Q1531" i="9" s="1"/>
  <c r="Q1532" i="9" s="1"/>
  <c r="Q1533" i="9" s="1"/>
  <c r="Q1534" i="9" s="1"/>
  <c r="Q1535" i="9" s="1"/>
  <c r="Q1536" i="9" s="1"/>
  <c r="Q1537" i="9" s="1"/>
  <c r="Q1538" i="9" s="1"/>
  <c r="Q1539" i="9" s="1"/>
  <c r="Q1540" i="9" s="1"/>
  <c r="Q1541" i="9" s="1"/>
  <c r="Q1542" i="9" s="1"/>
  <c r="Q1543" i="9" s="1"/>
  <c r="Q1544" i="9" s="1"/>
  <c r="Q1545" i="9" s="1"/>
  <c r="Q1546" i="9" s="1"/>
  <c r="Q1547" i="9" s="1"/>
  <c r="Q1548" i="9" s="1"/>
  <c r="Q1549" i="9" s="1"/>
  <c r="Q1550" i="9" s="1"/>
  <c r="Q1551" i="9" s="1"/>
  <c r="Q1552" i="9" s="1"/>
  <c r="Q1553" i="9" s="1"/>
  <c r="Q1554" i="9" s="1"/>
  <c r="Q1555" i="9" s="1"/>
  <c r="Q1556" i="9" s="1"/>
  <c r="Q1557" i="9" s="1"/>
  <c r="Q1558" i="9" s="1"/>
  <c r="Q1559" i="9" s="1"/>
  <c r="Q1560" i="9" s="1"/>
  <c r="Q1561" i="9" s="1"/>
  <c r="Q1562" i="9" s="1"/>
  <c r="Q1563" i="9" s="1"/>
  <c r="Q1564" i="9" s="1"/>
  <c r="Q1565" i="9" s="1"/>
  <c r="Q1566" i="9" s="1"/>
  <c r="Q1567" i="9" s="1"/>
  <c r="Q1568" i="9" s="1"/>
  <c r="Q1569" i="9" s="1"/>
  <c r="Q1570" i="9" s="1"/>
  <c r="Q1571" i="9" s="1"/>
  <c r="Q1572" i="9" s="1"/>
  <c r="Q1573" i="9" s="1"/>
  <c r="Q1574" i="9" s="1"/>
  <c r="Q1575" i="9" s="1"/>
  <c r="Q1576" i="9" s="1"/>
  <c r="Q1577" i="9" s="1"/>
  <c r="Q1578" i="9" s="1"/>
  <c r="Q1579" i="9" s="1"/>
  <c r="Q1580" i="9" s="1"/>
  <c r="Q1581" i="9" s="1"/>
  <c r="Q1582" i="9" s="1"/>
  <c r="Q1583" i="9" s="1"/>
  <c r="Q1584" i="9" s="1"/>
  <c r="Q1585" i="9" s="1"/>
  <c r="Q1586" i="9" s="1"/>
  <c r="Q1587" i="9" s="1"/>
  <c r="Q1588" i="9" s="1"/>
  <c r="Q1589" i="9" s="1"/>
  <c r="Q1590" i="9" s="1"/>
  <c r="Q1591" i="9" s="1"/>
  <c r="Q1592" i="9" s="1"/>
  <c r="Q1593" i="9" s="1"/>
  <c r="Q1594" i="9" s="1"/>
  <c r="Q1595" i="9" s="1"/>
  <c r="Q1596" i="9" s="1"/>
  <c r="Q1597" i="9" s="1"/>
  <c r="Q1598" i="9" s="1"/>
  <c r="Q1599" i="9" s="1"/>
  <c r="Q1600" i="9" s="1"/>
  <c r="Q1601" i="9" s="1"/>
  <c r="Q1602" i="9" s="1"/>
  <c r="Q1603" i="9" s="1"/>
  <c r="Q1604" i="9" s="1"/>
  <c r="Q1605" i="9" s="1"/>
  <c r="Q1606" i="9" s="1"/>
  <c r="Q1607" i="9" s="1"/>
  <c r="Q1608" i="9" s="1"/>
  <c r="Q1609" i="9" s="1"/>
  <c r="Q1610" i="9" s="1"/>
  <c r="Q1611" i="9" s="1"/>
  <c r="Q1612" i="9" s="1"/>
  <c r="Q1613" i="9" s="1"/>
  <c r="Q1614" i="9" s="1"/>
  <c r="Q1615" i="9" s="1"/>
  <c r="Q1616" i="9" s="1"/>
  <c r="Q1617" i="9" s="1"/>
  <c r="Q1618" i="9" s="1"/>
  <c r="Q1619" i="9" s="1"/>
  <c r="Q1620" i="9" s="1"/>
  <c r="Q1621" i="9" s="1"/>
  <c r="Q1622" i="9" s="1"/>
  <c r="Q1623" i="9" s="1"/>
  <c r="Q1624" i="9" s="1"/>
  <c r="Q1625" i="9" s="1"/>
  <c r="Q1626" i="9" s="1"/>
  <c r="Q1627" i="9" s="1"/>
  <c r="Q1628" i="9" s="1"/>
  <c r="Q1629" i="9" s="1"/>
  <c r="Q1630" i="9" s="1"/>
  <c r="Q1631" i="9" s="1"/>
  <c r="Q1632" i="9" s="1"/>
  <c r="Q1633" i="9" s="1"/>
  <c r="Q1634" i="9" s="1"/>
  <c r="Q1635" i="9" s="1"/>
  <c r="Q1636" i="9" s="1"/>
  <c r="Q1637" i="9" s="1"/>
  <c r="Q1638" i="9" s="1"/>
  <c r="Q1639" i="9" s="1"/>
  <c r="Q1640" i="9" s="1"/>
  <c r="Q1641" i="9" s="1"/>
  <c r="Q1642" i="9" s="1"/>
  <c r="Q1643" i="9" s="1"/>
  <c r="Q1644" i="9" s="1"/>
  <c r="Q1645" i="9" s="1"/>
  <c r="Q1646" i="9" s="1"/>
  <c r="Q1647" i="9" s="1"/>
  <c r="Q1648" i="9" s="1"/>
  <c r="Q1649" i="9" s="1"/>
  <c r="Q1650" i="9" s="1"/>
  <c r="Q1651" i="9" s="1"/>
  <c r="Q1652" i="9" s="1"/>
  <c r="Q1653" i="9" s="1"/>
  <c r="Q1654" i="9" s="1"/>
  <c r="Q1655" i="9" s="1"/>
  <c r="Q1656" i="9" s="1"/>
  <c r="Q1657" i="9" s="1"/>
  <c r="Q1658" i="9" s="1"/>
  <c r="Q1659" i="9" s="1"/>
  <c r="Q1660" i="9" s="1"/>
  <c r="Q1661" i="9" s="1"/>
  <c r="Q1662" i="9" s="1"/>
  <c r="Q1663" i="9" s="1"/>
  <c r="Q1664" i="9" s="1"/>
  <c r="Q1665" i="9" s="1"/>
  <c r="Q1666" i="9" s="1"/>
  <c r="Q1667" i="9" s="1"/>
  <c r="Q1668" i="9" s="1"/>
  <c r="Q1669" i="9" s="1"/>
  <c r="Q1670" i="9" s="1"/>
  <c r="Q1671" i="9" s="1"/>
  <c r="Q1672" i="9" s="1"/>
  <c r="Q1673" i="9" s="1"/>
  <c r="Q1674" i="9" s="1"/>
  <c r="Q1675" i="9" s="1"/>
  <c r="Q1676" i="9" s="1"/>
  <c r="Q1677" i="9" s="1"/>
  <c r="Q1678" i="9" s="1"/>
  <c r="Q1679" i="9" s="1"/>
  <c r="Q1680" i="9" s="1"/>
  <c r="Q1681" i="9" s="1"/>
  <c r="Q1682" i="9" s="1"/>
  <c r="Q1683" i="9" s="1"/>
  <c r="Q1684" i="9" s="1"/>
  <c r="Q1685" i="9" s="1"/>
  <c r="Q1686" i="9" s="1"/>
  <c r="Q1687" i="9" s="1"/>
  <c r="Q1688" i="9" s="1"/>
  <c r="Q1689" i="9" s="1"/>
  <c r="Q1690" i="9" s="1"/>
  <c r="Q1691" i="9" s="1"/>
  <c r="Q1692" i="9" s="1"/>
  <c r="Q1693" i="9" s="1"/>
  <c r="Q1694" i="9" s="1"/>
  <c r="Q1695" i="9" s="1"/>
  <c r="Q1696" i="9" s="1"/>
  <c r="Q1697" i="9" s="1"/>
  <c r="Q1698" i="9" s="1"/>
  <c r="Q1699" i="9" s="1"/>
  <c r="Q1700" i="9" s="1"/>
  <c r="Q1701" i="9" s="1"/>
  <c r="Q1702" i="9" s="1"/>
  <c r="Q1703" i="9" s="1"/>
  <c r="Q1704" i="9" s="1"/>
  <c r="Q1705" i="9" s="1"/>
  <c r="Q1706" i="9" s="1"/>
  <c r="Q1707" i="9" s="1"/>
  <c r="Q1708" i="9" s="1"/>
  <c r="Q1709" i="9" s="1"/>
  <c r="Q1710" i="9" s="1"/>
  <c r="Q1711" i="9" s="1"/>
  <c r="Q1712" i="9" s="1"/>
  <c r="Q1713" i="9" s="1"/>
  <c r="Q1714" i="9" s="1"/>
  <c r="Q1715" i="9" s="1"/>
  <c r="Q1716" i="9" s="1"/>
  <c r="Q1717" i="9" s="1"/>
  <c r="Q1718" i="9" s="1"/>
  <c r="Q1719" i="9" s="1"/>
  <c r="Q1720" i="9" s="1"/>
  <c r="Q1721" i="9" s="1"/>
  <c r="Q1722" i="9" s="1"/>
  <c r="Q1723" i="9" s="1"/>
  <c r="Q1724" i="9" s="1"/>
  <c r="Q1725" i="9" s="1"/>
  <c r="Q1726" i="9" s="1"/>
  <c r="Q1727" i="9" s="1"/>
  <c r="Q1728" i="9" s="1"/>
  <c r="Q1729" i="9" s="1"/>
  <c r="Q1730" i="9" s="1"/>
  <c r="Q1731" i="9" s="1"/>
  <c r="Q1732" i="9" s="1"/>
  <c r="Q1733" i="9" s="1"/>
  <c r="Q1734" i="9" s="1"/>
  <c r="Q1735" i="9" s="1"/>
  <c r="Q1736" i="9" s="1"/>
  <c r="Q1737" i="9" s="1"/>
  <c r="Q1738" i="9" s="1"/>
  <c r="Q1739" i="9" s="1"/>
  <c r="Q1740" i="9" s="1"/>
  <c r="Q1741" i="9" s="1"/>
  <c r="Q1742" i="9" s="1"/>
  <c r="Q1743" i="9" s="1"/>
  <c r="Q1744" i="9" s="1"/>
  <c r="Q1745" i="9" s="1"/>
  <c r="Q1746" i="9" s="1"/>
  <c r="Q1747" i="9" s="1"/>
  <c r="Q1748" i="9" s="1"/>
  <c r="Q1749" i="9" s="1"/>
  <c r="Q1750" i="9" s="1"/>
  <c r="Q1751" i="9" s="1"/>
  <c r="Q1752" i="9" s="1"/>
  <c r="Q1753" i="9" s="1"/>
  <c r="Q1754" i="9" s="1"/>
  <c r="Q1755" i="9" s="1"/>
  <c r="Q1756" i="9" s="1"/>
  <c r="Q1757" i="9" s="1"/>
  <c r="Q1758" i="9" s="1"/>
  <c r="Q1759" i="9" s="1"/>
  <c r="Q1760" i="9" s="1"/>
  <c r="Q1761" i="9" s="1"/>
  <c r="Q1762" i="9" s="1"/>
  <c r="Q1763" i="9" s="1"/>
  <c r="Q1764" i="9" s="1"/>
  <c r="Q1765" i="9" s="1"/>
  <c r="Q1766" i="9" s="1"/>
  <c r="Q1767" i="9" s="1"/>
  <c r="Q1768" i="9" s="1"/>
  <c r="Q1769" i="9" s="1"/>
  <c r="Q1770" i="9" s="1"/>
  <c r="Q1771" i="9" s="1"/>
  <c r="Q1772" i="9" s="1"/>
  <c r="Q1773" i="9" s="1"/>
  <c r="Q1774" i="9" s="1"/>
  <c r="Q1775" i="9" s="1"/>
  <c r="Q1776" i="9" s="1"/>
  <c r="Q1777" i="9" s="1"/>
  <c r="Q1778" i="9" s="1"/>
  <c r="Q1779" i="9" s="1"/>
  <c r="Q1780" i="9" s="1"/>
  <c r="Q1781" i="9" s="1"/>
  <c r="Q1782" i="9" s="1"/>
  <c r="Q1783" i="9" s="1"/>
  <c r="Q1784" i="9" s="1"/>
  <c r="Q1785" i="9" s="1"/>
  <c r="Q1786" i="9" s="1"/>
  <c r="Q1787" i="9" s="1"/>
  <c r="Q1788" i="9" s="1"/>
  <c r="Q1789" i="9" s="1"/>
  <c r="Q1790" i="9" s="1"/>
  <c r="Q1791" i="9" s="1"/>
  <c r="Q1792" i="9" s="1"/>
  <c r="Q1793" i="9" s="1"/>
  <c r="Q1794" i="9" s="1"/>
  <c r="Q1795" i="9" s="1"/>
  <c r="Q1796" i="9" s="1"/>
  <c r="Q1797" i="9" s="1"/>
  <c r="Q1798" i="9" s="1"/>
  <c r="Q1799" i="9" s="1"/>
  <c r="Q1800" i="9" s="1"/>
  <c r="Q1801" i="9" s="1"/>
  <c r="Q1802" i="9" s="1"/>
  <c r="Q1803" i="9" s="1"/>
  <c r="Q1804" i="9" s="1"/>
  <c r="Q1805" i="9" s="1"/>
  <c r="Q1806" i="9" s="1"/>
  <c r="Q1807" i="9" s="1"/>
  <c r="Q1808" i="9" s="1"/>
  <c r="Q1809" i="9" s="1"/>
  <c r="Q1810" i="9" s="1"/>
  <c r="Q1811" i="9" s="1"/>
  <c r="Q1812" i="9" s="1"/>
  <c r="Q1813" i="9" s="1"/>
  <c r="Q1814" i="9" s="1"/>
  <c r="Q1815" i="9" s="1"/>
  <c r="Q1816" i="9" s="1"/>
  <c r="Q1817" i="9" s="1"/>
  <c r="Q1818" i="9" s="1"/>
  <c r="Q1819" i="9" s="1"/>
  <c r="Q1820" i="9" s="1"/>
  <c r="Q1821" i="9" s="1"/>
  <c r="Q1822" i="9" s="1"/>
  <c r="Q1823" i="9" s="1"/>
  <c r="Q1824" i="9" s="1"/>
  <c r="Q1825" i="9" s="1"/>
  <c r="Q1826" i="9" s="1"/>
  <c r="Q1827" i="9" s="1"/>
  <c r="Q1828" i="9" s="1"/>
  <c r="Q1829" i="9" s="1"/>
  <c r="Q1830" i="9" s="1"/>
  <c r="Q1831" i="9" s="1"/>
  <c r="Q1832" i="9" s="1"/>
  <c r="Q1833" i="9" s="1"/>
  <c r="Q1834" i="9" s="1"/>
  <c r="Q1835" i="9" s="1"/>
  <c r="Q1836" i="9" s="1"/>
  <c r="Q1837" i="9" s="1"/>
  <c r="Q1838" i="9" s="1"/>
  <c r="Q1839" i="9" s="1"/>
  <c r="Q1840" i="9" s="1"/>
  <c r="Q1841" i="9" s="1"/>
  <c r="Q1842" i="9" s="1"/>
  <c r="Q1843" i="9" s="1"/>
  <c r="Q1844" i="9" s="1"/>
  <c r="Q1845" i="9" s="1"/>
  <c r="Q1846" i="9" s="1"/>
  <c r="Q1847" i="9" s="1"/>
  <c r="Q1848" i="9" s="1"/>
  <c r="Q1849" i="9" s="1"/>
  <c r="Q1850" i="9" s="1"/>
  <c r="Q1851" i="9" s="1"/>
  <c r="Q1852" i="9" s="1"/>
  <c r="Q1853" i="9" s="1"/>
  <c r="Q1854" i="9" s="1"/>
  <c r="Q1855" i="9" s="1"/>
  <c r="Q1856" i="9" s="1"/>
  <c r="Q1857" i="9" s="1"/>
  <c r="Q1858" i="9" s="1"/>
  <c r="Q1859" i="9" s="1"/>
  <c r="Q1860" i="9" s="1"/>
  <c r="Q1861" i="9" s="1"/>
  <c r="Q1862" i="9" s="1"/>
  <c r="Q1863" i="9" s="1"/>
  <c r="Q1864" i="9" s="1"/>
  <c r="Q1865" i="9" s="1"/>
  <c r="Q1866" i="9" s="1"/>
  <c r="Q1867" i="9" s="1"/>
  <c r="Q1868" i="9" s="1"/>
  <c r="Q1869" i="9" s="1"/>
  <c r="Q1870" i="9" s="1"/>
  <c r="Q1871" i="9" s="1"/>
  <c r="Q1872" i="9" s="1"/>
  <c r="Q1873" i="9" s="1"/>
  <c r="Q1874" i="9" s="1"/>
  <c r="Q1875" i="9" s="1"/>
  <c r="Q1876" i="9" s="1"/>
  <c r="Q1877" i="9" s="1"/>
  <c r="Q1878" i="9" s="1"/>
  <c r="Q1879" i="9" s="1"/>
  <c r="Q1880" i="9" s="1"/>
  <c r="Q1881" i="9" s="1"/>
  <c r="Q1882" i="9" s="1"/>
  <c r="Q1883" i="9" s="1"/>
  <c r="Q1884" i="9" s="1"/>
  <c r="Q1885" i="9" s="1"/>
  <c r="Q1886" i="9" s="1"/>
  <c r="Q1887" i="9" s="1"/>
  <c r="Q1888" i="9" s="1"/>
  <c r="Q1889" i="9" s="1"/>
  <c r="Q1890" i="9" s="1"/>
  <c r="Q1891" i="9" s="1"/>
  <c r="Q1892" i="9" s="1"/>
  <c r="Q1893" i="9" s="1"/>
  <c r="Q1894" i="9" s="1"/>
  <c r="Q1895" i="9" s="1"/>
  <c r="Q1896" i="9" s="1"/>
  <c r="Q1897" i="9" s="1"/>
  <c r="Q1898" i="9" s="1"/>
  <c r="Q1899" i="9" s="1"/>
  <c r="Q1900" i="9" s="1"/>
  <c r="Q1901" i="9" s="1"/>
  <c r="Q1902" i="9" s="1"/>
  <c r="Q1903" i="9" s="1"/>
  <c r="Q1904" i="9" s="1"/>
  <c r="Q1905" i="9" s="1"/>
  <c r="Q1906" i="9" s="1"/>
  <c r="Q1907" i="9" s="1"/>
  <c r="Q1908" i="9" s="1"/>
  <c r="Q1909" i="9" s="1"/>
  <c r="Q1910" i="9" s="1"/>
  <c r="Q1911" i="9" s="1"/>
  <c r="Q1912" i="9" s="1"/>
  <c r="Q1913" i="9" s="1"/>
  <c r="Q1914" i="9" s="1"/>
  <c r="Q1915" i="9" s="1"/>
  <c r="Q1916" i="9" s="1"/>
  <c r="Q1917" i="9" s="1"/>
  <c r="Q1918" i="9" s="1"/>
  <c r="Q1919" i="9" s="1"/>
  <c r="Q1920" i="9" s="1"/>
  <c r="Q1921" i="9" s="1"/>
  <c r="Q1922" i="9" s="1"/>
  <c r="Q1923" i="9" s="1"/>
  <c r="Q1924" i="9" s="1"/>
  <c r="Q1925" i="9" s="1"/>
  <c r="Q1926" i="9" s="1"/>
  <c r="Q1927" i="9" s="1"/>
  <c r="Q1928" i="9" s="1"/>
  <c r="Q1929" i="9" s="1"/>
  <c r="Q1930" i="9" s="1"/>
  <c r="Q1931" i="9" s="1"/>
  <c r="Q1932" i="9" s="1"/>
  <c r="Q1933" i="9" s="1"/>
  <c r="Q1934" i="9" s="1"/>
  <c r="Q1935" i="9" s="1"/>
  <c r="Q1936" i="9" s="1"/>
  <c r="Q1937" i="9" s="1"/>
  <c r="Q1938" i="9" s="1"/>
  <c r="Q1939" i="9" s="1"/>
  <c r="Q1940" i="9" s="1"/>
  <c r="Q1941" i="9" s="1"/>
  <c r="Q1942" i="9" s="1"/>
  <c r="Q1943" i="9" s="1"/>
  <c r="Q1944" i="9" s="1"/>
  <c r="Q1945" i="9" s="1"/>
  <c r="Q1946" i="9" s="1"/>
  <c r="Q1947" i="9" s="1"/>
  <c r="Q1948" i="9" s="1"/>
  <c r="Q1949" i="9" s="1"/>
  <c r="Q1950" i="9" s="1"/>
  <c r="Q1951" i="9" s="1"/>
  <c r="Q1952" i="9" s="1"/>
  <c r="Q1953" i="9" s="1"/>
  <c r="Q1954" i="9" s="1"/>
  <c r="Q1955" i="9" s="1"/>
  <c r="Q1956" i="9" s="1"/>
  <c r="Q1957" i="9" s="1"/>
  <c r="Q1958" i="9" s="1"/>
  <c r="Q1959" i="9" s="1"/>
  <c r="Q1960" i="9" s="1"/>
  <c r="Q1961" i="9" s="1"/>
  <c r="Q1962" i="9" s="1"/>
  <c r="Q1963" i="9" s="1"/>
  <c r="Q1964" i="9" s="1"/>
  <c r="Q1965" i="9" s="1"/>
  <c r="Q1966" i="9" s="1"/>
  <c r="Q1967" i="9" s="1"/>
  <c r="Q1968" i="9" s="1"/>
  <c r="Q1969" i="9" s="1"/>
  <c r="Q1970" i="9" s="1"/>
  <c r="Q1971" i="9" s="1"/>
  <c r="Q1972" i="9" s="1"/>
  <c r="Q1973" i="9" s="1"/>
  <c r="Q1974" i="9" s="1"/>
  <c r="Q1975" i="9" s="1"/>
  <c r="Q1976" i="9" s="1"/>
  <c r="Q1977" i="9" s="1"/>
  <c r="Q1978" i="9" s="1"/>
  <c r="Q1979" i="9" s="1"/>
  <c r="Q1980" i="9" s="1"/>
  <c r="Q1981" i="9" s="1"/>
  <c r="Q1982" i="9" s="1"/>
  <c r="Q1983" i="9" s="1"/>
  <c r="Q1984" i="9" s="1"/>
  <c r="Q1985" i="9" s="1"/>
  <c r="Q1986" i="9" s="1"/>
  <c r="Q1987" i="9" s="1"/>
  <c r="Q1988" i="9" s="1"/>
  <c r="Q1989" i="9" s="1"/>
  <c r="Q1990" i="9" s="1"/>
  <c r="Q1991" i="9" s="1"/>
  <c r="Q1992" i="9" s="1"/>
  <c r="Q1993" i="9" s="1"/>
  <c r="Q1994" i="9" s="1"/>
  <c r="Q1995" i="9" s="1"/>
  <c r="Q1996" i="9" s="1"/>
  <c r="Q1997" i="9" s="1"/>
  <c r="Q1998" i="9" s="1"/>
  <c r="Q1999" i="9" s="1"/>
  <c r="Q2000" i="9" s="1"/>
  <c r="Q2001" i="9" s="1"/>
  <c r="Q2002" i="9" s="1"/>
  <c r="Q2003" i="9" s="1"/>
  <c r="Q2004" i="9" s="1"/>
  <c r="Q2005" i="9" s="1"/>
  <c r="Q2006" i="9" s="1"/>
  <c r="Q2007" i="9" s="1"/>
  <c r="Q2008" i="9" s="1"/>
  <c r="Q2009" i="9" s="1"/>
  <c r="Q2010" i="9" s="1"/>
  <c r="Q2011" i="9" s="1"/>
  <c r="Q2012" i="9" s="1"/>
  <c r="Q2013" i="9" s="1"/>
  <c r="Q2014" i="9" s="1"/>
  <c r="Q2015" i="9" s="1"/>
  <c r="Q2016" i="9" s="1"/>
  <c r="Q2017" i="9" s="1"/>
  <c r="Q2018" i="9" s="1"/>
  <c r="Q2019" i="9" s="1"/>
  <c r="Q2020" i="9" s="1"/>
  <c r="Q2021" i="9" s="1"/>
  <c r="Q2022" i="9" s="1"/>
  <c r="Q2023" i="9" s="1"/>
  <c r="Q2024" i="9" s="1"/>
  <c r="Q2025" i="9" s="1"/>
  <c r="Q2026" i="9" s="1"/>
  <c r="Q2027" i="9" s="1"/>
  <c r="Q2028" i="9" s="1"/>
  <c r="Q2029" i="9" s="1"/>
  <c r="Q2030" i="9" s="1"/>
  <c r="Q2031" i="9" s="1"/>
  <c r="Q2032" i="9" s="1"/>
  <c r="Q2033" i="9" s="1"/>
  <c r="Q2034" i="9" s="1"/>
  <c r="Q2035" i="9" s="1"/>
  <c r="Q2036" i="9" s="1"/>
  <c r="Q2037" i="9" s="1"/>
  <c r="Q2038" i="9" s="1"/>
  <c r="Q2039" i="9" s="1"/>
  <c r="Q2040" i="9" s="1"/>
  <c r="Q2041" i="9" s="1"/>
  <c r="Q2042" i="9" s="1"/>
  <c r="Q2043" i="9" s="1"/>
  <c r="Q2044" i="9" s="1"/>
  <c r="Q2045" i="9" s="1"/>
  <c r="Q2046" i="9" s="1"/>
  <c r="Q2047" i="9" s="1"/>
  <c r="Q2048" i="9" s="1"/>
  <c r="Q2049" i="9" s="1"/>
  <c r="Q2050" i="9" s="1"/>
  <c r="Q2051" i="9" s="1"/>
  <c r="Q2052" i="9" s="1"/>
  <c r="Q2053" i="9" s="1"/>
  <c r="Q2054" i="9" s="1"/>
  <c r="Q2055" i="9" s="1"/>
  <c r="Q2056" i="9" s="1"/>
  <c r="Q2057" i="9" s="1"/>
  <c r="Q2058" i="9" s="1"/>
  <c r="Q2059" i="9" s="1"/>
  <c r="Q2060" i="9" s="1"/>
  <c r="Q2061" i="9" s="1"/>
  <c r="Q2062" i="9" s="1"/>
  <c r="Q2063" i="9" s="1"/>
  <c r="Q2064" i="9" s="1"/>
  <c r="Q2065" i="9" s="1"/>
  <c r="Q2066" i="9" s="1"/>
  <c r="Q2067" i="9" s="1"/>
  <c r="Q2068" i="9" s="1"/>
  <c r="Q2069" i="9" s="1"/>
  <c r="Q2070" i="9" s="1"/>
  <c r="Q2071" i="9" s="1"/>
  <c r="Q2072" i="9" s="1"/>
  <c r="Q2073" i="9" s="1"/>
  <c r="Q2074" i="9" s="1"/>
  <c r="Q2075" i="9" s="1"/>
  <c r="Q2076" i="9" s="1"/>
  <c r="Q2077" i="9" s="1"/>
  <c r="Q2078" i="9" s="1"/>
  <c r="Q2079" i="9" s="1"/>
  <c r="Q2080" i="9" s="1"/>
  <c r="Q2081" i="9" s="1"/>
  <c r="Q2082" i="9" s="1"/>
  <c r="Q2083" i="9" s="1"/>
  <c r="Q2084" i="9" s="1"/>
  <c r="Q2085" i="9" s="1"/>
  <c r="Q2086" i="9" s="1"/>
  <c r="Q2087" i="9" s="1"/>
  <c r="Q2088" i="9" s="1"/>
  <c r="Q2089" i="9" s="1"/>
  <c r="Q2090" i="9" s="1"/>
  <c r="Q2091" i="9" s="1"/>
  <c r="Q2092" i="9" s="1"/>
  <c r="Q2093" i="9" s="1"/>
  <c r="Q2094" i="9" s="1"/>
  <c r="Q2095" i="9" s="1"/>
  <c r="Q2096" i="9" s="1"/>
  <c r="Q2097" i="9" s="1"/>
  <c r="Q2098" i="9" s="1"/>
  <c r="Q2099" i="9" s="1"/>
  <c r="Q2100" i="9" s="1"/>
  <c r="Q2101" i="9" s="1"/>
  <c r="Q2102" i="9" s="1"/>
  <c r="Q2103" i="9" s="1"/>
  <c r="Q2104" i="9" s="1"/>
  <c r="Q2105" i="9" s="1"/>
  <c r="Q2106" i="9" s="1"/>
  <c r="Q2107" i="9" s="1"/>
  <c r="Q2108" i="9" s="1"/>
  <c r="Q2109" i="9" s="1"/>
  <c r="Q2110" i="9" s="1"/>
  <c r="Q2111" i="9" s="1"/>
  <c r="Q2112" i="9" s="1"/>
  <c r="Q2113" i="9" s="1"/>
  <c r="Q2114" i="9" s="1"/>
  <c r="Q2115" i="9" s="1"/>
  <c r="Q2116" i="9" s="1"/>
  <c r="Q2117" i="9" s="1"/>
  <c r="Q2118" i="9" s="1"/>
  <c r="Q2119" i="9" s="1"/>
  <c r="Q2120" i="9" s="1"/>
  <c r="Q2121" i="9" s="1"/>
  <c r="Q2122" i="9" s="1"/>
  <c r="Q2123" i="9" s="1"/>
  <c r="Q2124" i="9" s="1"/>
  <c r="Q2125" i="9" s="1"/>
  <c r="Q2126" i="9" s="1"/>
  <c r="Q2127" i="9" s="1"/>
  <c r="Q2128" i="9" s="1"/>
  <c r="Q2129" i="9" s="1"/>
  <c r="Q2130" i="9" s="1"/>
  <c r="Q2131" i="9" s="1"/>
  <c r="Q2132" i="9" s="1"/>
  <c r="Q2133" i="9" s="1"/>
  <c r="Q2134" i="9" s="1"/>
  <c r="Q2135" i="9" s="1"/>
  <c r="Q2136" i="9" s="1"/>
  <c r="Q2137" i="9" s="1"/>
  <c r="Q2138" i="9" s="1"/>
  <c r="Q2139" i="9" s="1"/>
  <c r="Q2140" i="9" s="1"/>
  <c r="Q2141" i="9" s="1"/>
  <c r="Q2142" i="9" s="1"/>
  <c r="Q2143" i="9" s="1"/>
  <c r="Q2144" i="9" s="1"/>
  <c r="Q2145" i="9" s="1"/>
  <c r="Q2146" i="9" s="1"/>
  <c r="Q2147" i="9" s="1"/>
  <c r="Q2148" i="9" s="1"/>
  <c r="Q2149" i="9" s="1"/>
  <c r="Q2150" i="9" s="1"/>
  <c r="Q2151" i="9" s="1"/>
  <c r="Q2152" i="9" s="1"/>
  <c r="Q2153" i="9" s="1"/>
  <c r="Q2154" i="9" s="1"/>
  <c r="Q2155" i="9" s="1"/>
  <c r="Q2156" i="9" s="1"/>
  <c r="Q2157" i="9" s="1"/>
  <c r="Q2158" i="9" s="1"/>
  <c r="Q2159" i="9" s="1"/>
  <c r="Q2160" i="9" s="1"/>
  <c r="Q2161" i="9" s="1"/>
  <c r="Q2162" i="9" s="1"/>
  <c r="Q2163" i="9" s="1"/>
  <c r="Q2164" i="9" s="1"/>
  <c r="Q2165" i="9" s="1"/>
  <c r="Q2166" i="9" s="1"/>
  <c r="Q2167" i="9" s="1"/>
  <c r="Q2168" i="9" s="1"/>
  <c r="Q2169" i="9" s="1"/>
  <c r="Q2170" i="9" s="1"/>
  <c r="Q2171" i="9" s="1"/>
  <c r="Q2172" i="9" s="1"/>
  <c r="Q2173" i="9" s="1"/>
  <c r="Q2174" i="9" s="1"/>
  <c r="Q2175" i="9" s="1"/>
  <c r="Q2176" i="9" s="1"/>
  <c r="Q2177" i="9" s="1"/>
  <c r="Q2178" i="9" s="1"/>
  <c r="Q2179" i="9" s="1"/>
  <c r="Q2180" i="9" s="1"/>
  <c r="Q2181" i="9" s="1"/>
  <c r="Q2182" i="9" s="1"/>
  <c r="Q2183" i="9" s="1"/>
  <c r="Q2184" i="9" s="1"/>
  <c r="Q2185" i="9" s="1"/>
  <c r="Q2186" i="9" s="1"/>
  <c r="Q2187" i="9" s="1"/>
  <c r="Q2188" i="9" s="1"/>
  <c r="Q2189" i="9" s="1"/>
  <c r="Q2190" i="9" s="1"/>
  <c r="Q2191" i="9" s="1"/>
  <c r="Q2192" i="9" s="1"/>
  <c r="Q2193" i="9" s="1"/>
  <c r="Q2194" i="9" s="1"/>
  <c r="Q2195" i="9" s="1"/>
  <c r="Q2196" i="9" s="1"/>
  <c r="Q2197" i="9" s="1"/>
  <c r="Q2198" i="9" s="1"/>
  <c r="Q2199" i="9" s="1"/>
  <c r="Q2200" i="9" s="1"/>
  <c r="Q2201" i="9" s="1"/>
  <c r="Q2202" i="9" s="1"/>
  <c r="Q2203" i="9" s="1"/>
  <c r="Q2204" i="9" s="1"/>
  <c r="Q2205" i="9" s="1"/>
  <c r="Q2206" i="9" s="1"/>
  <c r="Q2207" i="9" s="1"/>
  <c r="Q2208" i="9" s="1"/>
  <c r="Q2209" i="9" s="1"/>
  <c r="Q2210" i="9" s="1"/>
  <c r="Q2211" i="9" s="1"/>
  <c r="Q2212" i="9" s="1"/>
  <c r="Q2213" i="9" s="1"/>
  <c r="Q2214" i="9" s="1"/>
  <c r="Q2215" i="9" s="1"/>
  <c r="Q2216" i="9" s="1"/>
  <c r="Q2217" i="9" s="1"/>
  <c r="Q2218" i="9" s="1"/>
  <c r="Q2219" i="9" s="1"/>
  <c r="Q2220" i="9" s="1"/>
  <c r="Q2221" i="9" s="1"/>
  <c r="Q2222" i="9" s="1"/>
  <c r="Q2223" i="9" s="1"/>
  <c r="Q2224" i="9" s="1"/>
  <c r="Q2225" i="9" s="1"/>
  <c r="Q2226" i="9" s="1"/>
  <c r="Q2227" i="9" s="1"/>
  <c r="Q2228" i="9" s="1"/>
  <c r="Q2229" i="9" s="1"/>
  <c r="Q2230" i="9" s="1"/>
  <c r="Q2231" i="9" s="1"/>
  <c r="Q2232" i="9" s="1"/>
  <c r="Q2233" i="9" s="1"/>
  <c r="Q2234" i="9" s="1"/>
  <c r="Q2235" i="9" s="1"/>
  <c r="Q2236" i="9" s="1"/>
  <c r="Q2237" i="9" s="1"/>
  <c r="Q2238" i="9" s="1"/>
  <c r="Q2239" i="9" s="1"/>
  <c r="Q2240" i="9" s="1"/>
  <c r="Q2241" i="9" s="1"/>
  <c r="Q2242" i="9" s="1"/>
  <c r="Q2243" i="9" s="1"/>
  <c r="Q2244" i="9" s="1"/>
  <c r="Q2245" i="9" s="1"/>
  <c r="Q2246" i="9" s="1"/>
  <c r="Q2247" i="9" s="1"/>
  <c r="Q2248" i="9" s="1"/>
  <c r="Q2249" i="9" s="1"/>
  <c r="Q2250" i="9" s="1"/>
  <c r="Q2251" i="9" s="1"/>
  <c r="Q2252" i="9" s="1"/>
  <c r="Q2253" i="9" s="1"/>
  <c r="Q2254" i="9" s="1"/>
  <c r="Q2255" i="9" s="1"/>
  <c r="Q2256" i="9" s="1"/>
  <c r="Q2257" i="9" s="1"/>
  <c r="Q2258" i="9" s="1"/>
  <c r="Q2259" i="9" s="1"/>
  <c r="Q2260" i="9" s="1"/>
  <c r="Q2261" i="9" s="1"/>
  <c r="Q2262" i="9" s="1"/>
  <c r="Q2263" i="9" s="1"/>
  <c r="Q2264" i="9" s="1"/>
  <c r="Q2265" i="9" s="1"/>
  <c r="Q2266" i="9" s="1"/>
  <c r="Q2267" i="9" s="1"/>
  <c r="Q2268" i="9" s="1"/>
  <c r="Q2269" i="9" s="1"/>
  <c r="Q2270" i="9" s="1"/>
  <c r="Q2271" i="9" s="1"/>
  <c r="Q2272" i="9" s="1"/>
  <c r="Q2273" i="9" s="1"/>
  <c r="Q2274" i="9" s="1"/>
  <c r="Q2275" i="9" s="1"/>
  <c r="Q2276" i="9" s="1"/>
  <c r="Q2277" i="9" s="1"/>
  <c r="Q2278" i="9" s="1"/>
  <c r="Q2279" i="9" s="1"/>
  <c r="Q2280" i="9" s="1"/>
  <c r="Q2281" i="9" s="1"/>
  <c r="Q2282" i="9" s="1"/>
  <c r="Q2283" i="9" s="1"/>
  <c r="Q2284" i="9" s="1"/>
  <c r="Q2285" i="9" s="1"/>
  <c r="Q2286" i="9" s="1"/>
  <c r="Q2287" i="9" s="1"/>
  <c r="Q2288" i="9" s="1"/>
  <c r="Q2289" i="9" s="1"/>
  <c r="Q2290" i="9" s="1"/>
  <c r="Q2291" i="9" s="1"/>
  <c r="Q2292" i="9" s="1"/>
  <c r="Q2293" i="9" s="1"/>
  <c r="Q2294" i="9" s="1"/>
  <c r="Q2295" i="9" s="1"/>
  <c r="Q2296" i="9" s="1"/>
  <c r="Q2297" i="9" s="1"/>
  <c r="Q2298" i="9" s="1"/>
  <c r="Q2299" i="9" s="1"/>
  <c r="Q2300" i="9" s="1"/>
  <c r="Q2301" i="9" s="1"/>
  <c r="Q2302" i="9" s="1"/>
  <c r="Q2303" i="9" s="1"/>
  <c r="Q2304" i="9" s="1"/>
  <c r="Q2305" i="9" s="1"/>
  <c r="Q2306" i="9" s="1"/>
  <c r="Q2307" i="9" s="1"/>
  <c r="Q2308" i="9" s="1"/>
  <c r="Q2309" i="9" s="1"/>
  <c r="Q2310" i="9" s="1"/>
  <c r="Q2311" i="9" s="1"/>
  <c r="Q2312" i="9" s="1"/>
  <c r="Q2313" i="9" s="1"/>
  <c r="Q2314" i="9" s="1"/>
  <c r="Q2315" i="9" s="1"/>
  <c r="Q2316" i="9" s="1"/>
  <c r="Q2317" i="9" s="1"/>
  <c r="Q2318" i="9" s="1"/>
  <c r="Q2319" i="9" s="1"/>
  <c r="Q2320" i="9" s="1"/>
  <c r="Q2321" i="9" s="1"/>
  <c r="Q2322" i="9" s="1"/>
  <c r="Q2323" i="9" s="1"/>
  <c r="Q2324" i="9" s="1"/>
  <c r="Q2325" i="9" s="1"/>
  <c r="Q2326" i="9" s="1"/>
  <c r="Q2327" i="9" s="1"/>
  <c r="Q2328" i="9" s="1"/>
  <c r="Q2329" i="9" s="1"/>
  <c r="Q2330" i="9" s="1"/>
  <c r="Q2331" i="9" s="1"/>
  <c r="Q2332" i="9" s="1"/>
  <c r="Q2333" i="9" s="1"/>
  <c r="Q2334" i="9" s="1"/>
  <c r="Q2335" i="9" s="1"/>
  <c r="Q2336" i="9" s="1"/>
  <c r="Q2337" i="9" s="1"/>
  <c r="Q2338" i="9" s="1"/>
  <c r="Q2339" i="9" s="1"/>
  <c r="Q2340" i="9" s="1"/>
  <c r="Q2341" i="9" s="1"/>
  <c r="Q2342" i="9" s="1"/>
  <c r="Q2343" i="9" s="1"/>
  <c r="Q2344" i="9" s="1"/>
  <c r="Q2345" i="9" s="1"/>
  <c r="Q2346" i="9" s="1"/>
  <c r="Q2347" i="9" s="1"/>
  <c r="Q2348" i="9" s="1"/>
  <c r="Q2349" i="9" s="1"/>
  <c r="Q2350" i="9" s="1"/>
  <c r="Q2351" i="9" s="1"/>
  <c r="Q2352" i="9" s="1"/>
  <c r="Q2353" i="9" s="1"/>
  <c r="Q2354" i="9" s="1"/>
  <c r="Q2355" i="9" s="1"/>
  <c r="Q2356" i="9" s="1"/>
  <c r="Q2357" i="9" s="1"/>
  <c r="Q2358" i="9" s="1"/>
  <c r="Q2359" i="9" s="1"/>
  <c r="Q2360" i="9" s="1"/>
  <c r="Q2361" i="9" s="1"/>
  <c r="Q2362" i="9" s="1"/>
  <c r="Q2363" i="9" s="1"/>
  <c r="Q2364" i="9" s="1"/>
  <c r="Q2365" i="9" s="1"/>
  <c r="Q2366" i="9" s="1"/>
  <c r="Q2367" i="9" s="1"/>
  <c r="Q2368" i="9" s="1"/>
  <c r="Q2369" i="9" s="1"/>
  <c r="Q2370" i="9" s="1"/>
  <c r="Q2371" i="9" s="1"/>
  <c r="Q2372" i="9" s="1"/>
  <c r="Q2373" i="9" s="1"/>
  <c r="Q2374" i="9" s="1"/>
  <c r="Q2375" i="9" s="1"/>
  <c r="Q2376" i="9" s="1"/>
  <c r="Q2377" i="9" s="1"/>
  <c r="Q2378" i="9" s="1"/>
  <c r="Q2379" i="9" s="1"/>
  <c r="Q2380" i="9" s="1"/>
  <c r="Q2381" i="9" s="1"/>
  <c r="Q2382" i="9" s="1"/>
  <c r="Q2383" i="9" s="1"/>
  <c r="Q2384" i="9" s="1"/>
  <c r="Q2385" i="9" s="1"/>
  <c r="Q2386" i="9" s="1"/>
  <c r="Q2387" i="9" s="1"/>
  <c r="Q2388" i="9" s="1"/>
  <c r="Q2389" i="9" s="1"/>
  <c r="Q2390" i="9" s="1"/>
  <c r="Q2391" i="9" s="1"/>
  <c r="Q2392" i="9" s="1"/>
  <c r="Q2393" i="9" s="1"/>
  <c r="Q2394" i="9" s="1"/>
  <c r="Q2395" i="9" s="1"/>
  <c r="Q2396" i="9" s="1"/>
  <c r="Q2397" i="9" s="1"/>
  <c r="Q2398" i="9" s="1"/>
  <c r="Q2399" i="9" s="1"/>
  <c r="Q2400" i="9" s="1"/>
  <c r="Q2401" i="9" s="1"/>
  <c r="Q2402" i="9" s="1"/>
  <c r="Q2403" i="9" s="1"/>
  <c r="Q2404" i="9" s="1"/>
  <c r="Q2405" i="9" s="1"/>
  <c r="Q2406" i="9" s="1"/>
  <c r="Q2407" i="9" s="1"/>
  <c r="Q2408" i="9" s="1"/>
  <c r="Q2409" i="9" s="1"/>
  <c r="Q2410" i="9" s="1"/>
  <c r="Q2411" i="9" s="1"/>
  <c r="Q2412" i="9" s="1"/>
  <c r="Q2413" i="9" s="1"/>
  <c r="Q2414" i="9" s="1"/>
  <c r="Q2415" i="9" s="1"/>
  <c r="Q2416" i="9" s="1"/>
  <c r="Q2417" i="9" s="1"/>
  <c r="Q2418" i="9" s="1"/>
  <c r="Q2419" i="9" s="1"/>
  <c r="Q2420" i="9" s="1"/>
  <c r="Q2421" i="9" s="1"/>
  <c r="Q2422" i="9" s="1"/>
  <c r="Q2423" i="9" s="1"/>
  <c r="Q2424" i="9" s="1"/>
  <c r="Q2425" i="9" s="1"/>
  <c r="Q2426" i="9" s="1"/>
  <c r="Q2427" i="9" s="1"/>
  <c r="Q2428" i="9" s="1"/>
  <c r="Q2429" i="9" s="1"/>
  <c r="Q2430" i="9" s="1"/>
  <c r="Q2431" i="9" s="1"/>
  <c r="Q2432" i="9" s="1"/>
  <c r="Q2433" i="9" s="1"/>
  <c r="Q2434" i="9" s="1"/>
  <c r="Q2435" i="9" s="1"/>
  <c r="Q2436" i="9" s="1"/>
  <c r="Q2437" i="9" s="1"/>
  <c r="Q2438" i="9" s="1"/>
  <c r="Q2439" i="9" s="1"/>
  <c r="Q2440" i="9" s="1"/>
  <c r="Q2441" i="9" s="1"/>
  <c r="Q2442" i="9" s="1"/>
  <c r="Q2443" i="9" s="1"/>
  <c r="Q2444" i="9" s="1"/>
  <c r="Q2445" i="9" s="1"/>
  <c r="Q2446" i="9" s="1"/>
  <c r="Q2447" i="9" s="1"/>
  <c r="Q2448" i="9" s="1"/>
  <c r="Q2449" i="9" s="1"/>
  <c r="Q2450" i="9" s="1"/>
  <c r="Q2451" i="9" s="1"/>
  <c r="Q2452" i="9" s="1"/>
  <c r="Q2453" i="9" s="1"/>
  <c r="Q2454" i="9" s="1"/>
  <c r="Q2455" i="9" s="1"/>
  <c r="Q2456" i="9" s="1"/>
  <c r="Q2457" i="9" s="1"/>
  <c r="Q2458" i="9" s="1"/>
  <c r="Q2459" i="9" s="1"/>
  <c r="Q2460" i="9" s="1"/>
  <c r="Q2461" i="9" s="1"/>
  <c r="Q2462" i="9" s="1"/>
  <c r="Q2463" i="9" s="1"/>
  <c r="Q2464" i="9" s="1"/>
  <c r="Q2465" i="9" s="1"/>
  <c r="Q2466" i="9" s="1"/>
  <c r="Q2467" i="9" s="1"/>
  <c r="Q2468" i="9" s="1"/>
  <c r="Q2469" i="9" s="1"/>
  <c r="Q2470" i="9" s="1"/>
  <c r="Q2471" i="9" s="1"/>
  <c r="Q2472" i="9" s="1"/>
  <c r="Q2473" i="9" s="1"/>
  <c r="Q2474" i="9" s="1"/>
  <c r="Q2475" i="9" s="1"/>
  <c r="Q2476" i="9" s="1"/>
  <c r="Q2477" i="9" s="1"/>
  <c r="Q2478" i="9" s="1"/>
  <c r="Q2479" i="9" s="1"/>
  <c r="Q2480" i="9" s="1"/>
  <c r="Q2481" i="9" s="1"/>
  <c r="Q2482" i="9" s="1"/>
  <c r="Q2483" i="9" s="1"/>
  <c r="Q2484" i="9" s="1"/>
  <c r="Q2485" i="9" s="1"/>
  <c r="Q2486" i="9" s="1"/>
  <c r="Q2487" i="9" s="1"/>
  <c r="Q2488" i="9" s="1"/>
  <c r="Q2489" i="9" s="1"/>
  <c r="Q2490" i="9" s="1"/>
  <c r="Q2491" i="9" s="1"/>
  <c r="Q2492" i="9" s="1"/>
  <c r="Q2493" i="9" s="1"/>
  <c r="Q2494" i="9" s="1"/>
  <c r="Q2495" i="9" s="1"/>
  <c r="Q2496" i="9" s="1"/>
  <c r="Q2497" i="9" s="1"/>
  <c r="Q2498" i="9" s="1"/>
  <c r="Q2499" i="9" s="1"/>
  <c r="Q2500" i="9" s="1"/>
  <c r="Q2501" i="9" s="1"/>
  <c r="Q2502" i="9" s="1"/>
  <c r="Q2503" i="9" s="1"/>
  <c r="Q2504" i="9" s="1"/>
  <c r="Q2505" i="9" s="1"/>
  <c r="Q2506" i="9" s="1"/>
  <c r="Q2507" i="9" s="1"/>
  <c r="Q2508" i="9" s="1"/>
  <c r="Q2509" i="9" s="1"/>
  <c r="Q2510" i="9" s="1"/>
  <c r="Q2511" i="9" s="1"/>
  <c r="Q2512" i="9" s="1"/>
  <c r="Q2513" i="9" s="1"/>
  <c r="Q2514" i="9" s="1"/>
  <c r="Q2515" i="9" s="1"/>
  <c r="Q2516" i="9" s="1"/>
  <c r="Q2517" i="9" s="1"/>
  <c r="Q2518" i="9" s="1"/>
  <c r="Q2519" i="9" s="1"/>
  <c r="Q2520" i="9" s="1"/>
  <c r="Q2521" i="9" s="1"/>
  <c r="Q2522" i="9" s="1"/>
  <c r="Q2523" i="9" s="1"/>
  <c r="Q2524" i="9" s="1"/>
  <c r="Q2525" i="9" s="1"/>
  <c r="Q2526" i="9" s="1"/>
  <c r="Q2527" i="9" s="1"/>
  <c r="Q2528" i="9" s="1"/>
  <c r="Q2529" i="9" s="1"/>
  <c r="Q2530" i="9" s="1"/>
  <c r="Q2531" i="9" s="1"/>
  <c r="Q2532" i="9" s="1"/>
  <c r="Q2533" i="9" s="1"/>
  <c r="Q2534" i="9" s="1"/>
  <c r="Q2535" i="9" s="1"/>
  <c r="Q2536" i="9" s="1"/>
  <c r="Q2537" i="9" s="1"/>
  <c r="Q2538" i="9" s="1"/>
  <c r="Q2539" i="9" s="1"/>
  <c r="Q2540" i="9" s="1"/>
  <c r="Q2541" i="9" s="1"/>
  <c r="Q2542" i="9" s="1"/>
  <c r="Q2543" i="9" s="1"/>
  <c r="Q2544" i="9" s="1"/>
  <c r="Q2545" i="9" s="1"/>
  <c r="Q2546" i="9" s="1"/>
  <c r="Q2547" i="9" s="1"/>
  <c r="Q2548" i="9" s="1"/>
  <c r="Q2549" i="9" s="1"/>
  <c r="Q2550" i="9" s="1"/>
  <c r="Q2551" i="9" s="1"/>
  <c r="Q2552" i="9" s="1"/>
  <c r="Q2553" i="9" s="1"/>
  <c r="Q2554" i="9" s="1"/>
  <c r="Q2555" i="9" s="1"/>
  <c r="Q2556" i="9" s="1"/>
  <c r="Q2557" i="9" s="1"/>
  <c r="Q2558" i="9" s="1"/>
  <c r="Q2559" i="9" s="1"/>
  <c r="Q2560" i="9" s="1"/>
  <c r="Q2561" i="9" s="1"/>
  <c r="Q2562" i="9" s="1"/>
  <c r="Q2563" i="9" s="1"/>
  <c r="Q2564" i="9" s="1"/>
  <c r="Q2565" i="9" s="1"/>
  <c r="Q2566" i="9" s="1"/>
  <c r="Q2567" i="9" s="1"/>
  <c r="Q2568" i="9" s="1"/>
  <c r="Q2569" i="9" s="1"/>
  <c r="Q2570" i="9" s="1"/>
  <c r="Q2571" i="9" s="1"/>
  <c r="Q2572" i="9" s="1"/>
  <c r="Q2573" i="9" s="1"/>
  <c r="Q2574" i="9" s="1"/>
  <c r="Q2575" i="9" s="1"/>
  <c r="Q2576" i="9" s="1"/>
  <c r="Q2577" i="9" s="1"/>
  <c r="Q2578" i="9" s="1"/>
  <c r="Q2579" i="9" s="1"/>
  <c r="Q2580" i="9" s="1"/>
  <c r="Q2581" i="9" s="1"/>
  <c r="Q2582" i="9" s="1"/>
  <c r="Q2583" i="9" s="1"/>
  <c r="Q2584" i="9" s="1"/>
  <c r="Q2585" i="9" s="1"/>
  <c r="Q2586" i="9" s="1"/>
  <c r="Q2587" i="9" s="1"/>
  <c r="Q2588" i="9" s="1"/>
  <c r="Q2589" i="9" s="1"/>
  <c r="Q2590" i="9" s="1"/>
  <c r="Q2591" i="9" s="1"/>
  <c r="Q2592" i="9" s="1"/>
  <c r="Q2593" i="9" s="1"/>
  <c r="Q2594" i="9" s="1"/>
  <c r="Q2595" i="9" s="1"/>
  <c r="Q2596" i="9" s="1"/>
  <c r="Q2597" i="9" s="1"/>
  <c r="Q2598" i="9" s="1"/>
  <c r="Q2599" i="9" s="1"/>
  <c r="Q2600" i="9" s="1"/>
  <c r="Q2601" i="9" s="1"/>
  <c r="Q2602" i="9" s="1"/>
  <c r="Q2603" i="9" s="1"/>
  <c r="Q2604" i="9" s="1"/>
  <c r="Q2605" i="9" s="1"/>
  <c r="Q2606" i="9" s="1"/>
  <c r="Q2607" i="9" s="1"/>
  <c r="Q2608" i="9" s="1"/>
  <c r="Q2609" i="9" s="1"/>
  <c r="Q2610" i="9" s="1"/>
  <c r="Q2611" i="9" s="1"/>
  <c r="Q2612" i="9" s="1"/>
  <c r="Q2613" i="9" s="1"/>
  <c r="Q2614" i="9" s="1"/>
  <c r="Q2615" i="9" s="1"/>
  <c r="Q2616" i="9" s="1"/>
  <c r="Q2617" i="9" s="1"/>
  <c r="Q2618" i="9" s="1"/>
  <c r="Q2619" i="9" s="1"/>
  <c r="Q2620" i="9" s="1"/>
  <c r="Q2621" i="9" s="1"/>
  <c r="Q2622" i="9" s="1"/>
  <c r="Q2623" i="9" s="1"/>
  <c r="Q2624" i="9" s="1"/>
  <c r="Q2625" i="9" s="1"/>
  <c r="Q2626" i="9" s="1"/>
  <c r="Q2627" i="9" s="1"/>
  <c r="Q2628" i="9" s="1"/>
  <c r="Q2629" i="9" s="1"/>
  <c r="Q2630" i="9" s="1"/>
  <c r="Q2631" i="9" s="1"/>
  <c r="Q2632" i="9" s="1"/>
  <c r="Q2633" i="9" s="1"/>
  <c r="Q2634" i="9" s="1"/>
  <c r="Q2635" i="9" s="1"/>
  <c r="Q2636" i="9" s="1"/>
  <c r="Q2637" i="9" s="1"/>
  <c r="Q2638" i="9" s="1"/>
  <c r="Q2639" i="9" s="1"/>
  <c r="Q2640" i="9" s="1"/>
  <c r="Q2641" i="9" s="1"/>
  <c r="Q2642" i="9" s="1"/>
  <c r="Q2643" i="9" s="1"/>
  <c r="Q2644" i="9" s="1"/>
  <c r="Q2645" i="9" s="1"/>
  <c r="Q2646" i="9" s="1"/>
  <c r="Q2647" i="9" s="1"/>
  <c r="Q2648" i="9" s="1"/>
  <c r="Q2649" i="9" s="1"/>
  <c r="Q2650" i="9" s="1"/>
  <c r="Q2651" i="9" s="1"/>
  <c r="Q2652" i="9" s="1"/>
  <c r="Q2653" i="9" s="1"/>
  <c r="Q2654" i="9" s="1"/>
  <c r="Q2655" i="9" s="1"/>
  <c r="Q2656" i="9" s="1"/>
  <c r="Q2657" i="9" s="1"/>
  <c r="Q2658" i="9" s="1"/>
  <c r="Q2659" i="9" s="1"/>
  <c r="Q2660" i="9" s="1"/>
  <c r="Q2661" i="9" s="1"/>
  <c r="Q2662" i="9" s="1"/>
  <c r="Q2663" i="9" s="1"/>
  <c r="Q2664" i="9" s="1"/>
  <c r="Q2665" i="9" s="1"/>
  <c r="Q2666" i="9" s="1"/>
  <c r="Q2667" i="9" s="1"/>
  <c r="Q2668" i="9" s="1"/>
  <c r="Q2669" i="9" s="1"/>
  <c r="Q2670" i="9" s="1"/>
  <c r="Q2671" i="9" s="1"/>
  <c r="Q2672" i="9" s="1"/>
  <c r="Q2673" i="9" s="1"/>
  <c r="Q2674" i="9" s="1"/>
  <c r="Q2675" i="9" s="1"/>
  <c r="Q2676" i="9" s="1"/>
  <c r="Q2677" i="9" s="1"/>
  <c r="Q2678" i="9" s="1"/>
  <c r="Q2679" i="9" s="1"/>
  <c r="Q2680" i="9" s="1"/>
  <c r="Q2681" i="9" s="1"/>
  <c r="Q2682" i="9" s="1"/>
  <c r="Q2683" i="9" s="1"/>
  <c r="Q2684" i="9" s="1"/>
  <c r="Q2685" i="9" s="1"/>
  <c r="Q2686" i="9" s="1"/>
  <c r="Q2687" i="9" s="1"/>
  <c r="Q2688" i="9" s="1"/>
  <c r="Q2689" i="9" s="1"/>
  <c r="Q2690" i="9" s="1"/>
  <c r="Q2691" i="9" s="1"/>
  <c r="Q2692" i="9" s="1"/>
  <c r="Q2693" i="9" s="1"/>
  <c r="Q2694" i="9" s="1"/>
  <c r="Q2695" i="9" s="1"/>
  <c r="Q2696" i="9" s="1"/>
  <c r="Q2697" i="9" s="1"/>
  <c r="Q2698" i="9" s="1"/>
  <c r="Q2699" i="9" s="1"/>
  <c r="Q2700" i="9" s="1"/>
  <c r="Q2701" i="9" s="1"/>
  <c r="Q2702" i="9" s="1"/>
  <c r="Q2703" i="9" s="1"/>
  <c r="Q2704" i="9" s="1"/>
  <c r="Q2705" i="9" s="1"/>
  <c r="Q2706" i="9" s="1"/>
  <c r="Q2707" i="9" s="1"/>
  <c r="Q2708" i="9" s="1"/>
  <c r="Q2709" i="9" s="1"/>
  <c r="Q2710" i="9" s="1"/>
  <c r="Q2711" i="9" s="1"/>
  <c r="Q2712" i="9" s="1"/>
  <c r="Q2713" i="9" s="1"/>
  <c r="Q2714" i="9" s="1"/>
  <c r="Q2715" i="9" s="1"/>
  <c r="Q2716" i="9" s="1"/>
  <c r="Q2717" i="9" s="1"/>
  <c r="Q2718" i="9" s="1"/>
  <c r="Q2719" i="9" s="1"/>
  <c r="Q2720" i="9" s="1"/>
  <c r="Q2721" i="9" s="1"/>
  <c r="Q2722" i="9" s="1"/>
  <c r="Q2723" i="9" s="1"/>
  <c r="Q2724" i="9" s="1"/>
  <c r="Q2725" i="9" s="1"/>
  <c r="Q2726" i="9" s="1"/>
  <c r="Q2727" i="9" s="1"/>
  <c r="Q2728" i="9" s="1"/>
  <c r="Q2729" i="9" s="1"/>
  <c r="Q2730" i="9" s="1"/>
  <c r="Q2731" i="9" s="1"/>
  <c r="Q2732" i="9" s="1"/>
  <c r="Q2733" i="9" s="1"/>
  <c r="Q2734" i="9" s="1"/>
  <c r="Q2735" i="9" s="1"/>
  <c r="Q2736" i="9" s="1"/>
  <c r="L2" i="9"/>
  <c r="K2" i="9"/>
  <c r="J2" i="9"/>
  <c r="I2" i="9"/>
  <c r="H2" i="9"/>
  <c r="P1" i="9"/>
  <c r="L1" i="9"/>
  <c r="K1" i="9"/>
  <c r="J1" i="9"/>
  <c r="I1" i="9"/>
  <c r="H1" i="9"/>
  <c r="E13" i="7"/>
  <c r="F13" i="7"/>
  <c r="G13" i="7"/>
  <c r="H13" i="7"/>
  <c r="I13" i="7"/>
  <c r="J13" i="7"/>
  <c r="K13" i="7"/>
  <c r="R4" i="9" l="1"/>
  <c r="R5" i="9" s="1"/>
  <c r="R6" i="9" s="1"/>
  <c r="R7" i="9" s="1"/>
  <c r="R8" i="9" s="1"/>
  <c r="R9" i="9" s="1"/>
  <c r="R10" i="9" s="1"/>
  <c r="R11" i="9" s="1"/>
  <c r="R12" i="9" s="1"/>
  <c r="R13" i="9" s="1"/>
  <c r="R14" i="9" s="1"/>
  <c r="R15" i="9" s="1"/>
  <c r="R16" i="9" s="1"/>
  <c r="R17" i="9" s="1"/>
  <c r="R18" i="9" s="1"/>
  <c r="R19" i="9" s="1"/>
  <c r="R20" i="9" s="1"/>
  <c r="R21" i="9" s="1"/>
  <c r="R22" i="9" s="1"/>
  <c r="R23" i="9" s="1"/>
  <c r="R24" i="9" s="1"/>
  <c r="R25" i="9" s="1"/>
  <c r="R26" i="9" s="1"/>
  <c r="R27" i="9" s="1"/>
  <c r="R28" i="9" s="1"/>
  <c r="R29" i="9" s="1"/>
  <c r="R30" i="9" s="1"/>
  <c r="R31" i="9" s="1"/>
  <c r="R32" i="9" s="1"/>
  <c r="R33" i="9" s="1"/>
  <c r="R34" i="9" s="1"/>
  <c r="R35" i="9" s="1"/>
  <c r="R36" i="9" s="1"/>
  <c r="R37" i="9" s="1"/>
  <c r="R38" i="9" s="1"/>
  <c r="R39" i="9" s="1"/>
  <c r="R40" i="9" s="1"/>
  <c r="R41" i="9" s="1"/>
  <c r="R42" i="9" s="1"/>
  <c r="R43" i="9" s="1"/>
  <c r="R44" i="9" s="1"/>
  <c r="R45" i="9" s="1"/>
  <c r="R46" i="9" s="1"/>
  <c r="R47" i="9" s="1"/>
  <c r="R48" i="9" s="1"/>
  <c r="R49" i="9" s="1"/>
  <c r="R50" i="9" s="1"/>
  <c r="R51" i="9" s="1"/>
  <c r="R52" i="9" s="1"/>
  <c r="R53" i="9" s="1"/>
  <c r="R54" i="9" s="1"/>
  <c r="R55" i="9" s="1"/>
  <c r="R56" i="9" s="1"/>
  <c r="R57" i="9" s="1"/>
  <c r="R58" i="9" s="1"/>
  <c r="R59" i="9" s="1"/>
  <c r="R60" i="9" s="1"/>
  <c r="R61" i="9" s="1"/>
  <c r="R62" i="9" s="1"/>
  <c r="R63" i="9" s="1"/>
  <c r="R64" i="9" s="1"/>
  <c r="R65" i="9" s="1"/>
  <c r="R66" i="9" s="1"/>
  <c r="R67" i="9" s="1"/>
  <c r="R68" i="9" s="1"/>
  <c r="R69" i="9" s="1"/>
  <c r="R70" i="9" s="1"/>
  <c r="R71" i="9" s="1"/>
  <c r="R72" i="9" s="1"/>
  <c r="R73" i="9" s="1"/>
  <c r="R74" i="9" s="1"/>
  <c r="R75" i="9" s="1"/>
  <c r="R76" i="9" s="1"/>
  <c r="R77" i="9" s="1"/>
  <c r="R78" i="9" s="1"/>
  <c r="R79" i="9" s="1"/>
  <c r="R80" i="9" s="1"/>
  <c r="R81" i="9" s="1"/>
  <c r="R82" i="9" s="1"/>
  <c r="R83" i="9" s="1"/>
  <c r="R84" i="9" s="1"/>
  <c r="R85" i="9" s="1"/>
  <c r="R86" i="9" s="1"/>
  <c r="R87" i="9" s="1"/>
  <c r="R88" i="9" s="1"/>
  <c r="R89" i="9" s="1"/>
  <c r="R90" i="9" s="1"/>
  <c r="R91" i="9" s="1"/>
  <c r="R92" i="9" s="1"/>
  <c r="R93" i="9" s="1"/>
  <c r="R94" i="9" s="1"/>
  <c r="R95" i="9" s="1"/>
  <c r="R96" i="9" s="1"/>
  <c r="R97" i="9" s="1"/>
  <c r="R98" i="9" s="1"/>
  <c r="R99" i="9" s="1"/>
  <c r="R100" i="9" s="1"/>
  <c r="R101" i="9" s="1"/>
  <c r="R102" i="9" s="1"/>
  <c r="R103" i="9" s="1"/>
  <c r="R104" i="9" s="1"/>
  <c r="R105" i="9" s="1"/>
  <c r="R106" i="9" s="1"/>
  <c r="R107" i="9" s="1"/>
  <c r="R108" i="9" s="1"/>
  <c r="R109" i="9" s="1"/>
  <c r="R110" i="9" s="1"/>
  <c r="R111" i="9" s="1"/>
  <c r="R112" i="9" s="1"/>
  <c r="R113" i="9" s="1"/>
  <c r="R114" i="9" s="1"/>
  <c r="R115" i="9" s="1"/>
  <c r="R116" i="9" s="1"/>
  <c r="R117" i="9" s="1"/>
  <c r="R118" i="9" s="1"/>
  <c r="R119" i="9" s="1"/>
  <c r="R120" i="9" s="1"/>
  <c r="R121" i="9" s="1"/>
  <c r="R122" i="9" s="1"/>
  <c r="R123" i="9" s="1"/>
  <c r="R124" i="9" s="1"/>
  <c r="R125" i="9" s="1"/>
  <c r="R126" i="9" s="1"/>
  <c r="R127" i="9" s="1"/>
  <c r="R128" i="9" s="1"/>
  <c r="R129" i="9" s="1"/>
  <c r="R130" i="9" s="1"/>
  <c r="R131" i="9" s="1"/>
  <c r="R132" i="9" s="1"/>
  <c r="R133" i="9" s="1"/>
  <c r="R134" i="9" s="1"/>
  <c r="R135" i="9" s="1"/>
  <c r="R136" i="9" s="1"/>
  <c r="R137" i="9" s="1"/>
  <c r="R138" i="9" s="1"/>
  <c r="R139" i="9" s="1"/>
  <c r="R140" i="9" s="1"/>
  <c r="R141" i="9" s="1"/>
  <c r="R142" i="9" s="1"/>
  <c r="R143" i="9" s="1"/>
  <c r="R144" i="9" s="1"/>
  <c r="R145" i="9" s="1"/>
  <c r="R146" i="9" s="1"/>
  <c r="R147" i="9" s="1"/>
  <c r="R148" i="9" s="1"/>
  <c r="R149" i="9" s="1"/>
  <c r="R150" i="9" s="1"/>
  <c r="R151" i="9" s="1"/>
  <c r="R152" i="9" s="1"/>
  <c r="R153" i="9" s="1"/>
  <c r="R154" i="9" s="1"/>
  <c r="R155" i="9" s="1"/>
  <c r="R156" i="9" s="1"/>
  <c r="R157" i="9" s="1"/>
  <c r="R158" i="9" s="1"/>
  <c r="R159" i="9" s="1"/>
  <c r="R160" i="9" s="1"/>
  <c r="R161" i="9" s="1"/>
  <c r="R162" i="9" s="1"/>
  <c r="R163" i="9" s="1"/>
  <c r="R164" i="9" s="1"/>
  <c r="R165" i="9" s="1"/>
  <c r="R166" i="9" s="1"/>
  <c r="R167" i="9" s="1"/>
  <c r="R168" i="9" s="1"/>
  <c r="R169" i="9" s="1"/>
  <c r="R170" i="9" s="1"/>
  <c r="R171" i="9" s="1"/>
  <c r="R172" i="9" s="1"/>
  <c r="R173" i="9" s="1"/>
  <c r="R174" i="9" s="1"/>
  <c r="R175" i="9" s="1"/>
  <c r="R176" i="9" s="1"/>
  <c r="R177" i="9" s="1"/>
  <c r="R178" i="9" s="1"/>
  <c r="R179" i="9" s="1"/>
  <c r="R180" i="9" s="1"/>
  <c r="R181" i="9" s="1"/>
  <c r="R182" i="9" s="1"/>
  <c r="R183" i="9" s="1"/>
  <c r="R184" i="9" s="1"/>
  <c r="R185" i="9" s="1"/>
  <c r="R186" i="9" s="1"/>
  <c r="R187" i="9" s="1"/>
  <c r="R188" i="9" s="1"/>
  <c r="R189" i="9" s="1"/>
  <c r="R190" i="9" s="1"/>
  <c r="R191" i="9" s="1"/>
  <c r="R192" i="9" s="1"/>
  <c r="R193" i="9" s="1"/>
  <c r="R194" i="9" s="1"/>
  <c r="R195" i="9" s="1"/>
  <c r="R196" i="9" s="1"/>
  <c r="R197" i="9" s="1"/>
  <c r="R198" i="9" s="1"/>
  <c r="R199" i="9" s="1"/>
  <c r="R200" i="9" s="1"/>
  <c r="R201" i="9" s="1"/>
  <c r="R202" i="9" s="1"/>
  <c r="R203" i="9" s="1"/>
  <c r="R204" i="9" s="1"/>
  <c r="R205" i="9" s="1"/>
  <c r="R206" i="9" s="1"/>
  <c r="R207" i="9" s="1"/>
  <c r="R208" i="9" s="1"/>
  <c r="R209" i="9" s="1"/>
  <c r="R210" i="9" s="1"/>
  <c r="R211" i="9" s="1"/>
  <c r="R212" i="9" s="1"/>
  <c r="R213" i="9" s="1"/>
  <c r="R214" i="9" s="1"/>
  <c r="R215" i="9" s="1"/>
  <c r="R216" i="9" s="1"/>
  <c r="R217" i="9" s="1"/>
  <c r="R218" i="9" s="1"/>
  <c r="R219" i="9" s="1"/>
  <c r="R220" i="9" s="1"/>
  <c r="R221" i="9" s="1"/>
  <c r="R222" i="9" s="1"/>
  <c r="R223" i="9" s="1"/>
  <c r="R224" i="9" s="1"/>
  <c r="R225" i="9" s="1"/>
  <c r="R226" i="9" s="1"/>
  <c r="R227" i="9" s="1"/>
  <c r="R228" i="9" s="1"/>
  <c r="R229" i="9" s="1"/>
  <c r="R230" i="9" s="1"/>
  <c r="R231" i="9" s="1"/>
  <c r="R232" i="9" s="1"/>
  <c r="R233" i="9" s="1"/>
  <c r="R234" i="9" s="1"/>
  <c r="R235" i="9" s="1"/>
  <c r="R236" i="9" s="1"/>
  <c r="R237" i="9" s="1"/>
  <c r="R238" i="9" s="1"/>
  <c r="R239" i="9" s="1"/>
  <c r="R240" i="9" s="1"/>
  <c r="R241" i="9" s="1"/>
  <c r="R242" i="9" s="1"/>
  <c r="R243" i="9" s="1"/>
  <c r="R244" i="9" s="1"/>
  <c r="R245" i="9" s="1"/>
  <c r="R246" i="9" s="1"/>
  <c r="R247" i="9" s="1"/>
  <c r="R248" i="9" s="1"/>
  <c r="R249" i="9" s="1"/>
  <c r="R250" i="9" s="1"/>
  <c r="R251" i="9" s="1"/>
  <c r="R252" i="9" s="1"/>
  <c r="R253" i="9" s="1"/>
  <c r="R254" i="9" s="1"/>
  <c r="R255" i="9" s="1"/>
  <c r="R256" i="9" s="1"/>
  <c r="R257" i="9" s="1"/>
  <c r="R258" i="9" s="1"/>
  <c r="R259" i="9" s="1"/>
  <c r="R260" i="9" s="1"/>
  <c r="R261" i="9" s="1"/>
  <c r="R262" i="9" s="1"/>
  <c r="R263" i="9" s="1"/>
  <c r="R264" i="9" s="1"/>
  <c r="R265" i="9" s="1"/>
  <c r="R266" i="9" s="1"/>
  <c r="R267" i="9" s="1"/>
  <c r="R268" i="9" s="1"/>
  <c r="R269" i="9" s="1"/>
  <c r="R270" i="9" s="1"/>
  <c r="R271" i="9" s="1"/>
  <c r="R272" i="9" s="1"/>
  <c r="R273" i="9" s="1"/>
  <c r="R274" i="9" s="1"/>
  <c r="R275" i="9" s="1"/>
  <c r="R276" i="9" s="1"/>
  <c r="R277" i="9" s="1"/>
  <c r="R278" i="9" s="1"/>
  <c r="R279" i="9" s="1"/>
  <c r="R280" i="9" s="1"/>
  <c r="R281" i="9" s="1"/>
  <c r="R282" i="9" s="1"/>
  <c r="R283" i="9" s="1"/>
  <c r="R284" i="9" s="1"/>
  <c r="R285" i="9" s="1"/>
  <c r="R286" i="9" s="1"/>
  <c r="R287" i="9" s="1"/>
  <c r="R288" i="9" s="1"/>
  <c r="R289" i="9" s="1"/>
  <c r="R290" i="9" s="1"/>
  <c r="R291" i="9" s="1"/>
  <c r="R292" i="9" s="1"/>
  <c r="R293" i="9" s="1"/>
  <c r="R294" i="9" s="1"/>
  <c r="R295" i="9" s="1"/>
  <c r="R296" i="9" s="1"/>
  <c r="R297" i="9" s="1"/>
  <c r="R298" i="9" s="1"/>
  <c r="R299" i="9" s="1"/>
  <c r="R300" i="9" s="1"/>
  <c r="R301" i="9" s="1"/>
  <c r="R302" i="9" s="1"/>
  <c r="R303" i="9" s="1"/>
  <c r="R304" i="9" s="1"/>
  <c r="R305" i="9" s="1"/>
  <c r="R306" i="9" s="1"/>
  <c r="R307" i="9" s="1"/>
  <c r="R308" i="9" s="1"/>
  <c r="R309" i="9" s="1"/>
  <c r="R310" i="9" s="1"/>
  <c r="R311" i="9" s="1"/>
  <c r="R312" i="9" s="1"/>
  <c r="R313" i="9" s="1"/>
  <c r="R314" i="9" s="1"/>
  <c r="R315" i="9" s="1"/>
  <c r="R316" i="9" s="1"/>
  <c r="R317" i="9" s="1"/>
  <c r="R318" i="9" s="1"/>
  <c r="R319" i="9" s="1"/>
  <c r="R320" i="9" s="1"/>
  <c r="R321" i="9" s="1"/>
  <c r="R322" i="9" s="1"/>
  <c r="R323" i="9" s="1"/>
  <c r="R324" i="9" s="1"/>
  <c r="R325" i="9" s="1"/>
  <c r="R326" i="9" s="1"/>
  <c r="R327" i="9" s="1"/>
  <c r="R328" i="9" s="1"/>
  <c r="R329" i="9" s="1"/>
  <c r="R330" i="9" s="1"/>
  <c r="R331" i="9" s="1"/>
  <c r="R332" i="9" s="1"/>
  <c r="R333" i="9" s="1"/>
  <c r="R334" i="9" s="1"/>
  <c r="R335" i="9" s="1"/>
  <c r="R336" i="9" s="1"/>
  <c r="R337" i="9" s="1"/>
  <c r="R338" i="9" s="1"/>
  <c r="R339" i="9" s="1"/>
  <c r="R340" i="9" s="1"/>
  <c r="R341" i="9" s="1"/>
  <c r="R342" i="9" s="1"/>
  <c r="R343" i="9" s="1"/>
  <c r="R344" i="9" s="1"/>
  <c r="R345" i="9" s="1"/>
  <c r="R346" i="9" s="1"/>
  <c r="R347" i="9" s="1"/>
  <c r="R348" i="9" s="1"/>
  <c r="R349" i="9" s="1"/>
  <c r="R350" i="9" s="1"/>
  <c r="R351" i="9" s="1"/>
  <c r="R352" i="9" s="1"/>
  <c r="R353" i="9" s="1"/>
  <c r="R354" i="9" s="1"/>
  <c r="R355" i="9" s="1"/>
  <c r="R356" i="9" s="1"/>
  <c r="R357" i="9" s="1"/>
  <c r="R358" i="9" s="1"/>
  <c r="R359" i="9" s="1"/>
  <c r="R360" i="9" s="1"/>
  <c r="R361" i="9" s="1"/>
  <c r="R362" i="9" s="1"/>
  <c r="R363" i="9" s="1"/>
  <c r="R364" i="9" s="1"/>
  <c r="R365" i="9" s="1"/>
  <c r="R366" i="9" s="1"/>
  <c r="R367" i="9" s="1"/>
  <c r="R368" i="9" s="1"/>
  <c r="R369" i="9" s="1"/>
  <c r="R370" i="9" s="1"/>
  <c r="R371" i="9" s="1"/>
  <c r="R372" i="9" s="1"/>
  <c r="R373" i="9" s="1"/>
  <c r="R374" i="9" s="1"/>
  <c r="R375" i="9" s="1"/>
  <c r="R376" i="9" s="1"/>
  <c r="R377" i="9" s="1"/>
  <c r="R378" i="9" s="1"/>
  <c r="R379" i="9" s="1"/>
  <c r="R380" i="9" s="1"/>
  <c r="R381" i="9" s="1"/>
  <c r="R382" i="9" s="1"/>
  <c r="R383" i="9" s="1"/>
  <c r="R384" i="9" s="1"/>
  <c r="R385" i="9" s="1"/>
  <c r="R386" i="9" s="1"/>
  <c r="R387" i="9" s="1"/>
  <c r="R388" i="9" s="1"/>
  <c r="R389" i="9" s="1"/>
  <c r="R390" i="9" s="1"/>
  <c r="R391" i="9" s="1"/>
  <c r="R392" i="9" s="1"/>
  <c r="R393" i="9" s="1"/>
  <c r="R394" i="9" s="1"/>
  <c r="R395" i="9" s="1"/>
  <c r="R396" i="9" s="1"/>
  <c r="R397" i="9" s="1"/>
  <c r="R398" i="9" s="1"/>
  <c r="R399" i="9" s="1"/>
  <c r="R400" i="9" s="1"/>
  <c r="R401" i="9" s="1"/>
  <c r="R402" i="9" s="1"/>
  <c r="R403" i="9" s="1"/>
  <c r="R404" i="9" s="1"/>
  <c r="R405" i="9" s="1"/>
  <c r="R406" i="9" s="1"/>
  <c r="R407" i="9" s="1"/>
  <c r="R408" i="9" s="1"/>
  <c r="R409" i="9" s="1"/>
  <c r="R410" i="9" s="1"/>
  <c r="R411" i="9" s="1"/>
  <c r="R412" i="9" s="1"/>
  <c r="R413" i="9" s="1"/>
  <c r="R414" i="9" s="1"/>
  <c r="R415" i="9" s="1"/>
  <c r="R416" i="9" s="1"/>
  <c r="R417" i="9" s="1"/>
  <c r="R418" i="9" s="1"/>
  <c r="R419" i="9" s="1"/>
  <c r="R420" i="9" s="1"/>
  <c r="R421" i="9" s="1"/>
  <c r="R422" i="9" s="1"/>
  <c r="R423" i="9" s="1"/>
  <c r="R424" i="9" s="1"/>
  <c r="R425" i="9" s="1"/>
  <c r="R426" i="9" s="1"/>
  <c r="R427" i="9" s="1"/>
  <c r="R428" i="9" s="1"/>
  <c r="R429" i="9" s="1"/>
  <c r="R430" i="9" s="1"/>
  <c r="R431" i="9" s="1"/>
  <c r="R432" i="9" s="1"/>
  <c r="R433" i="9" s="1"/>
  <c r="R434" i="9" s="1"/>
  <c r="R435" i="9" s="1"/>
  <c r="R436" i="9" s="1"/>
  <c r="R437" i="9" s="1"/>
  <c r="R438" i="9" s="1"/>
  <c r="R439" i="9" s="1"/>
  <c r="R440" i="9" s="1"/>
  <c r="R441" i="9" s="1"/>
  <c r="R442" i="9" s="1"/>
  <c r="R443" i="9" s="1"/>
  <c r="R444" i="9" s="1"/>
  <c r="R445" i="9" s="1"/>
  <c r="R446" i="9" s="1"/>
  <c r="R447" i="9" s="1"/>
  <c r="R448" i="9" s="1"/>
  <c r="R449" i="9" s="1"/>
  <c r="R450" i="9" s="1"/>
  <c r="R451" i="9" s="1"/>
  <c r="R452" i="9" s="1"/>
  <c r="R453" i="9" s="1"/>
  <c r="R454" i="9" s="1"/>
  <c r="R455" i="9" s="1"/>
  <c r="R456" i="9" s="1"/>
  <c r="R457" i="9" s="1"/>
  <c r="R458" i="9" s="1"/>
  <c r="R459" i="9" s="1"/>
  <c r="R460" i="9" s="1"/>
  <c r="R461" i="9" s="1"/>
  <c r="R462" i="9" s="1"/>
  <c r="R463" i="9" s="1"/>
  <c r="R464" i="9" s="1"/>
  <c r="R465" i="9" s="1"/>
  <c r="R466" i="9" s="1"/>
  <c r="R467" i="9" s="1"/>
  <c r="R468" i="9" s="1"/>
  <c r="R469" i="9" s="1"/>
  <c r="R470" i="9" s="1"/>
  <c r="R471" i="9" s="1"/>
  <c r="R472" i="9" s="1"/>
  <c r="R473" i="9" s="1"/>
  <c r="R474" i="9" s="1"/>
  <c r="R475" i="9" s="1"/>
  <c r="R476" i="9" s="1"/>
  <c r="R477" i="9" s="1"/>
  <c r="R478" i="9" s="1"/>
  <c r="R479" i="9" s="1"/>
  <c r="R480" i="9" s="1"/>
  <c r="R481" i="9" s="1"/>
  <c r="R482" i="9" s="1"/>
  <c r="R483" i="9" s="1"/>
  <c r="R484" i="9" s="1"/>
  <c r="R485" i="9" s="1"/>
  <c r="R486" i="9" s="1"/>
  <c r="R487" i="9" s="1"/>
  <c r="R488" i="9" s="1"/>
  <c r="R489" i="9" s="1"/>
  <c r="R490" i="9" s="1"/>
  <c r="R491" i="9" s="1"/>
  <c r="R492" i="9" s="1"/>
  <c r="R493" i="9" s="1"/>
  <c r="R494" i="9" s="1"/>
  <c r="R495" i="9" s="1"/>
  <c r="R496" i="9" s="1"/>
  <c r="R497" i="9" s="1"/>
  <c r="R498" i="9" s="1"/>
  <c r="R499" i="9" s="1"/>
  <c r="R500" i="9" s="1"/>
  <c r="R501" i="9" s="1"/>
  <c r="R502" i="9" s="1"/>
  <c r="R503" i="9" s="1"/>
  <c r="R504" i="9" s="1"/>
  <c r="R505" i="9" s="1"/>
  <c r="R506" i="9" s="1"/>
  <c r="R507" i="9" s="1"/>
  <c r="R508" i="9" s="1"/>
  <c r="R509" i="9" s="1"/>
  <c r="R510" i="9" s="1"/>
  <c r="R511" i="9" s="1"/>
  <c r="R512" i="9" s="1"/>
  <c r="R513" i="9" s="1"/>
  <c r="R514" i="9" s="1"/>
  <c r="R515" i="9" s="1"/>
  <c r="R516" i="9" s="1"/>
  <c r="R517" i="9" s="1"/>
  <c r="R518" i="9" s="1"/>
  <c r="R519" i="9" s="1"/>
  <c r="R520" i="9" s="1"/>
  <c r="R521" i="9" s="1"/>
  <c r="R522" i="9" s="1"/>
  <c r="R523" i="9" s="1"/>
  <c r="R524" i="9" s="1"/>
  <c r="R525" i="9" s="1"/>
  <c r="R526" i="9" s="1"/>
  <c r="R527" i="9" s="1"/>
  <c r="R528" i="9" s="1"/>
  <c r="R529" i="9" s="1"/>
  <c r="R530" i="9" s="1"/>
  <c r="R531" i="9" s="1"/>
  <c r="R532" i="9" s="1"/>
  <c r="R533" i="9" s="1"/>
  <c r="R534" i="9" s="1"/>
  <c r="R535" i="9" s="1"/>
  <c r="R536" i="9" s="1"/>
  <c r="R537" i="9" s="1"/>
  <c r="R538" i="9" s="1"/>
  <c r="R539" i="9" s="1"/>
  <c r="R540" i="9" s="1"/>
  <c r="R541" i="9" s="1"/>
  <c r="R542" i="9" s="1"/>
  <c r="R543" i="9" s="1"/>
  <c r="R544" i="9" s="1"/>
  <c r="R545" i="9" s="1"/>
  <c r="R546" i="9" s="1"/>
  <c r="R547" i="9" s="1"/>
  <c r="R548" i="9" s="1"/>
  <c r="R549" i="9" s="1"/>
  <c r="R550" i="9" s="1"/>
  <c r="R551" i="9" s="1"/>
  <c r="R552" i="9" s="1"/>
  <c r="R553" i="9" s="1"/>
  <c r="R554" i="9" s="1"/>
  <c r="R555" i="9" s="1"/>
  <c r="R556" i="9" s="1"/>
  <c r="R557" i="9" s="1"/>
  <c r="R558" i="9" s="1"/>
  <c r="R559" i="9" s="1"/>
  <c r="R560" i="9" s="1"/>
  <c r="R561" i="9" s="1"/>
  <c r="R562" i="9" s="1"/>
  <c r="R563" i="9" s="1"/>
  <c r="R564" i="9" s="1"/>
  <c r="R565" i="9" s="1"/>
  <c r="R566" i="9" s="1"/>
  <c r="R567" i="9" s="1"/>
  <c r="R568" i="9" s="1"/>
  <c r="R569" i="9" s="1"/>
  <c r="R570" i="9" s="1"/>
  <c r="R571" i="9" s="1"/>
  <c r="R572" i="9" s="1"/>
  <c r="R573" i="9" s="1"/>
  <c r="R574" i="9" s="1"/>
  <c r="R575" i="9" s="1"/>
  <c r="R576" i="9" s="1"/>
  <c r="R577" i="9" s="1"/>
  <c r="R578" i="9" s="1"/>
  <c r="R579" i="9" s="1"/>
  <c r="R580" i="9" s="1"/>
  <c r="R581" i="9" s="1"/>
  <c r="R582" i="9" s="1"/>
  <c r="R583" i="9" s="1"/>
  <c r="R584" i="9" s="1"/>
  <c r="R585" i="9" s="1"/>
  <c r="R586" i="9" s="1"/>
  <c r="R587" i="9" s="1"/>
  <c r="R588" i="9" s="1"/>
  <c r="R589" i="9" s="1"/>
  <c r="R590" i="9" s="1"/>
  <c r="R591" i="9" s="1"/>
  <c r="R592" i="9" s="1"/>
  <c r="R593" i="9" s="1"/>
  <c r="R594" i="9" s="1"/>
  <c r="R595" i="9" s="1"/>
  <c r="R596" i="9" s="1"/>
  <c r="R597" i="9" s="1"/>
  <c r="R598" i="9" s="1"/>
  <c r="R599" i="9" s="1"/>
  <c r="R600" i="9" s="1"/>
  <c r="R601" i="9" s="1"/>
  <c r="R602" i="9" s="1"/>
  <c r="R603" i="9" s="1"/>
  <c r="R604" i="9" s="1"/>
  <c r="R605" i="9" s="1"/>
  <c r="R606" i="9" s="1"/>
  <c r="R607" i="9" s="1"/>
  <c r="R608" i="9" s="1"/>
  <c r="R609" i="9" s="1"/>
  <c r="R610" i="9" s="1"/>
  <c r="R611" i="9" s="1"/>
  <c r="R612" i="9" s="1"/>
  <c r="R613" i="9" s="1"/>
  <c r="R614" i="9" s="1"/>
  <c r="R615" i="9" s="1"/>
  <c r="R616" i="9" s="1"/>
  <c r="R617" i="9" s="1"/>
  <c r="R618" i="9" s="1"/>
  <c r="R619" i="9" s="1"/>
  <c r="R620" i="9" s="1"/>
  <c r="R621" i="9" s="1"/>
  <c r="R622" i="9" s="1"/>
  <c r="R623" i="9" s="1"/>
  <c r="R624" i="9" s="1"/>
  <c r="R625" i="9" s="1"/>
  <c r="R626" i="9" s="1"/>
  <c r="R627" i="9" s="1"/>
  <c r="R628" i="9" s="1"/>
  <c r="R629" i="9" s="1"/>
  <c r="R630" i="9" s="1"/>
  <c r="R631" i="9" s="1"/>
  <c r="R632" i="9" s="1"/>
  <c r="R633" i="9" s="1"/>
  <c r="R634" i="9" s="1"/>
  <c r="R635" i="9" s="1"/>
  <c r="R636" i="9" s="1"/>
  <c r="R637" i="9" s="1"/>
  <c r="R638" i="9" s="1"/>
  <c r="R639" i="9" s="1"/>
  <c r="R640" i="9" s="1"/>
  <c r="R641" i="9" s="1"/>
  <c r="R642" i="9" s="1"/>
  <c r="R643" i="9" s="1"/>
  <c r="R644" i="9" s="1"/>
  <c r="R645" i="9" s="1"/>
  <c r="R646" i="9" s="1"/>
  <c r="R647" i="9" s="1"/>
  <c r="R648" i="9" s="1"/>
  <c r="R649" i="9" s="1"/>
  <c r="R650" i="9" s="1"/>
  <c r="R651" i="9" s="1"/>
  <c r="R652" i="9" s="1"/>
  <c r="R653" i="9" s="1"/>
  <c r="R654" i="9" s="1"/>
  <c r="R655" i="9" s="1"/>
  <c r="R656" i="9" s="1"/>
  <c r="R657" i="9" s="1"/>
  <c r="R658" i="9" s="1"/>
  <c r="R659" i="9" s="1"/>
  <c r="R660" i="9" s="1"/>
  <c r="R661" i="9" s="1"/>
  <c r="R662" i="9" s="1"/>
  <c r="R663" i="9" s="1"/>
  <c r="R664" i="9" s="1"/>
  <c r="R665" i="9" s="1"/>
  <c r="R666" i="9" s="1"/>
  <c r="R667" i="9" s="1"/>
  <c r="R668" i="9" s="1"/>
  <c r="R669" i="9" s="1"/>
  <c r="R670" i="9" s="1"/>
  <c r="R671" i="9" s="1"/>
  <c r="R672" i="9" s="1"/>
  <c r="R673" i="9" s="1"/>
  <c r="R674" i="9" s="1"/>
  <c r="R675" i="9" s="1"/>
  <c r="R676" i="9" s="1"/>
  <c r="R677" i="9" s="1"/>
  <c r="R678" i="9" s="1"/>
  <c r="R679" i="9" s="1"/>
  <c r="R680" i="9" s="1"/>
  <c r="R681" i="9" s="1"/>
  <c r="R682" i="9" s="1"/>
  <c r="R683" i="9" s="1"/>
  <c r="R684" i="9" s="1"/>
  <c r="R685" i="9" s="1"/>
  <c r="R686" i="9" s="1"/>
  <c r="R687" i="9" s="1"/>
  <c r="R688" i="9" s="1"/>
  <c r="R689" i="9" s="1"/>
  <c r="R690" i="9" s="1"/>
  <c r="R691" i="9" s="1"/>
  <c r="R692" i="9" s="1"/>
  <c r="R693" i="9" s="1"/>
  <c r="R694" i="9" s="1"/>
  <c r="R695" i="9" s="1"/>
  <c r="R696" i="9" s="1"/>
  <c r="R697" i="9" s="1"/>
  <c r="R698" i="9" s="1"/>
  <c r="R699" i="9" s="1"/>
  <c r="R700" i="9" s="1"/>
  <c r="R701" i="9" s="1"/>
  <c r="R702" i="9" s="1"/>
  <c r="R703" i="9" s="1"/>
  <c r="R704" i="9" s="1"/>
  <c r="R705" i="9" s="1"/>
  <c r="R706" i="9" s="1"/>
  <c r="R707" i="9" s="1"/>
  <c r="R708" i="9" s="1"/>
  <c r="R709" i="9" s="1"/>
  <c r="R710" i="9" s="1"/>
  <c r="R711" i="9" s="1"/>
  <c r="R712" i="9" s="1"/>
  <c r="R713" i="9" s="1"/>
  <c r="R714" i="9" s="1"/>
  <c r="R715" i="9" s="1"/>
  <c r="R716" i="9" s="1"/>
  <c r="R717" i="9" s="1"/>
  <c r="R718" i="9" s="1"/>
  <c r="R719" i="9" s="1"/>
  <c r="R720" i="9" s="1"/>
  <c r="R721" i="9" s="1"/>
  <c r="R722" i="9" s="1"/>
  <c r="R723" i="9" s="1"/>
  <c r="R724" i="9" s="1"/>
  <c r="R725" i="9" s="1"/>
  <c r="R726" i="9" s="1"/>
  <c r="R727" i="9" s="1"/>
  <c r="R728" i="9" s="1"/>
  <c r="R729" i="9" s="1"/>
  <c r="R730" i="9" s="1"/>
  <c r="R731" i="9" s="1"/>
  <c r="R732" i="9" s="1"/>
  <c r="R733" i="9" s="1"/>
  <c r="R734" i="9" s="1"/>
  <c r="R735" i="9" s="1"/>
  <c r="R736" i="9" s="1"/>
  <c r="R737" i="9" s="1"/>
  <c r="R738" i="9" s="1"/>
  <c r="R739" i="9" s="1"/>
  <c r="R740" i="9" s="1"/>
  <c r="R741" i="9" s="1"/>
  <c r="R742" i="9" s="1"/>
  <c r="R743" i="9" s="1"/>
  <c r="R744" i="9" s="1"/>
  <c r="R745" i="9" s="1"/>
  <c r="R746" i="9" s="1"/>
  <c r="R747" i="9" s="1"/>
  <c r="R748" i="9" s="1"/>
  <c r="R749" i="9" s="1"/>
  <c r="R750" i="9" s="1"/>
  <c r="R751" i="9" s="1"/>
  <c r="R752" i="9" s="1"/>
  <c r="R753" i="9" s="1"/>
  <c r="R754" i="9" s="1"/>
  <c r="R755" i="9" s="1"/>
  <c r="R756" i="9" s="1"/>
  <c r="R757" i="9" s="1"/>
  <c r="R758" i="9" s="1"/>
  <c r="R759" i="9" s="1"/>
  <c r="R760" i="9" s="1"/>
  <c r="R761" i="9" s="1"/>
  <c r="R762" i="9" s="1"/>
  <c r="R763" i="9" s="1"/>
  <c r="R764" i="9" s="1"/>
  <c r="R765" i="9" s="1"/>
  <c r="R766" i="9" s="1"/>
  <c r="R767" i="9" s="1"/>
  <c r="R768" i="9" s="1"/>
  <c r="R769" i="9" s="1"/>
  <c r="R770" i="9" s="1"/>
  <c r="R771" i="9" s="1"/>
  <c r="R772" i="9" s="1"/>
  <c r="R773" i="9" s="1"/>
  <c r="R774" i="9" s="1"/>
  <c r="R775" i="9" s="1"/>
  <c r="R776" i="9" s="1"/>
  <c r="R777" i="9" s="1"/>
  <c r="R778" i="9" s="1"/>
  <c r="R779" i="9" s="1"/>
  <c r="R780" i="9" s="1"/>
  <c r="R781" i="9" s="1"/>
  <c r="R782" i="9" s="1"/>
  <c r="R783" i="9" s="1"/>
  <c r="R784" i="9" s="1"/>
  <c r="R785" i="9" s="1"/>
  <c r="R786" i="9" s="1"/>
  <c r="R787" i="9" s="1"/>
  <c r="R788" i="9" s="1"/>
  <c r="R789" i="9" s="1"/>
  <c r="R790" i="9" s="1"/>
  <c r="R791" i="9" s="1"/>
  <c r="R792" i="9" s="1"/>
  <c r="R793" i="9" s="1"/>
  <c r="R794" i="9" s="1"/>
  <c r="R795" i="9" s="1"/>
  <c r="R796" i="9" s="1"/>
  <c r="R797" i="9" s="1"/>
  <c r="R798" i="9" s="1"/>
  <c r="R799" i="9" s="1"/>
  <c r="R800" i="9" s="1"/>
  <c r="R801" i="9" s="1"/>
  <c r="R802" i="9" s="1"/>
  <c r="R803" i="9" s="1"/>
  <c r="R804" i="9" s="1"/>
  <c r="R805" i="9" s="1"/>
  <c r="R806" i="9" s="1"/>
  <c r="R807" i="9" s="1"/>
  <c r="R808" i="9" s="1"/>
  <c r="R809" i="9" s="1"/>
  <c r="R810" i="9" s="1"/>
  <c r="R811" i="9" s="1"/>
  <c r="R812" i="9" s="1"/>
  <c r="R813" i="9" s="1"/>
  <c r="R814" i="9" s="1"/>
  <c r="R815" i="9" s="1"/>
  <c r="R816" i="9" s="1"/>
  <c r="R817" i="9" s="1"/>
  <c r="R818" i="9" s="1"/>
  <c r="R819" i="9" s="1"/>
  <c r="R820" i="9" s="1"/>
  <c r="R821" i="9" s="1"/>
  <c r="R822" i="9" s="1"/>
  <c r="R823" i="9" s="1"/>
  <c r="R824" i="9" s="1"/>
  <c r="R825" i="9" s="1"/>
  <c r="R826" i="9" s="1"/>
  <c r="R827" i="9" s="1"/>
  <c r="R828" i="9" s="1"/>
  <c r="R829" i="9" s="1"/>
  <c r="R830" i="9" s="1"/>
  <c r="R831" i="9" s="1"/>
  <c r="R832" i="9" s="1"/>
  <c r="R833" i="9" s="1"/>
  <c r="R834" i="9" s="1"/>
  <c r="R835" i="9" s="1"/>
  <c r="R836" i="9" s="1"/>
  <c r="R837" i="9" s="1"/>
  <c r="R838" i="9" s="1"/>
  <c r="R839" i="9" s="1"/>
  <c r="R840" i="9" s="1"/>
  <c r="R841" i="9" s="1"/>
  <c r="R842" i="9" s="1"/>
  <c r="R843" i="9" s="1"/>
  <c r="R844" i="9" s="1"/>
  <c r="R845" i="9" s="1"/>
  <c r="R846" i="9" s="1"/>
  <c r="R847" i="9" s="1"/>
  <c r="R848" i="9" s="1"/>
  <c r="R849" i="9" s="1"/>
  <c r="R850" i="9" s="1"/>
  <c r="R851" i="9" s="1"/>
  <c r="R852" i="9" s="1"/>
  <c r="R853" i="9" s="1"/>
  <c r="R854" i="9" s="1"/>
  <c r="R855" i="9" s="1"/>
  <c r="R856" i="9" s="1"/>
  <c r="R857" i="9" s="1"/>
  <c r="R858" i="9" s="1"/>
  <c r="R859" i="9" s="1"/>
  <c r="R860" i="9" s="1"/>
  <c r="R861" i="9" s="1"/>
  <c r="R862" i="9" s="1"/>
  <c r="R863" i="9" s="1"/>
  <c r="R864" i="9" s="1"/>
  <c r="R865" i="9" s="1"/>
  <c r="R866" i="9" s="1"/>
  <c r="R867" i="9" s="1"/>
  <c r="R868" i="9" s="1"/>
  <c r="R869" i="9" s="1"/>
  <c r="R870" i="9" s="1"/>
  <c r="R871" i="9" s="1"/>
  <c r="R872" i="9" s="1"/>
  <c r="R873" i="9" s="1"/>
  <c r="R874" i="9" s="1"/>
  <c r="R875" i="9" s="1"/>
  <c r="R876" i="9" s="1"/>
  <c r="R877" i="9" s="1"/>
  <c r="R878" i="9" s="1"/>
  <c r="R879" i="9" s="1"/>
  <c r="R880" i="9" s="1"/>
  <c r="R881" i="9" s="1"/>
  <c r="R882" i="9" s="1"/>
  <c r="R883" i="9" s="1"/>
  <c r="R884" i="9" s="1"/>
  <c r="R885" i="9" s="1"/>
  <c r="R886" i="9" s="1"/>
  <c r="R887" i="9" s="1"/>
  <c r="R888" i="9" s="1"/>
  <c r="R889" i="9" s="1"/>
  <c r="R890" i="9" s="1"/>
  <c r="R891" i="9" s="1"/>
  <c r="R892" i="9" s="1"/>
  <c r="R893" i="9" s="1"/>
  <c r="R894" i="9" s="1"/>
  <c r="R895" i="9" s="1"/>
  <c r="R896" i="9" s="1"/>
  <c r="R897" i="9" s="1"/>
  <c r="R898" i="9" s="1"/>
  <c r="R899" i="9" s="1"/>
  <c r="R900" i="9" s="1"/>
  <c r="R901" i="9" s="1"/>
  <c r="R902" i="9" s="1"/>
  <c r="R903" i="9" s="1"/>
  <c r="R904" i="9" s="1"/>
  <c r="R905" i="9" s="1"/>
  <c r="R906" i="9" s="1"/>
  <c r="R907" i="9" s="1"/>
  <c r="R908" i="9" s="1"/>
  <c r="R909" i="9" s="1"/>
  <c r="R910" i="9" s="1"/>
  <c r="R911" i="9" s="1"/>
  <c r="R912" i="9" s="1"/>
  <c r="R913" i="9" s="1"/>
  <c r="R914" i="9" s="1"/>
  <c r="R915" i="9" s="1"/>
  <c r="R916" i="9" s="1"/>
  <c r="R917" i="9" s="1"/>
  <c r="R918" i="9" s="1"/>
  <c r="R919" i="9" s="1"/>
  <c r="R920" i="9" s="1"/>
  <c r="R921" i="9" s="1"/>
  <c r="R922" i="9" s="1"/>
  <c r="R923" i="9" s="1"/>
  <c r="R924" i="9" s="1"/>
  <c r="R925" i="9" s="1"/>
  <c r="R926" i="9" s="1"/>
  <c r="R927" i="9" s="1"/>
  <c r="R928" i="9" s="1"/>
  <c r="R929" i="9" s="1"/>
  <c r="R930" i="9" s="1"/>
  <c r="R931" i="9" s="1"/>
  <c r="R932" i="9" s="1"/>
  <c r="R933" i="9" s="1"/>
  <c r="R934" i="9" s="1"/>
  <c r="R935" i="9" s="1"/>
  <c r="R936" i="9" s="1"/>
  <c r="R937" i="9" s="1"/>
  <c r="R938" i="9" s="1"/>
  <c r="R939" i="9" s="1"/>
  <c r="R940" i="9" s="1"/>
  <c r="R941" i="9" s="1"/>
  <c r="R942" i="9" s="1"/>
  <c r="R943" i="9" s="1"/>
  <c r="R944" i="9" s="1"/>
  <c r="R945" i="9" s="1"/>
  <c r="R946" i="9" s="1"/>
  <c r="R947" i="9" s="1"/>
  <c r="R948" i="9" s="1"/>
  <c r="R949" i="9" s="1"/>
  <c r="R950" i="9" s="1"/>
  <c r="R951" i="9" s="1"/>
  <c r="R952" i="9" s="1"/>
  <c r="R953" i="9" s="1"/>
  <c r="R954" i="9" s="1"/>
  <c r="R955" i="9" s="1"/>
  <c r="R956" i="9" s="1"/>
  <c r="R957" i="9" s="1"/>
  <c r="R958" i="9" s="1"/>
  <c r="R959" i="9" s="1"/>
  <c r="R960" i="9" s="1"/>
  <c r="R961" i="9" s="1"/>
  <c r="R962" i="9" s="1"/>
  <c r="R963" i="9" s="1"/>
  <c r="R964" i="9" s="1"/>
  <c r="R965" i="9" s="1"/>
  <c r="R966" i="9" s="1"/>
  <c r="R967" i="9" s="1"/>
  <c r="R968" i="9" s="1"/>
  <c r="R969" i="9" s="1"/>
  <c r="R970" i="9" s="1"/>
  <c r="R971" i="9" s="1"/>
  <c r="R972" i="9" s="1"/>
  <c r="R973" i="9" s="1"/>
  <c r="R974" i="9" s="1"/>
  <c r="R975" i="9" s="1"/>
  <c r="R976" i="9" s="1"/>
  <c r="R977" i="9" s="1"/>
  <c r="R978" i="9" s="1"/>
  <c r="R979" i="9" s="1"/>
  <c r="R980" i="9" s="1"/>
  <c r="R981" i="9" s="1"/>
  <c r="R982" i="9" s="1"/>
  <c r="R983" i="9" s="1"/>
  <c r="R984" i="9" s="1"/>
  <c r="R985" i="9" s="1"/>
  <c r="R986" i="9" s="1"/>
  <c r="R987" i="9" s="1"/>
  <c r="R988" i="9" s="1"/>
  <c r="R989" i="9" s="1"/>
  <c r="R990" i="9" s="1"/>
  <c r="R991" i="9" s="1"/>
  <c r="R992" i="9" s="1"/>
  <c r="R993" i="9" s="1"/>
  <c r="R994" i="9" s="1"/>
  <c r="R995" i="9" s="1"/>
  <c r="R996" i="9" s="1"/>
  <c r="R997" i="9" s="1"/>
  <c r="R998" i="9" s="1"/>
  <c r="R999" i="9" s="1"/>
  <c r="R1000" i="9" s="1"/>
  <c r="R1001" i="9" s="1"/>
  <c r="R1002" i="9" s="1"/>
  <c r="R1003" i="9" s="1"/>
  <c r="R1004" i="9" s="1"/>
  <c r="R1005" i="9" s="1"/>
  <c r="R1006" i="9" s="1"/>
  <c r="R1007" i="9" s="1"/>
  <c r="R1008" i="9" s="1"/>
  <c r="R1009" i="9" s="1"/>
  <c r="R1010" i="9" s="1"/>
  <c r="R1011" i="9" s="1"/>
  <c r="R1012" i="9" s="1"/>
  <c r="R1013" i="9" s="1"/>
  <c r="R1014" i="9" s="1"/>
  <c r="R1015" i="9" s="1"/>
  <c r="R1016" i="9" s="1"/>
  <c r="R1017" i="9" s="1"/>
  <c r="R1018" i="9" s="1"/>
  <c r="R1019" i="9" s="1"/>
  <c r="R1020" i="9" s="1"/>
  <c r="R1021" i="9" s="1"/>
  <c r="R1022" i="9" s="1"/>
  <c r="R1023" i="9" s="1"/>
  <c r="R1024" i="9" s="1"/>
  <c r="R1025" i="9" s="1"/>
  <c r="R1026" i="9" s="1"/>
  <c r="R1027" i="9" s="1"/>
  <c r="R1028" i="9" s="1"/>
  <c r="R1029" i="9" s="1"/>
  <c r="R1030" i="9" s="1"/>
  <c r="R1031" i="9" s="1"/>
  <c r="R1032" i="9" s="1"/>
  <c r="R1033" i="9" s="1"/>
  <c r="R1034" i="9" s="1"/>
  <c r="R1035" i="9" s="1"/>
  <c r="R1036" i="9" s="1"/>
  <c r="R1037" i="9" s="1"/>
  <c r="R1038" i="9" s="1"/>
  <c r="R1039" i="9" s="1"/>
  <c r="R1040" i="9" s="1"/>
  <c r="R1041" i="9" s="1"/>
  <c r="R1042" i="9" s="1"/>
  <c r="R1043" i="9" s="1"/>
  <c r="R1044" i="9" s="1"/>
  <c r="R1045" i="9" s="1"/>
  <c r="R1046" i="9" s="1"/>
  <c r="R1047" i="9" s="1"/>
  <c r="R1048" i="9" s="1"/>
  <c r="R1049" i="9" s="1"/>
  <c r="R1050" i="9" s="1"/>
  <c r="R1051" i="9" s="1"/>
  <c r="R1052" i="9" s="1"/>
  <c r="R1053" i="9" s="1"/>
  <c r="R1054" i="9" s="1"/>
  <c r="R1055" i="9" s="1"/>
  <c r="R1056" i="9" s="1"/>
  <c r="R1057" i="9" s="1"/>
  <c r="R1058" i="9" s="1"/>
  <c r="R1059" i="9" s="1"/>
  <c r="R1060" i="9" s="1"/>
  <c r="R1061" i="9" s="1"/>
  <c r="R1062" i="9" s="1"/>
  <c r="R1063" i="9" s="1"/>
  <c r="R1064" i="9" s="1"/>
  <c r="R1065" i="9" s="1"/>
  <c r="R1066" i="9" s="1"/>
  <c r="R1067" i="9" s="1"/>
  <c r="R1068" i="9" s="1"/>
  <c r="R1069" i="9" s="1"/>
  <c r="R1070" i="9" s="1"/>
  <c r="R1071" i="9" s="1"/>
  <c r="R1072" i="9" s="1"/>
  <c r="R1073" i="9" s="1"/>
  <c r="R1074" i="9" s="1"/>
  <c r="R1075" i="9" s="1"/>
  <c r="R1076" i="9" s="1"/>
  <c r="R1077" i="9" s="1"/>
  <c r="R1078" i="9" s="1"/>
  <c r="R1079" i="9" s="1"/>
  <c r="R1080" i="9" s="1"/>
  <c r="R1081" i="9" s="1"/>
  <c r="R1082" i="9" s="1"/>
  <c r="R1083" i="9" s="1"/>
  <c r="R1084" i="9" s="1"/>
  <c r="R1085" i="9" s="1"/>
  <c r="R1086" i="9" s="1"/>
  <c r="R1087" i="9" s="1"/>
  <c r="R1088" i="9" s="1"/>
  <c r="R1089" i="9" s="1"/>
  <c r="R1090" i="9" s="1"/>
  <c r="R1091" i="9" s="1"/>
  <c r="R1092" i="9" s="1"/>
  <c r="R1093" i="9" s="1"/>
  <c r="R1094" i="9" s="1"/>
  <c r="R1095" i="9" s="1"/>
  <c r="R1096" i="9" s="1"/>
  <c r="R1097" i="9" s="1"/>
  <c r="R1098" i="9" s="1"/>
  <c r="R1099" i="9" s="1"/>
  <c r="R1100" i="9" s="1"/>
  <c r="R1101" i="9" s="1"/>
  <c r="R1102" i="9" s="1"/>
  <c r="R1103" i="9" s="1"/>
  <c r="R1104" i="9" s="1"/>
  <c r="R1105" i="9" s="1"/>
  <c r="R1106" i="9" s="1"/>
  <c r="R1107" i="9" s="1"/>
  <c r="R1108" i="9" s="1"/>
  <c r="R1109" i="9" s="1"/>
  <c r="R1110" i="9" s="1"/>
  <c r="R1111" i="9" s="1"/>
  <c r="R1112" i="9" s="1"/>
  <c r="R1113" i="9" s="1"/>
  <c r="R1114" i="9" s="1"/>
  <c r="R1115" i="9" s="1"/>
  <c r="R1116" i="9" s="1"/>
  <c r="R1117" i="9" s="1"/>
  <c r="R1118" i="9" s="1"/>
  <c r="R1119" i="9" s="1"/>
  <c r="R1120" i="9" s="1"/>
  <c r="R1121" i="9" s="1"/>
  <c r="R1122" i="9" s="1"/>
  <c r="R1123" i="9" s="1"/>
  <c r="R1124" i="9" s="1"/>
  <c r="R1125" i="9" s="1"/>
  <c r="R1126" i="9" s="1"/>
  <c r="R1127" i="9" s="1"/>
  <c r="R1128" i="9" s="1"/>
  <c r="R1129" i="9" s="1"/>
  <c r="R1130" i="9" s="1"/>
  <c r="R1131" i="9" s="1"/>
  <c r="R1132" i="9" s="1"/>
  <c r="R1133" i="9" s="1"/>
  <c r="R1134" i="9" s="1"/>
  <c r="R1135" i="9" s="1"/>
  <c r="R1136" i="9" s="1"/>
  <c r="R1137" i="9" s="1"/>
  <c r="R1138" i="9" s="1"/>
  <c r="R1139" i="9" s="1"/>
  <c r="R1140" i="9" s="1"/>
  <c r="R1141" i="9" s="1"/>
  <c r="R1142" i="9" s="1"/>
  <c r="R1143" i="9" s="1"/>
  <c r="R1144" i="9" s="1"/>
  <c r="R1145" i="9" s="1"/>
  <c r="R1146" i="9" s="1"/>
  <c r="R1147" i="9" s="1"/>
  <c r="R1148" i="9" s="1"/>
  <c r="R1149" i="9" s="1"/>
  <c r="R1150" i="9" s="1"/>
  <c r="R1151" i="9" s="1"/>
  <c r="R1152" i="9" s="1"/>
  <c r="R1153" i="9" s="1"/>
  <c r="R1154" i="9" s="1"/>
  <c r="R1155" i="9" s="1"/>
  <c r="R1156" i="9" s="1"/>
  <c r="R1157" i="9" s="1"/>
  <c r="R1158" i="9" s="1"/>
  <c r="R1159" i="9" s="1"/>
  <c r="R1160" i="9" s="1"/>
  <c r="R1161" i="9" s="1"/>
  <c r="R1162" i="9" s="1"/>
  <c r="R1163" i="9" s="1"/>
  <c r="R1164" i="9" s="1"/>
  <c r="R1165" i="9" s="1"/>
  <c r="R1166" i="9" s="1"/>
  <c r="R1167" i="9" s="1"/>
  <c r="R1168" i="9" s="1"/>
  <c r="R1169" i="9" s="1"/>
  <c r="R1170" i="9" s="1"/>
  <c r="R1171" i="9" s="1"/>
  <c r="R1172" i="9" s="1"/>
  <c r="R1173" i="9" s="1"/>
  <c r="R1174" i="9" s="1"/>
  <c r="R1175" i="9" s="1"/>
  <c r="R1176" i="9" s="1"/>
  <c r="R1177" i="9" s="1"/>
  <c r="R1178" i="9" s="1"/>
  <c r="R1179" i="9" s="1"/>
  <c r="R1180" i="9" s="1"/>
  <c r="R1181" i="9" s="1"/>
  <c r="R1182" i="9" s="1"/>
  <c r="R1183" i="9" s="1"/>
  <c r="R1184" i="9" s="1"/>
  <c r="R1185" i="9" s="1"/>
  <c r="R1186" i="9" s="1"/>
  <c r="R1187" i="9" s="1"/>
  <c r="R1188" i="9" s="1"/>
  <c r="R1189" i="9" s="1"/>
  <c r="R1190" i="9" s="1"/>
  <c r="R1191" i="9" s="1"/>
  <c r="R1192" i="9" s="1"/>
  <c r="R1193" i="9" s="1"/>
  <c r="R1194" i="9" s="1"/>
  <c r="R1195" i="9" s="1"/>
  <c r="R1196" i="9" s="1"/>
  <c r="R1197" i="9" s="1"/>
  <c r="R1198" i="9" s="1"/>
  <c r="R1199" i="9" s="1"/>
  <c r="R1200" i="9" s="1"/>
  <c r="R1201" i="9" s="1"/>
  <c r="R1202" i="9" s="1"/>
  <c r="R1203" i="9" s="1"/>
  <c r="R1204" i="9" s="1"/>
  <c r="R1205" i="9" s="1"/>
  <c r="R1206" i="9" s="1"/>
  <c r="R1207" i="9" s="1"/>
  <c r="R1208" i="9" s="1"/>
  <c r="R1209" i="9" s="1"/>
  <c r="R1210" i="9" s="1"/>
  <c r="R1211" i="9" s="1"/>
  <c r="R1212" i="9" s="1"/>
  <c r="R1213" i="9" s="1"/>
  <c r="R1214" i="9" s="1"/>
  <c r="R1215" i="9" s="1"/>
  <c r="R1216" i="9" s="1"/>
  <c r="R1217" i="9" s="1"/>
  <c r="R1218" i="9" s="1"/>
  <c r="R1219" i="9" s="1"/>
  <c r="R1220" i="9" s="1"/>
  <c r="R1221" i="9" s="1"/>
  <c r="R1222" i="9" s="1"/>
  <c r="R1223" i="9" s="1"/>
  <c r="R1224" i="9" s="1"/>
  <c r="R1225" i="9" s="1"/>
  <c r="R1226" i="9" s="1"/>
  <c r="R1227" i="9" s="1"/>
  <c r="R1228" i="9" s="1"/>
  <c r="R1229" i="9" s="1"/>
  <c r="R1230" i="9" s="1"/>
  <c r="R1231" i="9" s="1"/>
  <c r="R1232" i="9" s="1"/>
  <c r="R1233" i="9" s="1"/>
  <c r="R1234" i="9" s="1"/>
  <c r="R1235" i="9" s="1"/>
  <c r="R1236" i="9" s="1"/>
  <c r="R1237" i="9" s="1"/>
  <c r="R1238" i="9" s="1"/>
  <c r="R1239" i="9" s="1"/>
  <c r="R1240" i="9" s="1"/>
  <c r="R1241" i="9" s="1"/>
  <c r="R1242" i="9" s="1"/>
  <c r="R1243" i="9" s="1"/>
  <c r="R1244" i="9" s="1"/>
  <c r="R1245" i="9" s="1"/>
  <c r="R1246" i="9" s="1"/>
  <c r="R1247" i="9" s="1"/>
  <c r="R1248" i="9" s="1"/>
  <c r="R1249" i="9" s="1"/>
  <c r="R1250" i="9" s="1"/>
  <c r="R1251" i="9" s="1"/>
  <c r="R1252" i="9" s="1"/>
  <c r="R1253" i="9" s="1"/>
  <c r="R1254" i="9" s="1"/>
  <c r="R1255" i="9" s="1"/>
  <c r="R1256" i="9" s="1"/>
  <c r="R1257" i="9" s="1"/>
  <c r="R1258" i="9" s="1"/>
  <c r="R1259" i="9" s="1"/>
  <c r="R1260" i="9" s="1"/>
  <c r="R1261" i="9" s="1"/>
  <c r="R1262" i="9" s="1"/>
  <c r="R1263" i="9" s="1"/>
  <c r="R1264" i="9" s="1"/>
  <c r="R1265" i="9" s="1"/>
  <c r="R1266" i="9" s="1"/>
  <c r="R1267" i="9" s="1"/>
  <c r="R1268" i="9" s="1"/>
  <c r="R1269" i="9" s="1"/>
  <c r="R1270" i="9" s="1"/>
  <c r="R1271" i="9" s="1"/>
  <c r="R1272" i="9" s="1"/>
  <c r="R1273" i="9" s="1"/>
  <c r="R1274" i="9" s="1"/>
  <c r="R1275" i="9" s="1"/>
  <c r="R1276" i="9" s="1"/>
  <c r="R1277" i="9" s="1"/>
  <c r="R1278" i="9" s="1"/>
  <c r="R1279" i="9" s="1"/>
  <c r="R1280" i="9" s="1"/>
  <c r="R1281" i="9" s="1"/>
  <c r="R1282" i="9" s="1"/>
  <c r="R1283" i="9" s="1"/>
  <c r="R1284" i="9" s="1"/>
  <c r="R1285" i="9" s="1"/>
  <c r="R1286" i="9" s="1"/>
  <c r="R1287" i="9" s="1"/>
  <c r="R1288" i="9" s="1"/>
  <c r="R1289" i="9" s="1"/>
  <c r="R1290" i="9" s="1"/>
  <c r="R1291" i="9" s="1"/>
  <c r="R1292" i="9" s="1"/>
  <c r="R1293" i="9" s="1"/>
  <c r="R1294" i="9" s="1"/>
  <c r="R1295" i="9" s="1"/>
  <c r="R1296" i="9" s="1"/>
  <c r="R1297" i="9" s="1"/>
  <c r="R1298" i="9" s="1"/>
  <c r="R1299" i="9" s="1"/>
  <c r="R1300" i="9" s="1"/>
  <c r="R1301" i="9" s="1"/>
  <c r="R1302" i="9" s="1"/>
  <c r="R1303" i="9" s="1"/>
  <c r="R1304" i="9" s="1"/>
  <c r="R1305" i="9" s="1"/>
  <c r="R1306" i="9" s="1"/>
  <c r="R1307" i="9" s="1"/>
  <c r="R1308" i="9" s="1"/>
  <c r="R1309" i="9" s="1"/>
  <c r="R1310" i="9" s="1"/>
  <c r="R1311" i="9" s="1"/>
  <c r="R1312" i="9" s="1"/>
  <c r="R1313" i="9" s="1"/>
  <c r="R1314" i="9" s="1"/>
  <c r="R1315" i="9" s="1"/>
  <c r="R1316" i="9" s="1"/>
  <c r="R1317" i="9" s="1"/>
  <c r="R1318" i="9" s="1"/>
  <c r="R1319" i="9" s="1"/>
  <c r="R1320" i="9" s="1"/>
  <c r="R1321" i="9" s="1"/>
  <c r="R1322" i="9" s="1"/>
  <c r="R1323" i="9" s="1"/>
  <c r="R1324" i="9" s="1"/>
  <c r="R1325" i="9" s="1"/>
  <c r="R1326" i="9" s="1"/>
  <c r="R1327" i="9" s="1"/>
  <c r="R1328" i="9" s="1"/>
  <c r="R1329" i="9" s="1"/>
  <c r="R1330" i="9" s="1"/>
  <c r="R1331" i="9" s="1"/>
  <c r="R1332" i="9" s="1"/>
  <c r="R1333" i="9" s="1"/>
  <c r="R1334" i="9" s="1"/>
  <c r="R1335" i="9" s="1"/>
  <c r="R1336" i="9" s="1"/>
  <c r="R1337" i="9" s="1"/>
  <c r="R1338" i="9" s="1"/>
  <c r="R1339" i="9" s="1"/>
  <c r="R1340" i="9" s="1"/>
  <c r="R1341" i="9" s="1"/>
  <c r="R1342" i="9" s="1"/>
  <c r="R1343" i="9" s="1"/>
  <c r="R1344" i="9" s="1"/>
  <c r="R1345" i="9" s="1"/>
  <c r="R1346" i="9" s="1"/>
  <c r="R1347" i="9" s="1"/>
  <c r="R1348" i="9" s="1"/>
  <c r="R1349" i="9" s="1"/>
  <c r="R1350" i="9" s="1"/>
  <c r="R1351" i="9" s="1"/>
  <c r="R1352" i="9" s="1"/>
  <c r="R1353" i="9" s="1"/>
  <c r="R1354" i="9" s="1"/>
  <c r="R1355" i="9" s="1"/>
  <c r="R1356" i="9" s="1"/>
  <c r="R1357" i="9" s="1"/>
  <c r="R1358" i="9" s="1"/>
  <c r="R1359" i="9" s="1"/>
  <c r="R1360" i="9" s="1"/>
  <c r="R1361" i="9" s="1"/>
  <c r="R1362" i="9" s="1"/>
  <c r="R1363" i="9" s="1"/>
  <c r="R1364" i="9" s="1"/>
  <c r="R1365" i="9" s="1"/>
  <c r="R1366" i="9" s="1"/>
  <c r="R1367" i="9" s="1"/>
  <c r="R1368" i="9" s="1"/>
  <c r="R1369" i="9" s="1"/>
  <c r="R1370" i="9" s="1"/>
  <c r="R1371" i="9" s="1"/>
  <c r="R1372" i="9" s="1"/>
  <c r="R1373" i="9" s="1"/>
  <c r="R1374" i="9" s="1"/>
  <c r="R1375" i="9" s="1"/>
  <c r="R1376" i="9" s="1"/>
  <c r="R1377" i="9" s="1"/>
  <c r="R1378" i="9" s="1"/>
  <c r="R1379" i="9" s="1"/>
  <c r="R1380" i="9" s="1"/>
  <c r="R1381" i="9" s="1"/>
  <c r="R1382" i="9" s="1"/>
  <c r="R1383" i="9" s="1"/>
  <c r="R1384" i="9" s="1"/>
  <c r="R1385" i="9" s="1"/>
  <c r="R1386" i="9" s="1"/>
  <c r="R1387" i="9" s="1"/>
  <c r="R1388" i="9" s="1"/>
  <c r="R1389" i="9" s="1"/>
  <c r="R1390" i="9" s="1"/>
  <c r="R1391" i="9" s="1"/>
  <c r="R1392" i="9" s="1"/>
  <c r="R1393" i="9" s="1"/>
  <c r="R1394" i="9" s="1"/>
  <c r="R1395" i="9" s="1"/>
  <c r="R1396" i="9" s="1"/>
  <c r="R1397" i="9" s="1"/>
  <c r="R1398" i="9" s="1"/>
  <c r="R1399" i="9" s="1"/>
  <c r="R1400" i="9" s="1"/>
  <c r="R1401" i="9" s="1"/>
  <c r="R1402" i="9" s="1"/>
  <c r="R1403" i="9" s="1"/>
  <c r="R1404" i="9" s="1"/>
  <c r="R1405" i="9" s="1"/>
  <c r="R1406" i="9" s="1"/>
  <c r="R1407" i="9" s="1"/>
  <c r="R1408" i="9" s="1"/>
  <c r="R1409" i="9" s="1"/>
  <c r="R1410" i="9" s="1"/>
  <c r="R1411" i="9" s="1"/>
  <c r="R1412" i="9" s="1"/>
  <c r="R1413" i="9" s="1"/>
  <c r="R1414" i="9" s="1"/>
  <c r="R1415" i="9" s="1"/>
  <c r="R1416" i="9" s="1"/>
  <c r="R1417" i="9" s="1"/>
  <c r="R1418" i="9" s="1"/>
  <c r="R1419" i="9" s="1"/>
  <c r="R1420" i="9" s="1"/>
  <c r="R1421" i="9" s="1"/>
  <c r="R1422" i="9" s="1"/>
  <c r="R1423" i="9" s="1"/>
  <c r="R1424" i="9" s="1"/>
  <c r="R1425" i="9" s="1"/>
  <c r="R1426" i="9" s="1"/>
  <c r="R1427" i="9" s="1"/>
  <c r="R1428" i="9" s="1"/>
  <c r="R1429" i="9" s="1"/>
  <c r="R1430" i="9" s="1"/>
  <c r="R1431" i="9" s="1"/>
  <c r="R1432" i="9" s="1"/>
  <c r="R1433" i="9" s="1"/>
  <c r="R1434" i="9" s="1"/>
  <c r="R1435" i="9" s="1"/>
  <c r="R1436" i="9" s="1"/>
  <c r="R1437" i="9" s="1"/>
  <c r="R1438" i="9" s="1"/>
  <c r="R1439" i="9" s="1"/>
  <c r="R1440" i="9" s="1"/>
  <c r="R1441" i="9" s="1"/>
  <c r="R1442" i="9" s="1"/>
  <c r="R1443" i="9" s="1"/>
  <c r="R1444" i="9" s="1"/>
  <c r="R1445" i="9" s="1"/>
  <c r="R1446" i="9" s="1"/>
  <c r="R1447" i="9" s="1"/>
  <c r="R1448" i="9" s="1"/>
  <c r="R1449" i="9" s="1"/>
  <c r="R1450" i="9" s="1"/>
  <c r="R1451" i="9" s="1"/>
  <c r="R1452" i="9" s="1"/>
  <c r="R1453" i="9" s="1"/>
  <c r="R1454" i="9" s="1"/>
  <c r="R1455" i="9" s="1"/>
  <c r="R1456" i="9" s="1"/>
  <c r="R1457" i="9" s="1"/>
  <c r="R1458" i="9" s="1"/>
  <c r="R1459" i="9" s="1"/>
  <c r="R1460" i="9" s="1"/>
  <c r="R1461" i="9" s="1"/>
  <c r="R1462" i="9" s="1"/>
  <c r="R1463" i="9" s="1"/>
  <c r="R1464" i="9" s="1"/>
  <c r="R1465" i="9" s="1"/>
  <c r="R1466" i="9" s="1"/>
  <c r="R1467" i="9" s="1"/>
  <c r="R1468" i="9" s="1"/>
  <c r="R1469" i="9" s="1"/>
  <c r="R1470" i="9" s="1"/>
  <c r="R1471" i="9" s="1"/>
  <c r="R1472" i="9" s="1"/>
  <c r="R1473" i="9" s="1"/>
  <c r="R1474" i="9" s="1"/>
  <c r="R1475" i="9" s="1"/>
  <c r="R1476" i="9" s="1"/>
  <c r="R1477" i="9" s="1"/>
  <c r="R1478" i="9" s="1"/>
  <c r="R1479" i="9" s="1"/>
  <c r="R1480" i="9" s="1"/>
  <c r="R1481" i="9" s="1"/>
  <c r="R1482" i="9" s="1"/>
  <c r="R1483" i="9" s="1"/>
  <c r="R1484" i="9" s="1"/>
  <c r="R1485" i="9" s="1"/>
  <c r="R1486" i="9" s="1"/>
  <c r="R1487" i="9" s="1"/>
  <c r="R1488" i="9" s="1"/>
  <c r="R1489" i="9" s="1"/>
  <c r="R1490" i="9" s="1"/>
  <c r="R1491" i="9" s="1"/>
  <c r="R1492" i="9" s="1"/>
  <c r="R1493" i="9" s="1"/>
  <c r="R1494" i="9" s="1"/>
  <c r="R1495" i="9" s="1"/>
  <c r="R1496" i="9" s="1"/>
  <c r="R1497" i="9" s="1"/>
  <c r="R1498" i="9" s="1"/>
  <c r="R1499" i="9" s="1"/>
  <c r="R1500" i="9" s="1"/>
  <c r="R1501" i="9" s="1"/>
  <c r="R1502" i="9" s="1"/>
  <c r="R1503" i="9" s="1"/>
  <c r="R1504" i="9" s="1"/>
  <c r="R1505" i="9" s="1"/>
  <c r="R1506" i="9" s="1"/>
  <c r="R1507" i="9" s="1"/>
  <c r="R1508" i="9" s="1"/>
  <c r="R1509" i="9" s="1"/>
  <c r="R1510" i="9" s="1"/>
  <c r="R1511" i="9" s="1"/>
  <c r="R1512" i="9" s="1"/>
  <c r="R1513" i="9" s="1"/>
  <c r="R1514" i="9" s="1"/>
  <c r="R1515" i="9" s="1"/>
  <c r="R1516" i="9" s="1"/>
  <c r="R1517" i="9" s="1"/>
  <c r="R1518" i="9" s="1"/>
  <c r="R1519" i="9" s="1"/>
  <c r="R1520" i="9" s="1"/>
  <c r="R1521" i="9" s="1"/>
  <c r="R1522" i="9" s="1"/>
  <c r="R1523" i="9" s="1"/>
  <c r="R1524" i="9" s="1"/>
  <c r="R1525" i="9" s="1"/>
  <c r="R1526" i="9" s="1"/>
  <c r="R1527" i="9" s="1"/>
  <c r="R1528" i="9" s="1"/>
  <c r="R1529" i="9" s="1"/>
  <c r="R1530" i="9" s="1"/>
  <c r="R1531" i="9" s="1"/>
  <c r="R1532" i="9" s="1"/>
  <c r="R1533" i="9" s="1"/>
  <c r="R1534" i="9" s="1"/>
  <c r="R1535" i="9" s="1"/>
  <c r="R1536" i="9" s="1"/>
  <c r="R1537" i="9" s="1"/>
  <c r="R1538" i="9" s="1"/>
  <c r="R1539" i="9" s="1"/>
  <c r="R1540" i="9" s="1"/>
  <c r="R1541" i="9" s="1"/>
  <c r="R1542" i="9" s="1"/>
  <c r="R1543" i="9" s="1"/>
  <c r="R1544" i="9" s="1"/>
  <c r="R1545" i="9" s="1"/>
  <c r="R1546" i="9" s="1"/>
  <c r="R1547" i="9" s="1"/>
  <c r="R1548" i="9" s="1"/>
  <c r="R1549" i="9" s="1"/>
  <c r="R1550" i="9" s="1"/>
  <c r="R1551" i="9" s="1"/>
  <c r="R1552" i="9" s="1"/>
  <c r="R1553" i="9" s="1"/>
  <c r="R1554" i="9" s="1"/>
  <c r="R1555" i="9" s="1"/>
  <c r="R1556" i="9" s="1"/>
  <c r="R1557" i="9" s="1"/>
  <c r="R1558" i="9" s="1"/>
  <c r="R1559" i="9" s="1"/>
  <c r="R1560" i="9" s="1"/>
  <c r="R1561" i="9" s="1"/>
  <c r="R1562" i="9" s="1"/>
  <c r="R1563" i="9" s="1"/>
  <c r="R1564" i="9" s="1"/>
  <c r="R1565" i="9" s="1"/>
  <c r="R1566" i="9" s="1"/>
  <c r="R1567" i="9" s="1"/>
  <c r="R1568" i="9" s="1"/>
  <c r="R1569" i="9" s="1"/>
  <c r="R1570" i="9" s="1"/>
  <c r="R1571" i="9" s="1"/>
  <c r="R1572" i="9" s="1"/>
  <c r="R1573" i="9" s="1"/>
  <c r="R1574" i="9" s="1"/>
  <c r="R1575" i="9" s="1"/>
  <c r="R1576" i="9" s="1"/>
  <c r="R1577" i="9" s="1"/>
  <c r="R1578" i="9" s="1"/>
  <c r="R1579" i="9" s="1"/>
  <c r="R1580" i="9" s="1"/>
  <c r="R1581" i="9" s="1"/>
  <c r="R1582" i="9" s="1"/>
  <c r="R1583" i="9" s="1"/>
  <c r="R1584" i="9" s="1"/>
  <c r="R1585" i="9" s="1"/>
  <c r="R1586" i="9" s="1"/>
  <c r="R1587" i="9" s="1"/>
  <c r="R1588" i="9" s="1"/>
  <c r="R1589" i="9" s="1"/>
  <c r="R1590" i="9" s="1"/>
  <c r="R1591" i="9" s="1"/>
  <c r="R1592" i="9" s="1"/>
  <c r="R1593" i="9" s="1"/>
  <c r="R1594" i="9" s="1"/>
  <c r="R1595" i="9" s="1"/>
  <c r="R1596" i="9" s="1"/>
  <c r="R1597" i="9" s="1"/>
  <c r="R1598" i="9" s="1"/>
  <c r="R1599" i="9" s="1"/>
  <c r="R1600" i="9" s="1"/>
  <c r="R1601" i="9" s="1"/>
  <c r="R1602" i="9" s="1"/>
  <c r="R1603" i="9" s="1"/>
  <c r="R1604" i="9" s="1"/>
  <c r="R1605" i="9" s="1"/>
  <c r="R1606" i="9" s="1"/>
  <c r="R1607" i="9" s="1"/>
  <c r="R1608" i="9" s="1"/>
  <c r="R1609" i="9" s="1"/>
  <c r="R1610" i="9" s="1"/>
  <c r="R1611" i="9" s="1"/>
  <c r="R1612" i="9" s="1"/>
  <c r="R1613" i="9" s="1"/>
  <c r="R1614" i="9" s="1"/>
  <c r="R1615" i="9" s="1"/>
  <c r="R1616" i="9" s="1"/>
  <c r="R1617" i="9" s="1"/>
  <c r="R1618" i="9" s="1"/>
  <c r="R1619" i="9" s="1"/>
  <c r="R1620" i="9" s="1"/>
  <c r="R1621" i="9" s="1"/>
  <c r="R1622" i="9" s="1"/>
  <c r="R1623" i="9" s="1"/>
  <c r="R1624" i="9" s="1"/>
  <c r="R1625" i="9" s="1"/>
  <c r="R1626" i="9" s="1"/>
  <c r="R1627" i="9" s="1"/>
  <c r="R1628" i="9" s="1"/>
  <c r="R1629" i="9" s="1"/>
  <c r="R1630" i="9" s="1"/>
  <c r="R1631" i="9" s="1"/>
  <c r="R1632" i="9" s="1"/>
  <c r="R1633" i="9" s="1"/>
  <c r="R1634" i="9" s="1"/>
  <c r="R1635" i="9" s="1"/>
  <c r="R1636" i="9" s="1"/>
  <c r="R1637" i="9" s="1"/>
  <c r="R1638" i="9" s="1"/>
  <c r="R1639" i="9" s="1"/>
  <c r="R1640" i="9" s="1"/>
  <c r="R1641" i="9" s="1"/>
  <c r="R1642" i="9" s="1"/>
  <c r="R1643" i="9" s="1"/>
  <c r="R1644" i="9" s="1"/>
  <c r="R1645" i="9" s="1"/>
  <c r="R1646" i="9" s="1"/>
  <c r="R1647" i="9" s="1"/>
  <c r="R1648" i="9" s="1"/>
  <c r="R1649" i="9" s="1"/>
  <c r="R1650" i="9" s="1"/>
  <c r="R1651" i="9" s="1"/>
  <c r="R1652" i="9" s="1"/>
  <c r="R1653" i="9" s="1"/>
  <c r="R1654" i="9" s="1"/>
  <c r="R1655" i="9" s="1"/>
  <c r="R1656" i="9" s="1"/>
  <c r="R1657" i="9" s="1"/>
  <c r="R1658" i="9" s="1"/>
  <c r="R1659" i="9" s="1"/>
  <c r="R1660" i="9" s="1"/>
  <c r="R1661" i="9" s="1"/>
  <c r="R1662" i="9" s="1"/>
  <c r="R1663" i="9" s="1"/>
  <c r="R1664" i="9" s="1"/>
  <c r="R1665" i="9" s="1"/>
  <c r="R1666" i="9" s="1"/>
  <c r="R1667" i="9" s="1"/>
  <c r="R1668" i="9" s="1"/>
  <c r="R1669" i="9" s="1"/>
  <c r="R1670" i="9" s="1"/>
  <c r="R1671" i="9" s="1"/>
  <c r="R1672" i="9" s="1"/>
  <c r="R1673" i="9" s="1"/>
  <c r="R1674" i="9" s="1"/>
  <c r="R1675" i="9" s="1"/>
  <c r="R1676" i="9" s="1"/>
  <c r="R1677" i="9" s="1"/>
  <c r="R1678" i="9" s="1"/>
  <c r="R1679" i="9" s="1"/>
  <c r="R1680" i="9" s="1"/>
  <c r="R1681" i="9" s="1"/>
  <c r="R1682" i="9" s="1"/>
  <c r="R1683" i="9" s="1"/>
  <c r="R1684" i="9" s="1"/>
  <c r="R1685" i="9" s="1"/>
  <c r="R1686" i="9" s="1"/>
  <c r="R1687" i="9" s="1"/>
  <c r="R1688" i="9" s="1"/>
  <c r="R1689" i="9" s="1"/>
  <c r="R1690" i="9" s="1"/>
  <c r="R1691" i="9" s="1"/>
  <c r="R1692" i="9" s="1"/>
  <c r="R1693" i="9" s="1"/>
  <c r="R1694" i="9" s="1"/>
  <c r="R1695" i="9" s="1"/>
  <c r="R1696" i="9" s="1"/>
  <c r="R1697" i="9" s="1"/>
  <c r="R1698" i="9" s="1"/>
  <c r="R1699" i="9" s="1"/>
  <c r="R1700" i="9" s="1"/>
  <c r="R1701" i="9" s="1"/>
  <c r="R1702" i="9" s="1"/>
  <c r="R1703" i="9" s="1"/>
  <c r="R1704" i="9" s="1"/>
  <c r="R1705" i="9" s="1"/>
  <c r="R1706" i="9" s="1"/>
  <c r="R1707" i="9" s="1"/>
  <c r="R1708" i="9" s="1"/>
  <c r="R1709" i="9" s="1"/>
  <c r="R1710" i="9" s="1"/>
  <c r="R1711" i="9" s="1"/>
  <c r="R1712" i="9" s="1"/>
  <c r="R1713" i="9" s="1"/>
  <c r="R1714" i="9" s="1"/>
  <c r="R1715" i="9" s="1"/>
  <c r="R1716" i="9" s="1"/>
  <c r="R1717" i="9" s="1"/>
  <c r="R1718" i="9" s="1"/>
  <c r="R1719" i="9" s="1"/>
  <c r="R1720" i="9" s="1"/>
  <c r="R1721" i="9" s="1"/>
  <c r="R1722" i="9" s="1"/>
  <c r="R1723" i="9" s="1"/>
  <c r="R1724" i="9" s="1"/>
  <c r="R1725" i="9" s="1"/>
  <c r="R1726" i="9" s="1"/>
  <c r="R1727" i="9" s="1"/>
  <c r="R1728" i="9" s="1"/>
  <c r="R1729" i="9" s="1"/>
  <c r="R1730" i="9" s="1"/>
  <c r="R1731" i="9" s="1"/>
  <c r="R1732" i="9" s="1"/>
  <c r="R1733" i="9" s="1"/>
  <c r="R1734" i="9" s="1"/>
  <c r="R1735" i="9" s="1"/>
  <c r="R1736" i="9" s="1"/>
  <c r="R1737" i="9" s="1"/>
  <c r="R1738" i="9" s="1"/>
  <c r="R1739" i="9" s="1"/>
  <c r="R1740" i="9" s="1"/>
  <c r="R1741" i="9" s="1"/>
  <c r="R1742" i="9" s="1"/>
  <c r="R1743" i="9" s="1"/>
  <c r="R1744" i="9" s="1"/>
  <c r="R1745" i="9" s="1"/>
  <c r="R1746" i="9" s="1"/>
  <c r="R1747" i="9" s="1"/>
  <c r="R1748" i="9" s="1"/>
  <c r="R1749" i="9" s="1"/>
  <c r="R1750" i="9" s="1"/>
  <c r="R1751" i="9" s="1"/>
  <c r="R1752" i="9" s="1"/>
  <c r="R1753" i="9" s="1"/>
  <c r="R1754" i="9" s="1"/>
  <c r="R1755" i="9" s="1"/>
  <c r="R1756" i="9" s="1"/>
  <c r="R1757" i="9" s="1"/>
  <c r="R1758" i="9" s="1"/>
  <c r="R1759" i="9" s="1"/>
  <c r="R1760" i="9" s="1"/>
  <c r="R1761" i="9" s="1"/>
  <c r="R1762" i="9" s="1"/>
  <c r="R1763" i="9" s="1"/>
  <c r="R1764" i="9" s="1"/>
  <c r="R1765" i="9" s="1"/>
  <c r="R1766" i="9" s="1"/>
  <c r="R1767" i="9" s="1"/>
  <c r="R1768" i="9" s="1"/>
  <c r="R1769" i="9" s="1"/>
  <c r="R1770" i="9" s="1"/>
  <c r="R1771" i="9" s="1"/>
  <c r="R1772" i="9" s="1"/>
  <c r="R1773" i="9" s="1"/>
  <c r="R1774" i="9" s="1"/>
  <c r="R1775" i="9" s="1"/>
  <c r="R1776" i="9" s="1"/>
  <c r="R1777" i="9" s="1"/>
  <c r="R1778" i="9" s="1"/>
  <c r="R1779" i="9" s="1"/>
  <c r="R1780" i="9" s="1"/>
  <c r="R1781" i="9" s="1"/>
  <c r="R1782" i="9" s="1"/>
  <c r="R1783" i="9" s="1"/>
  <c r="R1784" i="9" s="1"/>
  <c r="R1785" i="9" s="1"/>
  <c r="R1786" i="9" s="1"/>
  <c r="R1787" i="9" s="1"/>
  <c r="R1788" i="9" s="1"/>
  <c r="R1789" i="9" s="1"/>
  <c r="R1790" i="9" s="1"/>
  <c r="R1791" i="9" s="1"/>
  <c r="R1792" i="9" s="1"/>
  <c r="R1793" i="9" s="1"/>
  <c r="R1794" i="9" s="1"/>
  <c r="R1795" i="9" s="1"/>
  <c r="R1796" i="9" s="1"/>
  <c r="R1797" i="9" s="1"/>
  <c r="R1798" i="9" s="1"/>
  <c r="R1799" i="9" s="1"/>
  <c r="R1800" i="9" s="1"/>
  <c r="R1801" i="9" s="1"/>
  <c r="R1802" i="9" s="1"/>
  <c r="R1803" i="9" s="1"/>
  <c r="R1804" i="9" s="1"/>
  <c r="R1805" i="9" s="1"/>
  <c r="R1806" i="9" s="1"/>
  <c r="R1807" i="9" s="1"/>
  <c r="R1808" i="9" s="1"/>
  <c r="R1809" i="9" s="1"/>
  <c r="R1810" i="9" s="1"/>
  <c r="R1811" i="9" s="1"/>
  <c r="R1812" i="9" s="1"/>
  <c r="R1813" i="9" s="1"/>
  <c r="R1814" i="9" s="1"/>
  <c r="R1815" i="9" s="1"/>
  <c r="R1816" i="9" s="1"/>
  <c r="R1817" i="9" s="1"/>
  <c r="R1818" i="9" s="1"/>
  <c r="R1819" i="9" s="1"/>
  <c r="R1820" i="9" s="1"/>
  <c r="R1821" i="9" s="1"/>
  <c r="R1822" i="9" s="1"/>
  <c r="R1823" i="9" s="1"/>
  <c r="R1824" i="9" s="1"/>
  <c r="R1825" i="9" s="1"/>
  <c r="R1826" i="9" s="1"/>
  <c r="R1827" i="9" s="1"/>
  <c r="R1828" i="9" s="1"/>
  <c r="R1829" i="9" s="1"/>
  <c r="R1830" i="9" s="1"/>
  <c r="R1831" i="9" s="1"/>
  <c r="R1832" i="9" s="1"/>
  <c r="R1833" i="9" s="1"/>
  <c r="R1834" i="9" s="1"/>
  <c r="R1835" i="9" s="1"/>
  <c r="R1836" i="9" s="1"/>
  <c r="R1837" i="9" s="1"/>
  <c r="R1838" i="9" s="1"/>
  <c r="R1839" i="9" s="1"/>
  <c r="R1840" i="9" s="1"/>
  <c r="R1841" i="9" s="1"/>
  <c r="R1842" i="9" s="1"/>
  <c r="R1843" i="9" s="1"/>
  <c r="R1844" i="9" s="1"/>
  <c r="R1845" i="9" s="1"/>
  <c r="R1846" i="9" s="1"/>
  <c r="R1847" i="9" s="1"/>
  <c r="R1848" i="9" s="1"/>
  <c r="R1849" i="9" s="1"/>
  <c r="R1850" i="9" s="1"/>
  <c r="R1851" i="9" s="1"/>
  <c r="R1852" i="9" s="1"/>
  <c r="R1853" i="9" s="1"/>
  <c r="R1854" i="9" s="1"/>
  <c r="R1855" i="9" s="1"/>
  <c r="R1856" i="9" s="1"/>
  <c r="R1857" i="9" s="1"/>
  <c r="R1858" i="9" s="1"/>
  <c r="R1859" i="9" s="1"/>
  <c r="R1860" i="9" s="1"/>
  <c r="R1861" i="9" s="1"/>
  <c r="R1862" i="9" s="1"/>
  <c r="R1863" i="9" s="1"/>
  <c r="R1864" i="9" s="1"/>
  <c r="R1865" i="9" s="1"/>
  <c r="R1866" i="9" s="1"/>
  <c r="R1867" i="9" s="1"/>
  <c r="R1868" i="9" s="1"/>
  <c r="R1869" i="9" s="1"/>
  <c r="R1870" i="9" s="1"/>
  <c r="R1871" i="9" s="1"/>
  <c r="R1872" i="9" s="1"/>
  <c r="R1873" i="9" s="1"/>
  <c r="R1874" i="9" s="1"/>
  <c r="R1875" i="9" s="1"/>
  <c r="R1876" i="9" s="1"/>
  <c r="R1877" i="9" s="1"/>
  <c r="R1878" i="9" s="1"/>
  <c r="R1879" i="9" s="1"/>
  <c r="R1880" i="9" s="1"/>
  <c r="R1881" i="9" s="1"/>
  <c r="R1882" i="9" s="1"/>
  <c r="R1883" i="9" s="1"/>
  <c r="R1884" i="9" s="1"/>
  <c r="R1885" i="9" s="1"/>
  <c r="R1886" i="9" s="1"/>
  <c r="R1887" i="9" s="1"/>
  <c r="R1888" i="9" s="1"/>
  <c r="R1889" i="9" s="1"/>
  <c r="R1890" i="9" s="1"/>
  <c r="R1891" i="9" s="1"/>
  <c r="R1892" i="9" s="1"/>
  <c r="R1893" i="9" s="1"/>
  <c r="R1894" i="9" s="1"/>
  <c r="R1895" i="9" s="1"/>
  <c r="R1896" i="9" s="1"/>
  <c r="R1897" i="9" s="1"/>
  <c r="R1898" i="9" s="1"/>
  <c r="R1899" i="9" s="1"/>
  <c r="R1900" i="9" s="1"/>
  <c r="R1901" i="9" s="1"/>
  <c r="R1902" i="9" s="1"/>
  <c r="R1903" i="9" s="1"/>
  <c r="R1904" i="9" s="1"/>
  <c r="R1905" i="9" s="1"/>
  <c r="R1906" i="9" s="1"/>
  <c r="R1907" i="9" s="1"/>
  <c r="R1908" i="9" s="1"/>
  <c r="R1909" i="9" s="1"/>
  <c r="R1910" i="9" s="1"/>
  <c r="R1911" i="9" s="1"/>
  <c r="R1912" i="9" s="1"/>
  <c r="R1913" i="9" s="1"/>
  <c r="R1914" i="9" s="1"/>
  <c r="R1915" i="9" s="1"/>
  <c r="R1916" i="9" s="1"/>
  <c r="R1917" i="9" s="1"/>
  <c r="R1918" i="9" s="1"/>
  <c r="R1919" i="9" s="1"/>
  <c r="R1920" i="9" s="1"/>
  <c r="R1921" i="9" s="1"/>
  <c r="R1922" i="9" s="1"/>
  <c r="R1923" i="9" s="1"/>
  <c r="R1924" i="9" s="1"/>
  <c r="R1925" i="9" s="1"/>
  <c r="R1926" i="9" s="1"/>
  <c r="R1927" i="9" s="1"/>
  <c r="R1928" i="9" s="1"/>
  <c r="R1929" i="9" s="1"/>
  <c r="R1930" i="9" s="1"/>
  <c r="R1931" i="9" s="1"/>
  <c r="R1932" i="9" s="1"/>
  <c r="R1933" i="9" s="1"/>
  <c r="R1934" i="9" s="1"/>
  <c r="R1935" i="9" s="1"/>
  <c r="R1936" i="9" s="1"/>
  <c r="R1937" i="9" s="1"/>
  <c r="R1938" i="9" s="1"/>
  <c r="R1939" i="9" s="1"/>
  <c r="R1940" i="9" s="1"/>
  <c r="R1941" i="9" s="1"/>
  <c r="R1942" i="9" s="1"/>
  <c r="R1943" i="9" s="1"/>
  <c r="R1944" i="9" s="1"/>
  <c r="R1945" i="9" s="1"/>
  <c r="R1946" i="9" s="1"/>
  <c r="R1947" i="9" s="1"/>
  <c r="R1948" i="9" s="1"/>
  <c r="R1949" i="9" s="1"/>
  <c r="R1950" i="9" s="1"/>
  <c r="R1951" i="9" s="1"/>
  <c r="R1952" i="9" s="1"/>
  <c r="R1953" i="9" s="1"/>
  <c r="R1954" i="9" s="1"/>
  <c r="R1955" i="9" s="1"/>
  <c r="R1956" i="9" s="1"/>
  <c r="R1957" i="9" s="1"/>
  <c r="R1958" i="9" s="1"/>
  <c r="R1959" i="9" s="1"/>
  <c r="R1960" i="9" s="1"/>
  <c r="R1961" i="9" s="1"/>
  <c r="R1962" i="9" s="1"/>
  <c r="R1963" i="9" s="1"/>
  <c r="R1964" i="9" s="1"/>
  <c r="R1965" i="9" s="1"/>
  <c r="R1966" i="9" s="1"/>
  <c r="R1967" i="9" s="1"/>
  <c r="R1968" i="9" s="1"/>
  <c r="R1969" i="9" s="1"/>
  <c r="R1970" i="9" s="1"/>
  <c r="R1971" i="9" s="1"/>
  <c r="R1972" i="9" s="1"/>
  <c r="R1973" i="9" s="1"/>
  <c r="R1974" i="9" s="1"/>
  <c r="R1975" i="9" s="1"/>
  <c r="R1976" i="9" s="1"/>
  <c r="R1977" i="9" s="1"/>
  <c r="R1978" i="9" s="1"/>
  <c r="R1979" i="9" s="1"/>
  <c r="R1980" i="9" s="1"/>
  <c r="R1981" i="9" s="1"/>
  <c r="R1982" i="9" s="1"/>
  <c r="R1983" i="9" s="1"/>
  <c r="R1984" i="9" s="1"/>
  <c r="R1985" i="9" s="1"/>
  <c r="R1986" i="9" s="1"/>
  <c r="R1987" i="9" s="1"/>
  <c r="R1988" i="9" s="1"/>
  <c r="R1989" i="9" s="1"/>
  <c r="R1990" i="9" s="1"/>
  <c r="R1991" i="9" s="1"/>
  <c r="R1992" i="9" s="1"/>
  <c r="R1993" i="9" s="1"/>
  <c r="R1994" i="9" s="1"/>
  <c r="R1995" i="9" s="1"/>
  <c r="R1996" i="9" s="1"/>
  <c r="R1997" i="9" s="1"/>
  <c r="R1998" i="9" s="1"/>
  <c r="R1999" i="9" s="1"/>
  <c r="R2000" i="9" s="1"/>
  <c r="R2001" i="9" s="1"/>
  <c r="R2002" i="9" s="1"/>
  <c r="R2003" i="9" s="1"/>
  <c r="R2004" i="9" s="1"/>
  <c r="R2005" i="9" s="1"/>
  <c r="R2006" i="9" s="1"/>
  <c r="R2007" i="9" s="1"/>
  <c r="R2008" i="9" s="1"/>
  <c r="R2009" i="9" s="1"/>
  <c r="R2010" i="9" s="1"/>
  <c r="R2011" i="9" s="1"/>
  <c r="R2012" i="9" s="1"/>
  <c r="R2013" i="9" s="1"/>
  <c r="R2014" i="9" s="1"/>
  <c r="R2015" i="9" s="1"/>
  <c r="R2016" i="9" s="1"/>
  <c r="R2017" i="9" s="1"/>
  <c r="R2018" i="9" s="1"/>
  <c r="R2019" i="9" s="1"/>
  <c r="R2020" i="9" s="1"/>
  <c r="R2021" i="9" s="1"/>
  <c r="R2022" i="9" s="1"/>
  <c r="R2023" i="9" s="1"/>
  <c r="R2024" i="9" s="1"/>
  <c r="R2025" i="9" s="1"/>
  <c r="R2026" i="9" s="1"/>
  <c r="R2027" i="9" s="1"/>
  <c r="R2028" i="9" s="1"/>
  <c r="R2029" i="9" s="1"/>
  <c r="R2030" i="9" s="1"/>
  <c r="R2031" i="9" s="1"/>
  <c r="R2032" i="9" s="1"/>
  <c r="R2033" i="9" s="1"/>
  <c r="R2034" i="9" s="1"/>
  <c r="R2035" i="9" s="1"/>
  <c r="R2036" i="9" s="1"/>
  <c r="R2037" i="9" s="1"/>
  <c r="R2038" i="9" s="1"/>
  <c r="R2039" i="9" s="1"/>
  <c r="R2040" i="9" s="1"/>
  <c r="R2041" i="9" s="1"/>
  <c r="R2042" i="9" s="1"/>
  <c r="R2043" i="9" s="1"/>
  <c r="R2044" i="9" s="1"/>
  <c r="R2045" i="9" s="1"/>
  <c r="R2046" i="9" s="1"/>
  <c r="R2047" i="9" s="1"/>
  <c r="R2048" i="9" s="1"/>
  <c r="R2049" i="9" s="1"/>
  <c r="R2050" i="9" s="1"/>
  <c r="R2051" i="9" s="1"/>
  <c r="R2052" i="9" s="1"/>
  <c r="R2053" i="9" s="1"/>
  <c r="R2054" i="9" s="1"/>
  <c r="R2055" i="9" s="1"/>
  <c r="R2056" i="9" s="1"/>
  <c r="R2057" i="9" s="1"/>
  <c r="R2058" i="9" s="1"/>
  <c r="R2059" i="9" s="1"/>
  <c r="R2060" i="9" s="1"/>
  <c r="R2061" i="9" s="1"/>
  <c r="R2062" i="9" s="1"/>
  <c r="R2063" i="9" s="1"/>
  <c r="R2064" i="9" s="1"/>
  <c r="R2065" i="9" s="1"/>
  <c r="R2066" i="9" s="1"/>
  <c r="R2067" i="9" s="1"/>
  <c r="R2068" i="9" s="1"/>
  <c r="R2069" i="9" s="1"/>
  <c r="R2070" i="9" s="1"/>
  <c r="R2071" i="9" s="1"/>
  <c r="R2072" i="9" s="1"/>
  <c r="R2073" i="9" s="1"/>
  <c r="R2074" i="9" s="1"/>
  <c r="R2075" i="9" s="1"/>
  <c r="R2076" i="9" s="1"/>
  <c r="R2077" i="9" s="1"/>
  <c r="R2078" i="9" s="1"/>
  <c r="R2079" i="9" s="1"/>
  <c r="R2080" i="9" s="1"/>
  <c r="R2081" i="9" s="1"/>
  <c r="R2082" i="9" s="1"/>
  <c r="R2083" i="9" s="1"/>
  <c r="R2084" i="9" s="1"/>
  <c r="R2085" i="9" s="1"/>
  <c r="R2086" i="9" s="1"/>
  <c r="R2087" i="9" s="1"/>
  <c r="R2088" i="9" s="1"/>
  <c r="R2089" i="9" s="1"/>
  <c r="R2090" i="9" s="1"/>
  <c r="R2091" i="9" s="1"/>
  <c r="R2092" i="9" s="1"/>
  <c r="R2093" i="9" s="1"/>
  <c r="R2094" i="9" s="1"/>
  <c r="R2095" i="9" s="1"/>
  <c r="R2096" i="9" s="1"/>
  <c r="R2097" i="9" s="1"/>
  <c r="R2098" i="9" s="1"/>
  <c r="R2099" i="9" s="1"/>
  <c r="R2100" i="9" s="1"/>
  <c r="R2101" i="9" s="1"/>
  <c r="R2102" i="9" s="1"/>
  <c r="R2103" i="9" s="1"/>
  <c r="R2104" i="9" s="1"/>
  <c r="R2105" i="9" s="1"/>
  <c r="R2106" i="9" s="1"/>
  <c r="R2107" i="9" s="1"/>
  <c r="R2108" i="9" s="1"/>
  <c r="R2109" i="9" s="1"/>
  <c r="R2110" i="9" s="1"/>
  <c r="R2111" i="9" s="1"/>
  <c r="R2112" i="9" s="1"/>
  <c r="R2113" i="9" s="1"/>
  <c r="R2114" i="9" s="1"/>
  <c r="R2115" i="9" s="1"/>
  <c r="R2116" i="9" s="1"/>
  <c r="R2117" i="9" s="1"/>
  <c r="R2118" i="9" s="1"/>
  <c r="R2119" i="9" s="1"/>
  <c r="R2120" i="9" s="1"/>
  <c r="R2121" i="9" s="1"/>
  <c r="R2122" i="9" s="1"/>
  <c r="R2123" i="9" s="1"/>
  <c r="R2124" i="9" s="1"/>
  <c r="R2125" i="9" s="1"/>
  <c r="R2126" i="9" s="1"/>
  <c r="R2127" i="9" s="1"/>
  <c r="R2128" i="9" s="1"/>
  <c r="R2129" i="9" s="1"/>
  <c r="R2130" i="9" s="1"/>
  <c r="R2131" i="9" s="1"/>
  <c r="R2132" i="9" s="1"/>
  <c r="R2133" i="9" s="1"/>
  <c r="R2134" i="9" s="1"/>
  <c r="R2135" i="9" s="1"/>
  <c r="R2136" i="9" s="1"/>
  <c r="R2137" i="9" s="1"/>
  <c r="R2138" i="9" s="1"/>
  <c r="R2139" i="9" s="1"/>
  <c r="R2140" i="9" s="1"/>
  <c r="R2141" i="9" s="1"/>
  <c r="R2142" i="9" s="1"/>
  <c r="R2143" i="9" s="1"/>
  <c r="R2144" i="9" s="1"/>
  <c r="R2145" i="9" s="1"/>
  <c r="R2146" i="9" s="1"/>
  <c r="R2147" i="9" s="1"/>
  <c r="R2148" i="9" s="1"/>
  <c r="R2149" i="9" s="1"/>
  <c r="R2150" i="9" s="1"/>
  <c r="R2151" i="9" s="1"/>
  <c r="R2152" i="9" s="1"/>
  <c r="R2153" i="9" s="1"/>
  <c r="R2154" i="9" s="1"/>
  <c r="R2155" i="9" s="1"/>
  <c r="R2156" i="9" s="1"/>
  <c r="R2157" i="9" s="1"/>
  <c r="R2158" i="9" s="1"/>
  <c r="R2159" i="9" s="1"/>
  <c r="R2160" i="9" s="1"/>
  <c r="R2161" i="9" s="1"/>
  <c r="R2162" i="9" s="1"/>
  <c r="R2163" i="9" s="1"/>
  <c r="R2164" i="9" s="1"/>
  <c r="R2165" i="9" s="1"/>
  <c r="R2166" i="9" s="1"/>
  <c r="R2167" i="9" s="1"/>
  <c r="R2168" i="9" s="1"/>
  <c r="R2169" i="9" s="1"/>
  <c r="R2170" i="9" s="1"/>
  <c r="R2171" i="9" s="1"/>
  <c r="R2172" i="9" s="1"/>
  <c r="R2173" i="9" s="1"/>
  <c r="R2174" i="9" s="1"/>
  <c r="R2175" i="9" s="1"/>
  <c r="R2176" i="9" s="1"/>
  <c r="R2177" i="9" s="1"/>
  <c r="R2178" i="9" s="1"/>
  <c r="R2179" i="9" s="1"/>
  <c r="R2180" i="9" s="1"/>
  <c r="R2181" i="9" s="1"/>
  <c r="R2182" i="9" s="1"/>
  <c r="R2183" i="9" s="1"/>
  <c r="R2184" i="9" s="1"/>
  <c r="R2185" i="9" s="1"/>
  <c r="R2186" i="9" s="1"/>
  <c r="R2187" i="9" s="1"/>
  <c r="R2188" i="9" s="1"/>
  <c r="R2189" i="9" s="1"/>
  <c r="R2190" i="9" s="1"/>
  <c r="R2191" i="9" s="1"/>
  <c r="R2192" i="9" s="1"/>
  <c r="R2193" i="9" s="1"/>
  <c r="R2194" i="9" s="1"/>
  <c r="R2195" i="9" s="1"/>
  <c r="R2196" i="9" s="1"/>
  <c r="R2197" i="9" s="1"/>
  <c r="R2198" i="9" s="1"/>
  <c r="R2199" i="9" s="1"/>
  <c r="R2200" i="9" s="1"/>
  <c r="R2201" i="9" s="1"/>
  <c r="R2202" i="9" s="1"/>
  <c r="R2203" i="9" s="1"/>
  <c r="R2204" i="9" s="1"/>
  <c r="R2205" i="9" s="1"/>
  <c r="R2206" i="9" s="1"/>
  <c r="R2207" i="9" s="1"/>
  <c r="R2208" i="9" s="1"/>
  <c r="R2209" i="9" s="1"/>
  <c r="R2210" i="9" s="1"/>
  <c r="R2211" i="9" s="1"/>
  <c r="R2212" i="9" s="1"/>
  <c r="R2213" i="9" s="1"/>
  <c r="R2214" i="9" s="1"/>
  <c r="R2215" i="9" s="1"/>
  <c r="R2216" i="9" s="1"/>
  <c r="R2217" i="9" s="1"/>
  <c r="R2218" i="9" s="1"/>
  <c r="R2219" i="9" s="1"/>
  <c r="R2220" i="9" s="1"/>
  <c r="R2221" i="9" s="1"/>
  <c r="R2222" i="9" s="1"/>
  <c r="R2223" i="9" s="1"/>
  <c r="R2224" i="9" s="1"/>
  <c r="R2225" i="9" s="1"/>
  <c r="R2226" i="9" s="1"/>
  <c r="R2227" i="9" s="1"/>
  <c r="R2228" i="9" s="1"/>
  <c r="R2229" i="9" s="1"/>
  <c r="R2230" i="9" s="1"/>
  <c r="R2231" i="9" s="1"/>
  <c r="R2232" i="9" s="1"/>
  <c r="R2233" i="9" s="1"/>
  <c r="R2234" i="9" s="1"/>
  <c r="R2235" i="9" s="1"/>
  <c r="R2236" i="9" s="1"/>
  <c r="R2237" i="9" s="1"/>
  <c r="R2238" i="9" s="1"/>
  <c r="R2239" i="9" s="1"/>
  <c r="R2240" i="9" s="1"/>
  <c r="R2241" i="9" s="1"/>
  <c r="R2242" i="9" s="1"/>
  <c r="R2243" i="9" s="1"/>
  <c r="R2244" i="9" s="1"/>
  <c r="R2245" i="9" s="1"/>
  <c r="R2246" i="9" s="1"/>
  <c r="R2247" i="9" s="1"/>
  <c r="R2248" i="9" s="1"/>
  <c r="R2249" i="9" s="1"/>
  <c r="R2250" i="9" s="1"/>
  <c r="R2251" i="9" s="1"/>
  <c r="R2252" i="9" s="1"/>
  <c r="R2253" i="9" s="1"/>
  <c r="R2254" i="9" s="1"/>
  <c r="R2255" i="9" s="1"/>
  <c r="R2256" i="9" s="1"/>
  <c r="R2257" i="9" s="1"/>
  <c r="R2258" i="9" s="1"/>
  <c r="R2259" i="9" s="1"/>
  <c r="R2260" i="9" s="1"/>
  <c r="R2261" i="9" s="1"/>
  <c r="R2262" i="9" s="1"/>
  <c r="R2263" i="9" s="1"/>
  <c r="R2264" i="9" s="1"/>
  <c r="R2265" i="9" s="1"/>
  <c r="R2266" i="9" s="1"/>
  <c r="R2267" i="9" s="1"/>
  <c r="R2268" i="9" s="1"/>
  <c r="R2269" i="9" s="1"/>
  <c r="R2270" i="9" s="1"/>
  <c r="R2271" i="9" s="1"/>
  <c r="R2272" i="9" s="1"/>
  <c r="R2273" i="9" s="1"/>
  <c r="R2274" i="9" s="1"/>
  <c r="R2275" i="9" s="1"/>
  <c r="R2276" i="9" s="1"/>
  <c r="R2277" i="9" s="1"/>
  <c r="R2278" i="9" s="1"/>
  <c r="R2279" i="9" s="1"/>
  <c r="R2280" i="9" s="1"/>
  <c r="R2281" i="9" s="1"/>
  <c r="R2282" i="9" s="1"/>
  <c r="R2283" i="9" s="1"/>
  <c r="R2284" i="9" s="1"/>
  <c r="R2285" i="9" s="1"/>
  <c r="R2286" i="9" s="1"/>
  <c r="R2287" i="9" s="1"/>
  <c r="R2288" i="9" s="1"/>
  <c r="R2289" i="9" s="1"/>
  <c r="R2290" i="9" s="1"/>
  <c r="R2291" i="9" s="1"/>
  <c r="R2292" i="9" s="1"/>
  <c r="R2293" i="9" s="1"/>
  <c r="R2294" i="9" s="1"/>
  <c r="R2295" i="9" s="1"/>
  <c r="R2296" i="9" s="1"/>
  <c r="R2297" i="9" s="1"/>
  <c r="R2298" i="9" s="1"/>
  <c r="R2299" i="9" s="1"/>
  <c r="R2300" i="9" s="1"/>
  <c r="R2301" i="9" s="1"/>
  <c r="R2302" i="9" s="1"/>
  <c r="R2303" i="9" s="1"/>
  <c r="R2304" i="9" s="1"/>
  <c r="R2305" i="9" s="1"/>
  <c r="R2306" i="9" s="1"/>
  <c r="R2307" i="9" s="1"/>
  <c r="R2308" i="9" s="1"/>
  <c r="R2309" i="9" s="1"/>
  <c r="R2310" i="9" s="1"/>
  <c r="R2311" i="9" s="1"/>
  <c r="R2312" i="9" s="1"/>
  <c r="R2313" i="9" s="1"/>
  <c r="R2314" i="9" s="1"/>
  <c r="R2315" i="9" s="1"/>
  <c r="R2316" i="9" s="1"/>
  <c r="R2317" i="9" s="1"/>
  <c r="R2318" i="9" s="1"/>
  <c r="R2319" i="9" s="1"/>
  <c r="R2320" i="9" s="1"/>
  <c r="R2321" i="9" s="1"/>
  <c r="R2322" i="9" s="1"/>
  <c r="R2323" i="9" s="1"/>
  <c r="R2324" i="9" s="1"/>
  <c r="R2325" i="9" s="1"/>
  <c r="R2326" i="9" s="1"/>
  <c r="R2327" i="9" s="1"/>
  <c r="R2328" i="9" s="1"/>
  <c r="R2329" i="9" s="1"/>
  <c r="R2330" i="9" s="1"/>
  <c r="R2331" i="9" s="1"/>
  <c r="R2332" i="9" s="1"/>
  <c r="R2333" i="9" s="1"/>
  <c r="R2334" i="9" s="1"/>
  <c r="R2335" i="9" s="1"/>
  <c r="R2336" i="9" s="1"/>
  <c r="R2337" i="9" s="1"/>
  <c r="R2338" i="9" s="1"/>
  <c r="R2339" i="9" s="1"/>
  <c r="R2340" i="9" s="1"/>
  <c r="R2341" i="9" s="1"/>
  <c r="R2342" i="9" s="1"/>
  <c r="R2343" i="9" s="1"/>
  <c r="R2344" i="9" s="1"/>
  <c r="R2345" i="9" s="1"/>
  <c r="R2346" i="9" s="1"/>
  <c r="R2347" i="9" s="1"/>
  <c r="R2348" i="9" s="1"/>
  <c r="R2349" i="9" s="1"/>
  <c r="R2350" i="9" s="1"/>
  <c r="R2351" i="9" s="1"/>
  <c r="R2352" i="9" s="1"/>
  <c r="R2353" i="9" s="1"/>
  <c r="R2354" i="9" s="1"/>
  <c r="R2355" i="9" s="1"/>
  <c r="R2356" i="9" s="1"/>
  <c r="R2357" i="9" s="1"/>
  <c r="R2358" i="9" s="1"/>
  <c r="R2359" i="9" s="1"/>
  <c r="R2360" i="9" s="1"/>
  <c r="R2361" i="9" s="1"/>
  <c r="R2362" i="9" s="1"/>
  <c r="R2363" i="9" s="1"/>
  <c r="R2364" i="9" s="1"/>
  <c r="R2365" i="9" s="1"/>
  <c r="R2366" i="9" s="1"/>
  <c r="R2367" i="9" s="1"/>
  <c r="R2368" i="9" s="1"/>
  <c r="R2369" i="9" s="1"/>
  <c r="R2370" i="9" s="1"/>
  <c r="R2371" i="9" s="1"/>
  <c r="R2372" i="9" s="1"/>
  <c r="R2373" i="9" s="1"/>
  <c r="R2374" i="9" s="1"/>
  <c r="R2375" i="9" s="1"/>
  <c r="R2376" i="9" s="1"/>
  <c r="R2377" i="9" s="1"/>
  <c r="R2378" i="9" s="1"/>
  <c r="R2379" i="9" s="1"/>
  <c r="R2380" i="9" s="1"/>
  <c r="R2381" i="9" s="1"/>
  <c r="R2382" i="9" s="1"/>
  <c r="R2383" i="9" s="1"/>
  <c r="R2384" i="9" s="1"/>
  <c r="R2385" i="9" s="1"/>
  <c r="R2386" i="9" s="1"/>
  <c r="R2387" i="9" s="1"/>
  <c r="R2388" i="9" s="1"/>
  <c r="R2389" i="9" s="1"/>
  <c r="R2390" i="9" s="1"/>
  <c r="R2391" i="9" s="1"/>
  <c r="R2392" i="9" s="1"/>
  <c r="R2393" i="9" s="1"/>
  <c r="R2394" i="9" s="1"/>
  <c r="R2395" i="9" s="1"/>
  <c r="R2396" i="9" s="1"/>
  <c r="R2397" i="9" s="1"/>
  <c r="R2398" i="9" s="1"/>
  <c r="R2399" i="9" s="1"/>
  <c r="R2400" i="9" s="1"/>
  <c r="R2401" i="9" s="1"/>
  <c r="R2402" i="9" s="1"/>
  <c r="R2403" i="9" s="1"/>
  <c r="R2404" i="9" s="1"/>
  <c r="R2405" i="9" s="1"/>
  <c r="R2406" i="9" s="1"/>
  <c r="R2407" i="9" s="1"/>
  <c r="R2408" i="9" s="1"/>
  <c r="R2409" i="9" s="1"/>
  <c r="R2410" i="9" s="1"/>
  <c r="R2411" i="9" s="1"/>
  <c r="R2412" i="9" s="1"/>
  <c r="R2413" i="9" s="1"/>
  <c r="R2414" i="9" s="1"/>
  <c r="R2415" i="9" s="1"/>
  <c r="R2416" i="9" s="1"/>
  <c r="R2417" i="9" s="1"/>
  <c r="R2418" i="9" s="1"/>
  <c r="R2419" i="9" s="1"/>
  <c r="R2420" i="9" s="1"/>
  <c r="R2421" i="9" s="1"/>
  <c r="R2422" i="9" s="1"/>
  <c r="R2423" i="9" s="1"/>
  <c r="R2424" i="9" s="1"/>
  <c r="R2425" i="9" s="1"/>
  <c r="R2426" i="9" s="1"/>
  <c r="R2427" i="9" s="1"/>
  <c r="R2428" i="9" s="1"/>
  <c r="R2429" i="9" s="1"/>
  <c r="R2430" i="9" s="1"/>
  <c r="R2431" i="9" s="1"/>
  <c r="R2432" i="9" s="1"/>
  <c r="R2433" i="9" s="1"/>
  <c r="R2434" i="9" s="1"/>
  <c r="R2435" i="9" s="1"/>
  <c r="R2436" i="9" s="1"/>
  <c r="R2437" i="9" s="1"/>
  <c r="R2438" i="9" s="1"/>
  <c r="R2439" i="9" s="1"/>
  <c r="R2440" i="9" s="1"/>
  <c r="R2441" i="9" s="1"/>
  <c r="R2442" i="9" s="1"/>
  <c r="R2443" i="9" s="1"/>
  <c r="R2444" i="9" s="1"/>
  <c r="R2445" i="9" s="1"/>
  <c r="R2446" i="9" s="1"/>
  <c r="R2447" i="9" s="1"/>
  <c r="R2448" i="9" s="1"/>
  <c r="R2449" i="9" s="1"/>
  <c r="R2450" i="9" s="1"/>
  <c r="R2451" i="9" s="1"/>
  <c r="R2452" i="9" s="1"/>
  <c r="R2453" i="9" s="1"/>
  <c r="R2454" i="9" s="1"/>
  <c r="R2455" i="9" s="1"/>
  <c r="R2456" i="9" s="1"/>
  <c r="R2457" i="9" s="1"/>
  <c r="R2458" i="9" s="1"/>
  <c r="R2459" i="9" s="1"/>
  <c r="R2460" i="9" s="1"/>
  <c r="R2461" i="9" s="1"/>
  <c r="R2462" i="9" s="1"/>
  <c r="R2463" i="9" s="1"/>
  <c r="R2464" i="9" s="1"/>
  <c r="R2465" i="9" s="1"/>
  <c r="R2466" i="9" s="1"/>
  <c r="R2467" i="9" s="1"/>
  <c r="R2468" i="9" s="1"/>
  <c r="R2469" i="9" s="1"/>
  <c r="R2470" i="9" s="1"/>
  <c r="R2471" i="9" s="1"/>
  <c r="R2472" i="9" s="1"/>
  <c r="R2473" i="9" s="1"/>
  <c r="R2474" i="9" s="1"/>
  <c r="R2475" i="9" s="1"/>
  <c r="R2476" i="9" s="1"/>
  <c r="R2477" i="9" s="1"/>
  <c r="R2478" i="9" s="1"/>
  <c r="R2479" i="9" s="1"/>
  <c r="R2480" i="9" s="1"/>
  <c r="R2481" i="9" s="1"/>
  <c r="R2482" i="9" s="1"/>
  <c r="R2483" i="9" s="1"/>
  <c r="R2484" i="9" s="1"/>
  <c r="R2485" i="9" s="1"/>
  <c r="R2486" i="9" s="1"/>
  <c r="R2487" i="9" s="1"/>
  <c r="R2488" i="9" s="1"/>
  <c r="R2489" i="9" s="1"/>
  <c r="R2490" i="9" s="1"/>
  <c r="R2491" i="9" s="1"/>
  <c r="R2492" i="9" s="1"/>
  <c r="R2493" i="9" s="1"/>
  <c r="R2494" i="9" s="1"/>
  <c r="R2495" i="9" s="1"/>
  <c r="R2496" i="9" s="1"/>
  <c r="R2497" i="9" s="1"/>
  <c r="R2498" i="9" s="1"/>
  <c r="R2499" i="9" s="1"/>
  <c r="R2500" i="9" s="1"/>
  <c r="R2501" i="9" s="1"/>
  <c r="R2502" i="9" s="1"/>
  <c r="R2503" i="9" s="1"/>
  <c r="R2504" i="9" s="1"/>
  <c r="R2505" i="9" s="1"/>
  <c r="R2506" i="9" s="1"/>
  <c r="R2507" i="9" s="1"/>
  <c r="R2508" i="9" s="1"/>
  <c r="R2509" i="9" s="1"/>
  <c r="R2510" i="9" s="1"/>
  <c r="R2511" i="9" s="1"/>
  <c r="R2512" i="9" s="1"/>
  <c r="R2513" i="9" s="1"/>
  <c r="R2514" i="9" s="1"/>
  <c r="R2515" i="9" s="1"/>
  <c r="R2516" i="9" s="1"/>
  <c r="R2517" i="9" s="1"/>
  <c r="R2518" i="9" s="1"/>
  <c r="R2519" i="9" s="1"/>
  <c r="R2520" i="9" s="1"/>
  <c r="R2521" i="9" s="1"/>
  <c r="R2522" i="9" s="1"/>
  <c r="R2523" i="9" s="1"/>
  <c r="R2524" i="9" s="1"/>
  <c r="R2525" i="9" s="1"/>
  <c r="R2526" i="9" s="1"/>
  <c r="R2527" i="9" s="1"/>
  <c r="R2528" i="9" s="1"/>
  <c r="R2529" i="9" s="1"/>
  <c r="R2530" i="9" s="1"/>
  <c r="R2531" i="9" s="1"/>
  <c r="R2532" i="9" s="1"/>
  <c r="R2533" i="9" s="1"/>
  <c r="R2534" i="9" s="1"/>
  <c r="R2535" i="9" s="1"/>
  <c r="R2536" i="9" s="1"/>
  <c r="R2537" i="9" s="1"/>
  <c r="R2538" i="9" s="1"/>
  <c r="R2539" i="9" s="1"/>
  <c r="R2540" i="9" s="1"/>
  <c r="R2541" i="9" s="1"/>
  <c r="R2542" i="9" s="1"/>
  <c r="R2543" i="9" s="1"/>
  <c r="R2544" i="9" s="1"/>
  <c r="R2545" i="9" s="1"/>
  <c r="R2546" i="9" s="1"/>
  <c r="R2547" i="9" s="1"/>
  <c r="R2548" i="9" s="1"/>
  <c r="R2549" i="9" s="1"/>
  <c r="R2550" i="9" s="1"/>
  <c r="R2551" i="9" s="1"/>
  <c r="R2552" i="9" s="1"/>
  <c r="R2553" i="9" s="1"/>
  <c r="R2554" i="9" s="1"/>
  <c r="R2555" i="9" s="1"/>
  <c r="R2556" i="9" s="1"/>
  <c r="R2557" i="9" s="1"/>
  <c r="R2558" i="9" s="1"/>
  <c r="R2559" i="9" s="1"/>
  <c r="R2560" i="9" s="1"/>
  <c r="R2561" i="9" s="1"/>
  <c r="R2562" i="9" s="1"/>
  <c r="R2563" i="9" s="1"/>
  <c r="R2564" i="9" s="1"/>
  <c r="R2565" i="9" s="1"/>
  <c r="R2566" i="9" s="1"/>
  <c r="R2567" i="9" s="1"/>
  <c r="R2568" i="9" s="1"/>
  <c r="R2569" i="9" s="1"/>
  <c r="R2570" i="9" s="1"/>
  <c r="R2571" i="9" s="1"/>
  <c r="R2572" i="9" s="1"/>
  <c r="R2573" i="9" s="1"/>
  <c r="R2574" i="9" s="1"/>
  <c r="R2575" i="9" s="1"/>
  <c r="R2576" i="9" s="1"/>
  <c r="R2577" i="9" s="1"/>
  <c r="R2578" i="9" s="1"/>
  <c r="R2579" i="9" s="1"/>
  <c r="R2580" i="9" s="1"/>
  <c r="R2581" i="9" s="1"/>
  <c r="R2582" i="9" s="1"/>
  <c r="R2583" i="9" s="1"/>
  <c r="R2584" i="9" s="1"/>
  <c r="R2585" i="9" s="1"/>
  <c r="R2586" i="9" s="1"/>
  <c r="R2587" i="9" s="1"/>
  <c r="R2588" i="9" s="1"/>
  <c r="R2589" i="9" s="1"/>
  <c r="R2590" i="9" s="1"/>
  <c r="R2591" i="9" s="1"/>
  <c r="R2592" i="9" s="1"/>
  <c r="R2593" i="9" s="1"/>
  <c r="R2594" i="9" s="1"/>
  <c r="R2595" i="9" s="1"/>
  <c r="R2596" i="9" s="1"/>
  <c r="R2597" i="9" s="1"/>
  <c r="R2598" i="9" s="1"/>
  <c r="R2599" i="9" s="1"/>
  <c r="R2600" i="9" s="1"/>
  <c r="R2601" i="9" s="1"/>
  <c r="R2602" i="9" s="1"/>
  <c r="R2603" i="9" s="1"/>
  <c r="R2604" i="9" s="1"/>
  <c r="R2605" i="9" s="1"/>
  <c r="R2606" i="9" s="1"/>
  <c r="R2607" i="9" s="1"/>
  <c r="R2608" i="9" s="1"/>
  <c r="R2609" i="9" s="1"/>
  <c r="R2610" i="9" s="1"/>
  <c r="R2611" i="9" s="1"/>
  <c r="R2612" i="9" s="1"/>
  <c r="R2613" i="9" s="1"/>
  <c r="R2614" i="9" s="1"/>
  <c r="R2615" i="9" s="1"/>
  <c r="R2616" i="9" s="1"/>
  <c r="R2617" i="9" s="1"/>
  <c r="R2618" i="9" s="1"/>
  <c r="R2619" i="9" s="1"/>
  <c r="R2620" i="9" s="1"/>
  <c r="R2621" i="9" s="1"/>
  <c r="R2622" i="9" s="1"/>
  <c r="R2623" i="9" s="1"/>
  <c r="R2624" i="9" s="1"/>
  <c r="R2625" i="9" s="1"/>
  <c r="R2626" i="9" s="1"/>
  <c r="R2627" i="9" s="1"/>
  <c r="R2628" i="9" s="1"/>
  <c r="R2629" i="9" s="1"/>
  <c r="R2630" i="9" s="1"/>
  <c r="R2631" i="9" s="1"/>
  <c r="R2632" i="9" s="1"/>
  <c r="R2633" i="9" s="1"/>
  <c r="R2634" i="9" s="1"/>
  <c r="R2635" i="9" s="1"/>
  <c r="R2636" i="9" s="1"/>
  <c r="R2637" i="9" s="1"/>
  <c r="R2638" i="9" s="1"/>
  <c r="R2639" i="9" s="1"/>
  <c r="R2640" i="9" s="1"/>
  <c r="R2641" i="9" s="1"/>
  <c r="R2642" i="9" s="1"/>
  <c r="R2643" i="9" s="1"/>
  <c r="R2644" i="9" s="1"/>
  <c r="R2645" i="9" s="1"/>
  <c r="R2646" i="9" s="1"/>
  <c r="R2647" i="9" s="1"/>
  <c r="R2648" i="9" s="1"/>
  <c r="R2649" i="9" s="1"/>
  <c r="R2650" i="9" s="1"/>
  <c r="R2651" i="9" s="1"/>
  <c r="R2652" i="9" s="1"/>
  <c r="R2653" i="9" s="1"/>
  <c r="R2654" i="9" s="1"/>
  <c r="R2655" i="9" s="1"/>
  <c r="R2656" i="9" s="1"/>
  <c r="R2657" i="9" s="1"/>
  <c r="R2658" i="9" s="1"/>
  <c r="R2659" i="9" s="1"/>
  <c r="R2660" i="9" s="1"/>
  <c r="R2661" i="9" s="1"/>
  <c r="R2662" i="9" s="1"/>
  <c r="R2663" i="9" s="1"/>
  <c r="R2664" i="9" s="1"/>
  <c r="R2665" i="9" s="1"/>
  <c r="R2666" i="9" s="1"/>
  <c r="R2667" i="9" s="1"/>
  <c r="R2668" i="9" s="1"/>
  <c r="R2669" i="9" s="1"/>
  <c r="R2670" i="9" s="1"/>
  <c r="R2671" i="9" s="1"/>
  <c r="R2672" i="9" s="1"/>
  <c r="R2673" i="9" s="1"/>
  <c r="R2674" i="9" s="1"/>
  <c r="R2675" i="9" s="1"/>
  <c r="R2676" i="9" s="1"/>
  <c r="R2677" i="9" s="1"/>
  <c r="R2678" i="9" s="1"/>
  <c r="R2679" i="9" s="1"/>
  <c r="R2680" i="9" s="1"/>
  <c r="R2681" i="9" s="1"/>
  <c r="R2682" i="9" s="1"/>
  <c r="R2683" i="9" s="1"/>
  <c r="R2684" i="9" s="1"/>
  <c r="R2685" i="9" s="1"/>
  <c r="R2686" i="9" s="1"/>
  <c r="R2687" i="9" s="1"/>
  <c r="R2688" i="9" s="1"/>
  <c r="R2689" i="9" s="1"/>
  <c r="R2690" i="9" s="1"/>
  <c r="R2691" i="9" s="1"/>
  <c r="R2692" i="9" s="1"/>
  <c r="R2693" i="9" s="1"/>
  <c r="R2694" i="9" s="1"/>
  <c r="R2695" i="9" s="1"/>
  <c r="R2696" i="9" s="1"/>
  <c r="R2697" i="9" s="1"/>
  <c r="R2698" i="9" s="1"/>
  <c r="R2699" i="9" s="1"/>
  <c r="R2700" i="9" s="1"/>
  <c r="R2701" i="9" s="1"/>
  <c r="R2702" i="9" s="1"/>
  <c r="R2703" i="9" s="1"/>
  <c r="R2704" i="9" s="1"/>
  <c r="R2705" i="9" s="1"/>
  <c r="R2706" i="9" s="1"/>
  <c r="R2707" i="9" s="1"/>
  <c r="R2708" i="9" s="1"/>
  <c r="R2709" i="9" s="1"/>
  <c r="R2710" i="9" s="1"/>
  <c r="R2711" i="9" s="1"/>
  <c r="R2712" i="9" s="1"/>
  <c r="R2713" i="9" s="1"/>
  <c r="R2714" i="9" s="1"/>
  <c r="R2715" i="9" s="1"/>
  <c r="R2716" i="9" s="1"/>
  <c r="R2717" i="9" s="1"/>
  <c r="R2718" i="9" s="1"/>
  <c r="R2719" i="9" s="1"/>
  <c r="R2720" i="9" s="1"/>
  <c r="R2721" i="9" s="1"/>
  <c r="R2722" i="9" s="1"/>
  <c r="R2723" i="9" s="1"/>
  <c r="R2724" i="9" s="1"/>
  <c r="R2725" i="9" s="1"/>
  <c r="R2726" i="9" s="1"/>
  <c r="R2727" i="9" s="1"/>
  <c r="R2728" i="9" s="1"/>
  <c r="R2729" i="9" s="1"/>
  <c r="R2730" i="9" s="1"/>
  <c r="R2731" i="9" s="1"/>
  <c r="R2732" i="9" s="1"/>
  <c r="R2733" i="9" s="1"/>
  <c r="R2734" i="9" s="1"/>
  <c r="R2735" i="9" s="1"/>
  <c r="R2736" i="9" s="1"/>
  <c r="U3" i="9"/>
  <c r="U260" i="9" l="1"/>
  <c r="U256" i="9"/>
  <c r="U252" i="9"/>
  <c r="U248" i="9"/>
  <c r="U244" i="9"/>
  <c r="U240" i="9"/>
  <c r="U236" i="9"/>
  <c r="U232" i="9"/>
  <c r="U228" i="9"/>
  <c r="U224" i="9"/>
  <c r="U220" i="9"/>
  <c r="U216" i="9"/>
  <c r="U212" i="9"/>
  <c r="U208" i="9"/>
  <c r="U204" i="9"/>
  <c r="U200" i="9"/>
  <c r="U196" i="9"/>
  <c r="U192" i="9"/>
  <c r="U188" i="9"/>
  <c r="U184" i="9"/>
  <c r="U180" i="9"/>
  <c r="U176" i="9"/>
  <c r="U172" i="9"/>
  <c r="U168" i="9"/>
  <c r="U164" i="9"/>
  <c r="U160" i="9"/>
  <c r="U156" i="9"/>
  <c r="U152" i="9"/>
  <c r="U148" i="9"/>
  <c r="U144" i="9"/>
  <c r="U140" i="9"/>
  <c r="U136" i="9"/>
  <c r="U132" i="9"/>
  <c r="U128" i="9"/>
  <c r="U124" i="9"/>
  <c r="U120" i="9"/>
  <c r="U116" i="9"/>
  <c r="U112" i="9"/>
  <c r="U108" i="9"/>
  <c r="U104" i="9"/>
  <c r="U100" i="9"/>
  <c r="U96" i="9"/>
  <c r="U92" i="9"/>
  <c r="U88" i="9"/>
  <c r="U84" i="9"/>
  <c r="U80" i="9"/>
  <c r="U76" i="9"/>
  <c r="U72" i="9"/>
  <c r="U68" i="9"/>
  <c r="U64" i="9"/>
  <c r="U60" i="9"/>
  <c r="U56" i="9"/>
  <c r="U52" i="9"/>
  <c r="U48" i="9"/>
  <c r="U44" i="9"/>
  <c r="U40" i="9"/>
  <c r="U36" i="9"/>
  <c r="U32" i="9"/>
  <c r="U28" i="9"/>
  <c r="U24" i="9"/>
  <c r="U20" i="9"/>
  <c r="U16" i="9"/>
  <c r="U12" i="9"/>
  <c r="U8" i="9"/>
  <c r="U259" i="9"/>
  <c r="U255" i="9"/>
  <c r="U251" i="9"/>
  <c r="U247" i="9"/>
  <c r="U243" i="9"/>
  <c r="U239" i="9"/>
  <c r="U235" i="9"/>
  <c r="U231" i="9"/>
  <c r="U227" i="9"/>
  <c r="U223" i="9"/>
  <c r="U219" i="9"/>
  <c r="U215" i="9"/>
  <c r="U211" i="9"/>
  <c r="U207" i="9"/>
  <c r="U203" i="9"/>
  <c r="U199" i="9"/>
  <c r="U195" i="9"/>
  <c r="U191" i="9"/>
  <c r="U187" i="9"/>
  <c r="U183" i="9"/>
  <c r="U179" i="9"/>
  <c r="U175" i="9"/>
  <c r="U171" i="9"/>
  <c r="U167" i="9"/>
  <c r="U163" i="9"/>
  <c r="U159" i="9"/>
  <c r="U155" i="9"/>
  <c r="U151" i="9"/>
  <c r="U147" i="9"/>
  <c r="U143" i="9"/>
  <c r="U139" i="9"/>
  <c r="U135" i="9"/>
  <c r="U131" i="9"/>
  <c r="U127" i="9"/>
  <c r="U123" i="9"/>
  <c r="U119" i="9"/>
  <c r="U115" i="9"/>
  <c r="U111" i="9"/>
  <c r="U107" i="9"/>
  <c r="U103" i="9"/>
  <c r="U99" i="9"/>
  <c r="U95" i="9"/>
  <c r="U91" i="9"/>
  <c r="U87" i="9"/>
  <c r="U83" i="9"/>
  <c r="U79" i="9"/>
  <c r="U75" i="9"/>
  <c r="U71" i="9"/>
  <c r="U67" i="9"/>
  <c r="U63" i="9"/>
  <c r="U59" i="9"/>
  <c r="U55" i="9"/>
  <c r="U51" i="9"/>
  <c r="U47" i="9"/>
  <c r="U43" i="9"/>
  <c r="U39" i="9"/>
  <c r="U35" i="9"/>
  <c r="U31" i="9"/>
  <c r="U27" i="9"/>
  <c r="U23" i="9"/>
  <c r="U19" i="9"/>
  <c r="U15" i="9"/>
  <c r="U11" i="9"/>
  <c r="U7" i="9"/>
  <c r="U258" i="9"/>
  <c r="U254" i="9"/>
  <c r="U250" i="9"/>
  <c r="U246" i="9"/>
  <c r="U242" i="9"/>
  <c r="U238" i="9"/>
  <c r="U234" i="9"/>
  <c r="U230" i="9"/>
  <c r="U226" i="9"/>
  <c r="U222" i="9"/>
  <c r="U218" i="9"/>
  <c r="U214" i="9"/>
  <c r="U210" i="9"/>
  <c r="U206" i="9"/>
  <c r="U202" i="9"/>
  <c r="U198" i="9"/>
  <c r="U194" i="9"/>
  <c r="U190" i="9"/>
  <c r="U186" i="9"/>
  <c r="U182" i="9"/>
  <c r="U178" i="9"/>
  <c r="U174" i="9"/>
  <c r="U170" i="9"/>
  <c r="U166" i="9"/>
  <c r="U162" i="9"/>
  <c r="U158" i="9"/>
  <c r="U154" i="9"/>
  <c r="U150" i="9"/>
  <c r="U146" i="9"/>
  <c r="U142" i="9"/>
  <c r="U138" i="9"/>
  <c r="U134" i="9"/>
  <c r="U130" i="9"/>
  <c r="U126" i="9"/>
  <c r="U122" i="9"/>
  <c r="U118" i="9"/>
  <c r="U114" i="9"/>
  <c r="U110" i="9"/>
  <c r="U106" i="9"/>
  <c r="U102" i="9"/>
  <c r="U98" i="9"/>
  <c r="U94" i="9"/>
  <c r="U90" i="9"/>
  <c r="U86" i="9"/>
  <c r="U82" i="9"/>
  <c r="U78" i="9"/>
  <c r="U74" i="9"/>
  <c r="U70" i="9"/>
  <c r="U66" i="9"/>
  <c r="U62" i="9"/>
  <c r="U58" i="9"/>
  <c r="U54" i="9"/>
  <c r="U50" i="9"/>
  <c r="U46" i="9"/>
  <c r="U42" i="9"/>
  <c r="U38" i="9"/>
  <c r="U34" i="9"/>
  <c r="U30" i="9"/>
  <c r="U26" i="9"/>
  <c r="U22" i="9"/>
  <c r="U18" i="9"/>
  <c r="U14" i="9"/>
  <c r="U10" i="9"/>
  <c r="U6" i="9"/>
  <c r="V6" i="9" s="1"/>
  <c r="U257" i="9"/>
  <c r="U253" i="9"/>
  <c r="U249" i="9"/>
  <c r="U245" i="9"/>
  <c r="U241" i="9"/>
  <c r="U237" i="9"/>
  <c r="U233" i="9"/>
  <c r="U229" i="9"/>
  <c r="U225" i="9"/>
  <c r="U221" i="9"/>
  <c r="U217" i="9"/>
  <c r="U213" i="9"/>
  <c r="U209" i="9"/>
  <c r="U205" i="9"/>
  <c r="U201" i="9"/>
  <c r="U197" i="9"/>
  <c r="U193" i="9"/>
  <c r="U189" i="9"/>
  <c r="U185" i="9"/>
  <c r="U181" i="9"/>
  <c r="U177" i="9"/>
  <c r="U173" i="9"/>
  <c r="U169" i="9"/>
  <c r="U165" i="9"/>
  <c r="U161" i="9"/>
  <c r="U157" i="9"/>
  <c r="U153" i="9"/>
  <c r="U149" i="9"/>
  <c r="U145" i="9"/>
  <c r="U141" i="9"/>
  <c r="U137" i="9"/>
  <c r="U133" i="9"/>
  <c r="U129" i="9"/>
  <c r="U125" i="9"/>
  <c r="U121" i="9"/>
  <c r="U117" i="9"/>
  <c r="U113" i="9"/>
  <c r="U109" i="9"/>
  <c r="U105" i="9"/>
  <c r="U101" i="9"/>
  <c r="U97" i="9"/>
  <c r="U93" i="9"/>
  <c r="U89" i="9"/>
  <c r="U85" i="9"/>
  <c r="U81" i="9"/>
  <c r="U77" i="9"/>
  <c r="U73" i="9"/>
  <c r="U69" i="9"/>
  <c r="U65" i="9"/>
  <c r="U61" i="9"/>
  <c r="U57" i="9"/>
  <c r="U53" i="9"/>
  <c r="U49" i="9"/>
  <c r="U45" i="9"/>
  <c r="U41" i="9"/>
  <c r="U37" i="9"/>
  <c r="U33" i="9"/>
  <c r="U29" i="9"/>
  <c r="U25" i="9"/>
  <c r="U21" i="9"/>
  <c r="U17" i="9"/>
  <c r="U13" i="9"/>
  <c r="U9" i="9"/>
  <c r="V7" i="9" l="1"/>
  <c r="V8" i="9" s="1"/>
  <c r="V9" i="9" s="1"/>
  <c r="V10" i="9" s="1"/>
  <c r="V11" i="9" s="1"/>
  <c r="V12" i="9" s="1"/>
  <c r="V13" i="9" s="1"/>
  <c r="V14" i="9" s="1"/>
  <c r="V15" i="9" s="1"/>
  <c r="V16" i="9" s="1"/>
  <c r="V17" i="9" s="1"/>
  <c r="V18" i="9" s="1"/>
  <c r="V19" i="9" s="1"/>
  <c r="V20" i="9" s="1"/>
  <c r="V21" i="9" s="1"/>
  <c r="V22" i="9" s="1"/>
  <c r="V23" i="9" s="1"/>
  <c r="V24" i="9" s="1"/>
  <c r="V25" i="9" s="1"/>
  <c r="V26" i="9" s="1"/>
  <c r="V27" i="9" s="1"/>
  <c r="V28" i="9" s="1"/>
  <c r="V29" i="9" s="1"/>
  <c r="V30" i="9" s="1"/>
  <c r="V31" i="9" s="1"/>
  <c r="V32" i="9" s="1"/>
  <c r="V33" i="9" s="1"/>
  <c r="V34" i="9" s="1"/>
  <c r="V35" i="9" s="1"/>
  <c r="V36" i="9" s="1"/>
  <c r="V37" i="9" s="1"/>
  <c r="V38" i="9" s="1"/>
  <c r="V39" i="9" s="1"/>
  <c r="V40" i="9" s="1"/>
  <c r="V41" i="9" s="1"/>
  <c r="V42" i="9" s="1"/>
  <c r="V43" i="9" s="1"/>
  <c r="V44" i="9" s="1"/>
  <c r="V45" i="9" s="1"/>
  <c r="V46" i="9" s="1"/>
  <c r="V47" i="9" s="1"/>
  <c r="V48" i="9" s="1"/>
  <c r="V49" i="9" s="1"/>
  <c r="V50" i="9" s="1"/>
  <c r="V51" i="9" s="1"/>
  <c r="V52" i="9" s="1"/>
  <c r="V53" i="9" s="1"/>
  <c r="V54" i="9" s="1"/>
  <c r="V55" i="9" s="1"/>
  <c r="V56" i="9" s="1"/>
  <c r="V57" i="9" s="1"/>
  <c r="V58" i="9" s="1"/>
  <c r="V59" i="9" s="1"/>
  <c r="V60" i="9" s="1"/>
  <c r="V61" i="9" s="1"/>
  <c r="V62" i="9" s="1"/>
  <c r="V63" i="9" s="1"/>
  <c r="V64" i="9" s="1"/>
  <c r="V65" i="9" s="1"/>
  <c r="V66" i="9" s="1"/>
  <c r="V67" i="9" s="1"/>
  <c r="V68" i="9" s="1"/>
  <c r="V69" i="9" s="1"/>
  <c r="V70" i="9" s="1"/>
  <c r="V71" i="9" s="1"/>
  <c r="V72" i="9" s="1"/>
  <c r="V73" i="9" s="1"/>
  <c r="V74" i="9" s="1"/>
  <c r="V75" i="9" s="1"/>
  <c r="V76" i="9" s="1"/>
  <c r="V77" i="9" s="1"/>
  <c r="V78" i="9" s="1"/>
  <c r="V79" i="9" s="1"/>
  <c r="V80" i="9" s="1"/>
  <c r="V81" i="9" s="1"/>
  <c r="V82" i="9" s="1"/>
  <c r="V83" i="9" s="1"/>
  <c r="V84" i="9" s="1"/>
  <c r="V85" i="9" s="1"/>
  <c r="V86" i="9" s="1"/>
  <c r="V87" i="9" s="1"/>
  <c r="V88" i="9" s="1"/>
  <c r="V89" i="9" s="1"/>
  <c r="V90" i="9" s="1"/>
  <c r="V91" i="9" s="1"/>
  <c r="V92" i="9" s="1"/>
  <c r="V93" i="9" s="1"/>
  <c r="V94" i="9" s="1"/>
  <c r="V95" i="9" s="1"/>
  <c r="V96" i="9" s="1"/>
  <c r="V97" i="9" s="1"/>
  <c r="V98" i="9" s="1"/>
  <c r="V99" i="9" s="1"/>
  <c r="V100" i="9" s="1"/>
  <c r="V101" i="9" s="1"/>
  <c r="V102" i="9" s="1"/>
  <c r="V103" i="9" s="1"/>
  <c r="V104" i="9" s="1"/>
  <c r="V105" i="9" s="1"/>
  <c r="V106" i="9" s="1"/>
  <c r="V107" i="9" s="1"/>
  <c r="V108" i="9" s="1"/>
  <c r="V109" i="9" s="1"/>
  <c r="V110" i="9" s="1"/>
  <c r="V111" i="9" s="1"/>
  <c r="V112" i="9" s="1"/>
  <c r="V113" i="9" s="1"/>
  <c r="V114" i="9" s="1"/>
  <c r="V115" i="9" s="1"/>
  <c r="V116" i="9" s="1"/>
  <c r="V117" i="9" s="1"/>
  <c r="V118" i="9" s="1"/>
  <c r="V119" i="9" s="1"/>
  <c r="V120" i="9" s="1"/>
  <c r="V121" i="9" s="1"/>
  <c r="V122" i="9" s="1"/>
  <c r="V123" i="9" s="1"/>
  <c r="V124" i="9" s="1"/>
  <c r="V125" i="9" s="1"/>
  <c r="V126" i="9" s="1"/>
  <c r="V127" i="9" s="1"/>
  <c r="V128" i="9" s="1"/>
  <c r="V129" i="9" s="1"/>
  <c r="V130" i="9" s="1"/>
  <c r="V131" i="9" s="1"/>
  <c r="V132" i="9" s="1"/>
  <c r="V133" i="9" s="1"/>
  <c r="V134" i="9" s="1"/>
  <c r="V135" i="9" s="1"/>
  <c r="V136" i="9" s="1"/>
  <c r="V137" i="9" s="1"/>
  <c r="V138" i="9" s="1"/>
  <c r="V139" i="9" s="1"/>
  <c r="V140" i="9" s="1"/>
  <c r="V141" i="9" s="1"/>
  <c r="V142" i="9" s="1"/>
  <c r="V143" i="9" s="1"/>
  <c r="V144" i="9" s="1"/>
  <c r="V145" i="9" s="1"/>
  <c r="V146" i="9" s="1"/>
  <c r="V147" i="9" s="1"/>
  <c r="V148" i="9" s="1"/>
  <c r="V149" i="9" s="1"/>
  <c r="V150" i="9" s="1"/>
  <c r="V151" i="9" s="1"/>
  <c r="V152" i="9" s="1"/>
  <c r="V153" i="9" s="1"/>
  <c r="V154" i="9" s="1"/>
  <c r="V155" i="9" s="1"/>
  <c r="V156" i="9" s="1"/>
  <c r="V157" i="9" s="1"/>
  <c r="V158" i="9" s="1"/>
  <c r="V159" i="9" s="1"/>
  <c r="V160" i="9" s="1"/>
  <c r="V161" i="9" s="1"/>
  <c r="V162" i="9" s="1"/>
  <c r="V163" i="9" s="1"/>
  <c r="V164" i="9" s="1"/>
  <c r="V165" i="9" s="1"/>
  <c r="V166" i="9" s="1"/>
  <c r="V167" i="9" s="1"/>
  <c r="V168" i="9" s="1"/>
  <c r="V169" i="9" s="1"/>
  <c r="V170" i="9" s="1"/>
  <c r="V171" i="9" s="1"/>
  <c r="V172" i="9" s="1"/>
  <c r="V173" i="9" s="1"/>
  <c r="V174" i="9" s="1"/>
  <c r="V175" i="9" s="1"/>
  <c r="V176" i="9" s="1"/>
  <c r="V177" i="9" s="1"/>
  <c r="V178" i="9" s="1"/>
  <c r="V179" i="9" s="1"/>
  <c r="V180" i="9" s="1"/>
  <c r="V181" i="9" s="1"/>
  <c r="V182" i="9" s="1"/>
  <c r="V183" i="9" s="1"/>
  <c r="V184" i="9" s="1"/>
  <c r="V185" i="9" s="1"/>
  <c r="V186" i="9" s="1"/>
  <c r="V187" i="9" s="1"/>
  <c r="V188" i="9" s="1"/>
  <c r="V189" i="9" s="1"/>
  <c r="V190" i="9" s="1"/>
  <c r="V191" i="9" s="1"/>
  <c r="V192" i="9" s="1"/>
  <c r="V193" i="9" s="1"/>
  <c r="V194" i="9" s="1"/>
  <c r="V195" i="9" s="1"/>
  <c r="V196" i="9" s="1"/>
  <c r="V197" i="9" s="1"/>
  <c r="V198" i="9" s="1"/>
  <c r="V199" i="9" s="1"/>
  <c r="V200" i="9" s="1"/>
  <c r="V201" i="9" s="1"/>
  <c r="V202" i="9" s="1"/>
  <c r="V203" i="9" s="1"/>
  <c r="V204" i="9" s="1"/>
  <c r="V205" i="9" s="1"/>
  <c r="V206" i="9" s="1"/>
  <c r="V207" i="9" s="1"/>
  <c r="V208" i="9" s="1"/>
  <c r="V209" i="9" s="1"/>
  <c r="V210" i="9" s="1"/>
  <c r="V211" i="9" s="1"/>
  <c r="V212" i="9" s="1"/>
  <c r="V213" i="9" s="1"/>
  <c r="V214" i="9" s="1"/>
  <c r="V215" i="9" s="1"/>
  <c r="V216" i="9" s="1"/>
  <c r="V217" i="9" s="1"/>
  <c r="V218" i="9" s="1"/>
  <c r="V219" i="9" s="1"/>
  <c r="V220" i="9" s="1"/>
  <c r="V221" i="9" s="1"/>
  <c r="V222" i="9" s="1"/>
  <c r="V223" i="9" s="1"/>
  <c r="V224" i="9" s="1"/>
  <c r="V225" i="9" s="1"/>
  <c r="V226" i="9" s="1"/>
  <c r="V227" i="9" s="1"/>
  <c r="V228" i="9" s="1"/>
  <c r="V229" i="9" s="1"/>
  <c r="V230" i="9" s="1"/>
  <c r="V231" i="9" s="1"/>
  <c r="V232" i="9" s="1"/>
  <c r="V233" i="9" s="1"/>
  <c r="V234" i="9" s="1"/>
  <c r="V235" i="9" s="1"/>
  <c r="V236" i="9" s="1"/>
  <c r="V237" i="9" s="1"/>
  <c r="V238" i="9" s="1"/>
  <c r="V239" i="9" s="1"/>
  <c r="V240" i="9" s="1"/>
  <c r="V241" i="9" s="1"/>
  <c r="V242" i="9" s="1"/>
  <c r="V243" i="9" s="1"/>
  <c r="V244" i="9" s="1"/>
  <c r="V245" i="9" s="1"/>
  <c r="V246" i="9" s="1"/>
  <c r="V247" i="9" s="1"/>
  <c r="V248" i="9" s="1"/>
  <c r="V249" i="9" s="1"/>
  <c r="V250" i="9" s="1"/>
  <c r="V251" i="9" s="1"/>
  <c r="V252" i="9" s="1"/>
  <c r="V253" i="9" s="1"/>
  <c r="V254" i="9" s="1"/>
  <c r="V255" i="9" s="1"/>
  <c r="V256" i="9" s="1"/>
  <c r="V257" i="9" s="1"/>
  <c r="V258" i="9" s="1"/>
  <c r="V259" i="9" s="1"/>
  <c r="V260" i="9" s="1"/>
  <c r="Z5" i="9" s="1"/>
  <c r="Z2" i="9" s="1"/>
  <c r="AB3" i="9" l="1"/>
  <c r="Z3" i="9"/>
  <c r="M18" i="7" l="1"/>
  <c r="W1" i="7"/>
  <c r="W5" i="7" s="1"/>
  <c r="W9" i="7" s="1"/>
  <c r="W17" i="7" s="1"/>
  <c r="O1" i="7"/>
  <c r="O5" i="7" s="1"/>
  <c r="O9" i="7" s="1"/>
  <c r="O17" i="7" s="1"/>
  <c r="P1" i="7"/>
  <c r="P5" i="7" s="1"/>
  <c r="P9" i="7" s="1"/>
  <c r="P17" i="7" s="1"/>
  <c r="Q1" i="7"/>
  <c r="Q5" i="7" s="1"/>
  <c r="Q9" i="7" s="1"/>
  <c r="Q17" i="7" s="1"/>
  <c r="R1" i="7"/>
  <c r="R5" i="7" s="1"/>
  <c r="R9" i="7" s="1"/>
  <c r="R17" i="7" s="1"/>
  <c r="S1" i="7"/>
  <c r="S5" i="7" s="1"/>
  <c r="S9" i="7" s="1"/>
  <c r="S17" i="7" s="1"/>
  <c r="T1" i="7"/>
  <c r="T5" i="7" s="1"/>
  <c r="T9" i="7" s="1"/>
  <c r="T17" i="7" s="1"/>
  <c r="U1" i="7"/>
  <c r="U5" i="7" s="1"/>
  <c r="U9" i="7" s="1"/>
  <c r="U17" i="7" s="1"/>
  <c r="V1" i="7"/>
  <c r="V5" i="7" s="1"/>
  <c r="V9" i="7" s="1"/>
  <c r="V17" i="7" s="1"/>
  <c r="N1" i="7"/>
  <c r="N5" i="7" s="1"/>
  <c r="N9" i="7" s="1"/>
  <c r="N17" i="7" s="1"/>
  <c r="M1" i="7"/>
  <c r="M5" i="7" s="1"/>
  <c r="M9" i="7" s="1"/>
  <c r="M17" i="7" s="1"/>
  <c r="B96" i="7" l="1"/>
  <c r="C80" i="7"/>
  <c r="D80" i="7"/>
  <c r="E80" i="7"/>
  <c r="F80" i="7"/>
  <c r="G80" i="7"/>
  <c r="H80" i="7"/>
  <c r="I80" i="7"/>
  <c r="J80" i="7"/>
  <c r="K80" i="7"/>
  <c r="B80" i="7"/>
  <c r="C69" i="7"/>
  <c r="B69" i="7"/>
  <c r="B54" i="7"/>
  <c r="B84" i="7" s="1"/>
  <c r="B65" i="7"/>
  <c r="D45" i="5"/>
  <c r="E45" i="5"/>
  <c r="F45" i="5"/>
  <c r="G45" i="5"/>
  <c r="H45" i="5"/>
  <c r="I45" i="5"/>
  <c r="J45" i="5"/>
  <c r="K45" i="5"/>
  <c r="L45" i="5"/>
  <c r="C45" i="5"/>
  <c r="M45" i="5" l="1"/>
  <c r="B92" i="7"/>
  <c r="C74" i="7"/>
  <c r="B74" i="7"/>
  <c r="D44" i="5"/>
  <c r="E44" i="5"/>
  <c r="F44" i="5"/>
  <c r="G44" i="5"/>
  <c r="H44" i="5"/>
  <c r="I44" i="5"/>
  <c r="J44" i="5"/>
  <c r="K44" i="5"/>
  <c r="L44" i="5"/>
  <c r="C44" i="5"/>
  <c r="B71" i="7"/>
  <c r="C71" i="7"/>
  <c r="D43" i="5"/>
  <c r="E43" i="5"/>
  <c r="F43" i="5"/>
  <c r="G43" i="5"/>
  <c r="H43" i="5"/>
  <c r="I43" i="5"/>
  <c r="J43" i="5"/>
  <c r="K43" i="5"/>
  <c r="L43" i="5"/>
  <c r="C43" i="5"/>
  <c r="B67" i="7"/>
  <c r="C67" i="7"/>
  <c r="C54" i="7"/>
  <c r="E35" i="5"/>
  <c r="F35" i="5"/>
  <c r="G35" i="5"/>
  <c r="H35" i="5"/>
  <c r="I35" i="5"/>
  <c r="J35" i="5"/>
  <c r="K35" i="5"/>
  <c r="L35" i="5"/>
  <c r="D35" i="5"/>
  <c r="D42" i="5"/>
  <c r="E42" i="5"/>
  <c r="F42" i="5"/>
  <c r="G42" i="5"/>
  <c r="H42" i="5"/>
  <c r="I42" i="5"/>
  <c r="J42" i="5"/>
  <c r="K42" i="5"/>
  <c r="L42" i="5"/>
  <c r="C42" i="5"/>
  <c r="C32" i="5"/>
  <c r="D41" i="5"/>
  <c r="E41" i="5"/>
  <c r="F41" i="5"/>
  <c r="G41" i="5"/>
  <c r="H41" i="5"/>
  <c r="I41" i="5"/>
  <c r="J41" i="5"/>
  <c r="K41" i="5"/>
  <c r="L41" i="5"/>
  <c r="C41" i="5"/>
  <c r="D40" i="5"/>
  <c r="E40" i="5"/>
  <c r="F40" i="5"/>
  <c r="G40" i="5"/>
  <c r="H40" i="5"/>
  <c r="I40" i="5"/>
  <c r="J40" i="5"/>
  <c r="K40" i="5"/>
  <c r="L40" i="5"/>
  <c r="C40" i="5"/>
  <c r="C76" i="7"/>
  <c r="C72" i="7"/>
  <c r="D72" i="7" s="1"/>
  <c r="E72" i="7" s="1"/>
  <c r="F72" i="7" s="1"/>
  <c r="G72" i="7" s="1"/>
  <c r="H72" i="7" s="1"/>
  <c r="I72" i="7" s="1"/>
  <c r="J72" i="7" s="1"/>
  <c r="K72" i="7" s="1"/>
  <c r="C65" i="7"/>
  <c r="C64" i="7"/>
  <c r="C62" i="7"/>
  <c r="D62" i="7" s="1"/>
  <c r="E62" i="7" s="1"/>
  <c r="F62" i="7" s="1"/>
  <c r="G62" i="7" s="1"/>
  <c r="H62" i="7" s="1"/>
  <c r="I62" i="7" s="1"/>
  <c r="J62" i="7" s="1"/>
  <c r="K62" i="7" s="1"/>
  <c r="C61" i="7"/>
  <c r="C60" i="7"/>
  <c r="B76" i="7"/>
  <c r="B72" i="7"/>
  <c r="B64" i="7"/>
  <c r="B62" i="7"/>
  <c r="B61" i="7"/>
  <c r="B60" i="7"/>
  <c r="A76" i="7"/>
  <c r="A77" i="7"/>
  <c r="A60" i="7"/>
  <c r="A61" i="7"/>
  <c r="A62" i="7"/>
  <c r="A63" i="7"/>
  <c r="M6" i="7" s="1"/>
  <c r="A64" i="7"/>
  <c r="A65" i="7"/>
  <c r="A66" i="7"/>
  <c r="A69" i="7"/>
  <c r="A71" i="7"/>
  <c r="A72" i="7"/>
  <c r="A73" i="7"/>
  <c r="M7" i="7" s="1"/>
  <c r="A74" i="7"/>
  <c r="A75" i="7"/>
  <c r="D39" i="5"/>
  <c r="E39" i="5"/>
  <c r="F39" i="5"/>
  <c r="G39" i="5"/>
  <c r="H39" i="5"/>
  <c r="I39" i="5"/>
  <c r="J39" i="5"/>
  <c r="K39" i="5"/>
  <c r="L39" i="5"/>
  <c r="C39" i="5"/>
  <c r="D38" i="5"/>
  <c r="E38" i="5"/>
  <c r="F38" i="5"/>
  <c r="G38" i="5"/>
  <c r="H38" i="5"/>
  <c r="I38" i="5"/>
  <c r="J38" i="5"/>
  <c r="K38" i="5"/>
  <c r="L38" i="5"/>
  <c r="C38" i="5"/>
  <c r="C21" i="7"/>
  <c r="C22" i="7"/>
  <c r="C23" i="7"/>
  <c r="O10" i="7" s="1"/>
  <c r="C24" i="7"/>
  <c r="C25" i="7"/>
  <c r="O11" i="7" s="1"/>
  <c r="C26" i="7"/>
  <c r="C27" i="7"/>
  <c r="C28" i="7"/>
  <c r="C30" i="7" s="1"/>
  <c r="C20" i="7"/>
  <c r="B21" i="7"/>
  <c r="B22" i="7"/>
  <c r="N2" i="7" s="1"/>
  <c r="B23" i="7"/>
  <c r="N10" i="7" s="1"/>
  <c r="B24" i="7"/>
  <c r="B25" i="7"/>
  <c r="N11" i="7" s="1"/>
  <c r="B26" i="7"/>
  <c r="B27" i="7"/>
  <c r="B31" i="7" s="1"/>
  <c r="B20" i="7"/>
  <c r="C52" i="7"/>
  <c r="C58" i="7" s="1"/>
  <c r="B52" i="7"/>
  <c r="B58" i="7" s="1"/>
  <c r="E52" i="7"/>
  <c r="E58" i="7" s="1"/>
  <c r="F52" i="7"/>
  <c r="F58" i="7" s="1"/>
  <c r="G52" i="7"/>
  <c r="G58" i="7" s="1"/>
  <c r="H52" i="7"/>
  <c r="H58" i="7" s="1"/>
  <c r="I52" i="7"/>
  <c r="I58" i="7" s="1"/>
  <c r="J52" i="7"/>
  <c r="J58" i="7" s="1"/>
  <c r="K52" i="7"/>
  <c r="K58" i="7" s="1"/>
  <c r="D52" i="7"/>
  <c r="D58" i="7" s="1"/>
  <c r="A52" i="7"/>
  <c r="A58" i="7" s="1"/>
  <c r="M35" i="5" l="1"/>
  <c r="M42" i="5"/>
  <c r="M44" i="5"/>
  <c r="M41" i="5"/>
  <c r="M39" i="5"/>
  <c r="M40" i="5"/>
  <c r="M38" i="5"/>
  <c r="M43" i="5"/>
  <c r="C31" i="7"/>
  <c r="B106" i="7"/>
  <c r="B33" i="7"/>
  <c r="N3" i="7" s="1"/>
  <c r="B107" i="7"/>
  <c r="C106" i="7"/>
  <c r="B114" i="7"/>
  <c r="B115" i="7"/>
  <c r="C115" i="7"/>
  <c r="C114" i="7"/>
  <c r="D22" i="7"/>
  <c r="D71" i="7" s="1"/>
  <c r="O2" i="7"/>
  <c r="C84" i="7"/>
  <c r="C92" i="7"/>
  <c r="C107" i="7" s="1"/>
  <c r="C83" i="7"/>
  <c r="B83" i="7"/>
  <c r="B85" i="7" s="1"/>
  <c r="C82" i="7"/>
  <c r="B82" i="7"/>
  <c r="C33" i="7"/>
  <c r="O3" i="7" s="1"/>
  <c r="B73" i="7"/>
  <c r="C73" i="7"/>
  <c r="B63" i="7"/>
  <c r="B66" i="7"/>
  <c r="B68" i="7" s="1"/>
  <c r="C66" i="7"/>
  <c r="C68" i="7" s="1"/>
  <c r="C63" i="7"/>
  <c r="D34" i="5"/>
  <c r="E34" i="5"/>
  <c r="F34" i="5"/>
  <c r="G34" i="5"/>
  <c r="H34" i="5"/>
  <c r="I34" i="5"/>
  <c r="J34" i="5"/>
  <c r="K34" i="5"/>
  <c r="L34" i="5"/>
  <c r="C34" i="5"/>
  <c r="D32" i="5"/>
  <c r="E32" i="5"/>
  <c r="F32" i="5"/>
  <c r="G32" i="5"/>
  <c r="H32" i="5"/>
  <c r="I32" i="5"/>
  <c r="J32" i="5"/>
  <c r="K32" i="5"/>
  <c r="L32" i="5"/>
  <c r="E69" i="3"/>
  <c r="F69" i="3"/>
  <c r="G69" i="3"/>
  <c r="H69" i="3"/>
  <c r="I69" i="3"/>
  <c r="J69" i="3"/>
  <c r="K69" i="3"/>
  <c r="E70" i="3"/>
  <c r="F70" i="3"/>
  <c r="G70" i="3"/>
  <c r="H70" i="3"/>
  <c r="I70" i="3"/>
  <c r="J70" i="3"/>
  <c r="K70" i="3"/>
  <c r="E71" i="3"/>
  <c r="F71" i="3"/>
  <c r="G71" i="3"/>
  <c r="H71" i="3"/>
  <c r="I71" i="3"/>
  <c r="J71" i="3"/>
  <c r="K71" i="3"/>
  <c r="E72" i="3"/>
  <c r="F72" i="3"/>
  <c r="G72" i="3"/>
  <c r="H72" i="3"/>
  <c r="I72" i="3"/>
  <c r="J72" i="3"/>
  <c r="K72" i="3"/>
  <c r="E73" i="3"/>
  <c r="F73" i="3"/>
  <c r="G73" i="3"/>
  <c r="H73" i="3"/>
  <c r="I73" i="3"/>
  <c r="J73" i="3"/>
  <c r="K73" i="3"/>
  <c r="E74" i="3"/>
  <c r="F74" i="3"/>
  <c r="G74" i="3"/>
  <c r="H74" i="3"/>
  <c r="I74" i="3"/>
  <c r="J74" i="3"/>
  <c r="K74" i="3"/>
  <c r="E75" i="3"/>
  <c r="F75" i="3"/>
  <c r="G75" i="3"/>
  <c r="H75" i="3"/>
  <c r="I75" i="3"/>
  <c r="J75" i="3"/>
  <c r="K75" i="3"/>
  <c r="E76" i="3"/>
  <c r="F76" i="3"/>
  <c r="G76" i="3"/>
  <c r="H76" i="3"/>
  <c r="I76" i="3"/>
  <c r="J76" i="3"/>
  <c r="K76" i="3"/>
  <c r="E77" i="3"/>
  <c r="F77" i="3"/>
  <c r="G77" i="3"/>
  <c r="H77" i="3"/>
  <c r="I77" i="3"/>
  <c r="J77" i="3"/>
  <c r="K77" i="3"/>
  <c r="E78" i="3"/>
  <c r="F78" i="3"/>
  <c r="G78" i="3"/>
  <c r="H78" i="3"/>
  <c r="I78" i="3"/>
  <c r="J78" i="3"/>
  <c r="K78" i="3"/>
  <c r="E79" i="3"/>
  <c r="F79" i="3"/>
  <c r="G79" i="3"/>
  <c r="H79" i="3"/>
  <c r="I79" i="3"/>
  <c r="J79" i="3"/>
  <c r="K79" i="3"/>
  <c r="E80" i="3"/>
  <c r="F80" i="3"/>
  <c r="G80" i="3"/>
  <c r="H80" i="3"/>
  <c r="I80" i="3"/>
  <c r="J80" i="3"/>
  <c r="K80" i="3"/>
  <c r="L80" i="3" s="1"/>
  <c r="E81" i="3"/>
  <c r="F81" i="3"/>
  <c r="G81" i="3"/>
  <c r="H81" i="3"/>
  <c r="I81" i="3"/>
  <c r="J81" i="3"/>
  <c r="K81" i="3"/>
  <c r="E82" i="3"/>
  <c r="F82" i="3"/>
  <c r="G82" i="3"/>
  <c r="H82" i="3"/>
  <c r="I82" i="3"/>
  <c r="J82" i="3"/>
  <c r="K82" i="3"/>
  <c r="E83" i="3"/>
  <c r="F83" i="3"/>
  <c r="G83" i="3"/>
  <c r="H83" i="3"/>
  <c r="I83" i="3"/>
  <c r="J83" i="3"/>
  <c r="K83" i="3"/>
  <c r="E84" i="3"/>
  <c r="F84" i="3"/>
  <c r="G84" i="3"/>
  <c r="H84" i="3"/>
  <c r="I84" i="3"/>
  <c r="J84" i="3"/>
  <c r="K84" i="3"/>
  <c r="E85" i="3"/>
  <c r="F85" i="3"/>
  <c r="G85" i="3"/>
  <c r="H85" i="3"/>
  <c r="I85" i="3"/>
  <c r="J85" i="3"/>
  <c r="K85" i="3"/>
  <c r="E86" i="3"/>
  <c r="F86" i="3"/>
  <c r="G86" i="3"/>
  <c r="H86" i="3"/>
  <c r="I86" i="3"/>
  <c r="J86" i="3"/>
  <c r="K86" i="3"/>
  <c r="E87" i="3"/>
  <c r="F87" i="3"/>
  <c r="G87" i="3"/>
  <c r="H87" i="3"/>
  <c r="I87" i="3"/>
  <c r="J87" i="3"/>
  <c r="K87" i="3"/>
  <c r="E88" i="3"/>
  <c r="F88" i="3"/>
  <c r="G88" i="3"/>
  <c r="H88" i="3"/>
  <c r="I88" i="3"/>
  <c r="J88" i="3"/>
  <c r="K88" i="3"/>
  <c r="E89" i="3"/>
  <c r="F89" i="3"/>
  <c r="G89" i="3"/>
  <c r="H89" i="3"/>
  <c r="I89" i="3"/>
  <c r="J89" i="3"/>
  <c r="K89" i="3"/>
  <c r="E90" i="3"/>
  <c r="F90" i="3"/>
  <c r="G90" i="3"/>
  <c r="H90" i="3"/>
  <c r="I90" i="3"/>
  <c r="J90" i="3"/>
  <c r="K90" i="3"/>
  <c r="E91" i="3"/>
  <c r="F91" i="3"/>
  <c r="G91" i="3"/>
  <c r="H91" i="3"/>
  <c r="I91" i="3"/>
  <c r="J91" i="3"/>
  <c r="K91" i="3"/>
  <c r="E92" i="3"/>
  <c r="F92" i="3"/>
  <c r="G92" i="3"/>
  <c r="H92" i="3"/>
  <c r="I92" i="3"/>
  <c r="J92" i="3"/>
  <c r="K92" i="3"/>
  <c r="E93" i="3"/>
  <c r="F93" i="3"/>
  <c r="G93" i="3"/>
  <c r="H93" i="3"/>
  <c r="I93" i="3"/>
  <c r="J93" i="3"/>
  <c r="K93" i="3"/>
  <c r="E94" i="3"/>
  <c r="F94" i="3"/>
  <c r="G94" i="3"/>
  <c r="H94" i="3"/>
  <c r="I94" i="3"/>
  <c r="J94" i="3"/>
  <c r="K94" i="3"/>
  <c r="E95" i="3"/>
  <c r="F95" i="3"/>
  <c r="G95" i="3"/>
  <c r="H95" i="3"/>
  <c r="I95" i="3"/>
  <c r="J95" i="3"/>
  <c r="K95" i="3"/>
  <c r="E96" i="3"/>
  <c r="F96" i="3"/>
  <c r="G96" i="3"/>
  <c r="H96" i="3"/>
  <c r="I96" i="3"/>
  <c r="J96" i="3"/>
  <c r="K96" i="3"/>
  <c r="E97" i="3"/>
  <c r="F97" i="3"/>
  <c r="G97" i="3"/>
  <c r="H97" i="3"/>
  <c r="I97" i="3"/>
  <c r="J97" i="3"/>
  <c r="K97" i="3"/>
  <c r="E98" i="3"/>
  <c r="F98" i="3"/>
  <c r="G98" i="3"/>
  <c r="H98" i="3"/>
  <c r="I98" i="3"/>
  <c r="J98" i="3"/>
  <c r="K98" i="3"/>
  <c r="E99" i="3"/>
  <c r="F99" i="3"/>
  <c r="G99" i="3"/>
  <c r="H99" i="3"/>
  <c r="I99" i="3"/>
  <c r="J99" i="3"/>
  <c r="K99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C76" i="3"/>
  <c r="C77" i="3"/>
  <c r="C78" i="3"/>
  <c r="C79" i="3"/>
  <c r="L79" i="3" s="1"/>
  <c r="C80" i="3"/>
  <c r="C81" i="3"/>
  <c r="C82" i="3"/>
  <c r="C83" i="3"/>
  <c r="C84" i="3"/>
  <c r="C85" i="3"/>
  <c r="L85" i="3" s="1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72" i="3"/>
  <c r="C73" i="3"/>
  <c r="C74" i="3"/>
  <c r="C75" i="3"/>
  <c r="L75" i="3" s="1"/>
  <c r="C69" i="3"/>
  <c r="C70" i="3"/>
  <c r="C71" i="3"/>
  <c r="D68" i="3"/>
  <c r="E68" i="3"/>
  <c r="F68" i="3"/>
  <c r="G68" i="3"/>
  <c r="H68" i="3"/>
  <c r="I68" i="3"/>
  <c r="J68" i="3"/>
  <c r="K68" i="3"/>
  <c r="C68" i="3"/>
  <c r="A99" i="3"/>
  <c r="A95" i="3"/>
  <c r="A96" i="3"/>
  <c r="A97" i="3"/>
  <c r="A98" i="3"/>
  <c r="A92" i="3"/>
  <c r="A93" i="3"/>
  <c r="A94" i="3"/>
  <c r="A86" i="3"/>
  <c r="A87" i="3"/>
  <c r="A88" i="3"/>
  <c r="A89" i="3"/>
  <c r="A90" i="3"/>
  <c r="A91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69" i="3"/>
  <c r="A70" i="3"/>
  <c r="A71" i="3"/>
  <c r="A72" i="3"/>
  <c r="A68" i="3"/>
  <c r="B66" i="3"/>
  <c r="C66" i="3"/>
  <c r="D66" i="3"/>
  <c r="E66" i="3"/>
  <c r="F66" i="3"/>
  <c r="G66" i="3"/>
  <c r="H66" i="3"/>
  <c r="I66" i="3"/>
  <c r="J66" i="3"/>
  <c r="K66" i="3"/>
  <c r="A66" i="3"/>
  <c r="D53" i="1"/>
  <c r="E53" i="1"/>
  <c r="F53" i="1"/>
  <c r="G53" i="1"/>
  <c r="H53" i="1"/>
  <c r="I53" i="1"/>
  <c r="J53" i="1"/>
  <c r="K53" i="1"/>
  <c r="D54" i="1"/>
  <c r="E54" i="1"/>
  <c r="F54" i="1"/>
  <c r="G54" i="1"/>
  <c r="H54" i="1"/>
  <c r="I54" i="1"/>
  <c r="J54" i="1"/>
  <c r="K54" i="1"/>
  <c r="D55" i="1"/>
  <c r="E55" i="1"/>
  <c r="F55" i="1"/>
  <c r="G55" i="1"/>
  <c r="H55" i="1"/>
  <c r="I55" i="1"/>
  <c r="J55" i="1"/>
  <c r="K55" i="1"/>
  <c r="D56" i="1"/>
  <c r="E56" i="1"/>
  <c r="F56" i="1"/>
  <c r="G56" i="1"/>
  <c r="H56" i="1"/>
  <c r="I56" i="1"/>
  <c r="J56" i="1"/>
  <c r="K56" i="1"/>
  <c r="D57" i="1"/>
  <c r="E57" i="1"/>
  <c r="F57" i="1"/>
  <c r="G57" i="1"/>
  <c r="H57" i="1"/>
  <c r="I57" i="1"/>
  <c r="J57" i="1"/>
  <c r="K57" i="1"/>
  <c r="D58" i="1"/>
  <c r="E58" i="1"/>
  <c r="F58" i="1"/>
  <c r="G58" i="1"/>
  <c r="H58" i="1"/>
  <c r="I58" i="1"/>
  <c r="J58" i="1"/>
  <c r="K58" i="1"/>
  <c r="D59" i="1"/>
  <c r="E59" i="1"/>
  <c r="F59" i="1"/>
  <c r="G59" i="1"/>
  <c r="H59" i="1"/>
  <c r="I59" i="1"/>
  <c r="J59" i="1"/>
  <c r="K59" i="1"/>
  <c r="D60" i="1"/>
  <c r="E60" i="1"/>
  <c r="F60" i="1"/>
  <c r="G60" i="1"/>
  <c r="H60" i="1"/>
  <c r="I60" i="1"/>
  <c r="J60" i="1"/>
  <c r="K60" i="1"/>
  <c r="D61" i="1"/>
  <c r="E61" i="1"/>
  <c r="F61" i="1"/>
  <c r="G61" i="1"/>
  <c r="H61" i="1"/>
  <c r="I61" i="1"/>
  <c r="J61" i="1"/>
  <c r="K61" i="1"/>
  <c r="D62" i="1"/>
  <c r="E62" i="1"/>
  <c r="F62" i="1"/>
  <c r="G62" i="1"/>
  <c r="H62" i="1"/>
  <c r="I62" i="1"/>
  <c r="J62" i="1"/>
  <c r="K62" i="1"/>
  <c r="D63" i="1"/>
  <c r="E63" i="1"/>
  <c r="F63" i="1"/>
  <c r="G63" i="1"/>
  <c r="H63" i="1"/>
  <c r="I63" i="1"/>
  <c r="J63" i="1"/>
  <c r="K63" i="1"/>
  <c r="D64" i="1"/>
  <c r="E64" i="1"/>
  <c r="F64" i="1"/>
  <c r="G64" i="1"/>
  <c r="H64" i="1"/>
  <c r="I64" i="1"/>
  <c r="J64" i="1"/>
  <c r="K64" i="1"/>
  <c r="D65" i="1"/>
  <c r="E65" i="1"/>
  <c r="F65" i="1"/>
  <c r="G65" i="1"/>
  <c r="H65" i="1"/>
  <c r="I65" i="1"/>
  <c r="J65" i="1"/>
  <c r="K65" i="1"/>
  <c r="D66" i="1"/>
  <c r="E66" i="1"/>
  <c r="F66" i="1"/>
  <c r="G66" i="1"/>
  <c r="H66" i="1"/>
  <c r="I66" i="1"/>
  <c r="J66" i="1"/>
  <c r="K66" i="1"/>
  <c r="D67" i="1"/>
  <c r="E67" i="1"/>
  <c r="F67" i="1"/>
  <c r="G67" i="1"/>
  <c r="H67" i="1"/>
  <c r="I67" i="1"/>
  <c r="J67" i="1"/>
  <c r="K67" i="1"/>
  <c r="C67" i="1"/>
  <c r="C55" i="1"/>
  <c r="C56" i="1"/>
  <c r="C57" i="1"/>
  <c r="C58" i="1"/>
  <c r="C59" i="1"/>
  <c r="C60" i="1"/>
  <c r="C62" i="1"/>
  <c r="C63" i="1"/>
  <c r="C64" i="1"/>
  <c r="C65" i="1"/>
  <c r="C66" i="1"/>
  <c r="C53" i="1"/>
  <c r="C54" i="1"/>
  <c r="K52" i="1"/>
  <c r="D52" i="1"/>
  <c r="E52" i="1"/>
  <c r="F52" i="1"/>
  <c r="G52" i="1"/>
  <c r="H52" i="1"/>
  <c r="I52" i="1"/>
  <c r="J52" i="1"/>
  <c r="C52" i="1"/>
  <c r="C9" i="1"/>
  <c r="G51" i="1"/>
  <c r="H51" i="1"/>
  <c r="I51" i="1"/>
  <c r="J51" i="1"/>
  <c r="K51" i="1"/>
  <c r="B51" i="1"/>
  <c r="C51" i="1"/>
  <c r="D51" i="1"/>
  <c r="E51" i="1"/>
  <c r="F51" i="1"/>
  <c r="A51" i="1"/>
  <c r="A77" i="1"/>
  <c r="A78" i="1"/>
  <c r="A76" i="1"/>
  <c r="A75" i="1"/>
  <c r="A73" i="1"/>
  <c r="A74" i="1"/>
  <c r="A70" i="1"/>
  <c r="A71" i="1"/>
  <c r="A72" i="1"/>
  <c r="A53" i="1"/>
  <c r="A54" i="1"/>
  <c r="A53" i="7" s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52" i="1"/>
  <c r="A20" i="7"/>
  <c r="A21" i="7"/>
  <c r="A22" i="7"/>
  <c r="M2" i="7" s="1"/>
  <c r="A23" i="7"/>
  <c r="M10" i="7" s="1"/>
  <c r="A24" i="7"/>
  <c r="A25" i="7"/>
  <c r="M11" i="7" s="1"/>
  <c r="A26" i="7"/>
  <c r="A27" i="7"/>
  <c r="A28" i="7"/>
  <c r="A30" i="7"/>
  <c r="A31" i="7"/>
  <c r="A32" i="7"/>
  <c r="A33" i="7"/>
  <c r="M3" i="7" s="1"/>
  <c r="F6" i="1"/>
  <c r="G6" i="1"/>
  <c r="H6" i="1"/>
  <c r="I6" i="1"/>
  <c r="J6" i="1"/>
  <c r="K6" i="1"/>
  <c r="F7" i="1"/>
  <c r="G7" i="1"/>
  <c r="H7" i="1"/>
  <c r="I7" i="1"/>
  <c r="J7" i="1"/>
  <c r="K7" i="1"/>
  <c r="E7" i="1"/>
  <c r="E6" i="1"/>
  <c r="C15" i="6"/>
  <c r="D15" i="6"/>
  <c r="E15" i="6"/>
  <c r="F15" i="6"/>
  <c r="G15" i="6"/>
  <c r="H15" i="6"/>
  <c r="I15" i="6"/>
  <c r="J15" i="6"/>
  <c r="B15" i="6"/>
  <c r="C14" i="6"/>
  <c r="D14" i="6"/>
  <c r="E14" i="6"/>
  <c r="F14" i="6"/>
  <c r="G14" i="6"/>
  <c r="H14" i="6"/>
  <c r="I14" i="6"/>
  <c r="J14" i="6"/>
  <c r="B14" i="6"/>
  <c r="D10" i="6"/>
  <c r="E10" i="6"/>
  <c r="F10" i="6"/>
  <c r="F5" i="6" s="1"/>
  <c r="G10" i="6"/>
  <c r="H10" i="6"/>
  <c r="H5" i="6" s="1"/>
  <c r="I10" i="6"/>
  <c r="I5" i="6" s="1"/>
  <c r="J10" i="6"/>
  <c r="J5" i="6" s="1"/>
  <c r="K10" i="6"/>
  <c r="K5" i="6" s="1"/>
  <c r="L10" i="6"/>
  <c r="L5" i="6" s="1"/>
  <c r="M10" i="6"/>
  <c r="M5" i="6" s="1"/>
  <c r="D11" i="6"/>
  <c r="E6" i="6" s="1"/>
  <c r="E11" i="6"/>
  <c r="F11" i="6"/>
  <c r="G6" i="6" s="1"/>
  <c r="G11" i="6"/>
  <c r="H6" i="6" s="1"/>
  <c r="H11" i="6"/>
  <c r="I6" i="6" s="1"/>
  <c r="I11" i="6"/>
  <c r="J6" i="6" s="1"/>
  <c r="J11" i="6"/>
  <c r="K6" i="6" s="1"/>
  <c r="K11" i="6"/>
  <c r="L11" i="6"/>
  <c r="M6" i="6" s="1"/>
  <c r="F6" i="6"/>
  <c r="L6" i="6"/>
  <c r="G5" i="6"/>
  <c r="E5" i="6"/>
  <c r="M4" i="6"/>
  <c r="L4" i="6"/>
  <c r="K4" i="6"/>
  <c r="J4" i="6"/>
  <c r="I4" i="6"/>
  <c r="H4" i="6"/>
  <c r="G4" i="6"/>
  <c r="F4" i="6"/>
  <c r="E4" i="6"/>
  <c r="B12" i="5"/>
  <c r="A12" i="5"/>
  <c r="E27" i="5"/>
  <c r="E28" i="5" s="1"/>
  <c r="E29" i="5" s="1"/>
  <c r="F27" i="5"/>
  <c r="F28" i="5" s="1"/>
  <c r="F29" i="5" s="1"/>
  <c r="G27" i="5"/>
  <c r="G28" i="5" s="1"/>
  <c r="G29" i="5" s="1"/>
  <c r="H27" i="5"/>
  <c r="H28" i="5" s="1"/>
  <c r="H29" i="5" s="1"/>
  <c r="I27" i="5"/>
  <c r="I28" i="5" s="1"/>
  <c r="I29" i="5" s="1"/>
  <c r="J27" i="5"/>
  <c r="J28" i="5" s="1"/>
  <c r="J29" i="5" s="1"/>
  <c r="K27" i="5"/>
  <c r="K28" i="5" s="1"/>
  <c r="K29" i="5" s="1"/>
  <c r="L27" i="5"/>
  <c r="L28" i="5" s="1"/>
  <c r="L29" i="5" s="1"/>
  <c r="D27" i="5"/>
  <c r="D28" i="5" s="1"/>
  <c r="D29" i="5" s="1"/>
  <c r="D24" i="5"/>
  <c r="D25" i="5" s="1"/>
  <c r="E24" i="5"/>
  <c r="E25" i="5" s="1"/>
  <c r="F24" i="5"/>
  <c r="F25" i="5" s="1"/>
  <c r="G24" i="5"/>
  <c r="G25" i="5" s="1"/>
  <c r="H24" i="5"/>
  <c r="H25" i="5" s="1"/>
  <c r="I24" i="5"/>
  <c r="I25" i="5" s="1"/>
  <c r="J24" i="5"/>
  <c r="J25" i="5" s="1"/>
  <c r="K24" i="5"/>
  <c r="K25" i="5" s="1"/>
  <c r="L24" i="5"/>
  <c r="L25" i="5" s="1"/>
  <c r="E22" i="5"/>
  <c r="E23" i="5" s="1"/>
  <c r="F22" i="5"/>
  <c r="F23" i="5" s="1"/>
  <c r="G22" i="5"/>
  <c r="G23" i="5" s="1"/>
  <c r="H22" i="5"/>
  <c r="H23" i="5" s="1"/>
  <c r="I22" i="5"/>
  <c r="I23" i="5" s="1"/>
  <c r="J22" i="5"/>
  <c r="J23" i="5" s="1"/>
  <c r="K22" i="5"/>
  <c r="K23" i="5" s="1"/>
  <c r="L22" i="5"/>
  <c r="L23" i="5" s="1"/>
  <c r="D22" i="5"/>
  <c r="D23" i="5" s="1"/>
  <c r="I20" i="5"/>
  <c r="I21" i="5" s="1"/>
  <c r="J20" i="5"/>
  <c r="J21" i="5" s="1"/>
  <c r="K20" i="5"/>
  <c r="K21" i="5" s="1"/>
  <c r="L20" i="5"/>
  <c r="L21" i="5" s="1"/>
  <c r="E20" i="5"/>
  <c r="E21" i="5" s="1"/>
  <c r="F20" i="5"/>
  <c r="F21" i="5" s="1"/>
  <c r="G20" i="5"/>
  <c r="G21" i="5" s="1"/>
  <c r="H20" i="5"/>
  <c r="H21" i="5" s="1"/>
  <c r="D20" i="5"/>
  <c r="D21" i="5" s="1"/>
  <c r="E18" i="5"/>
  <c r="F18" i="5"/>
  <c r="G18" i="5"/>
  <c r="H18" i="5"/>
  <c r="I18" i="5"/>
  <c r="J18" i="5"/>
  <c r="K18" i="5"/>
  <c r="L18" i="5"/>
  <c r="D18" i="5"/>
  <c r="C18" i="5"/>
  <c r="D17" i="5"/>
  <c r="C16" i="6" s="1"/>
  <c r="E17" i="5"/>
  <c r="D16" i="6" s="1"/>
  <c r="F17" i="5"/>
  <c r="E16" i="6" s="1"/>
  <c r="G17" i="5"/>
  <c r="F16" i="6" s="1"/>
  <c r="H17" i="5"/>
  <c r="G16" i="6" s="1"/>
  <c r="I17" i="5"/>
  <c r="H16" i="6" s="1"/>
  <c r="J17" i="5"/>
  <c r="I16" i="6" s="1"/>
  <c r="K17" i="5"/>
  <c r="J16" i="6" s="1"/>
  <c r="L17" i="5"/>
  <c r="C17" i="5"/>
  <c r="B16" i="6" s="1"/>
  <c r="D15" i="5"/>
  <c r="E15" i="5"/>
  <c r="F15" i="5"/>
  <c r="G15" i="5"/>
  <c r="H15" i="5"/>
  <c r="I15" i="5"/>
  <c r="J15" i="5"/>
  <c r="K15" i="5"/>
  <c r="L15" i="5"/>
  <c r="C15" i="5"/>
  <c r="D14" i="5"/>
  <c r="E14" i="5"/>
  <c r="F14" i="5"/>
  <c r="G14" i="5"/>
  <c r="H14" i="5"/>
  <c r="I14" i="5"/>
  <c r="J14" i="5"/>
  <c r="K14" i="5"/>
  <c r="L14" i="5"/>
  <c r="C14" i="5"/>
  <c r="D13" i="5"/>
  <c r="E13" i="5"/>
  <c r="F13" i="5"/>
  <c r="G13" i="5"/>
  <c r="H13" i="5"/>
  <c r="I13" i="5"/>
  <c r="J13" i="5"/>
  <c r="K13" i="5"/>
  <c r="L13" i="5"/>
  <c r="C13" i="5"/>
  <c r="D10" i="5"/>
  <c r="E10" i="5"/>
  <c r="F10" i="5"/>
  <c r="G10" i="5"/>
  <c r="H10" i="5"/>
  <c r="I10" i="5"/>
  <c r="J10" i="5"/>
  <c r="K10" i="5"/>
  <c r="L10" i="5"/>
  <c r="C10" i="5"/>
  <c r="D9" i="5"/>
  <c r="E9" i="5"/>
  <c r="F9" i="5"/>
  <c r="G9" i="5"/>
  <c r="H9" i="5"/>
  <c r="I9" i="5"/>
  <c r="J9" i="5"/>
  <c r="K9" i="5"/>
  <c r="L9" i="5"/>
  <c r="C9" i="5"/>
  <c r="D8" i="5"/>
  <c r="E8" i="5"/>
  <c r="F8" i="5"/>
  <c r="G8" i="5"/>
  <c r="H8" i="5"/>
  <c r="I8" i="5"/>
  <c r="J8" i="5"/>
  <c r="K8" i="5"/>
  <c r="L8" i="5"/>
  <c r="C8" i="5"/>
  <c r="D7" i="5"/>
  <c r="E7" i="5"/>
  <c r="F7" i="5"/>
  <c r="G7" i="5"/>
  <c r="H7" i="5"/>
  <c r="I7" i="5"/>
  <c r="J7" i="5"/>
  <c r="K7" i="5"/>
  <c r="L7" i="5"/>
  <c r="C7" i="5"/>
  <c r="E6" i="5"/>
  <c r="F6" i="5"/>
  <c r="G6" i="5"/>
  <c r="H6" i="5"/>
  <c r="I6" i="5"/>
  <c r="J6" i="5"/>
  <c r="K6" i="5"/>
  <c r="L6" i="5"/>
  <c r="D6" i="5"/>
  <c r="C6" i="5"/>
  <c r="L5" i="5"/>
  <c r="L12" i="5" s="1"/>
  <c r="D5" i="5"/>
  <c r="C13" i="6" s="1"/>
  <c r="E5" i="5"/>
  <c r="D13" i="6" s="1"/>
  <c r="F5" i="5"/>
  <c r="E13" i="6" s="1"/>
  <c r="G5" i="5"/>
  <c r="F13" i="6" s="1"/>
  <c r="H5" i="5"/>
  <c r="G13" i="6" s="1"/>
  <c r="I5" i="5"/>
  <c r="H13" i="6" s="1"/>
  <c r="J5" i="5"/>
  <c r="I13" i="6" s="1"/>
  <c r="K5" i="5"/>
  <c r="J13" i="6" s="1"/>
  <c r="C5" i="5"/>
  <c r="B13" i="6" s="1"/>
  <c r="L8" i="4"/>
  <c r="L9" i="4"/>
  <c r="L10" i="4"/>
  <c r="L11" i="4"/>
  <c r="L12" i="4"/>
  <c r="L13" i="4"/>
  <c r="L14" i="4"/>
  <c r="L15" i="4"/>
  <c r="L16" i="4"/>
  <c r="L17" i="4"/>
  <c r="L18" i="4"/>
  <c r="L19" i="4"/>
  <c r="K8" i="4"/>
  <c r="K9" i="4"/>
  <c r="K10" i="4"/>
  <c r="K11" i="4"/>
  <c r="K12" i="4"/>
  <c r="K13" i="4"/>
  <c r="K14" i="4"/>
  <c r="K15" i="4"/>
  <c r="K16" i="4"/>
  <c r="K17" i="4"/>
  <c r="K18" i="4"/>
  <c r="K19" i="4"/>
  <c r="J8" i="4"/>
  <c r="J9" i="4"/>
  <c r="J10" i="4"/>
  <c r="J11" i="4"/>
  <c r="J12" i="4"/>
  <c r="J13" i="4"/>
  <c r="J14" i="4"/>
  <c r="J15" i="4"/>
  <c r="J16" i="4"/>
  <c r="J17" i="4"/>
  <c r="J18" i="4"/>
  <c r="J19" i="4"/>
  <c r="I8" i="4"/>
  <c r="I9" i="4"/>
  <c r="I10" i="4"/>
  <c r="I11" i="4"/>
  <c r="I12" i="4"/>
  <c r="I13" i="4"/>
  <c r="I14" i="4"/>
  <c r="I15" i="4"/>
  <c r="I16" i="4"/>
  <c r="I17" i="4"/>
  <c r="I18" i="4"/>
  <c r="I19" i="4"/>
  <c r="H8" i="4"/>
  <c r="H9" i="4"/>
  <c r="H10" i="4"/>
  <c r="H11" i="4"/>
  <c r="H12" i="4"/>
  <c r="H13" i="4"/>
  <c r="H14" i="4"/>
  <c r="H15" i="4"/>
  <c r="H16" i="4"/>
  <c r="H17" i="4"/>
  <c r="H18" i="4"/>
  <c r="H19" i="4"/>
  <c r="G8" i="4"/>
  <c r="G9" i="4"/>
  <c r="G10" i="4"/>
  <c r="G11" i="4"/>
  <c r="G12" i="4"/>
  <c r="G13" i="4"/>
  <c r="G14" i="4"/>
  <c r="G15" i="4"/>
  <c r="G16" i="4"/>
  <c r="G17" i="4"/>
  <c r="G18" i="4"/>
  <c r="G19" i="4"/>
  <c r="F8" i="4"/>
  <c r="F9" i="4"/>
  <c r="F10" i="4"/>
  <c r="F11" i="4"/>
  <c r="F12" i="4"/>
  <c r="F13" i="4"/>
  <c r="F14" i="4"/>
  <c r="F15" i="4"/>
  <c r="F16" i="4"/>
  <c r="F17" i="4"/>
  <c r="F18" i="4"/>
  <c r="F19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8" i="4"/>
  <c r="E9" i="4"/>
  <c r="E10" i="4"/>
  <c r="E11" i="4"/>
  <c r="E12" i="4"/>
  <c r="E13" i="4"/>
  <c r="E14" i="4"/>
  <c r="E15" i="4"/>
  <c r="E16" i="4"/>
  <c r="E17" i="4"/>
  <c r="E18" i="4"/>
  <c r="E19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8" i="4"/>
  <c r="D9" i="4"/>
  <c r="D10" i="4"/>
  <c r="D11" i="4"/>
  <c r="D12" i="4"/>
  <c r="D13" i="4"/>
  <c r="D14" i="4"/>
  <c r="D15" i="4"/>
  <c r="D16" i="4"/>
  <c r="D17" i="4"/>
  <c r="D18" i="4"/>
  <c r="D19" i="4"/>
  <c r="L20" i="4"/>
  <c r="K20" i="4"/>
  <c r="J20" i="4"/>
  <c r="I20" i="4"/>
  <c r="H20" i="4"/>
  <c r="G20" i="4"/>
  <c r="F20" i="4"/>
  <c r="E20" i="4"/>
  <c r="D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L6" i="4"/>
  <c r="D6" i="4"/>
  <c r="E6" i="4"/>
  <c r="F6" i="4"/>
  <c r="G6" i="4"/>
  <c r="H6" i="4"/>
  <c r="I6" i="4"/>
  <c r="J6" i="4"/>
  <c r="K6" i="4"/>
  <c r="C6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8" i="4"/>
  <c r="C13" i="2"/>
  <c r="D13" i="2"/>
  <c r="E13" i="2"/>
  <c r="F13" i="2"/>
  <c r="D22" i="2"/>
  <c r="E22" i="2"/>
  <c r="F22" i="2"/>
  <c r="G22" i="2"/>
  <c r="H22" i="2"/>
  <c r="I22" i="2"/>
  <c r="J22" i="2"/>
  <c r="K22" i="2"/>
  <c r="L22" i="2"/>
  <c r="C22" i="2"/>
  <c r="C21" i="2"/>
  <c r="D8" i="2"/>
  <c r="E8" i="2"/>
  <c r="F8" i="2"/>
  <c r="G8" i="2"/>
  <c r="H8" i="2"/>
  <c r="I8" i="2"/>
  <c r="J8" i="2"/>
  <c r="K8" i="2"/>
  <c r="L8" i="2"/>
  <c r="D9" i="2"/>
  <c r="E9" i="2"/>
  <c r="F9" i="2"/>
  <c r="G9" i="2"/>
  <c r="H9" i="2"/>
  <c r="I9" i="2"/>
  <c r="J9" i="2"/>
  <c r="K9" i="2"/>
  <c r="L9" i="2"/>
  <c r="D10" i="2"/>
  <c r="E10" i="2"/>
  <c r="F10" i="2"/>
  <c r="G10" i="2"/>
  <c r="H10" i="2"/>
  <c r="I10" i="2"/>
  <c r="J10" i="2"/>
  <c r="K10" i="2"/>
  <c r="L10" i="2"/>
  <c r="D11" i="2"/>
  <c r="E11" i="2"/>
  <c r="F11" i="2"/>
  <c r="G11" i="2"/>
  <c r="H11" i="2"/>
  <c r="I11" i="2"/>
  <c r="J11" i="2"/>
  <c r="K11" i="2"/>
  <c r="L11" i="2"/>
  <c r="D12" i="2"/>
  <c r="E12" i="2"/>
  <c r="F12" i="2"/>
  <c r="G12" i="2"/>
  <c r="H12" i="2"/>
  <c r="I12" i="2"/>
  <c r="J12" i="2"/>
  <c r="K12" i="2"/>
  <c r="L12" i="2"/>
  <c r="G13" i="2"/>
  <c r="H13" i="2"/>
  <c r="I13" i="2"/>
  <c r="J13" i="2"/>
  <c r="K13" i="2"/>
  <c r="L13" i="2"/>
  <c r="D14" i="2"/>
  <c r="E14" i="2"/>
  <c r="F14" i="2"/>
  <c r="G14" i="2"/>
  <c r="H14" i="2"/>
  <c r="I14" i="2"/>
  <c r="J14" i="2"/>
  <c r="K14" i="2"/>
  <c r="L14" i="2"/>
  <c r="D15" i="2"/>
  <c r="E15" i="2"/>
  <c r="F15" i="2"/>
  <c r="G15" i="2"/>
  <c r="H15" i="2"/>
  <c r="I15" i="2"/>
  <c r="J15" i="2"/>
  <c r="K15" i="2"/>
  <c r="L15" i="2"/>
  <c r="D16" i="2"/>
  <c r="E16" i="2"/>
  <c r="F16" i="2"/>
  <c r="G16" i="2"/>
  <c r="H16" i="2"/>
  <c r="I16" i="2"/>
  <c r="J16" i="2"/>
  <c r="K16" i="2"/>
  <c r="L16" i="2"/>
  <c r="D17" i="2"/>
  <c r="E17" i="2"/>
  <c r="F17" i="2"/>
  <c r="G17" i="2"/>
  <c r="H17" i="2"/>
  <c r="I17" i="2"/>
  <c r="J17" i="2"/>
  <c r="K17" i="2"/>
  <c r="L17" i="2"/>
  <c r="D18" i="2"/>
  <c r="E18" i="2"/>
  <c r="F18" i="2"/>
  <c r="G18" i="2"/>
  <c r="H18" i="2"/>
  <c r="I18" i="2"/>
  <c r="J18" i="2"/>
  <c r="K18" i="2"/>
  <c r="L18" i="2"/>
  <c r="D19" i="2"/>
  <c r="E19" i="2"/>
  <c r="F19" i="2"/>
  <c r="G19" i="2"/>
  <c r="H19" i="2"/>
  <c r="I19" i="2"/>
  <c r="J19" i="2"/>
  <c r="K19" i="2"/>
  <c r="L19" i="2"/>
  <c r="D20" i="2"/>
  <c r="E20" i="2"/>
  <c r="F20" i="2"/>
  <c r="G20" i="2"/>
  <c r="H20" i="2"/>
  <c r="I20" i="2"/>
  <c r="J20" i="2"/>
  <c r="K20" i="2"/>
  <c r="L20" i="2"/>
  <c r="D21" i="2"/>
  <c r="E21" i="2"/>
  <c r="F21" i="2"/>
  <c r="G21" i="2"/>
  <c r="H21" i="2"/>
  <c r="I21" i="2"/>
  <c r="J21" i="2"/>
  <c r="K21" i="2"/>
  <c r="L21" i="2"/>
  <c r="C11" i="2"/>
  <c r="C12" i="2"/>
  <c r="C14" i="2"/>
  <c r="C15" i="2"/>
  <c r="C16" i="2"/>
  <c r="C17" i="2"/>
  <c r="C18" i="2"/>
  <c r="C19" i="2"/>
  <c r="C20" i="2"/>
  <c r="C8" i="2"/>
  <c r="C9" i="2"/>
  <c r="C10" i="2"/>
  <c r="C6" i="2"/>
  <c r="D6" i="2"/>
  <c r="E6" i="2"/>
  <c r="F6" i="2"/>
  <c r="G6" i="2"/>
  <c r="H6" i="2"/>
  <c r="I6" i="2"/>
  <c r="J6" i="2"/>
  <c r="K6" i="2"/>
  <c r="L6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8" i="2"/>
  <c r="D9" i="1"/>
  <c r="E9" i="1"/>
  <c r="F9" i="1"/>
  <c r="G9" i="1"/>
  <c r="H9" i="1"/>
  <c r="I9" i="1"/>
  <c r="J9" i="1"/>
  <c r="K9" i="1"/>
  <c r="L74" i="3" l="1"/>
  <c r="L73" i="3"/>
  <c r="L86" i="3"/>
  <c r="L83" i="3"/>
  <c r="L71" i="3"/>
  <c r="L82" i="3"/>
  <c r="L70" i="3"/>
  <c r="L97" i="3"/>
  <c r="L89" i="3"/>
  <c r="L81" i="3"/>
  <c r="L77" i="3"/>
  <c r="L78" i="3"/>
  <c r="L96" i="3"/>
  <c r="L88" i="3"/>
  <c r="L95" i="3"/>
  <c r="L87" i="3"/>
  <c r="L94" i="3"/>
  <c r="L98" i="3"/>
  <c r="L90" i="3"/>
  <c r="L93" i="3"/>
  <c r="L72" i="3"/>
  <c r="L92" i="3"/>
  <c r="L84" i="3"/>
  <c r="L76" i="3"/>
  <c r="L69" i="3"/>
  <c r="L68" i="3"/>
  <c r="L99" i="3"/>
  <c r="L91" i="3"/>
  <c r="L60" i="1"/>
  <c r="M25" i="5"/>
  <c r="L64" i="1"/>
  <c r="M18" i="2"/>
  <c r="M11" i="2"/>
  <c r="M15" i="2"/>
  <c r="L52" i="1"/>
  <c r="L67" i="1"/>
  <c r="L65" i="1"/>
  <c r="L63" i="1"/>
  <c r="L62" i="1"/>
  <c r="L53" i="1"/>
  <c r="L59" i="1"/>
  <c r="L58" i="1"/>
  <c r="L57" i="1"/>
  <c r="L55" i="1"/>
  <c r="L54" i="1"/>
  <c r="M34" i="5"/>
  <c r="M10" i="2"/>
  <c r="M32" i="5"/>
  <c r="L6" i="1"/>
  <c r="L7" i="1"/>
  <c r="D114" i="7"/>
  <c r="D28" i="7" s="1"/>
  <c r="D30" i="7" s="1"/>
  <c r="L56" i="1"/>
  <c r="D60" i="7"/>
  <c r="C8" i="8"/>
  <c r="M24" i="8" s="1"/>
  <c r="D23" i="7"/>
  <c r="P10" i="7" s="1"/>
  <c r="D25" i="7"/>
  <c r="D26" i="7" s="1"/>
  <c r="D61" i="7"/>
  <c r="D82" i="7" s="1"/>
  <c r="E22" i="7"/>
  <c r="P2" i="7"/>
  <c r="N6" i="7"/>
  <c r="O6" i="7"/>
  <c r="O7" i="7"/>
  <c r="C116" i="7"/>
  <c r="D67" i="7"/>
  <c r="B75" i="7"/>
  <c r="B77" i="7" s="1"/>
  <c r="N7" i="7"/>
  <c r="B116" i="7"/>
  <c r="D64" i="7"/>
  <c r="D54" i="7" s="1"/>
  <c r="D92" i="7" s="1"/>
  <c r="D73" i="7"/>
  <c r="C37" i="7"/>
  <c r="C94" i="7"/>
  <c r="C91" i="7"/>
  <c r="C93" i="7" s="1"/>
  <c r="C75" i="7"/>
  <c r="C77" i="7" s="1"/>
  <c r="C96" i="7"/>
  <c r="C85" i="7"/>
  <c r="C86" i="7" s="1"/>
  <c r="C89" i="7" s="1"/>
  <c r="B86" i="7"/>
  <c r="B89" i="7" s="1"/>
  <c r="B37" i="7"/>
  <c r="B94" i="7"/>
  <c r="B91" i="7"/>
  <c r="B93" i="7" s="1"/>
  <c r="M22" i="2"/>
  <c r="M14" i="2"/>
  <c r="M9" i="2"/>
  <c r="M8" i="2"/>
  <c r="M17" i="2"/>
  <c r="M20" i="2"/>
  <c r="M16" i="2"/>
  <c r="M21" i="2"/>
  <c r="M19" i="2"/>
  <c r="M12" i="2"/>
  <c r="M13" i="2"/>
  <c r="D12" i="5"/>
  <c r="E12" i="5"/>
  <c r="K12" i="5"/>
  <c r="C12" i="5"/>
  <c r="J12" i="5"/>
  <c r="I12" i="5"/>
  <c r="H12" i="5"/>
  <c r="G12" i="5"/>
  <c r="F12" i="5"/>
  <c r="L9" i="1"/>
  <c r="L17" i="1" l="1"/>
  <c r="E71" i="7"/>
  <c r="E73" i="7" s="1"/>
  <c r="E96" i="7" s="1"/>
  <c r="D24" i="7"/>
  <c r="D27" i="7" s="1"/>
  <c r="D31" i="7" s="1"/>
  <c r="C14" i="8"/>
  <c r="N24" i="8" s="1"/>
  <c r="C21" i="8"/>
  <c r="D21" i="8" s="1"/>
  <c r="D107" i="7"/>
  <c r="D63" i="7"/>
  <c r="P6" i="7" s="1"/>
  <c r="P11" i="7"/>
  <c r="P7" i="7"/>
  <c r="C108" i="7"/>
  <c r="C110" i="7" s="1"/>
  <c r="O18" i="7" s="1"/>
  <c r="D83" i="7"/>
  <c r="B108" i="7"/>
  <c r="B110" i="7" s="1"/>
  <c r="N18" i="7" s="1"/>
  <c r="F22" i="7"/>
  <c r="Q2" i="7"/>
  <c r="E25" i="7"/>
  <c r="E64" i="7"/>
  <c r="E23" i="7"/>
  <c r="E67" i="7"/>
  <c r="E60" i="7"/>
  <c r="E61" i="7"/>
  <c r="E82" i="7" s="1"/>
  <c r="C95" i="7"/>
  <c r="C97" i="7" s="1"/>
  <c r="D96" i="7"/>
  <c r="B95" i="7"/>
  <c r="B97" i="7" s="1"/>
  <c r="D65" i="7"/>
  <c r="D66" i="7" s="1"/>
  <c r="D68" i="7" s="1"/>
  <c r="D84" i="7"/>
  <c r="D85" i="7" l="1"/>
  <c r="D86" i="7" s="1"/>
  <c r="D89" i="7" s="1"/>
  <c r="M17" i="1"/>
  <c r="F71" i="7"/>
  <c r="F73" i="7" s="1"/>
  <c r="D32" i="7"/>
  <c r="D106" i="7" s="1"/>
  <c r="C7" i="8"/>
  <c r="M23" i="8" s="1"/>
  <c r="D69" i="7"/>
  <c r="D77" i="7" s="1"/>
  <c r="E63" i="7"/>
  <c r="Q6" i="7" s="1"/>
  <c r="E24" i="7"/>
  <c r="Q10" i="7"/>
  <c r="E54" i="7"/>
  <c r="E83" i="7"/>
  <c r="Q7" i="7"/>
  <c r="E26" i="7"/>
  <c r="Q11" i="7"/>
  <c r="C98" i="7"/>
  <c r="B98" i="7"/>
  <c r="G22" i="7"/>
  <c r="R2" i="7"/>
  <c r="F60" i="7"/>
  <c r="F61" i="7"/>
  <c r="F82" i="7" s="1"/>
  <c r="F25" i="7"/>
  <c r="F67" i="7"/>
  <c r="F64" i="7"/>
  <c r="F23" i="7"/>
  <c r="E65" i="7" l="1"/>
  <c r="E66" i="7" s="1"/>
  <c r="E68" i="7" s="1"/>
  <c r="E69" i="7" s="1"/>
  <c r="E92" i="7"/>
  <c r="E107" i="7" s="1"/>
  <c r="N17" i="1"/>
  <c r="G71" i="7"/>
  <c r="E27" i="7"/>
  <c r="L19" i="1"/>
  <c r="C13" i="8"/>
  <c r="N23" i="8" s="1"/>
  <c r="C20" i="8"/>
  <c r="D20" i="8" s="1"/>
  <c r="D33" i="7"/>
  <c r="C6" i="8" s="1"/>
  <c r="B99" i="7"/>
  <c r="F83" i="7"/>
  <c r="E84" i="7"/>
  <c r="E85" i="7" s="1"/>
  <c r="E86" i="7" s="1"/>
  <c r="E89" i="7" s="1"/>
  <c r="C99" i="7"/>
  <c r="C100" i="7" s="1"/>
  <c r="F26" i="7"/>
  <c r="R11" i="7"/>
  <c r="F63" i="7"/>
  <c r="R7" i="7"/>
  <c r="F96" i="7"/>
  <c r="H22" i="7"/>
  <c r="S2" i="7"/>
  <c r="G73" i="7"/>
  <c r="G64" i="7"/>
  <c r="G25" i="7"/>
  <c r="G67" i="7"/>
  <c r="G60" i="7"/>
  <c r="G23" i="7"/>
  <c r="G61" i="7"/>
  <c r="G82" i="7" s="1"/>
  <c r="F54" i="7"/>
  <c r="F92" i="7" s="1"/>
  <c r="F24" i="7"/>
  <c r="R10" i="7"/>
  <c r="P3" i="7" l="1"/>
  <c r="O17" i="1"/>
  <c r="H71" i="7"/>
  <c r="H73" i="7" s="1"/>
  <c r="C19" i="8"/>
  <c r="D19" i="8" s="1"/>
  <c r="C12" i="8"/>
  <c r="N22" i="8" s="1"/>
  <c r="D91" i="7"/>
  <c r="D93" i="7" s="1"/>
  <c r="D94" i="7"/>
  <c r="D37" i="7"/>
  <c r="E77" i="7"/>
  <c r="F27" i="7"/>
  <c r="M19" i="1"/>
  <c r="G54" i="7"/>
  <c r="G24" i="7"/>
  <c r="S10" i="7"/>
  <c r="S7" i="7"/>
  <c r="G96" i="7"/>
  <c r="F84" i="7"/>
  <c r="F85" i="7" s="1"/>
  <c r="F86" i="7" s="1"/>
  <c r="F89" i="7" s="1"/>
  <c r="F107" i="7"/>
  <c r="F65" i="7"/>
  <c r="I22" i="7"/>
  <c r="T2" i="7"/>
  <c r="H67" i="7"/>
  <c r="H61" i="7"/>
  <c r="H82" i="7" s="1"/>
  <c r="H23" i="7"/>
  <c r="H60" i="7"/>
  <c r="H64" i="7"/>
  <c r="H25" i="7"/>
  <c r="G63" i="7"/>
  <c r="S6" i="7" s="1"/>
  <c r="R6" i="7"/>
  <c r="C101" i="7"/>
  <c r="C102" i="7" s="1"/>
  <c r="G26" i="7"/>
  <c r="S11" i="7"/>
  <c r="G83" i="7"/>
  <c r="B100" i="7"/>
  <c r="B101" i="7" s="1"/>
  <c r="B102" i="7" s="1"/>
  <c r="G92" i="7" l="1"/>
  <c r="G107" i="7" s="1"/>
  <c r="P17" i="1"/>
  <c r="I71" i="7"/>
  <c r="I73" i="7" s="1"/>
  <c r="G84" i="7"/>
  <c r="G85" i="7" s="1"/>
  <c r="G86" i="7" s="1"/>
  <c r="G89" i="7" s="1"/>
  <c r="D95" i="7"/>
  <c r="D97" i="7" s="1"/>
  <c r="D98" i="7" s="1"/>
  <c r="D99" i="7" s="1"/>
  <c r="G27" i="7"/>
  <c r="N19" i="1"/>
  <c r="H63" i="7"/>
  <c r="T6" i="7" s="1"/>
  <c r="H83" i="7"/>
  <c r="H24" i="7"/>
  <c r="T10" i="7"/>
  <c r="H54" i="7"/>
  <c r="H92" i="7" s="1"/>
  <c r="T7" i="7"/>
  <c r="H96" i="7"/>
  <c r="G65" i="7"/>
  <c r="F66" i="7"/>
  <c r="F68" i="7" s="1"/>
  <c r="F69" i="7" s="1"/>
  <c r="H26" i="7"/>
  <c r="T11" i="7"/>
  <c r="J22" i="7"/>
  <c r="U2" i="7"/>
  <c r="I25" i="7"/>
  <c r="I64" i="7"/>
  <c r="I60" i="7"/>
  <c r="I67" i="7"/>
  <c r="I23" i="7"/>
  <c r="I61" i="7"/>
  <c r="I82" i="7" s="1"/>
  <c r="Q17" i="1" l="1"/>
  <c r="J71" i="7"/>
  <c r="H27" i="7"/>
  <c r="O19" i="1"/>
  <c r="F77" i="7"/>
  <c r="D100" i="7"/>
  <c r="D101" i="7" s="1"/>
  <c r="D102" i="7" s="1"/>
  <c r="D115" i="7"/>
  <c r="E114" i="7" s="1"/>
  <c r="E28" i="7" s="1"/>
  <c r="E30" i="7" s="1"/>
  <c r="I54" i="7"/>
  <c r="I26" i="7"/>
  <c r="U11" i="7"/>
  <c r="U7" i="7"/>
  <c r="H107" i="7"/>
  <c r="H84" i="7"/>
  <c r="H85" i="7" s="1"/>
  <c r="H86" i="7" s="1"/>
  <c r="H89" i="7" s="1"/>
  <c r="H65" i="7"/>
  <c r="G66" i="7"/>
  <c r="G68" i="7" s="1"/>
  <c r="G69" i="7" s="1"/>
  <c r="K22" i="7"/>
  <c r="V2" i="7"/>
  <c r="J25" i="7"/>
  <c r="J73" i="7"/>
  <c r="J61" i="7"/>
  <c r="J82" i="7" s="1"/>
  <c r="J60" i="7"/>
  <c r="J23" i="7"/>
  <c r="J64" i="7"/>
  <c r="J67" i="7"/>
  <c r="I24" i="7"/>
  <c r="U10" i="7"/>
  <c r="I63" i="7"/>
  <c r="I83" i="7"/>
  <c r="I96" i="7"/>
  <c r="R17" i="1" l="1"/>
  <c r="K71" i="7"/>
  <c r="K73" i="7" s="1"/>
  <c r="I107" i="7"/>
  <c r="I92" i="7"/>
  <c r="I27" i="7"/>
  <c r="P19" i="1"/>
  <c r="I84" i="7"/>
  <c r="G77" i="7"/>
  <c r="E31" i="7"/>
  <c r="E32" i="7" s="1"/>
  <c r="J54" i="7"/>
  <c r="J63" i="7"/>
  <c r="V6" i="7" s="1"/>
  <c r="U6" i="7"/>
  <c r="H66" i="7"/>
  <c r="H68" i="7" s="1"/>
  <c r="H69" i="7" s="1"/>
  <c r="I65" i="7"/>
  <c r="J24" i="7"/>
  <c r="V10" i="7"/>
  <c r="D74" i="7"/>
  <c r="D12" i="7" s="1"/>
  <c r="D14" i="7" s="1"/>
  <c r="J26" i="7"/>
  <c r="V11" i="7"/>
  <c r="K64" i="7"/>
  <c r="W2" i="7"/>
  <c r="K67" i="7"/>
  <c r="K23" i="7"/>
  <c r="K61" i="7"/>
  <c r="K82" i="7" s="1"/>
  <c r="K60" i="7"/>
  <c r="K25" i="7"/>
  <c r="V7" i="7"/>
  <c r="J96" i="7"/>
  <c r="J83" i="7"/>
  <c r="I85" i="7"/>
  <c r="I86" i="7" s="1"/>
  <c r="I89" i="7" s="1"/>
  <c r="J92" i="7" l="1"/>
  <c r="J107" i="7" s="1"/>
  <c r="J27" i="7"/>
  <c r="Q19" i="1"/>
  <c r="H77" i="7"/>
  <c r="J84" i="7"/>
  <c r="E33" i="7"/>
  <c r="E106" i="7"/>
  <c r="K63" i="7"/>
  <c r="W6" i="7" s="1"/>
  <c r="W7" i="7"/>
  <c r="K96" i="7"/>
  <c r="J65" i="7"/>
  <c r="I66" i="7"/>
  <c r="I68" i="7" s="1"/>
  <c r="I69" i="7" s="1"/>
  <c r="K83" i="7"/>
  <c r="K26" i="7"/>
  <c r="W11" i="7"/>
  <c r="D116" i="7"/>
  <c r="D75" i="7"/>
  <c r="B125" i="7" s="1"/>
  <c r="K24" i="7"/>
  <c r="W10" i="7"/>
  <c r="K54" i="7"/>
  <c r="K92" i="7" s="1"/>
  <c r="J85" i="7"/>
  <c r="J86" i="7" s="1"/>
  <c r="J89" i="7" s="1"/>
  <c r="D76" i="7" l="1"/>
  <c r="I77" i="7"/>
  <c r="K27" i="7"/>
  <c r="R19" i="1"/>
  <c r="E91" i="7"/>
  <c r="E93" i="7" s="1"/>
  <c r="L29" i="1"/>
  <c r="E94" i="7"/>
  <c r="C5" i="8"/>
  <c r="Q3" i="7"/>
  <c r="E37" i="7"/>
  <c r="K65" i="7"/>
  <c r="K66" i="7" s="1"/>
  <c r="K68" i="7" s="1"/>
  <c r="K69" i="7" s="1"/>
  <c r="J66" i="7"/>
  <c r="J68" i="7" s="1"/>
  <c r="J69" i="7" s="1"/>
  <c r="C9" i="8"/>
  <c r="M25" i="8" s="1"/>
  <c r="D108" i="7"/>
  <c r="D110" i="7" s="1"/>
  <c r="D121" i="7" s="1"/>
  <c r="K84" i="7"/>
  <c r="K85" i="7" s="1"/>
  <c r="K86" i="7" s="1"/>
  <c r="K89" i="7" s="1"/>
  <c r="K107" i="7"/>
  <c r="C11" i="8" l="1"/>
  <c r="N21" i="8" s="1"/>
  <c r="M21" i="8"/>
  <c r="M22" i="8" s="1"/>
  <c r="K77" i="7"/>
  <c r="J77" i="7"/>
  <c r="E95" i="7"/>
  <c r="E97" i="7" s="1"/>
  <c r="E98" i="7" s="1"/>
  <c r="E99" i="7" s="1"/>
  <c r="E100" i="7" s="1"/>
  <c r="C15" i="8"/>
  <c r="N25" i="8" s="1"/>
  <c r="C22" i="8"/>
  <c r="D22" i="8" s="1"/>
  <c r="D24" i="8" s="1"/>
  <c r="P18" i="7"/>
  <c r="E115" i="7" l="1"/>
  <c r="E101" i="7"/>
  <c r="E102" i="7" s="1"/>
  <c r="F114" i="7" l="1"/>
  <c r="F28" i="7" s="1"/>
  <c r="F30" i="7" s="1"/>
  <c r="F31" i="7" s="1"/>
  <c r="F32" i="7" s="1"/>
  <c r="F33" i="7" s="1"/>
  <c r="E74" i="7"/>
  <c r="R3" i="7" l="1"/>
  <c r="M29" i="1"/>
  <c r="F94" i="7"/>
  <c r="F91" i="7"/>
  <c r="F93" i="7" s="1"/>
  <c r="F37" i="7"/>
  <c r="F106" i="7"/>
  <c r="E12" i="7"/>
  <c r="E14" i="7" s="1"/>
  <c r="E75" i="7"/>
  <c r="E116" i="7"/>
  <c r="F95" i="7" l="1"/>
  <c r="F97" i="7" s="1"/>
  <c r="F98" i="7" s="1"/>
  <c r="F99" i="7" s="1"/>
  <c r="F115" i="7" s="1"/>
  <c r="E76" i="7"/>
  <c r="E108" i="7"/>
  <c r="E110" i="7" s="1"/>
  <c r="E121" i="7" s="1"/>
  <c r="Q18" i="7" l="1"/>
  <c r="F100" i="7"/>
  <c r="F101" i="7" s="1"/>
  <c r="F102" i="7" s="1"/>
  <c r="G114" i="7"/>
  <c r="G28" i="7" s="1"/>
  <c r="G30" i="7" s="1"/>
  <c r="F74" i="7"/>
  <c r="G31" i="7" l="1"/>
  <c r="G32" i="7" s="1"/>
  <c r="F12" i="7"/>
  <c r="F14" i="7" s="1"/>
  <c r="F116" i="7"/>
  <c r="F75" i="7"/>
  <c r="G33" i="7" l="1"/>
  <c r="G37" i="7" s="1"/>
  <c r="G106" i="7"/>
  <c r="F108" i="7"/>
  <c r="F110" i="7" s="1"/>
  <c r="F76" i="7"/>
  <c r="G94" i="7" l="1"/>
  <c r="N29" i="1"/>
  <c r="S3" i="7"/>
  <c r="G91" i="7"/>
  <c r="G93" i="7" s="1"/>
  <c r="F121" i="7"/>
  <c r="R18" i="7"/>
  <c r="G95" i="7" l="1"/>
  <c r="G97" i="7" s="1"/>
  <c r="G98" i="7" s="1"/>
  <c r="G99" i="7" s="1"/>
  <c r="G115" i="7" s="1"/>
  <c r="G100" i="7" l="1"/>
  <c r="G101" i="7" s="1"/>
  <c r="G102" i="7" s="1"/>
  <c r="H114" i="7"/>
  <c r="H28" i="7" s="1"/>
  <c r="H30" i="7" s="1"/>
  <c r="G74" i="7"/>
  <c r="H31" i="7" l="1"/>
  <c r="H32" i="7" s="1"/>
  <c r="G12" i="7"/>
  <c r="G14" i="7" s="1"/>
  <c r="G75" i="7"/>
  <c r="G116" i="7"/>
  <c r="H106" i="7" l="1"/>
  <c r="H33" i="7"/>
  <c r="G108" i="7"/>
  <c r="G110" i="7" s="1"/>
  <c r="G76" i="7"/>
  <c r="H37" i="7" l="1"/>
  <c r="O29" i="1"/>
  <c r="T3" i="7"/>
  <c r="H94" i="7"/>
  <c r="H91" i="7"/>
  <c r="H93" i="7" s="1"/>
  <c r="G121" i="7"/>
  <c r="S18" i="7"/>
  <c r="H95" i="7" l="1"/>
  <c r="H97" i="7" s="1"/>
  <c r="H98" i="7" s="1"/>
  <c r="H99" i="7" s="1"/>
  <c r="H115" i="7" s="1"/>
  <c r="H100" i="7" l="1"/>
  <c r="H101" i="7" s="1"/>
  <c r="H102" i="7" s="1"/>
  <c r="I114" i="7"/>
  <c r="I28" i="7" s="1"/>
  <c r="I30" i="7" s="1"/>
  <c r="H74" i="7"/>
  <c r="I31" i="7" l="1"/>
  <c r="I32" i="7" s="1"/>
  <c r="H12" i="7"/>
  <c r="H14" i="7" s="1"/>
  <c r="H116" i="7"/>
  <c r="H75" i="7"/>
  <c r="I33" i="7" l="1"/>
  <c r="I94" i="7" s="1"/>
  <c r="I106" i="7"/>
  <c r="H76" i="7"/>
  <c r="H108" i="7"/>
  <c r="H110" i="7" s="1"/>
  <c r="I91" i="7" l="1"/>
  <c r="I93" i="7" s="1"/>
  <c r="I95" i="7" s="1"/>
  <c r="I97" i="7" s="1"/>
  <c r="I98" i="7" s="1"/>
  <c r="I99" i="7" s="1"/>
  <c r="I115" i="7" s="1"/>
  <c r="I37" i="7"/>
  <c r="P29" i="1"/>
  <c r="U3" i="7"/>
  <c r="H121" i="7"/>
  <c r="T18" i="7"/>
  <c r="I100" i="7" l="1"/>
  <c r="I101" i="7" s="1"/>
  <c r="I102" i="7" s="1"/>
  <c r="J114" i="7"/>
  <c r="J28" i="7" s="1"/>
  <c r="J30" i="7" s="1"/>
  <c r="I74" i="7"/>
  <c r="J31" i="7" l="1"/>
  <c r="J32" i="7" s="1"/>
  <c r="I12" i="7"/>
  <c r="I14" i="7" s="1"/>
  <c r="I75" i="7"/>
  <c r="I116" i="7"/>
  <c r="J33" i="7" l="1"/>
  <c r="J106" i="7"/>
  <c r="I108" i="7"/>
  <c r="I110" i="7" s="1"/>
  <c r="I76" i="7"/>
  <c r="J91" i="7" l="1"/>
  <c r="J93" i="7" s="1"/>
  <c r="Q29" i="1"/>
  <c r="J37" i="7"/>
  <c r="J94" i="7"/>
  <c r="V3" i="7"/>
  <c r="I121" i="7"/>
  <c r="U18" i="7"/>
  <c r="J95" i="7" l="1"/>
  <c r="J97" i="7" s="1"/>
  <c r="J98" i="7" s="1"/>
  <c r="J99" i="7" s="1"/>
  <c r="J115" i="7" s="1"/>
  <c r="J100" i="7" l="1"/>
  <c r="J101" i="7" s="1"/>
  <c r="J102" i="7" s="1"/>
  <c r="K114" i="7"/>
  <c r="K28" i="7" s="1"/>
  <c r="K30" i="7" s="1"/>
  <c r="J74" i="7"/>
  <c r="K31" i="7" l="1"/>
  <c r="K32" i="7" s="1"/>
  <c r="J12" i="7"/>
  <c r="J14" i="7" s="1"/>
  <c r="J75" i="7"/>
  <c r="J116" i="7"/>
  <c r="K33" i="7" l="1"/>
  <c r="K106" i="7"/>
  <c r="J108" i="7"/>
  <c r="J110" i="7" s="1"/>
  <c r="J76" i="7"/>
  <c r="W3" i="7" l="1"/>
  <c r="R29" i="1"/>
  <c r="K91" i="7"/>
  <c r="K93" i="7" s="1"/>
  <c r="K94" i="7"/>
  <c r="K37" i="7"/>
  <c r="J121" i="7"/>
  <c r="V18" i="7"/>
  <c r="K95" i="7" l="1"/>
  <c r="K97" i="7" s="1"/>
  <c r="K98" i="7" s="1"/>
  <c r="K99" i="7" s="1"/>
  <c r="K100" i="7" s="1"/>
  <c r="K101" i="7" s="1"/>
  <c r="K102" i="7" s="1"/>
  <c r="K115" i="7" l="1"/>
  <c r="K74" i="7" s="1"/>
  <c r="K12" i="7" s="1"/>
  <c r="K14" i="7" s="1"/>
  <c r="K75" i="7" l="1"/>
  <c r="K108" i="7" s="1"/>
  <c r="K110" i="7" s="1"/>
  <c r="K111" i="7" s="1"/>
  <c r="K112" i="7" s="1"/>
  <c r="K116" i="7"/>
  <c r="K76" i="7" l="1"/>
  <c r="W18" i="7"/>
  <c r="K121" i="7"/>
  <c r="B121" i="7" s="1"/>
  <c r="B127" i="7" s="1"/>
</calcChain>
</file>

<file path=xl/sharedStrings.xml><?xml version="1.0" encoding="utf-8"?>
<sst xmlns="http://schemas.openxmlformats.org/spreadsheetml/2006/main" count="254" uniqueCount="213">
  <si>
    <t>Powered by Clearbit</t>
  </si>
  <si>
    <t>Walmart Inc (NYS: WMT)</t>
  </si>
  <si>
    <t xml:space="preserve">Exchange rate used is that of the Year End reported date </t>
  </si>
  <si>
    <t xml:space="preserve">Standardized Annual Income Statement </t>
  </si>
  <si>
    <t>Report Date</t>
  </si>
  <si>
    <t>01/31/2023</t>
  </si>
  <si>
    <t>01/31/2022</t>
  </si>
  <si>
    <t>01/31/2021</t>
  </si>
  <si>
    <t>01/31/2020</t>
  </si>
  <si>
    <t>01/31/2019</t>
  </si>
  <si>
    <t>01/31/2018</t>
  </si>
  <si>
    <t>01/31/2017</t>
  </si>
  <si>
    <t>01/31/2016</t>
  </si>
  <si>
    <t>01/31/2015</t>
  </si>
  <si>
    <t>Sales Revenue</t>
  </si>
  <si>
    <t>Other Revenue</t>
  </si>
  <si>
    <t>Total Revenue</t>
  </si>
  <si>
    <t>Direct Costs</t>
  </si>
  <si>
    <t>Gross Profit</t>
  </si>
  <si>
    <t>Selling General &amp; Admin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</si>
  <si>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</si>
  <si>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</si>
  <si>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</si>
  <si>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</si>
  <si>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</si>
  <si>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</si>
  <si>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Taxation</t>
  </si>
  <si>
    <t>Minority Interests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</si>
  <si>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</si>
  <si>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</si>
  <si>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</si>
  <si>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</si>
  <si>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</si>
  <si>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</si>
  <si>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</si>
  <si>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</si>
  <si>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</si>
  <si>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</si>
  <si>
    <t>Revenue growth</t>
  </si>
  <si>
    <t xml:space="preserve">Standardized Annual Balance Sheet </t>
  </si>
  <si>
    <t>Cash &amp; Equivalents</t>
  </si>
  <si>
    <t>Cash &amp; Equivs &amp; ST Investments</t>
  </si>
  <si>
    <t>Receivables (ST)</t>
  </si>
  <si>
    <t>Inventories</t>
  </si>
  <si>
    <t>Discontinued Ops (ST Asset)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</si>
  <si>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</si>
  <si>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</si>
  <si>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</si>
  <si>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</si>
  <si>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</si>
  <si>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</si>
  <si>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</si>
  <si>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</si>
  <si>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</si>
  <si>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</si>
  <si>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</si>
  <si>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</si>
  <si>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Current Lease Obligations</t>
  </si>
  <si>
    <t>Other Current Liabilities</t>
  </si>
  <si>
    <t>Total Current Liabilities</t>
  </si>
  <si>
    <t>LT Debt &amp; Leases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</si>
  <si>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</si>
  <si>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</si>
  <si>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</si>
  <si>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</si>
  <si>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</si>
  <si>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</si>
  <si>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</si>
  <si>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</si>
  <si>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</si>
  <si>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</si>
  <si>
    <t>Profitability ratios</t>
  </si>
  <si>
    <t xml:space="preserve">Report Date </t>
  </si>
  <si>
    <t xml:space="preserve">Net Profit Margin </t>
  </si>
  <si>
    <t xml:space="preserve">Gross Profit Margin </t>
  </si>
  <si>
    <t>Return On Assets</t>
  </si>
  <si>
    <t xml:space="preserve">Return on equity </t>
  </si>
  <si>
    <t>Liquidity Ratio</t>
  </si>
  <si>
    <t>Current Ratio</t>
  </si>
  <si>
    <t>Quick Ratios</t>
  </si>
  <si>
    <t>Cash Ratio</t>
  </si>
  <si>
    <t>Leverage Ratio</t>
  </si>
  <si>
    <t>Debt to Equity Ratio</t>
  </si>
  <si>
    <t>Debt Ratio</t>
  </si>
  <si>
    <t>Efficiency Ratio</t>
  </si>
  <si>
    <t xml:space="preserve">Inventory Turnover ratio </t>
  </si>
  <si>
    <t xml:space="preserve">Average inventory </t>
  </si>
  <si>
    <t xml:space="preserve">Fixed Assets Turnover </t>
  </si>
  <si>
    <t xml:space="preserve">Average fixed assets </t>
  </si>
  <si>
    <t xml:space="preserve">Average total assets </t>
  </si>
  <si>
    <t xml:space="preserve">Total Assets Turnover </t>
  </si>
  <si>
    <t>Average Recivables</t>
  </si>
  <si>
    <t xml:space="preserve">Receivables Turnover </t>
  </si>
  <si>
    <t xml:space="preserve">Average Collection period </t>
  </si>
  <si>
    <t xml:space="preserve">Average Collection Period </t>
  </si>
  <si>
    <t>ROA WALMART</t>
  </si>
  <si>
    <t>Roa costco</t>
  </si>
  <si>
    <t>Roa amazon</t>
  </si>
  <si>
    <t>Return on Assets</t>
  </si>
  <si>
    <t>Debt to equity costco</t>
  </si>
  <si>
    <t>Debt to equity amazon</t>
  </si>
  <si>
    <t>Debt to equity walmart</t>
  </si>
  <si>
    <t xml:space="preserve">projected income statement </t>
  </si>
  <si>
    <t xml:space="preserve">Year ending </t>
  </si>
  <si>
    <t xml:space="preserve">Assumptions </t>
  </si>
  <si>
    <t xml:space="preserve">Average </t>
  </si>
  <si>
    <t>-</t>
  </si>
  <si>
    <t>average</t>
  </si>
  <si>
    <t>Gross Fa Turn</t>
  </si>
  <si>
    <t xml:space="preserve">ca to sales </t>
  </si>
  <si>
    <t xml:space="preserve">Cogs/sales </t>
  </si>
  <si>
    <t>Operation Ratio</t>
  </si>
  <si>
    <t xml:space="preserve">COGS/SALES </t>
  </si>
  <si>
    <t>sga/sales</t>
  </si>
  <si>
    <t xml:space="preserve">sga/sales </t>
  </si>
  <si>
    <t xml:space="preserve">Balance sheet </t>
  </si>
  <si>
    <t xml:space="preserve">other Assets </t>
  </si>
  <si>
    <t xml:space="preserve">total LT Assets </t>
  </si>
  <si>
    <t xml:space="preserve">Cash/sales </t>
  </si>
  <si>
    <t xml:space="preserve">cash/sales </t>
  </si>
  <si>
    <t xml:space="preserve">recev/reveue </t>
  </si>
  <si>
    <t xml:space="preserve">AR/SALES </t>
  </si>
  <si>
    <t xml:space="preserve">fA/sales </t>
  </si>
  <si>
    <t xml:space="preserve">Fa/sales </t>
  </si>
  <si>
    <t>Depreciation</t>
  </si>
  <si>
    <t xml:space="preserve">depreciation </t>
  </si>
  <si>
    <t>Depre/fa</t>
  </si>
  <si>
    <t xml:space="preserve">other A/ sales </t>
  </si>
  <si>
    <t>otherA/sales</t>
  </si>
  <si>
    <t xml:space="preserve">Ap.Acr exp/sales </t>
  </si>
  <si>
    <t>Ap.ACR exp/sales</t>
  </si>
  <si>
    <t xml:space="preserve">External Factors </t>
  </si>
  <si>
    <t xml:space="preserve">Risk free Rate </t>
  </si>
  <si>
    <t>Market Risk Premium</t>
  </si>
  <si>
    <t xml:space="preserve">Interest rate on debt </t>
  </si>
  <si>
    <t xml:space="preserve">Tax Rate </t>
  </si>
  <si>
    <t>Tax rate</t>
  </si>
  <si>
    <t xml:space="preserve">Profit margin </t>
  </si>
  <si>
    <t xml:space="preserve">Payout ratio </t>
  </si>
  <si>
    <t xml:space="preserve">Investment Module </t>
  </si>
  <si>
    <t xml:space="preserve">Current Asset Investments </t>
  </si>
  <si>
    <t>Investment In new fA</t>
  </si>
  <si>
    <t xml:space="preserve">Financial  module </t>
  </si>
  <si>
    <t>Replacement of depr Assets</t>
  </si>
  <si>
    <t xml:space="preserve">FA Investment </t>
  </si>
  <si>
    <t>Total Investment</t>
  </si>
  <si>
    <t>Required Finace</t>
  </si>
  <si>
    <t>Net income</t>
  </si>
  <si>
    <t>Earning CF</t>
  </si>
  <si>
    <t xml:space="preserve">Minimum Dividend </t>
  </si>
  <si>
    <t xml:space="preserve">Internal financing </t>
  </si>
  <si>
    <t xml:space="preserve">Spontanous CL </t>
  </si>
  <si>
    <t xml:space="preserve">total int and spot </t>
  </si>
  <si>
    <t xml:space="preserve">Required External finance </t>
  </si>
  <si>
    <t xml:space="preserve">Debt portion to fin </t>
  </si>
  <si>
    <t xml:space="preserve">Debt issued </t>
  </si>
  <si>
    <t xml:space="preserve">Equity issued </t>
  </si>
  <si>
    <t xml:space="preserve">TOTAL discre financing </t>
  </si>
  <si>
    <t xml:space="preserve">Total Financing </t>
  </si>
  <si>
    <t xml:space="preserve">Cash Flow </t>
  </si>
  <si>
    <t xml:space="preserve">Operating cash flow </t>
  </si>
  <si>
    <t xml:space="preserve">New CAPEX </t>
  </si>
  <si>
    <t xml:space="preserve">Net NWC </t>
  </si>
  <si>
    <t xml:space="preserve">FREE CASH FLOW </t>
  </si>
  <si>
    <t xml:space="preserve">Interest and debt service </t>
  </si>
  <si>
    <t xml:space="preserve">Interest expense </t>
  </si>
  <si>
    <t xml:space="preserve">Total Interest bearing </t>
  </si>
  <si>
    <t xml:space="preserve">Total Debt </t>
  </si>
  <si>
    <t xml:space="preserve">Enterprise Value </t>
  </si>
  <si>
    <t xml:space="preserve">Perpetual CF growth </t>
  </si>
  <si>
    <t xml:space="preserve">Perpetual discount </t>
  </si>
  <si>
    <t xml:space="preserve">Terminal Value </t>
  </si>
  <si>
    <t xml:space="preserve">Ev/share </t>
  </si>
  <si>
    <t>No of share</t>
  </si>
  <si>
    <t xml:space="preserve">Market Cap </t>
  </si>
  <si>
    <t xml:space="preserve">Net debt </t>
  </si>
  <si>
    <t xml:space="preserve">Equity value </t>
  </si>
  <si>
    <t xml:space="preserve">Pro stock price </t>
  </si>
  <si>
    <t>Wacc</t>
  </si>
  <si>
    <t xml:space="preserve">Capital structure </t>
  </si>
  <si>
    <t xml:space="preserve">Cost of euity </t>
  </si>
  <si>
    <t>beta</t>
  </si>
  <si>
    <t>mean</t>
  </si>
  <si>
    <t>median</t>
  </si>
  <si>
    <t>st dev</t>
  </si>
  <si>
    <t>std dev</t>
  </si>
  <si>
    <t>ULTI</t>
  </si>
  <si>
    <t>returns</t>
  </si>
  <si>
    <t>Market Cap</t>
  </si>
  <si>
    <t>Shares outstanding</t>
  </si>
  <si>
    <t xml:space="preserve">NET INCOME </t>
  </si>
  <si>
    <t>NET INCOME (last)</t>
  </si>
  <si>
    <t>EBITDA</t>
  </si>
  <si>
    <t>SALES</t>
  </si>
  <si>
    <t>BOOK VALUE (EQUITY)</t>
  </si>
  <si>
    <t xml:space="preserve">P/E </t>
  </si>
  <si>
    <t>P/E (forward or last earnings)</t>
  </si>
  <si>
    <t>EBITDA multiplier</t>
  </si>
  <si>
    <t>Sales multiplier</t>
  </si>
  <si>
    <t>Book Value multiplier</t>
  </si>
  <si>
    <t xml:space="preserve">WMT </t>
  </si>
  <si>
    <t>COST</t>
  </si>
  <si>
    <t>TGT</t>
  </si>
  <si>
    <t>AMZN</t>
  </si>
  <si>
    <t>Average</t>
  </si>
  <si>
    <t>Cap Based on AVG</t>
  </si>
  <si>
    <t>Price per share</t>
  </si>
  <si>
    <t>Other non operating income</t>
  </si>
  <si>
    <t>Other current liab</t>
  </si>
  <si>
    <t>Walmart</t>
  </si>
  <si>
    <t xml:space="preserve"> Cap Based on Average</t>
  </si>
  <si>
    <t>Price Per Share</t>
  </si>
  <si>
    <t>01/31/2024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</si>
</sst>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0.0000000"/>
    <numFmt numFmtId="168" formatCode="0.0%"/>
    <numFmt numFmtId="169" formatCode="_ &quot;₹&quot;\ * #,##0_ ;_ &quot;₹&quot;\ * \-#,##0_ ;_ &quot;₹&quot;\ * &quot;-&quot;??_ ;_ @_ "/>
    <numFmt numFmtId="170" formatCode="&quot;$&quot;#,##0.00"/>
    <numFmt numFmtId="171" formatCode="&quot;$&quot;#,##0"/>
    <numFmt numFmtId="172" formatCode="yyyy\-mm\-dd;@"/>
    <numFmt numFmtId="173" formatCode="_(&quot;$&quot;* #,##0_);_(&quot;$&quot;* \(#,##0\);_(&quot;$&quot;* &quot;-&quot;??_);_(@_)"/>
    <numFmt numFmtId="174" formatCode="_([$$-409]* #,##0.00_);_([$$-409]* \(#,##0.00\);_([$$-409]* &quot;-&quot;??_);_(@_)"/>
  </numFmts>
  <fonts count="12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165" fontId="3" fillId="0" borderId="0" xfId="0" applyNumberFormat="1" applyFont="1" applyAlignment="1">
      <alignment horizontal="right" vertical="top" wrapText="1"/>
    </xf>
    <xf numFmtId="165" fontId="0" fillId="0" borderId="0" xfId="0" applyNumberFormat="1"/>
    <xf numFmtId="165" fontId="4" fillId="0" borderId="0" xfId="0" applyNumberFormat="1" applyFont="1"/>
    <xf numFmtId="165" fontId="3" fillId="0" borderId="0" xfId="0" applyNumberFormat="1" applyFont="1"/>
    <xf numFmtId="0" fontId="6" fillId="0" borderId="0" xfId="0" applyFont="1"/>
    <xf numFmtId="10" fontId="0" fillId="0" borderId="0" xfId="1" applyNumberFormat="1" applyFont="1"/>
    <xf numFmtId="10" fontId="0" fillId="0" borderId="0" xfId="0" applyNumberFormat="1"/>
    <xf numFmtId="10" fontId="6" fillId="0" borderId="0" xfId="1" applyNumberFormat="1" applyFont="1"/>
    <xf numFmtId="10" fontId="0" fillId="2" borderId="0" xfId="0" applyNumberFormat="1" applyFill="1"/>
    <xf numFmtId="0" fontId="6" fillId="0" borderId="0" xfId="0" applyFont="1" applyAlignment="1">
      <alignment horizontal="left"/>
    </xf>
    <xf numFmtId="0" fontId="7" fillId="0" borderId="0" xfId="0" applyFont="1"/>
    <xf numFmtId="166" fontId="3" fillId="0" borderId="0" xfId="0" applyNumberFormat="1" applyFont="1" applyAlignment="1">
      <alignment horizontal="right" vertical="top" wrapText="1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3" fillId="0" borderId="0" xfId="0" applyNumberFormat="1" applyFont="1"/>
    <xf numFmtId="166" fontId="6" fillId="0" borderId="0" xfId="0" applyNumberFormat="1" applyFont="1"/>
    <xf numFmtId="9" fontId="0" fillId="0" borderId="0" xfId="1" applyFont="1"/>
    <xf numFmtId="0" fontId="5" fillId="0" borderId="0" xfId="0" applyFont="1"/>
    <xf numFmtId="167" fontId="0" fillId="0" borderId="0" xfId="0" applyNumberFormat="1"/>
    <xf numFmtId="14" fontId="0" fillId="0" borderId="0" xfId="0" applyNumberFormat="1"/>
    <xf numFmtId="10" fontId="0" fillId="3" borderId="0" xfId="0" applyNumberFormat="1" applyFill="1"/>
    <xf numFmtId="14" fontId="3" fillId="0" borderId="0" xfId="0" applyNumberFormat="1" applyFont="1"/>
    <xf numFmtId="14" fontId="0" fillId="0" borderId="0" xfId="1" applyNumberFormat="1" applyFont="1"/>
    <xf numFmtId="168" fontId="0" fillId="0" borderId="0" xfId="1" applyNumberFormat="1" applyFont="1"/>
    <xf numFmtId="9" fontId="0" fillId="0" borderId="0" xfId="0" applyNumberFormat="1"/>
    <xf numFmtId="169" fontId="0" fillId="0" borderId="0" xfId="2" applyNumberFormat="1" applyFont="1"/>
    <xf numFmtId="9" fontId="5" fillId="0" borderId="0" xfId="1" applyFont="1"/>
    <xf numFmtId="169" fontId="0" fillId="0" borderId="0" xfId="0" applyNumberFormat="1"/>
    <xf numFmtId="168" fontId="3" fillId="0" borderId="0" xfId="1" applyNumberFormat="1" applyFont="1"/>
    <xf numFmtId="14" fontId="6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2" fontId="3" fillId="0" borderId="0" xfId="0" applyNumberFormat="1" applyFont="1"/>
    <xf numFmtId="170" fontId="0" fillId="0" borderId="0" xfId="2" applyNumberFormat="1" applyFont="1"/>
    <xf numFmtId="171" fontId="0" fillId="0" borderId="0" xfId="2" applyNumberFormat="1" applyFont="1"/>
    <xf numFmtId="170" fontId="0" fillId="0" borderId="0" xfId="0" applyNumberFormat="1"/>
    <xf numFmtId="171" fontId="0" fillId="0" borderId="0" xfId="0" applyNumberFormat="1"/>
    <xf numFmtId="171" fontId="3" fillId="0" borderId="0" xfId="2" applyNumberFormat="1" applyFont="1"/>
    <xf numFmtId="171" fontId="3" fillId="0" borderId="0" xfId="0" applyNumberFormat="1" applyFont="1"/>
    <xf numFmtId="10" fontId="0" fillId="0" borderId="0" xfId="1" applyNumberFormat="1" applyFont="1" applyFill="1"/>
    <xf numFmtId="164" fontId="0" fillId="0" borderId="0" xfId="2" applyFont="1" applyFill="1"/>
    <xf numFmtId="0" fontId="9" fillId="0" borderId="0" xfId="0" applyFont="1"/>
    <xf numFmtId="0" fontId="0" fillId="0" borderId="0" xfId="0" applyAlignment="1">
      <alignment horizontal="centerContinuous"/>
    </xf>
    <xf numFmtId="0" fontId="0" fillId="0" borderId="0" xfId="0" applyAlignment="1">
      <alignment horizontal="center"/>
    </xf>
    <xf numFmtId="10" fontId="9" fillId="0" borderId="0" xfId="1" applyNumberFormat="1" applyFont="1" applyAlignment="1">
      <alignment horizontal="centerContinuous"/>
    </xf>
    <xf numFmtId="10" fontId="0" fillId="0" borderId="0" xfId="1" applyNumberFormat="1" applyFont="1" applyAlignment="1">
      <alignment horizontal="centerContinuous"/>
    </xf>
    <xf numFmtId="0" fontId="10" fillId="0" borderId="0" xfId="0" applyFont="1" applyAlignment="1">
      <alignment horizontal="center"/>
    </xf>
    <xf numFmtId="3" fontId="5" fillId="4" borderId="0" xfId="0" applyNumberFormat="1" applyFont="1" applyFill="1" applyAlignment="1">
      <alignment horizontal="right" vertical="top" wrapText="1"/>
    </xf>
    <xf numFmtId="172" fontId="0" fillId="0" borderId="0" xfId="0" applyNumberFormat="1"/>
    <xf numFmtId="170" fontId="3" fillId="0" borderId="0" xfId="2" applyNumberFormat="1" applyFont="1"/>
    <xf numFmtId="0" fontId="0" fillId="2" borderId="0" xfId="0" applyFill="1"/>
    <xf numFmtId="10" fontId="3" fillId="0" borderId="0" xfId="1" applyNumberFormat="1" applyFont="1"/>
    <xf numFmtId="43" fontId="3" fillId="0" borderId="0" xfId="3" applyFont="1"/>
    <xf numFmtId="43" fontId="0" fillId="0" borderId="0" xfId="3" applyFont="1"/>
    <xf numFmtId="43" fontId="0" fillId="0" borderId="0" xfId="0" applyNumberFormat="1"/>
    <xf numFmtId="168" fontId="0" fillId="0" borderId="0" xfId="0" applyNumberFormat="1"/>
    <xf numFmtId="171" fontId="0" fillId="2" borderId="0" xfId="0" applyNumberFormat="1" applyFill="1"/>
    <xf numFmtId="169" fontId="5" fillId="0" borderId="0" xfId="0" applyNumberFormat="1" applyFont="1"/>
    <xf numFmtId="0" fontId="3" fillId="0" borderId="0" xfId="0" applyFont="1" applyAlignment="1">
      <alignment horizontal="right" vertical="top" wrapText="1"/>
    </xf>
    <xf numFmtId="164" fontId="0" fillId="0" borderId="0" xfId="2" applyFont="1"/>
    <xf numFmtId="164" fontId="4" fillId="0" borderId="0" xfId="2" applyFont="1"/>
    <xf numFmtId="164" fontId="3" fillId="0" borderId="0" xfId="2" applyFont="1"/>
    <xf numFmtId="173" fontId="0" fillId="0" borderId="0" xfId="2" applyNumberFormat="1" applyFont="1"/>
    <xf numFmtId="173" fontId="3" fillId="0" borderId="0" xfId="2" applyNumberFormat="1" applyFont="1"/>
    <xf numFmtId="0" fontId="10" fillId="0" borderId="0" xfId="0" applyFont="1"/>
    <xf numFmtId="174" fontId="3" fillId="0" borderId="0" xfId="2" applyNumberFormat="1" applyFont="1"/>
    <xf numFmtId="170" fontId="3" fillId="0" borderId="0" xfId="0" applyNumberFormat="1" applyFont="1"/>
  </cellXfs>
  <cellStyles count="4">
    <cellStyle name="Comma" xfId="3" builtinId="3"/>
    <cellStyle name="Currency" xfId="2" builtinId="4"/>
    <cellStyle name="Normal" xfId="0" builtinId="0"/>
    <cellStyle name="Per 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standardized!$A$17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standardized!$B$17:$K$17</c:f>
              <c:numCache>
                <c:formatCode>_-[$$-409]* #,##0.00_ ;_-[$$-409]* \-#,##0.00\ ;_-[$$-409]* "-"??_ ;_-@_ </c:formatCode>
                <c:ptCount val="10"/>
                <c:pt idx="0">
                  <c:v>485651000</c:v>
                </c:pt>
                <c:pt idx="1">
                  <c:v>482130000</c:v>
                </c:pt>
                <c:pt idx="2">
                  <c:v>485873000</c:v>
                </c:pt>
                <c:pt idx="3">
                  <c:v>500343000</c:v>
                </c:pt>
                <c:pt idx="4">
                  <c:v>514405000</c:v>
                </c:pt>
                <c:pt idx="5">
                  <c:v>523964000</c:v>
                </c:pt>
                <c:pt idx="6">
                  <c:v>559151000</c:v>
                </c:pt>
                <c:pt idx="7">
                  <c:v>572754000</c:v>
                </c:pt>
                <c:pt idx="8">
                  <c:v>611289000</c:v>
                </c:pt>
                <c:pt idx="9" formatCode="_ &quot;₹&quot;\ * #,##0.00_ ;_ &quot;₹&quot;\ * \-#,##0.00_ ;_ &quot;₹&quot;\ * &quot;-&quot;??_ ;_ @_ ">
                  <c:v>648125000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0-D048-81FD-FB8B4B8E6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952928"/>
        <c:axId val="582024944"/>
      </c:barChart>
      <c:catAx>
        <c:axId val="182895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024944"/>
        <c:crosses val="autoZero"/>
        <c:auto val="1"/>
        <c:lblAlgn val="ctr"/>
        <c:lblOffset val="100"/>
        <c:noMultiLvlLbl val="0"/>
      </c:catAx>
      <c:valAx>
        <c:axId val="5820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95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contributio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standardized!$A$15</c:f>
              <c:strCache>
                <c:ptCount val="1"/>
                <c:pt idx="0">
                  <c:v>Sales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standardized!$B$15:$K$15</c:f>
              <c:numCache>
                <c:formatCode>_-[$$-409]* #,##0.00_ ;_-[$$-409]* \-#,##0.00\ ;_-[$$-409]* "-"??_ ;_-@_ </c:formatCode>
                <c:ptCount val="10"/>
                <c:pt idx="0">
                  <c:v>482229000</c:v>
                </c:pt>
                <c:pt idx="1">
                  <c:v>478614000</c:v>
                </c:pt>
                <c:pt idx="2">
                  <c:v>481317000</c:v>
                </c:pt>
                <c:pt idx="3">
                  <c:v>495761000</c:v>
                </c:pt>
                <c:pt idx="4">
                  <c:v>510329000</c:v>
                </c:pt>
                <c:pt idx="5">
                  <c:v>519926000</c:v>
                </c:pt>
                <c:pt idx="6">
                  <c:v>555233000</c:v>
                </c:pt>
                <c:pt idx="7">
                  <c:v>567762000</c:v>
                </c:pt>
                <c:pt idx="8">
                  <c:v>605881000</c:v>
                </c:pt>
                <c:pt idx="9" formatCode="_ &quot;₹&quot;\ * #,##0.00_ ;_ &quot;₹&quot;\ * \-#,##0.00_ ;_ &quot;₹&quot;\ * &quot;-&quot;??_ ;_ @_ ">
                  <c:v>642637000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C-EA42-880C-D636415A7EF8}"/>
            </c:ext>
          </c:extLst>
        </c:ser>
        <c:ser>
          <c:idx val="1"/>
          <c:order val="1"/>
          <c:tx>
            <c:strRef>
              <c:f>standardized!$A$16</c:f>
              <c:strCache>
                <c:ptCount val="1"/>
                <c:pt idx="0">
                  <c:v>Other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standardized!$B$16:$K$16</c:f>
              <c:numCache>
                <c:formatCode>_-[$$-409]* #,##0.00_ ;_-[$$-409]* \-#,##0.00\ ;_-[$$-409]* "-"??_ ;_-@_ </c:formatCode>
                <c:ptCount val="10"/>
                <c:pt idx="0">
                  <c:v>3422000</c:v>
                </c:pt>
                <c:pt idx="1">
                  <c:v>3516000</c:v>
                </c:pt>
                <c:pt idx="2">
                  <c:v>4556000</c:v>
                </c:pt>
                <c:pt idx="3">
                  <c:v>4582000</c:v>
                </c:pt>
                <c:pt idx="4">
                  <c:v>4076000</c:v>
                </c:pt>
                <c:pt idx="5">
                  <c:v>4038000</c:v>
                </c:pt>
                <c:pt idx="6">
                  <c:v>3918000</c:v>
                </c:pt>
                <c:pt idx="7">
                  <c:v>4992000</c:v>
                </c:pt>
                <c:pt idx="8">
                  <c:v>5408000</c:v>
                </c:pt>
                <c:pt idx="9" formatCode="_ &quot;₹&quot;\ * #,##0.00_ ;_ &quot;₹&quot;\ * \-#,##0.00_ ;_ &quot;₹&quot;\ * &quot;-&quot;??_ ;_ @_ ">
                  <c:v>5488000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C-EA42-880C-D636415A7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2726896"/>
        <c:axId val="585788896"/>
        <c:axId val="0"/>
      </c:bar3DChart>
      <c:catAx>
        <c:axId val="58272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788896"/>
        <c:crosses val="autoZero"/>
        <c:auto val="1"/>
        <c:lblAlgn val="ctr"/>
        <c:lblOffset val="100"/>
        <c:noMultiLvlLbl val="0"/>
      </c:catAx>
      <c:valAx>
        <c:axId val="5857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2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vs net income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standardized!$A$47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standardized!$B$47:$K$47</c:f>
              <c:numCache>
                <c:formatCode>_-[$$-409]* #,##0.00_ ;_-[$$-409]* \-#,##0.00\ ;_-[$$-409]* "-"??_ ;_-@_ </c:formatCode>
                <c:ptCount val="10"/>
                <c:pt idx="0">
                  <c:v>476294000</c:v>
                </c:pt>
                <c:pt idx="1">
                  <c:v>485651000</c:v>
                </c:pt>
                <c:pt idx="2">
                  <c:v>482130000</c:v>
                </c:pt>
                <c:pt idx="3">
                  <c:v>485873000</c:v>
                </c:pt>
                <c:pt idx="4">
                  <c:v>500343000</c:v>
                </c:pt>
                <c:pt idx="5">
                  <c:v>514405000</c:v>
                </c:pt>
                <c:pt idx="6">
                  <c:v>523964000</c:v>
                </c:pt>
                <c:pt idx="7">
                  <c:v>559151000</c:v>
                </c:pt>
                <c:pt idx="8">
                  <c:v>572754000</c:v>
                </c:pt>
                <c:pt idx="9">
                  <c:v>611289000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4-8448-BD50-183959EBC4A0}"/>
            </c:ext>
          </c:extLst>
        </c:ser>
        <c:ser>
          <c:idx val="1"/>
          <c:order val="1"/>
          <c:tx>
            <c:strRef>
              <c:f>standardized!$A$48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standardized!$B$48:$K$48</c:f>
              <c:numCache>
                <c:formatCode>_-[$$-409]* #,##0.00_ ;_-[$$-409]* \-#,##0.00\ ;_-[$$-409]* "-"??_ ;_-@_ </c:formatCode>
                <c:ptCount val="10"/>
                <c:pt idx="0">
                  <c:v>16022000</c:v>
                </c:pt>
                <c:pt idx="1">
                  <c:v>16363000</c:v>
                </c:pt>
                <c:pt idx="2">
                  <c:v>14694000</c:v>
                </c:pt>
                <c:pt idx="3">
                  <c:v>13643000</c:v>
                </c:pt>
                <c:pt idx="4">
                  <c:v>9862000</c:v>
                </c:pt>
                <c:pt idx="5">
                  <c:v>6670000</c:v>
                </c:pt>
                <c:pt idx="6">
                  <c:v>14881000</c:v>
                </c:pt>
                <c:pt idx="7">
                  <c:v>13510000</c:v>
                </c:pt>
                <c:pt idx="8">
                  <c:v>13673000</c:v>
                </c:pt>
                <c:pt idx="9">
                  <c:v>11680000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4-8448-BD50-183959EBC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246208"/>
        <c:axId val="180469216"/>
        <c:axId val="0"/>
      </c:bar3DChart>
      <c:catAx>
        <c:axId val="672246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69216"/>
        <c:crosses val="autoZero"/>
        <c:auto val="1"/>
        <c:lblAlgn val="ctr"/>
        <c:lblOffset val="100"/>
        <c:noMultiLvlLbl val="0"/>
      </c:catAx>
      <c:valAx>
        <c:axId val="1804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[1]WMT!$B$1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[1]WMT!$A$2:$A$2516</c:f>
              <c:strCache>
                <c:ptCount val="2515"/>
                <c:pt idx="0">
                  <c:v>21-01-2014</c:v>
                </c:pt>
                <c:pt idx="1">
                  <c:v>22-01-2014</c:v>
                </c:pt>
                <c:pt idx="2">
                  <c:v>23-01-2014</c:v>
                </c:pt>
                <c:pt idx="3">
                  <c:v>24-01-2014</c:v>
                </c:pt>
                <c:pt idx="4">
                  <c:v>27-01-2014</c:v>
                </c:pt>
                <c:pt idx="5">
                  <c:v>28-01-2014</c:v>
                </c:pt>
                <c:pt idx="6">
                  <c:v>29-01-2014</c:v>
                </c:pt>
                <c:pt idx="7">
                  <c:v>30-01-2014</c:v>
                </c:pt>
                <c:pt idx="8">
                  <c:v>31-01-2014</c:v>
                </c:pt>
                <c:pt idx="9">
                  <c:v>41700</c:v>
                </c:pt>
                <c:pt idx="10">
                  <c:v>41731</c:v>
                </c:pt>
                <c:pt idx="11">
                  <c:v>41761</c:v>
                </c:pt>
                <c:pt idx="12">
                  <c:v>41792</c:v>
                </c:pt>
                <c:pt idx="13">
                  <c:v>41822</c:v>
                </c:pt>
                <c:pt idx="14">
                  <c:v>41914</c:v>
                </c:pt>
                <c:pt idx="15">
                  <c:v>41945</c:v>
                </c:pt>
                <c:pt idx="16">
                  <c:v>41975</c:v>
                </c:pt>
                <c:pt idx="17">
                  <c:v>13-02-2014</c:v>
                </c:pt>
                <c:pt idx="18">
                  <c:v>14-02-2014</c:v>
                </c:pt>
                <c:pt idx="19">
                  <c:v>18-02-2014</c:v>
                </c:pt>
                <c:pt idx="20">
                  <c:v>19-02-2014</c:v>
                </c:pt>
                <c:pt idx="21">
                  <c:v>20-02-2014</c:v>
                </c:pt>
                <c:pt idx="22">
                  <c:v>21-02-2014</c:v>
                </c:pt>
                <c:pt idx="23">
                  <c:v>24-02-2014</c:v>
                </c:pt>
                <c:pt idx="24">
                  <c:v>25-02-2014</c:v>
                </c:pt>
                <c:pt idx="25">
                  <c:v>26-02-2014</c:v>
                </c:pt>
                <c:pt idx="26">
                  <c:v>27-02-2014</c:v>
                </c:pt>
                <c:pt idx="27">
                  <c:v>28-02-2014</c:v>
                </c:pt>
                <c:pt idx="28">
                  <c:v>41701</c:v>
                </c:pt>
                <c:pt idx="29">
                  <c:v>41732</c:v>
                </c:pt>
                <c:pt idx="30">
                  <c:v>41762</c:v>
                </c:pt>
                <c:pt idx="31">
                  <c:v>41793</c:v>
                </c:pt>
                <c:pt idx="32">
                  <c:v>41823</c:v>
                </c:pt>
                <c:pt idx="33">
                  <c:v>41915</c:v>
                </c:pt>
                <c:pt idx="34">
                  <c:v>41946</c:v>
                </c:pt>
                <c:pt idx="35">
                  <c:v>41976</c:v>
                </c:pt>
                <c:pt idx="36">
                  <c:v>13-03-2014</c:v>
                </c:pt>
                <c:pt idx="37">
                  <c:v>14-03-2014</c:v>
                </c:pt>
                <c:pt idx="38">
                  <c:v>17-03-2014</c:v>
                </c:pt>
                <c:pt idx="39">
                  <c:v>18-03-2014</c:v>
                </c:pt>
                <c:pt idx="40">
                  <c:v>19-03-2014</c:v>
                </c:pt>
                <c:pt idx="41">
                  <c:v>20-03-2014</c:v>
                </c:pt>
                <c:pt idx="42">
                  <c:v>21-03-2014</c:v>
                </c:pt>
                <c:pt idx="43">
                  <c:v>24-03-2014</c:v>
                </c:pt>
                <c:pt idx="44">
                  <c:v>25-03-2014</c:v>
                </c:pt>
                <c:pt idx="45">
                  <c:v>26-03-2014</c:v>
                </c:pt>
                <c:pt idx="46">
                  <c:v>27-03-2014</c:v>
                </c:pt>
                <c:pt idx="47">
                  <c:v>28-03-2014</c:v>
                </c:pt>
                <c:pt idx="48">
                  <c:v>31-03-2014</c:v>
                </c:pt>
                <c:pt idx="49">
                  <c:v>41643</c:v>
                </c:pt>
                <c:pt idx="50">
                  <c:v>41674</c:v>
                </c:pt>
                <c:pt idx="51">
                  <c:v>41702</c:v>
                </c:pt>
                <c:pt idx="52">
                  <c:v>41733</c:v>
                </c:pt>
                <c:pt idx="53">
                  <c:v>41824</c:v>
                </c:pt>
                <c:pt idx="54">
                  <c:v>41855</c:v>
                </c:pt>
                <c:pt idx="55">
                  <c:v>41886</c:v>
                </c:pt>
                <c:pt idx="56">
                  <c:v>41916</c:v>
                </c:pt>
                <c:pt idx="57">
                  <c:v>41947</c:v>
                </c:pt>
                <c:pt idx="58">
                  <c:v>14-04-2014</c:v>
                </c:pt>
                <c:pt idx="59">
                  <c:v>15-04-2014</c:v>
                </c:pt>
                <c:pt idx="60">
                  <c:v>16-04-2014</c:v>
                </c:pt>
                <c:pt idx="61">
                  <c:v>17-04-2014</c:v>
                </c:pt>
                <c:pt idx="62">
                  <c:v>21-04-2014</c:v>
                </c:pt>
                <c:pt idx="63">
                  <c:v>22-04-2014</c:v>
                </c:pt>
                <c:pt idx="64">
                  <c:v>23-04-2014</c:v>
                </c:pt>
                <c:pt idx="65">
                  <c:v>24-04-2014</c:v>
                </c:pt>
                <c:pt idx="66">
                  <c:v>25-04-2014</c:v>
                </c:pt>
                <c:pt idx="67">
                  <c:v>28-04-2014</c:v>
                </c:pt>
                <c:pt idx="68">
                  <c:v>29-04-2014</c:v>
                </c:pt>
                <c:pt idx="69">
                  <c:v>30-04-2014</c:v>
                </c:pt>
                <c:pt idx="70">
                  <c:v>41644</c:v>
                </c:pt>
                <c:pt idx="71">
                  <c:v>41675</c:v>
                </c:pt>
                <c:pt idx="72">
                  <c:v>41764</c:v>
                </c:pt>
                <c:pt idx="73">
                  <c:v>41795</c:v>
                </c:pt>
                <c:pt idx="74">
                  <c:v>41825</c:v>
                </c:pt>
                <c:pt idx="75">
                  <c:v>41856</c:v>
                </c:pt>
                <c:pt idx="76">
                  <c:v>41887</c:v>
                </c:pt>
                <c:pt idx="77">
                  <c:v>41978</c:v>
                </c:pt>
                <c:pt idx="78">
                  <c:v>13-05-2014</c:v>
                </c:pt>
                <c:pt idx="79">
                  <c:v>14-05-2014</c:v>
                </c:pt>
                <c:pt idx="80">
                  <c:v>15-05-2014</c:v>
                </c:pt>
                <c:pt idx="81">
                  <c:v>16-05-2014</c:v>
                </c:pt>
                <c:pt idx="82">
                  <c:v>19-05-2014</c:v>
                </c:pt>
                <c:pt idx="83">
                  <c:v>20-05-2014</c:v>
                </c:pt>
                <c:pt idx="84">
                  <c:v>21-05-2014</c:v>
                </c:pt>
                <c:pt idx="85">
                  <c:v>22-05-2014</c:v>
                </c:pt>
                <c:pt idx="86">
                  <c:v>23-05-2014</c:v>
                </c:pt>
                <c:pt idx="87">
                  <c:v>27-05-2014</c:v>
                </c:pt>
                <c:pt idx="88">
                  <c:v>28-05-2014</c:v>
                </c:pt>
                <c:pt idx="89">
                  <c:v>29-05-2014</c:v>
                </c:pt>
                <c:pt idx="90">
                  <c:v>30-05-2014</c:v>
                </c:pt>
                <c:pt idx="91">
                  <c:v>41676</c:v>
                </c:pt>
                <c:pt idx="92">
                  <c:v>41704</c:v>
                </c:pt>
                <c:pt idx="93">
                  <c:v>41735</c:v>
                </c:pt>
                <c:pt idx="94">
                  <c:v>41765</c:v>
                </c:pt>
                <c:pt idx="95">
                  <c:v>41796</c:v>
                </c:pt>
                <c:pt idx="96">
                  <c:v>41888</c:v>
                </c:pt>
                <c:pt idx="97">
                  <c:v>41918</c:v>
                </c:pt>
                <c:pt idx="98">
                  <c:v>41949</c:v>
                </c:pt>
                <c:pt idx="99">
                  <c:v>41979</c:v>
                </c:pt>
                <c:pt idx="100">
                  <c:v>13-06-2014</c:v>
                </c:pt>
                <c:pt idx="101">
                  <c:v>16-06-2014</c:v>
                </c:pt>
                <c:pt idx="102">
                  <c:v>17-06-2014</c:v>
                </c:pt>
                <c:pt idx="103">
                  <c:v>18-06-2014</c:v>
                </c:pt>
                <c:pt idx="104">
                  <c:v>19-06-2014</c:v>
                </c:pt>
                <c:pt idx="105">
                  <c:v>20-06-2014</c:v>
                </c:pt>
                <c:pt idx="106">
                  <c:v>23-06-2014</c:v>
                </c:pt>
                <c:pt idx="107">
                  <c:v>24-06-2014</c:v>
                </c:pt>
                <c:pt idx="108">
                  <c:v>25-06-2014</c:v>
                </c:pt>
                <c:pt idx="109">
                  <c:v>26-06-2014</c:v>
                </c:pt>
                <c:pt idx="110">
                  <c:v>27-06-2014</c:v>
                </c:pt>
                <c:pt idx="111">
                  <c:v>30-06-2014</c:v>
                </c:pt>
                <c:pt idx="112">
                  <c:v>41646</c:v>
                </c:pt>
                <c:pt idx="113">
                  <c:v>41677</c:v>
                </c:pt>
                <c:pt idx="114">
                  <c:v>41705</c:v>
                </c:pt>
                <c:pt idx="115">
                  <c:v>41827</c:v>
                </c:pt>
                <c:pt idx="116">
                  <c:v>41858</c:v>
                </c:pt>
                <c:pt idx="117">
                  <c:v>41889</c:v>
                </c:pt>
                <c:pt idx="118">
                  <c:v>41919</c:v>
                </c:pt>
                <c:pt idx="119">
                  <c:v>41950</c:v>
                </c:pt>
                <c:pt idx="120">
                  <c:v>14-07-2014</c:v>
                </c:pt>
                <c:pt idx="121">
                  <c:v>15-07-2014</c:v>
                </c:pt>
                <c:pt idx="122">
                  <c:v>16-07-2014</c:v>
                </c:pt>
                <c:pt idx="123">
                  <c:v>17-07-2014</c:v>
                </c:pt>
                <c:pt idx="124">
                  <c:v>18-07-2014</c:v>
                </c:pt>
                <c:pt idx="125">
                  <c:v>21-07-2014</c:v>
                </c:pt>
                <c:pt idx="126">
                  <c:v>22-07-2014</c:v>
                </c:pt>
                <c:pt idx="127">
                  <c:v>23-07-2014</c:v>
                </c:pt>
                <c:pt idx="128">
                  <c:v>24-07-2014</c:v>
                </c:pt>
                <c:pt idx="129">
                  <c:v>25-07-2014</c:v>
                </c:pt>
                <c:pt idx="130">
                  <c:v>28-07-2014</c:v>
                </c:pt>
                <c:pt idx="131">
                  <c:v>29-07-2014</c:v>
                </c:pt>
                <c:pt idx="132">
                  <c:v>30-07-2014</c:v>
                </c:pt>
                <c:pt idx="133">
                  <c:v>31-07-2014</c:v>
                </c:pt>
                <c:pt idx="134">
                  <c:v>41647</c:v>
                </c:pt>
                <c:pt idx="135">
                  <c:v>41737</c:v>
                </c:pt>
                <c:pt idx="136">
                  <c:v>41767</c:v>
                </c:pt>
                <c:pt idx="137">
                  <c:v>41798</c:v>
                </c:pt>
                <c:pt idx="138">
                  <c:v>41828</c:v>
                </c:pt>
                <c:pt idx="139">
                  <c:v>41859</c:v>
                </c:pt>
                <c:pt idx="140">
                  <c:v>41951</c:v>
                </c:pt>
                <c:pt idx="141">
                  <c:v>41981</c:v>
                </c:pt>
                <c:pt idx="142">
                  <c:v>13-08-2014</c:v>
                </c:pt>
                <c:pt idx="143">
                  <c:v>14-08-2014</c:v>
                </c:pt>
                <c:pt idx="144">
                  <c:v>15-08-2014</c:v>
                </c:pt>
                <c:pt idx="145">
                  <c:v>18-08-2014</c:v>
                </c:pt>
                <c:pt idx="146">
                  <c:v>19-08-2014</c:v>
                </c:pt>
                <c:pt idx="147">
                  <c:v>20-08-2014</c:v>
                </c:pt>
                <c:pt idx="148">
                  <c:v>21-08-2014</c:v>
                </c:pt>
                <c:pt idx="149">
                  <c:v>22-08-2014</c:v>
                </c:pt>
                <c:pt idx="150">
                  <c:v>25-08-2014</c:v>
                </c:pt>
                <c:pt idx="151">
                  <c:v>26-08-2014</c:v>
                </c:pt>
                <c:pt idx="152">
                  <c:v>27-08-2014</c:v>
                </c:pt>
                <c:pt idx="153">
                  <c:v>28-08-2014</c:v>
                </c:pt>
                <c:pt idx="154">
                  <c:v>29-08-2014</c:v>
                </c:pt>
                <c:pt idx="155">
                  <c:v>41679</c:v>
                </c:pt>
                <c:pt idx="156">
                  <c:v>41707</c:v>
                </c:pt>
                <c:pt idx="157">
                  <c:v>41738</c:v>
                </c:pt>
                <c:pt idx="158">
                  <c:v>41768</c:v>
                </c:pt>
                <c:pt idx="159">
                  <c:v>41860</c:v>
                </c:pt>
                <c:pt idx="160">
                  <c:v>41891</c:v>
                </c:pt>
                <c:pt idx="161">
                  <c:v>41921</c:v>
                </c:pt>
                <c:pt idx="162">
                  <c:v>41952</c:v>
                </c:pt>
                <c:pt idx="163">
                  <c:v>41982</c:v>
                </c:pt>
                <c:pt idx="164">
                  <c:v>15-09-2014</c:v>
                </c:pt>
                <c:pt idx="165">
                  <c:v>16-09-2014</c:v>
                </c:pt>
                <c:pt idx="166">
                  <c:v>17-09-2014</c:v>
                </c:pt>
                <c:pt idx="167">
                  <c:v>18-09-2014</c:v>
                </c:pt>
                <c:pt idx="168">
                  <c:v>19-09-2014</c:v>
                </c:pt>
                <c:pt idx="169">
                  <c:v>22-09-2014</c:v>
                </c:pt>
                <c:pt idx="170">
                  <c:v>23-09-2014</c:v>
                </c:pt>
                <c:pt idx="171">
                  <c:v>24-09-2014</c:v>
                </c:pt>
                <c:pt idx="172">
                  <c:v>25-09-2014</c:v>
                </c:pt>
                <c:pt idx="173">
                  <c:v>26-09-2014</c:v>
                </c:pt>
                <c:pt idx="174">
                  <c:v>29-09-2014</c:v>
                </c:pt>
                <c:pt idx="175">
                  <c:v>30-09-2014</c:v>
                </c:pt>
                <c:pt idx="176">
                  <c:v>41649</c:v>
                </c:pt>
                <c:pt idx="177">
                  <c:v>41680</c:v>
                </c:pt>
                <c:pt idx="178">
                  <c:v>41708</c:v>
                </c:pt>
                <c:pt idx="179">
                  <c:v>41800</c:v>
                </c:pt>
                <c:pt idx="180">
                  <c:v>41830</c:v>
                </c:pt>
                <c:pt idx="181">
                  <c:v>41861</c:v>
                </c:pt>
                <c:pt idx="182">
                  <c:v>41892</c:v>
                </c:pt>
                <c:pt idx="183">
                  <c:v>41922</c:v>
                </c:pt>
                <c:pt idx="184">
                  <c:v>13-10-2014</c:v>
                </c:pt>
                <c:pt idx="185">
                  <c:v>14-10-2014</c:v>
                </c:pt>
                <c:pt idx="186">
                  <c:v>15-10-2014</c:v>
                </c:pt>
                <c:pt idx="187">
                  <c:v>16-10-2014</c:v>
                </c:pt>
                <c:pt idx="188">
                  <c:v>17-10-2014</c:v>
                </c:pt>
                <c:pt idx="189">
                  <c:v>20-10-2014</c:v>
                </c:pt>
                <c:pt idx="190">
                  <c:v>21-10-2014</c:v>
                </c:pt>
                <c:pt idx="191">
                  <c:v>22-10-2014</c:v>
                </c:pt>
                <c:pt idx="192">
                  <c:v>23-10-2014</c:v>
                </c:pt>
                <c:pt idx="193">
                  <c:v>24-10-2014</c:v>
                </c:pt>
                <c:pt idx="194">
                  <c:v>27-10-2014</c:v>
                </c:pt>
                <c:pt idx="195">
                  <c:v>28-10-2014</c:v>
                </c:pt>
                <c:pt idx="196">
                  <c:v>29-10-2014</c:v>
                </c:pt>
                <c:pt idx="197">
                  <c:v>30-10-2014</c:v>
                </c:pt>
                <c:pt idx="198">
                  <c:v>31-10-2014</c:v>
                </c:pt>
                <c:pt idx="199">
                  <c:v>41709</c:v>
                </c:pt>
                <c:pt idx="200">
                  <c:v>41740</c:v>
                </c:pt>
                <c:pt idx="201">
                  <c:v>41770</c:v>
                </c:pt>
                <c:pt idx="202">
                  <c:v>41801</c:v>
                </c:pt>
                <c:pt idx="203">
                  <c:v>41831</c:v>
                </c:pt>
                <c:pt idx="204">
                  <c:v>41923</c:v>
                </c:pt>
                <c:pt idx="205">
                  <c:v>41954</c:v>
                </c:pt>
                <c:pt idx="206">
                  <c:v>41984</c:v>
                </c:pt>
                <c:pt idx="207">
                  <c:v>13-11-2014</c:v>
                </c:pt>
                <c:pt idx="208">
                  <c:v>14-11-2014</c:v>
                </c:pt>
                <c:pt idx="209">
                  <c:v>17-11-2014</c:v>
                </c:pt>
                <c:pt idx="210">
                  <c:v>18-11-2014</c:v>
                </c:pt>
                <c:pt idx="211">
                  <c:v>19-11-2014</c:v>
                </c:pt>
                <c:pt idx="212">
                  <c:v>20-11-2014</c:v>
                </c:pt>
                <c:pt idx="213">
                  <c:v>21-11-2014</c:v>
                </c:pt>
                <c:pt idx="214">
                  <c:v>24-11-2014</c:v>
                </c:pt>
                <c:pt idx="215">
                  <c:v>25-11-2014</c:v>
                </c:pt>
                <c:pt idx="216">
                  <c:v>26-11-2014</c:v>
                </c:pt>
                <c:pt idx="217">
                  <c:v>28-11-2014</c:v>
                </c:pt>
                <c:pt idx="218">
                  <c:v>41651</c:v>
                </c:pt>
                <c:pt idx="219">
                  <c:v>41682</c:v>
                </c:pt>
                <c:pt idx="220">
                  <c:v>41710</c:v>
                </c:pt>
                <c:pt idx="221">
                  <c:v>41741</c:v>
                </c:pt>
                <c:pt idx="222">
                  <c:v>41771</c:v>
                </c:pt>
                <c:pt idx="223">
                  <c:v>41863</c:v>
                </c:pt>
                <c:pt idx="224">
                  <c:v>41894</c:v>
                </c:pt>
                <c:pt idx="225">
                  <c:v>41924</c:v>
                </c:pt>
                <c:pt idx="226">
                  <c:v>41955</c:v>
                </c:pt>
                <c:pt idx="227">
                  <c:v>41985</c:v>
                </c:pt>
                <c:pt idx="228">
                  <c:v>15-12-2014</c:v>
                </c:pt>
                <c:pt idx="229">
                  <c:v>16-12-2014</c:v>
                </c:pt>
                <c:pt idx="230">
                  <c:v>17-12-2014</c:v>
                </c:pt>
                <c:pt idx="231">
                  <c:v>18-12-2014</c:v>
                </c:pt>
                <c:pt idx="232">
                  <c:v>19-12-2014</c:v>
                </c:pt>
                <c:pt idx="233">
                  <c:v>22-12-2014</c:v>
                </c:pt>
                <c:pt idx="234">
                  <c:v>23-12-2014</c:v>
                </c:pt>
                <c:pt idx="235">
                  <c:v>24-12-2014</c:v>
                </c:pt>
                <c:pt idx="236">
                  <c:v>26-12-2014</c:v>
                </c:pt>
                <c:pt idx="237">
                  <c:v>29-12-2014</c:v>
                </c:pt>
                <c:pt idx="238">
                  <c:v>30-12-2014</c:v>
                </c:pt>
                <c:pt idx="239">
                  <c:v>31-12-2014</c:v>
                </c:pt>
                <c:pt idx="240">
                  <c:v>42036</c:v>
                </c:pt>
                <c:pt idx="241">
                  <c:v>42125</c:v>
                </c:pt>
                <c:pt idx="242">
                  <c:v>42156</c:v>
                </c:pt>
                <c:pt idx="243">
                  <c:v>42186</c:v>
                </c:pt>
                <c:pt idx="244">
                  <c:v>42217</c:v>
                </c:pt>
                <c:pt idx="245">
                  <c:v>42248</c:v>
                </c:pt>
                <c:pt idx="246">
                  <c:v>42339</c:v>
                </c:pt>
                <c:pt idx="247">
                  <c:v>13-01-2015</c:v>
                </c:pt>
                <c:pt idx="248">
                  <c:v>14-01-2015</c:v>
                </c:pt>
                <c:pt idx="249">
                  <c:v>15-01-2015</c:v>
                </c:pt>
                <c:pt idx="250">
                  <c:v>16-01-2015</c:v>
                </c:pt>
                <c:pt idx="251">
                  <c:v>20-01-2015</c:v>
                </c:pt>
                <c:pt idx="252">
                  <c:v>21-01-2015</c:v>
                </c:pt>
                <c:pt idx="253">
                  <c:v>22-01-2015</c:v>
                </c:pt>
                <c:pt idx="254">
                  <c:v>23-01-2015</c:v>
                </c:pt>
                <c:pt idx="255">
                  <c:v>26-01-2015</c:v>
                </c:pt>
                <c:pt idx="256">
                  <c:v>27-01-2015</c:v>
                </c:pt>
                <c:pt idx="257">
                  <c:v>28-01-2015</c:v>
                </c:pt>
                <c:pt idx="258">
                  <c:v>29-01-2015</c:v>
                </c:pt>
                <c:pt idx="259">
                  <c:v>30-01-2015</c:v>
                </c:pt>
                <c:pt idx="260">
                  <c:v>42037</c:v>
                </c:pt>
                <c:pt idx="261">
                  <c:v>42065</c:v>
                </c:pt>
                <c:pt idx="262">
                  <c:v>42096</c:v>
                </c:pt>
                <c:pt idx="263">
                  <c:v>42126</c:v>
                </c:pt>
                <c:pt idx="264">
                  <c:v>42157</c:v>
                </c:pt>
                <c:pt idx="265">
                  <c:v>42249</c:v>
                </c:pt>
                <c:pt idx="266">
                  <c:v>42279</c:v>
                </c:pt>
                <c:pt idx="267">
                  <c:v>42310</c:v>
                </c:pt>
                <c:pt idx="268">
                  <c:v>42340</c:v>
                </c:pt>
                <c:pt idx="269">
                  <c:v>13-02-2015</c:v>
                </c:pt>
                <c:pt idx="270">
                  <c:v>17-02-2015</c:v>
                </c:pt>
                <c:pt idx="271">
                  <c:v>18-02-2015</c:v>
                </c:pt>
                <c:pt idx="272">
                  <c:v>19-02-2015</c:v>
                </c:pt>
                <c:pt idx="273">
                  <c:v>20-02-2015</c:v>
                </c:pt>
                <c:pt idx="274">
                  <c:v>23-02-2015</c:v>
                </c:pt>
                <c:pt idx="275">
                  <c:v>24-02-2015</c:v>
                </c:pt>
                <c:pt idx="276">
                  <c:v>25-02-2015</c:v>
                </c:pt>
                <c:pt idx="277">
                  <c:v>26-02-2015</c:v>
                </c:pt>
                <c:pt idx="278">
                  <c:v>27-02-2015</c:v>
                </c:pt>
                <c:pt idx="279">
                  <c:v>42038</c:v>
                </c:pt>
                <c:pt idx="280">
                  <c:v>42066</c:v>
                </c:pt>
                <c:pt idx="281">
                  <c:v>42097</c:v>
                </c:pt>
                <c:pt idx="282">
                  <c:v>42127</c:v>
                </c:pt>
                <c:pt idx="283">
                  <c:v>42158</c:v>
                </c:pt>
                <c:pt idx="284">
                  <c:v>42250</c:v>
                </c:pt>
                <c:pt idx="285">
                  <c:v>42280</c:v>
                </c:pt>
                <c:pt idx="286">
                  <c:v>42311</c:v>
                </c:pt>
                <c:pt idx="287">
                  <c:v>42341</c:v>
                </c:pt>
                <c:pt idx="288">
                  <c:v>13-03-2015</c:v>
                </c:pt>
                <c:pt idx="289">
                  <c:v>16-03-2015</c:v>
                </c:pt>
                <c:pt idx="290">
                  <c:v>17-03-2015</c:v>
                </c:pt>
                <c:pt idx="291">
                  <c:v>18-03-2015</c:v>
                </c:pt>
                <c:pt idx="292">
                  <c:v>19-03-2015</c:v>
                </c:pt>
                <c:pt idx="293">
                  <c:v>20-03-2015</c:v>
                </c:pt>
                <c:pt idx="294">
                  <c:v>23-03-2015</c:v>
                </c:pt>
                <c:pt idx="295">
                  <c:v>24-03-2015</c:v>
                </c:pt>
                <c:pt idx="296">
                  <c:v>25-03-2015</c:v>
                </c:pt>
                <c:pt idx="297">
                  <c:v>26-03-2015</c:v>
                </c:pt>
                <c:pt idx="298">
                  <c:v>27-03-2015</c:v>
                </c:pt>
                <c:pt idx="299">
                  <c:v>30-03-2015</c:v>
                </c:pt>
                <c:pt idx="300">
                  <c:v>31-03-2015</c:v>
                </c:pt>
                <c:pt idx="301">
                  <c:v>42008</c:v>
                </c:pt>
                <c:pt idx="302">
                  <c:v>42039</c:v>
                </c:pt>
                <c:pt idx="303">
                  <c:v>42159</c:v>
                </c:pt>
                <c:pt idx="304">
                  <c:v>42189</c:v>
                </c:pt>
                <c:pt idx="305">
                  <c:v>42220</c:v>
                </c:pt>
                <c:pt idx="306">
                  <c:v>42251</c:v>
                </c:pt>
                <c:pt idx="307">
                  <c:v>42281</c:v>
                </c:pt>
                <c:pt idx="308">
                  <c:v>13-04-2015</c:v>
                </c:pt>
                <c:pt idx="309">
                  <c:v>14-04-2015</c:v>
                </c:pt>
                <c:pt idx="310">
                  <c:v>15-04-2015</c:v>
                </c:pt>
                <c:pt idx="311">
                  <c:v>16-04-2015</c:v>
                </c:pt>
                <c:pt idx="312">
                  <c:v>17-04-2015</c:v>
                </c:pt>
                <c:pt idx="313">
                  <c:v>20-04-2015</c:v>
                </c:pt>
                <c:pt idx="314">
                  <c:v>21-04-2015</c:v>
                </c:pt>
                <c:pt idx="315">
                  <c:v>22-04-2015</c:v>
                </c:pt>
                <c:pt idx="316">
                  <c:v>23-04-2015</c:v>
                </c:pt>
                <c:pt idx="317">
                  <c:v>24-04-2015</c:v>
                </c:pt>
                <c:pt idx="318">
                  <c:v>27-04-2015</c:v>
                </c:pt>
                <c:pt idx="319">
                  <c:v>28-04-2015</c:v>
                </c:pt>
                <c:pt idx="320">
                  <c:v>29-04-2015</c:v>
                </c:pt>
                <c:pt idx="321">
                  <c:v>30-04-2015</c:v>
                </c:pt>
                <c:pt idx="322">
                  <c:v>42009</c:v>
                </c:pt>
                <c:pt idx="323">
                  <c:v>42099</c:v>
                </c:pt>
                <c:pt idx="324">
                  <c:v>42129</c:v>
                </c:pt>
                <c:pt idx="325">
                  <c:v>42160</c:v>
                </c:pt>
                <c:pt idx="326">
                  <c:v>42190</c:v>
                </c:pt>
                <c:pt idx="327">
                  <c:v>42221</c:v>
                </c:pt>
                <c:pt idx="328">
                  <c:v>42313</c:v>
                </c:pt>
                <c:pt idx="329">
                  <c:v>42343</c:v>
                </c:pt>
                <c:pt idx="330">
                  <c:v>13-05-2015</c:v>
                </c:pt>
                <c:pt idx="331">
                  <c:v>14-05-2015</c:v>
                </c:pt>
                <c:pt idx="332">
                  <c:v>15-05-2015</c:v>
                </c:pt>
                <c:pt idx="333">
                  <c:v>18-05-2015</c:v>
                </c:pt>
                <c:pt idx="334">
                  <c:v>19-05-2015</c:v>
                </c:pt>
                <c:pt idx="335">
                  <c:v>20-05-2015</c:v>
                </c:pt>
                <c:pt idx="336">
                  <c:v>21-05-2015</c:v>
                </c:pt>
                <c:pt idx="337">
                  <c:v>22-05-2015</c:v>
                </c:pt>
                <c:pt idx="338">
                  <c:v>26-05-2015</c:v>
                </c:pt>
                <c:pt idx="339">
                  <c:v>27-05-2015</c:v>
                </c:pt>
                <c:pt idx="340">
                  <c:v>28-05-2015</c:v>
                </c:pt>
                <c:pt idx="341">
                  <c:v>29-05-2015</c:v>
                </c:pt>
                <c:pt idx="342">
                  <c:v>42010</c:v>
                </c:pt>
                <c:pt idx="343">
                  <c:v>42041</c:v>
                </c:pt>
                <c:pt idx="344">
                  <c:v>42069</c:v>
                </c:pt>
                <c:pt idx="345">
                  <c:v>42100</c:v>
                </c:pt>
                <c:pt idx="346">
                  <c:v>42130</c:v>
                </c:pt>
                <c:pt idx="347">
                  <c:v>42222</c:v>
                </c:pt>
                <c:pt idx="348">
                  <c:v>42253</c:v>
                </c:pt>
                <c:pt idx="349">
                  <c:v>42283</c:v>
                </c:pt>
                <c:pt idx="350">
                  <c:v>42314</c:v>
                </c:pt>
                <c:pt idx="351">
                  <c:v>42344</c:v>
                </c:pt>
                <c:pt idx="352">
                  <c:v>15-06-2015</c:v>
                </c:pt>
                <c:pt idx="353">
                  <c:v>16-06-2015</c:v>
                </c:pt>
                <c:pt idx="354">
                  <c:v>17-06-2015</c:v>
                </c:pt>
                <c:pt idx="355">
                  <c:v>18-06-2015</c:v>
                </c:pt>
                <c:pt idx="356">
                  <c:v>19-06-2015</c:v>
                </c:pt>
                <c:pt idx="357">
                  <c:v>22-06-2015</c:v>
                </c:pt>
                <c:pt idx="358">
                  <c:v>23-06-2015</c:v>
                </c:pt>
                <c:pt idx="359">
                  <c:v>24-06-2015</c:v>
                </c:pt>
                <c:pt idx="360">
                  <c:v>25-06-2015</c:v>
                </c:pt>
                <c:pt idx="361">
                  <c:v>26-06-2015</c:v>
                </c:pt>
                <c:pt idx="362">
                  <c:v>29-06-2015</c:v>
                </c:pt>
                <c:pt idx="363">
                  <c:v>30-06-2015</c:v>
                </c:pt>
                <c:pt idx="364">
                  <c:v>42011</c:v>
                </c:pt>
                <c:pt idx="365">
                  <c:v>42042</c:v>
                </c:pt>
                <c:pt idx="366">
                  <c:v>42162</c:v>
                </c:pt>
                <c:pt idx="367">
                  <c:v>42192</c:v>
                </c:pt>
                <c:pt idx="368">
                  <c:v>42223</c:v>
                </c:pt>
                <c:pt idx="369">
                  <c:v>42254</c:v>
                </c:pt>
                <c:pt idx="370">
                  <c:v>42284</c:v>
                </c:pt>
                <c:pt idx="371">
                  <c:v>13-07-2015</c:v>
                </c:pt>
                <c:pt idx="372">
                  <c:v>14-07-2015</c:v>
                </c:pt>
                <c:pt idx="373">
                  <c:v>15-07-2015</c:v>
                </c:pt>
                <c:pt idx="374">
                  <c:v>16-07-2015</c:v>
                </c:pt>
                <c:pt idx="375">
                  <c:v>17-07-2015</c:v>
                </c:pt>
                <c:pt idx="376">
                  <c:v>20-07-2015</c:v>
                </c:pt>
                <c:pt idx="377">
                  <c:v>21-07-2015</c:v>
                </c:pt>
                <c:pt idx="378">
                  <c:v>22-07-2015</c:v>
                </c:pt>
                <c:pt idx="379">
                  <c:v>23-07-2015</c:v>
                </c:pt>
                <c:pt idx="380">
                  <c:v>24-07-2015</c:v>
                </c:pt>
                <c:pt idx="381">
                  <c:v>27-07-2015</c:v>
                </c:pt>
                <c:pt idx="382">
                  <c:v>28-07-2015</c:v>
                </c:pt>
                <c:pt idx="383">
                  <c:v>29-07-2015</c:v>
                </c:pt>
                <c:pt idx="384">
                  <c:v>30-07-2015</c:v>
                </c:pt>
                <c:pt idx="385">
                  <c:v>31-07-2015</c:v>
                </c:pt>
                <c:pt idx="386">
                  <c:v>42071</c:v>
                </c:pt>
                <c:pt idx="387">
                  <c:v>42102</c:v>
                </c:pt>
                <c:pt idx="388">
                  <c:v>42132</c:v>
                </c:pt>
                <c:pt idx="389">
                  <c:v>42163</c:v>
                </c:pt>
                <c:pt idx="390">
                  <c:v>42193</c:v>
                </c:pt>
                <c:pt idx="391">
                  <c:v>42285</c:v>
                </c:pt>
                <c:pt idx="392">
                  <c:v>42316</c:v>
                </c:pt>
                <c:pt idx="393">
                  <c:v>42346</c:v>
                </c:pt>
                <c:pt idx="394">
                  <c:v>13-08-2015</c:v>
                </c:pt>
                <c:pt idx="395">
                  <c:v>14-08-2015</c:v>
                </c:pt>
                <c:pt idx="396">
                  <c:v>17-08-2015</c:v>
                </c:pt>
                <c:pt idx="397">
                  <c:v>18-08-2015</c:v>
                </c:pt>
                <c:pt idx="398">
                  <c:v>19-08-2015</c:v>
                </c:pt>
                <c:pt idx="399">
                  <c:v>20-08-2015</c:v>
                </c:pt>
                <c:pt idx="400">
                  <c:v>21-08-2015</c:v>
                </c:pt>
                <c:pt idx="401">
                  <c:v>24-08-2015</c:v>
                </c:pt>
                <c:pt idx="402">
                  <c:v>25-08-2015</c:v>
                </c:pt>
                <c:pt idx="403">
                  <c:v>26-08-2015</c:v>
                </c:pt>
                <c:pt idx="404">
                  <c:v>27-08-2015</c:v>
                </c:pt>
                <c:pt idx="405">
                  <c:v>28-08-2015</c:v>
                </c:pt>
                <c:pt idx="406">
                  <c:v>31-08-2015</c:v>
                </c:pt>
                <c:pt idx="407">
                  <c:v>42013</c:v>
                </c:pt>
                <c:pt idx="408">
                  <c:v>42044</c:v>
                </c:pt>
                <c:pt idx="409">
                  <c:v>42072</c:v>
                </c:pt>
                <c:pt idx="410">
                  <c:v>42103</c:v>
                </c:pt>
                <c:pt idx="411">
                  <c:v>42225</c:v>
                </c:pt>
                <c:pt idx="412">
                  <c:v>42256</c:v>
                </c:pt>
                <c:pt idx="413">
                  <c:v>42286</c:v>
                </c:pt>
                <c:pt idx="414">
                  <c:v>42317</c:v>
                </c:pt>
                <c:pt idx="415">
                  <c:v>14-09-2015</c:v>
                </c:pt>
                <c:pt idx="416">
                  <c:v>15-09-2015</c:v>
                </c:pt>
                <c:pt idx="417">
                  <c:v>16-09-2015</c:v>
                </c:pt>
                <c:pt idx="418">
                  <c:v>17-09-2015</c:v>
                </c:pt>
                <c:pt idx="419">
                  <c:v>18-09-2015</c:v>
                </c:pt>
                <c:pt idx="420">
                  <c:v>21-09-2015</c:v>
                </c:pt>
                <c:pt idx="421">
                  <c:v>22-09-2015</c:v>
                </c:pt>
                <c:pt idx="422">
                  <c:v>23-09-2015</c:v>
                </c:pt>
                <c:pt idx="423">
                  <c:v>24-09-2015</c:v>
                </c:pt>
                <c:pt idx="424">
                  <c:v>25-09-2015</c:v>
                </c:pt>
                <c:pt idx="425">
                  <c:v>28-09-2015</c:v>
                </c:pt>
                <c:pt idx="426">
                  <c:v>29-09-2015</c:v>
                </c:pt>
                <c:pt idx="427">
                  <c:v>30-09-2015</c:v>
                </c:pt>
                <c:pt idx="428">
                  <c:v>42014</c:v>
                </c:pt>
                <c:pt idx="429">
                  <c:v>42045</c:v>
                </c:pt>
                <c:pt idx="430">
                  <c:v>42134</c:v>
                </c:pt>
                <c:pt idx="431">
                  <c:v>42165</c:v>
                </c:pt>
                <c:pt idx="432">
                  <c:v>42195</c:v>
                </c:pt>
                <c:pt idx="433">
                  <c:v>42226</c:v>
                </c:pt>
                <c:pt idx="434">
                  <c:v>42257</c:v>
                </c:pt>
                <c:pt idx="435">
                  <c:v>42348</c:v>
                </c:pt>
                <c:pt idx="436">
                  <c:v>13-10-2015</c:v>
                </c:pt>
                <c:pt idx="437">
                  <c:v>14-10-2015</c:v>
                </c:pt>
                <c:pt idx="438">
                  <c:v>15-10-2015</c:v>
                </c:pt>
                <c:pt idx="439">
                  <c:v>16-10-2015</c:v>
                </c:pt>
                <c:pt idx="440">
                  <c:v>19-10-2015</c:v>
                </c:pt>
                <c:pt idx="441">
                  <c:v>20-10-2015</c:v>
                </c:pt>
                <c:pt idx="442">
                  <c:v>21-10-2015</c:v>
                </c:pt>
                <c:pt idx="443">
                  <c:v>22-10-2015</c:v>
                </c:pt>
                <c:pt idx="444">
                  <c:v>23-10-2015</c:v>
                </c:pt>
                <c:pt idx="445">
                  <c:v>26-10-2015</c:v>
                </c:pt>
                <c:pt idx="446">
                  <c:v>27-10-2015</c:v>
                </c:pt>
                <c:pt idx="447">
                  <c:v>28-10-2015</c:v>
                </c:pt>
                <c:pt idx="448">
                  <c:v>29-10-2015</c:v>
                </c:pt>
                <c:pt idx="449">
                  <c:v>30-10-2015</c:v>
                </c:pt>
                <c:pt idx="450">
                  <c:v>42046</c:v>
                </c:pt>
                <c:pt idx="451">
                  <c:v>42074</c:v>
                </c:pt>
                <c:pt idx="452">
                  <c:v>42105</c:v>
                </c:pt>
                <c:pt idx="453">
                  <c:v>42135</c:v>
                </c:pt>
                <c:pt idx="454">
                  <c:v>42166</c:v>
                </c:pt>
                <c:pt idx="455">
                  <c:v>42258</c:v>
                </c:pt>
                <c:pt idx="456">
                  <c:v>42288</c:v>
                </c:pt>
                <c:pt idx="457">
                  <c:v>42319</c:v>
                </c:pt>
                <c:pt idx="458">
                  <c:v>42349</c:v>
                </c:pt>
                <c:pt idx="459">
                  <c:v>13-11-2015</c:v>
                </c:pt>
                <c:pt idx="460">
                  <c:v>16-11-2015</c:v>
                </c:pt>
                <c:pt idx="461">
                  <c:v>17-11-2015</c:v>
                </c:pt>
                <c:pt idx="462">
                  <c:v>18-11-2015</c:v>
                </c:pt>
                <c:pt idx="463">
                  <c:v>19-11-2015</c:v>
                </c:pt>
                <c:pt idx="464">
                  <c:v>20-11-2015</c:v>
                </c:pt>
                <c:pt idx="465">
                  <c:v>23-11-2015</c:v>
                </c:pt>
                <c:pt idx="466">
                  <c:v>24-11-2015</c:v>
                </c:pt>
                <c:pt idx="467">
                  <c:v>25-11-2015</c:v>
                </c:pt>
                <c:pt idx="468">
                  <c:v>27-11-2015</c:v>
                </c:pt>
                <c:pt idx="469">
                  <c:v>30-11-2015</c:v>
                </c:pt>
                <c:pt idx="470">
                  <c:v>42016</c:v>
                </c:pt>
                <c:pt idx="471">
                  <c:v>42047</c:v>
                </c:pt>
                <c:pt idx="472">
                  <c:v>42075</c:v>
                </c:pt>
                <c:pt idx="473">
                  <c:v>42106</c:v>
                </c:pt>
                <c:pt idx="474">
                  <c:v>42197</c:v>
                </c:pt>
                <c:pt idx="475">
                  <c:v>42228</c:v>
                </c:pt>
                <c:pt idx="476">
                  <c:v>42259</c:v>
                </c:pt>
                <c:pt idx="477">
                  <c:v>42289</c:v>
                </c:pt>
                <c:pt idx="478">
                  <c:v>42320</c:v>
                </c:pt>
                <c:pt idx="479">
                  <c:v>14-12-2015</c:v>
                </c:pt>
                <c:pt idx="480">
                  <c:v>15-12-2015</c:v>
                </c:pt>
                <c:pt idx="481">
                  <c:v>16-12-2015</c:v>
                </c:pt>
                <c:pt idx="482">
                  <c:v>17-12-2015</c:v>
                </c:pt>
                <c:pt idx="483">
                  <c:v>18-12-2015</c:v>
                </c:pt>
                <c:pt idx="484">
                  <c:v>21-12-2015</c:v>
                </c:pt>
                <c:pt idx="485">
                  <c:v>22-12-2015</c:v>
                </c:pt>
                <c:pt idx="486">
                  <c:v>23-12-2015</c:v>
                </c:pt>
                <c:pt idx="487">
                  <c:v>24-12-2015</c:v>
                </c:pt>
                <c:pt idx="488">
                  <c:v>28-12-2015</c:v>
                </c:pt>
                <c:pt idx="489">
                  <c:v>29-12-2015</c:v>
                </c:pt>
                <c:pt idx="490">
                  <c:v>30-12-2015</c:v>
                </c:pt>
                <c:pt idx="491">
                  <c:v>31-12-2015</c:v>
                </c:pt>
                <c:pt idx="492">
                  <c:v>42461</c:v>
                </c:pt>
                <c:pt idx="493">
                  <c:v>42491</c:v>
                </c:pt>
                <c:pt idx="494">
                  <c:v>42522</c:v>
                </c:pt>
                <c:pt idx="495">
                  <c:v>42552</c:v>
                </c:pt>
                <c:pt idx="496">
                  <c:v>42583</c:v>
                </c:pt>
                <c:pt idx="497">
                  <c:v>42675</c:v>
                </c:pt>
                <c:pt idx="498">
                  <c:v>42705</c:v>
                </c:pt>
                <c:pt idx="499">
                  <c:v>13-01-2016</c:v>
                </c:pt>
                <c:pt idx="500">
                  <c:v>14-01-2016</c:v>
                </c:pt>
                <c:pt idx="501">
                  <c:v>15-01-2016</c:v>
                </c:pt>
                <c:pt idx="502">
                  <c:v>19-01-2016</c:v>
                </c:pt>
                <c:pt idx="503">
                  <c:v>20-01-2016</c:v>
                </c:pt>
                <c:pt idx="504">
                  <c:v>21-01-2016</c:v>
                </c:pt>
                <c:pt idx="505">
                  <c:v>22-01-2016</c:v>
                </c:pt>
                <c:pt idx="506">
                  <c:v>25-01-2016</c:v>
                </c:pt>
                <c:pt idx="507">
                  <c:v>26-01-2016</c:v>
                </c:pt>
                <c:pt idx="508">
                  <c:v>27-01-2016</c:v>
                </c:pt>
                <c:pt idx="509">
                  <c:v>28-01-2016</c:v>
                </c:pt>
                <c:pt idx="510">
                  <c:v>29-01-2016</c:v>
                </c:pt>
                <c:pt idx="511">
                  <c:v>42371</c:v>
                </c:pt>
                <c:pt idx="512">
                  <c:v>42402</c:v>
                </c:pt>
                <c:pt idx="513">
                  <c:v>42431</c:v>
                </c:pt>
                <c:pt idx="514">
                  <c:v>42462</c:v>
                </c:pt>
                <c:pt idx="515">
                  <c:v>42492</c:v>
                </c:pt>
                <c:pt idx="516">
                  <c:v>42584</c:v>
                </c:pt>
                <c:pt idx="517">
                  <c:v>42615</c:v>
                </c:pt>
                <c:pt idx="518">
                  <c:v>42645</c:v>
                </c:pt>
                <c:pt idx="519">
                  <c:v>42676</c:v>
                </c:pt>
                <c:pt idx="520">
                  <c:v>42706</c:v>
                </c:pt>
                <c:pt idx="521">
                  <c:v>16-02-2016</c:v>
                </c:pt>
                <c:pt idx="522">
                  <c:v>17-02-2016</c:v>
                </c:pt>
                <c:pt idx="523">
                  <c:v>18-02-2016</c:v>
                </c:pt>
                <c:pt idx="524">
                  <c:v>19-02-2016</c:v>
                </c:pt>
                <c:pt idx="525">
                  <c:v>22-02-2016</c:v>
                </c:pt>
                <c:pt idx="526">
                  <c:v>23-02-2016</c:v>
                </c:pt>
                <c:pt idx="527">
                  <c:v>24-02-2016</c:v>
                </c:pt>
                <c:pt idx="528">
                  <c:v>25-02-2016</c:v>
                </c:pt>
                <c:pt idx="529">
                  <c:v>26-02-2016</c:v>
                </c:pt>
                <c:pt idx="530">
                  <c:v>29-02-2016</c:v>
                </c:pt>
                <c:pt idx="531">
                  <c:v>42372</c:v>
                </c:pt>
                <c:pt idx="532">
                  <c:v>42403</c:v>
                </c:pt>
                <c:pt idx="533">
                  <c:v>42432</c:v>
                </c:pt>
                <c:pt idx="534">
                  <c:v>42463</c:v>
                </c:pt>
                <c:pt idx="535">
                  <c:v>42554</c:v>
                </c:pt>
                <c:pt idx="536">
                  <c:v>42585</c:v>
                </c:pt>
                <c:pt idx="537">
                  <c:v>42616</c:v>
                </c:pt>
                <c:pt idx="538">
                  <c:v>42646</c:v>
                </c:pt>
                <c:pt idx="539">
                  <c:v>42677</c:v>
                </c:pt>
                <c:pt idx="540">
                  <c:v>14-03-2016</c:v>
                </c:pt>
                <c:pt idx="541">
                  <c:v>15-03-2016</c:v>
                </c:pt>
                <c:pt idx="542">
                  <c:v>16-03-2016</c:v>
                </c:pt>
                <c:pt idx="543">
                  <c:v>17-03-2016</c:v>
                </c:pt>
                <c:pt idx="544">
                  <c:v>18-03-2016</c:v>
                </c:pt>
                <c:pt idx="545">
                  <c:v>21-03-2016</c:v>
                </c:pt>
                <c:pt idx="546">
                  <c:v>22-03-2016</c:v>
                </c:pt>
                <c:pt idx="547">
                  <c:v>23-03-2016</c:v>
                </c:pt>
                <c:pt idx="548">
                  <c:v>24-03-2016</c:v>
                </c:pt>
                <c:pt idx="549">
                  <c:v>28-03-2016</c:v>
                </c:pt>
                <c:pt idx="550">
                  <c:v>29-03-2016</c:v>
                </c:pt>
                <c:pt idx="551">
                  <c:v>30-03-2016</c:v>
                </c:pt>
                <c:pt idx="552">
                  <c:v>31-03-2016</c:v>
                </c:pt>
                <c:pt idx="553">
                  <c:v>42373</c:v>
                </c:pt>
                <c:pt idx="554">
                  <c:v>42464</c:v>
                </c:pt>
                <c:pt idx="555">
                  <c:v>42494</c:v>
                </c:pt>
                <c:pt idx="556">
                  <c:v>42525</c:v>
                </c:pt>
                <c:pt idx="557">
                  <c:v>42555</c:v>
                </c:pt>
                <c:pt idx="558">
                  <c:v>42586</c:v>
                </c:pt>
                <c:pt idx="559">
                  <c:v>42678</c:v>
                </c:pt>
                <c:pt idx="560">
                  <c:v>42708</c:v>
                </c:pt>
                <c:pt idx="561">
                  <c:v>13-04-2016</c:v>
                </c:pt>
                <c:pt idx="562">
                  <c:v>14-04-2016</c:v>
                </c:pt>
                <c:pt idx="563">
                  <c:v>15-04-2016</c:v>
                </c:pt>
                <c:pt idx="564">
                  <c:v>18-04-2016</c:v>
                </c:pt>
                <c:pt idx="565">
                  <c:v>19-04-2016</c:v>
                </c:pt>
                <c:pt idx="566">
                  <c:v>20-04-2016</c:v>
                </c:pt>
                <c:pt idx="567">
                  <c:v>21-04-2016</c:v>
                </c:pt>
                <c:pt idx="568">
                  <c:v>22-04-2016</c:v>
                </c:pt>
                <c:pt idx="569">
                  <c:v>25-04-2016</c:v>
                </c:pt>
                <c:pt idx="570">
                  <c:v>26-04-2016</c:v>
                </c:pt>
                <c:pt idx="571">
                  <c:v>27-04-2016</c:v>
                </c:pt>
                <c:pt idx="572">
                  <c:v>28-04-2016</c:v>
                </c:pt>
                <c:pt idx="573">
                  <c:v>29-04-2016</c:v>
                </c:pt>
                <c:pt idx="574">
                  <c:v>42405</c:v>
                </c:pt>
                <c:pt idx="575">
                  <c:v>42434</c:v>
                </c:pt>
                <c:pt idx="576">
                  <c:v>42465</c:v>
                </c:pt>
                <c:pt idx="577">
                  <c:v>42495</c:v>
                </c:pt>
                <c:pt idx="578">
                  <c:v>42526</c:v>
                </c:pt>
                <c:pt idx="579">
                  <c:v>42618</c:v>
                </c:pt>
                <c:pt idx="580">
                  <c:v>42648</c:v>
                </c:pt>
                <c:pt idx="581">
                  <c:v>42679</c:v>
                </c:pt>
                <c:pt idx="582">
                  <c:v>42709</c:v>
                </c:pt>
                <c:pt idx="583">
                  <c:v>13-05-2016</c:v>
                </c:pt>
                <c:pt idx="584">
                  <c:v>16-05-2016</c:v>
                </c:pt>
                <c:pt idx="585">
                  <c:v>17-05-2016</c:v>
                </c:pt>
                <c:pt idx="586">
                  <c:v>18-05-2016</c:v>
                </c:pt>
                <c:pt idx="587">
                  <c:v>19-05-2016</c:v>
                </c:pt>
                <c:pt idx="588">
                  <c:v>20-05-2016</c:v>
                </c:pt>
                <c:pt idx="589">
                  <c:v>23-05-2016</c:v>
                </c:pt>
                <c:pt idx="590">
                  <c:v>24-05-2016</c:v>
                </c:pt>
                <c:pt idx="591">
                  <c:v>25-05-2016</c:v>
                </c:pt>
                <c:pt idx="592">
                  <c:v>26-05-2016</c:v>
                </c:pt>
                <c:pt idx="593">
                  <c:v>27-05-2016</c:v>
                </c:pt>
                <c:pt idx="594">
                  <c:v>31-05-2016</c:v>
                </c:pt>
                <c:pt idx="595">
                  <c:v>42375</c:v>
                </c:pt>
                <c:pt idx="596">
                  <c:v>42406</c:v>
                </c:pt>
                <c:pt idx="597">
                  <c:v>42435</c:v>
                </c:pt>
                <c:pt idx="598">
                  <c:v>42527</c:v>
                </c:pt>
                <c:pt idx="599">
                  <c:v>42557</c:v>
                </c:pt>
                <c:pt idx="600">
                  <c:v>42588</c:v>
                </c:pt>
                <c:pt idx="601">
                  <c:v>42619</c:v>
                </c:pt>
                <c:pt idx="602">
                  <c:v>42649</c:v>
                </c:pt>
                <c:pt idx="603">
                  <c:v>13-06-2016</c:v>
                </c:pt>
                <c:pt idx="604">
                  <c:v>14-06-2016</c:v>
                </c:pt>
                <c:pt idx="605">
                  <c:v>15-06-2016</c:v>
                </c:pt>
                <c:pt idx="606">
                  <c:v>16-06-2016</c:v>
                </c:pt>
                <c:pt idx="607">
                  <c:v>17-06-2016</c:v>
                </c:pt>
                <c:pt idx="608">
                  <c:v>20-06-2016</c:v>
                </c:pt>
                <c:pt idx="609">
                  <c:v>21-06-2016</c:v>
                </c:pt>
                <c:pt idx="610">
                  <c:v>22-06-2016</c:v>
                </c:pt>
                <c:pt idx="611">
                  <c:v>23-06-2016</c:v>
                </c:pt>
                <c:pt idx="612">
                  <c:v>24-06-2016</c:v>
                </c:pt>
                <c:pt idx="613">
                  <c:v>27-06-2016</c:v>
                </c:pt>
                <c:pt idx="614">
                  <c:v>28-06-2016</c:v>
                </c:pt>
                <c:pt idx="615">
                  <c:v>29-06-2016</c:v>
                </c:pt>
                <c:pt idx="616">
                  <c:v>30-06-2016</c:v>
                </c:pt>
                <c:pt idx="617">
                  <c:v>42376</c:v>
                </c:pt>
                <c:pt idx="618">
                  <c:v>42497</c:v>
                </c:pt>
                <c:pt idx="619">
                  <c:v>42528</c:v>
                </c:pt>
                <c:pt idx="620">
                  <c:v>42558</c:v>
                </c:pt>
                <c:pt idx="621">
                  <c:v>42589</c:v>
                </c:pt>
                <c:pt idx="622">
                  <c:v>42681</c:v>
                </c:pt>
                <c:pt idx="623">
                  <c:v>42711</c:v>
                </c:pt>
                <c:pt idx="624">
                  <c:v>13-07-2016</c:v>
                </c:pt>
                <c:pt idx="625">
                  <c:v>14-07-2016</c:v>
                </c:pt>
                <c:pt idx="626">
                  <c:v>15-07-2016</c:v>
                </c:pt>
                <c:pt idx="627">
                  <c:v>18-07-2016</c:v>
                </c:pt>
                <c:pt idx="628">
                  <c:v>19-07-2016</c:v>
                </c:pt>
                <c:pt idx="629">
                  <c:v>20-07-2016</c:v>
                </c:pt>
                <c:pt idx="630">
                  <c:v>21-07-2016</c:v>
                </c:pt>
                <c:pt idx="631">
                  <c:v>22-07-2016</c:v>
                </c:pt>
                <c:pt idx="632">
                  <c:v>25-07-2016</c:v>
                </c:pt>
                <c:pt idx="633">
                  <c:v>26-07-2016</c:v>
                </c:pt>
                <c:pt idx="634">
                  <c:v>27-07-2016</c:v>
                </c:pt>
                <c:pt idx="635">
                  <c:v>28-07-2016</c:v>
                </c:pt>
                <c:pt idx="636">
                  <c:v>29-07-2016</c:v>
                </c:pt>
                <c:pt idx="637">
                  <c:v>42377</c:v>
                </c:pt>
                <c:pt idx="638">
                  <c:v>42408</c:v>
                </c:pt>
                <c:pt idx="639">
                  <c:v>42437</c:v>
                </c:pt>
                <c:pt idx="640">
                  <c:v>42468</c:v>
                </c:pt>
                <c:pt idx="641">
                  <c:v>42498</c:v>
                </c:pt>
                <c:pt idx="642">
                  <c:v>42590</c:v>
                </c:pt>
                <c:pt idx="643">
                  <c:v>42621</c:v>
                </c:pt>
                <c:pt idx="644">
                  <c:v>42651</c:v>
                </c:pt>
                <c:pt idx="645">
                  <c:v>42682</c:v>
                </c:pt>
                <c:pt idx="646">
                  <c:v>42712</c:v>
                </c:pt>
                <c:pt idx="647">
                  <c:v>15-08-2016</c:v>
                </c:pt>
                <c:pt idx="648">
                  <c:v>16-08-2016</c:v>
                </c:pt>
                <c:pt idx="649">
                  <c:v>17-08-2016</c:v>
                </c:pt>
                <c:pt idx="650">
                  <c:v>18-08-2016</c:v>
                </c:pt>
                <c:pt idx="651">
                  <c:v>19-08-2016</c:v>
                </c:pt>
                <c:pt idx="652">
                  <c:v>22-08-2016</c:v>
                </c:pt>
                <c:pt idx="653">
                  <c:v>23-08-2016</c:v>
                </c:pt>
                <c:pt idx="654">
                  <c:v>24-08-2016</c:v>
                </c:pt>
                <c:pt idx="655">
                  <c:v>25-08-2016</c:v>
                </c:pt>
                <c:pt idx="656">
                  <c:v>26-08-2016</c:v>
                </c:pt>
                <c:pt idx="657">
                  <c:v>29-08-2016</c:v>
                </c:pt>
                <c:pt idx="658">
                  <c:v>30-08-2016</c:v>
                </c:pt>
                <c:pt idx="659">
                  <c:v>31-08-2016</c:v>
                </c:pt>
                <c:pt idx="660">
                  <c:v>42378</c:v>
                </c:pt>
                <c:pt idx="661">
                  <c:v>42409</c:v>
                </c:pt>
                <c:pt idx="662">
                  <c:v>42530</c:v>
                </c:pt>
                <c:pt idx="663">
                  <c:v>42560</c:v>
                </c:pt>
                <c:pt idx="664">
                  <c:v>42591</c:v>
                </c:pt>
                <c:pt idx="665">
                  <c:v>42622</c:v>
                </c:pt>
                <c:pt idx="666">
                  <c:v>42713</c:v>
                </c:pt>
                <c:pt idx="667">
                  <c:v>13-09-2016</c:v>
                </c:pt>
                <c:pt idx="668">
                  <c:v>14-09-2016</c:v>
                </c:pt>
                <c:pt idx="669">
                  <c:v>15-09-2016</c:v>
                </c:pt>
                <c:pt idx="670">
                  <c:v>16-09-2016</c:v>
                </c:pt>
                <c:pt idx="671">
                  <c:v>19-09-2016</c:v>
                </c:pt>
                <c:pt idx="672">
                  <c:v>20-09-2016</c:v>
                </c:pt>
                <c:pt idx="673">
                  <c:v>21-09-2016</c:v>
                </c:pt>
                <c:pt idx="674">
                  <c:v>22-09-2016</c:v>
                </c:pt>
                <c:pt idx="675">
                  <c:v>23-09-2016</c:v>
                </c:pt>
                <c:pt idx="676">
                  <c:v>26-09-2016</c:v>
                </c:pt>
                <c:pt idx="677">
                  <c:v>27-09-2016</c:v>
                </c:pt>
                <c:pt idx="678">
                  <c:v>28-09-2016</c:v>
                </c:pt>
                <c:pt idx="679">
                  <c:v>29-09-2016</c:v>
                </c:pt>
                <c:pt idx="680">
                  <c:v>30-09-2016</c:v>
                </c:pt>
                <c:pt idx="681">
                  <c:v>42439</c:v>
                </c:pt>
                <c:pt idx="682">
                  <c:v>42470</c:v>
                </c:pt>
                <c:pt idx="683">
                  <c:v>42500</c:v>
                </c:pt>
                <c:pt idx="684">
                  <c:v>42531</c:v>
                </c:pt>
                <c:pt idx="685">
                  <c:v>42561</c:v>
                </c:pt>
                <c:pt idx="686">
                  <c:v>42653</c:v>
                </c:pt>
                <c:pt idx="687">
                  <c:v>42684</c:v>
                </c:pt>
                <c:pt idx="688">
                  <c:v>42714</c:v>
                </c:pt>
                <c:pt idx="689">
                  <c:v>13-10-2016</c:v>
                </c:pt>
                <c:pt idx="690">
                  <c:v>14-10-2016</c:v>
                </c:pt>
                <c:pt idx="691">
                  <c:v>17-10-2016</c:v>
                </c:pt>
                <c:pt idx="692">
                  <c:v>18-10-2016</c:v>
                </c:pt>
                <c:pt idx="693">
                  <c:v>19-10-2016</c:v>
                </c:pt>
                <c:pt idx="694">
                  <c:v>20-10-2016</c:v>
                </c:pt>
                <c:pt idx="695">
                  <c:v>21-10-2016</c:v>
                </c:pt>
                <c:pt idx="696">
                  <c:v>24-10-2016</c:v>
                </c:pt>
                <c:pt idx="697">
                  <c:v>25-10-2016</c:v>
                </c:pt>
                <c:pt idx="698">
                  <c:v>26-10-2016</c:v>
                </c:pt>
                <c:pt idx="699">
                  <c:v>27-10-2016</c:v>
                </c:pt>
                <c:pt idx="700">
                  <c:v>28-10-2016</c:v>
                </c:pt>
                <c:pt idx="701">
                  <c:v>31-10-2016</c:v>
                </c:pt>
                <c:pt idx="702">
                  <c:v>42380</c:v>
                </c:pt>
                <c:pt idx="703">
                  <c:v>42411</c:v>
                </c:pt>
                <c:pt idx="704">
                  <c:v>42440</c:v>
                </c:pt>
                <c:pt idx="705">
                  <c:v>42471</c:v>
                </c:pt>
                <c:pt idx="706">
                  <c:v>42562</c:v>
                </c:pt>
                <c:pt idx="707">
                  <c:v>42593</c:v>
                </c:pt>
                <c:pt idx="708">
                  <c:v>42624</c:v>
                </c:pt>
                <c:pt idx="709">
                  <c:v>42654</c:v>
                </c:pt>
                <c:pt idx="710">
                  <c:v>42685</c:v>
                </c:pt>
                <c:pt idx="711">
                  <c:v>14-11-2016</c:v>
                </c:pt>
                <c:pt idx="712">
                  <c:v>15-11-2016</c:v>
                </c:pt>
                <c:pt idx="713">
                  <c:v>16-11-2016</c:v>
                </c:pt>
                <c:pt idx="714">
                  <c:v>17-11-2016</c:v>
                </c:pt>
                <c:pt idx="715">
                  <c:v>18-11-2016</c:v>
                </c:pt>
                <c:pt idx="716">
                  <c:v>21-11-2016</c:v>
                </c:pt>
                <c:pt idx="717">
                  <c:v>22-11-2016</c:v>
                </c:pt>
                <c:pt idx="718">
                  <c:v>23-11-2016</c:v>
                </c:pt>
                <c:pt idx="719">
                  <c:v>25-11-2016</c:v>
                </c:pt>
                <c:pt idx="720">
                  <c:v>28-11-2016</c:v>
                </c:pt>
                <c:pt idx="721">
                  <c:v>29-11-2016</c:v>
                </c:pt>
                <c:pt idx="722">
                  <c:v>30-11-2016</c:v>
                </c:pt>
                <c:pt idx="723">
                  <c:v>42381</c:v>
                </c:pt>
                <c:pt idx="724">
                  <c:v>42412</c:v>
                </c:pt>
                <c:pt idx="725">
                  <c:v>42502</c:v>
                </c:pt>
                <c:pt idx="726">
                  <c:v>42533</c:v>
                </c:pt>
                <c:pt idx="727">
                  <c:v>42563</c:v>
                </c:pt>
                <c:pt idx="728">
                  <c:v>42594</c:v>
                </c:pt>
                <c:pt idx="729">
                  <c:v>42625</c:v>
                </c:pt>
                <c:pt idx="730">
                  <c:v>42716</c:v>
                </c:pt>
                <c:pt idx="731">
                  <c:v>13-12-2016</c:v>
                </c:pt>
                <c:pt idx="732">
                  <c:v>14-12-2016</c:v>
                </c:pt>
                <c:pt idx="733">
                  <c:v>15-12-2016</c:v>
                </c:pt>
                <c:pt idx="734">
                  <c:v>16-12-2016</c:v>
                </c:pt>
                <c:pt idx="735">
                  <c:v>19-12-2016</c:v>
                </c:pt>
                <c:pt idx="736">
                  <c:v>20-12-2016</c:v>
                </c:pt>
                <c:pt idx="737">
                  <c:v>21-12-2016</c:v>
                </c:pt>
                <c:pt idx="738">
                  <c:v>22-12-2016</c:v>
                </c:pt>
                <c:pt idx="739">
                  <c:v>23-12-2016</c:v>
                </c:pt>
                <c:pt idx="740">
                  <c:v>27-12-2016</c:v>
                </c:pt>
                <c:pt idx="741">
                  <c:v>28-12-2016</c:v>
                </c:pt>
                <c:pt idx="742">
                  <c:v>29-12-2016</c:v>
                </c:pt>
                <c:pt idx="743">
                  <c:v>30-12-2016</c:v>
                </c:pt>
                <c:pt idx="744">
                  <c:v>42795</c:v>
                </c:pt>
                <c:pt idx="745">
                  <c:v>42826</c:v>
                </c:pt>
                <c:pt idx="746">
                  <c:v>42856</c:v>
                </c:pt>
                <c:pt idx="747">
                  <c:v>42887</c:v>
                </c:pt>
                <c:pt idx="748">
                  <c:v>42979</c:v>
                </c:pt>
                <c:pt idx="749">
                  <c:v>43009</c:v>
                </c:pt>
                <c:pt idx="750">
                  <c:v>43040</c:v>
                </c:pt>
                <c:pt idx="751">
                  <c:v>43070</c:v>
                </c:pt>
                <c:pt idx="752">
                  <c:v>13-01-2017</c:v>
                </c:pt>
                <c:pt idx="753">
                  <c:v>17-01-2017</c:v>
                </c:pt>
                <c:pt idx="754">
                  <c:v>18-01-2017</c:v>
                </c:pt>
                <c:pt idx="755">
                  <c:v>19-01-2017</c:v>
                </c:pt>
                <c:pt idx="756">
                  <c:v>20-01-2017</c:v>
                </c:pt>
                <c:pt idx="757">
                  <c:v>23-01-2017</c:v>
                </c:pt>
                <c:pt idx="758">
                  <c:v>24-01-2017</c:v>
                </c:pt>
                <c:pt idx="759">
                  <c:v>25-01-2017</c:v>
                </c:pt>
                <c:pt idx="760">
                  <c:v>26-01-2017</c:v>
                </c:pt>
                <c:pt idx="761">
                  <c:v>27-01-2017</c:v>
                </c:pt>
                <c:pt idx="762">
                  <c:v>30-01-2017</c:v>
                </c:pt>
                <c:pt idx="763">
                  <c:v>31-01-2017</c:v>
                </c:pt>
                <c:pt idx="764">
                  <c:v>42737</c:v>
                </c:pt>
                <c:pt idx="765">
                  <c:v>42768</c:v>
                </c:pt>
                <c:pt idx="766">
                  <c:v>42796</c:v>
                </c:pt>
                <c:pt idx="767">
                  <c:v>42888</c:v>
                </c:pt>
                <c:pt idx="768">
                  <c:v>42918</c:v>
                </c:pt>
                <c:pt idx="769">
                  <c:v>42949</c:v>
                </c:pt>
                <c:pt idx="770">
                  <c:v>42980</c:v>
                </c:pt>
                <c:pt idx="771">
                  <c:v>43010</c:v>
                </c:pt>
                <c:pt idx="772">
                  <c:v>13-02-2017</c:v>
                </c:pt>
                <c:pt idx="773">
                  <c:v>14-02-2017</c:v>
                </c:pt>
                <c:pt idx="774">
                  <c:v>15-02-2017</c:v>
                </c:pt>
                <c:pt idx="775">
                  <c:v>16-02-2017</c:v>
                </c:pt>
                <c:pt idx="776">
                  <c:v>17-02-2017</c:v>
                </c:pt>
                <c:pt idx="777">
                  <c:v>21-02-2017</c:v>
                </c:pt>
                <c:pt idx="778">
                  <c:v>22-02-2017</c:v>
                </c:pt>
                <c:pt idx="779">
                  <c:v>23-02-2017</c:v>
                </c:pt>
                <c:pt idx="780">
                  <c:v>24-02-2017</c:v>
                </c:pt>
                <c:pt idx="781">
                  <c:v>27-02-2017</c:v>
                </c:pt>
                <c:pt idx="782">
                  <c:v>28-02-2017</c:v>
                </c:pt>
                <c:pt idx="783">
                  <c:v>42738</c:v>
                </c:pt>
                <c:pt idx="784">
                  <c:v>42769</c:v>
                </c:pt>
                <c:pt idx="785">
                  <c:v>42797</c:v>
                </c:pt>
                <c:pt idx="786">
                  <c:v>42889</c:v>
                </c:pt>
                <c:pt idx="787">
                  <c:v>42919</c:v>
                </c:pt>
                <c:pt idx="788">
                  <c:v>42950</c:v>
                </c:pt>
                <c:pt idx="789">
                  <c:v>42981</c:v>
                </c:pt>
                <c:pt idx="790">
                  <c:v>43011</c:v>
                </c:pt>
                <c:pt idx="791">
                  <c:v>13-03-2017</c:v>
                </c:pt>
                <c:pt idx="792">
                  <c:v>14-03-2017</c:v>
                </c:pt>
                <c:pt idx="793">
                  <c:v>15-03-2017</c:v>
                </c:pt>
                <c:pt idx="794">
                  <c:v>16-03-2017</c:v>
                </c:pt>
                <c:pt idx="795">
                  <c:v>17-03-2017</c:v>
                </c:pt>
                <c:pt idx="796">
                  <c:v>20-03-2017</c:v>
                </c:pt>
                <c:pt idx="797">
                  <c:v>21-03-2017</c:v>
                </c:pt>
                <c:pt idx="798">
                  <c:v>22-03-2017</c:v>
                </c:pt>
                <c:pt idx="799">
                  <c:v>23-03-2017</c:v>
                </c:pt>
                <c:pt idx="800">
                  <c:v>24-03-2017</c:v>
                </c:pt>
                <c:pt idx="801">
                  <c:v>27-03-2017</c:v>
                </c:pt>
                <c:pt idx="802">
                  <c:v>28-03-2017</c:v>
                </c:pt>
                <c:pt idx="803">
                  <c:v>29-03-2017</c:v>
                </c:pt>
                <c:pt idx="804">
                  <c:v>30-03-2017</c:v>
                </c:pt>
                <c:pt idx="805">
                  <c:v>31-03-2017</c:v>
                </c:pt>
                <c:pt idx="806">
                  <c:v>42798</c:v>
                </c:pt>
                <c:pt idx="807">
                  <c:v>42829</c:v>
                </c:pt>
                <c:pt idx="808">
                  <c:v>42859</c:v>
                </c:pt>
                <c:pt idx="809">
                  <c:v>42890</c:v>
                </c:pt>
                <c:pt idx="810">
                  <c:v>42920</c:v>
                </c:pt>
                <c:pt idx="811">
                  <c:v>43012</c:v>
                </c:pt>
                <c:pt idx="812">
                  <c:v>43043</c:v>
                </c:pt>
                <c:pt idx="813">
                  <c:v>43073</c:v>
                </c:pt>
                <c:pt idx="814">
                  <c:v>13-04-2017</c:v>
                </c:pt>
                <c:pt idx="815">
                  <c:v>17-04-2017</c:v>
                </c:pt>
                <c:pt idx="816">
                  <c:v>18-04-2017</c:v>
                </c:pt>
                <c:pt idx="817">
                  <c:v>19-04-2017</c:v>
                </c:pt>
                <c:pt idx="818">
                  <c:v>20-04-2017</c:v>
                </c:pt>
                <c:pt idx="819">
                  <c:v>21-04-2017</c:v>
                </c:pt>
                <c:pt idx="820">
                  <c:v>24-04-2017</c:v>
                </c:pt>
                <c:pt idx="821">
                  <c:v>25-04-2017</c:v>
                </c:pt>
                <c:pt idx="822">
                  <c:v>26-04-2017</c:v>
                </c:pt>
                <c:pt idx="823">
                  <c:v>27-04-2017</c:v>
                </c:pt>
                <c:pt idx="824">
                  <c:v>28-04-2017</c:v>
                </c:pt>
                <c:pt idx="825">
                  <c:v>42740</c:v>
                </c:pt>
                <c:pt idx="826">
                  <c:v>42771</c:v>
                </c:pt>
                <c:pt idx="827">
                  <c:v>42799</c:v>
                </c:pt>
                <c:pt idx="828">
                  <c:v>42830</c:v>
                </c:pt>
                <c:pt idx="829">
                  <c:v>42860</c:v>
                </c:pt>
                <c:pt idx="830">
                  <c:v>42952</c:v>
                </c:pt>
                <c:pt idx="831">
                  <c:v>42983</c:v>
                </c:pt>
                <c:pt idx="832">
                  <c:v>43013</c:v>
                </c:pt>
                <c:pt idx="833">
                  <c:v>43044</c:v>
                </c:pt>
                <c:pt idx="834">
                  <c:v>43074</c:v>
                </c:pt>
                <c:pt idx="835">
                  <c:v>15-05-2017</c:v>
                </c:pt>
                <c:pt idx="836">
                  <c:v>16-05-2017</c:v>
                </c:pt>
                <c:pt idx="837">
                  <c:v>17-05-2017</c:v>
                </c:pt>
                <c:pt idx="838">
                  <c:v>18-05-2017</c:v>
                </c:pt>
                <c:pt idx="839">
                  <c:v>19-05-2017</c:v>
                </c:pt>
                <c:pt idx="840">
                  <c:v>22-05-2017</c:v>
                </c:pt>
                <c:pt idx="841">
                  <c:v>23-05-2017</c:v>
                </c:pt>
                <c:pt idx="842">
                  <c:v>24-05-2017</c:v>
                </c:pt>
                <c:pt idx="843">
                  <c:v>25-05-2017</c:v>
                </c:pt>
                <c:pt idx="844">
                  <c:v>26-05-2017</c:v>
                </c:pt>
                <c:pt idx="845">
                  <c:v>30-05-2017</c:v>
                </c:pt>
                <c:pt idx="846">
                  <c:v>31-05-2017</c:v>
                </c:pt>
                <c:pt idx="847">
                  <c:v>42741</c:v>
                </c:pt>
                <c:pt idx="848">
                  <c:v>42772</c:v>
                </c:pt>
                <c:pt idx="849">
                  <c:v>42861</c:v>
                </c:pt>
                <c:pt idx="850">
                  <c:v>42892</c:v>
                </c:pt>
                <c:pt idx="851">
                  <c:v>42922</c:v>
                </c:pt>
                <c:pt idx="852">
                  <c:v>42953</c:v>
                </c:pt>
                <c:pt idx="853">
                  <c:v>42984</c:v>
                </c:pt>
                <c:pt idx="854">
                  <c:v>43075</c:v>
                </c:pt>
                <c:pt idx="855">
                  <c:v>13-06-2017</c:v>
                </c:pt>
                <c:pt idx="856">
                  <c:v>14-06-2017</c:v>
                </c:pt>
                <c:pt idx="857">
                  <c:v>15-06-2017</c:v>
                </c:pt>
                <c:pt idx="858">
                  <c:v>16-06-2017</c:v>
                </c:pt>
                <c:pt idx="859">
                  <c:v>19-06-2017</c:v>
                </c:pt>
                <c:pt idx="860">
                  <c:v>20-06-2017</c:v>
                </c:pt>
                <c:pt idx="861">
                  <c:v>21-06-2017</c:v>
                </c:pt>
                <c:pt idx="862">
                  <c:v>22-06-2017</c:v>
                </c:pt>
                <c:pt idx="863">
                  <c:v>23-06-2017</c:v>
                </c:pt>
                <c:pt idx="864">
                  <c:v>26-06-2017</c:v>
                </c:pt>
                <c:pt idx="865">
                  <c:v>27-06-2017</c:v>
                </c:pt>
                <c:pt idx="866">
                  <c:v>28-06-2017</c:v>
                </c:pt>
                <c:pt idx="867">
                  <c:v>29-06-2017</c:v>
                </c:pt>
                <c:pt idx="868">
                  <c:v>30-06-2017</c:v>
                </c:pt>
                <c:pt idx="869">
                  <c:v>42801</c:v>
                </c:pt>
                <c:pt idx="870">
                  <c:v>42862</c:v>
                </c:pt>
                <c:pt idx="871">
                  <c:v>42893</c:v>
                </c:pt>
                <c:pt idx="872">
                  <c:v>42923</c:v>
                </c:pt>
                <c:pt idx="873">
                  <c:v>43015</c:v>
                </c:pt>
                <c:pt idx="874">
                  <c:v>43046</c:v>
                </c:pt>
                <c:pt idx="875">
                  <c:v>43076</c:v>
                </c:pt>
                <c:pt idx="876">
                  <c:v>13-07-2017</c:v>
                </c:pt>
                <c:pt idx="877">
                  <c:v>14-07-2017</c:v>
                </c:pt>
                <c:pt idx="878">
                  <c:v>17-07-2017</c:v>
                </c:pt>
                <c:pt idx="879">
                  <c:v>18-07-2017</c:v>
                </c:pt>
                <c:pt idx="880">
                  <c:v>19-07-2017</c:v>
                </c:pt>
                <c:pt idx="881">
                  <c:v>20-07-2017</c:v>
                </c:pt>
                <c:pt idx="882">
                  <c:v>21-07-2017</c:v>
                </c:pt>
                <c:pt idx="883">
                  <c:v>24-07-2017</c:v>
                </c:pt>
                <c:pt idx="884">
                  <c:v>25-07-2017</c:v>
                </c:pt>
                <c:pt idx="885">
                  <c:v>26-07-2017</c:v>
                </c:pt>
                <c:pt idx="886">
                  <c:v>27-07-2017</c:v>
                </c:pt>
                <c:pt idx="887">
                  <c:v>28-07-2017</c:v>
                </c:pt>
                <c:pt idx="888">
                  <c:v>31-07-2017</c:v>
                </c:pt>
                <c:pt idx="889">
                  <c:v>42743</c:v>
                </c:pt>
                <c:pt idx="890">
                  <c:v>42774</c:v>
                </c:pt>
                <c:pt idx="891">
                  <c:v>42802</c:v>
                </c:pt>
                <c:pt idx="892">
                  <c:v>42833</c:v>
                </c:pt>
                <c:pt idx="893">
                  <c:v>42924</c:v>
                </c:pt>
                <c:pt idx="894">
                  <c:v>42955</c:v>
                </c:pt>
                <c:pt idx="895">
                  <c:v>42986</c:v>
                </c:pt>
                <c:pt idx="896">
                  <c:v>43016</c:v>
                </c:pt>
                <c:pt idx="897">
                  <c:v>43047</c:v>
                </c:pt>
                <c:pt idx="898">
                  <c:v>14-08-2017</c:v>
                </c:pt>
                <c:pt idx="899">
                  <c:v>15-08-2017</c:v>
                </c:pt>
                <c:pt idx="900">
                  <c:v>16-08-2017</c:v>
                </c:pt>
                <c:pt idx="901">
                  <c:v>17-08-2017</c:v>
                </c:pt>
                <c:pt idx="902">
                  <c:v>18-08-2017</c:v>
                </c:pt>
                <c:pt idx="903">
                  <c:v>21-08-2017</c:v>
                </c:pt>
                <c:pt idx="904">
                  <c:v>22-08-2017</c:v>
                </c:pt>
                <c:pt idx="905">
                  <c:v>23-08-2017</c:v>
                </c:pt>
                <c:pt idx="906">
                  <c:v>24-08-2017</c:v>
                </c:pt>
                <c:pt idx="907">
                  <c:v>25-08-2017</c:v>
                </c:pt>
                <c:pt idx="908">
                  <c:v>28-08-2017</c:v>
                </c:pt>
                <c:pt idx="909">
                  <c:v>29-08-2017</c:v>
                </c:pt>
                <c:pt idx="910">
                  <c:v>30-08-2017</c:v>
                </c:pt>
                <c:pt idx="911">
                  <c:v>31-08-2017</c:v>
                </c:pt>
                <c:pt idx="912">
                  <c:v>42744</c:v>
                </c:pt>
                <c:pt idx="913">
                  <c:v>42864</c:v>
                </c:pt>
                <c:pt idx="914">
                  <c:v>42895</c:v>
                </c:pt>
                <c:pt idx="915">
                  <c:v>42925</c:v>
                </c:pt>
                <c:pt idx="916">
                  <c:v>42956</c:v>
                </c:pt>
                <c:pt idx="917">
                  <c:v>43048</c:v>
                </c:pt>
                <c:pt idx="918">
                  <c:v>43078</c:v>
                </c:pt>
                <c:pt idx="919">
                  <c:v>13-09-2017</c:v>
                </c:pt>
                <c:pt idx="920">
                  <c:v>14-09-2017</c:v>
                </c:pt>
                <c:pt idx="921">
                  <c:v>15-09-2017</c:v>
                </c:pt>
                <c:pt idx="922">
                  <c:v>18-09-2017</c:v>
                </c:pt>
                <c:pt idx="923">
                  <c:v>19-09-2017</c:v>
                </c:pt>
                <c:pt idx="924">
                  <c:v>20-09-2017</c:v>
                </c:pt>
                <c:pt idx="925">
                  <c:v>21-09-2017</c:v>
                </c:pt>
                <c:pt idx="926">
                  <c:v>22-09-2017</c:v>
                </c:pt>
                <c:pt idx="927">
                  <c:v>25-09-2017</c:v>
                </c:pt>
                <c:pt idx="928">
                  <c:v>26-09-2017</c:v>
                </c:pt>
                <c:pt idx="929">
                  <c:v>27-09-2017</c:v>
                </c:pt>
                <c:pt idx="930">
                  <c:v>28-09-2017</c:v>
                </c:pt>
                <c:pt idx="931">
                  <c:v>29-09-2017</c:v>
                </c:pt>
                <c:pt idx="932">
                  <c:v>42776</c:v>
                </c:pt>
                <c:pt idx="933">
                  <c:v>42804</c:v>
                </c:pt>
                <c:pt idx="934">
                  <c:v>42835</c:v>
                </c:pt>
                <c:pt idx="935">
                  <c:v>42865</c:v>
                </c:pt>
                <c:pt idx="936">
                  <c:v>42896</c:v>
                </c:pt>
                <c:pt idx="937">
                  <c:v>42988</c:v>
                </c:pt>
                <c:pt idx="938">
                  <c:v>43018</c:v>
                </c:pt>
                <c:pt idx="939">
                  <c:v>43049</c:v>
                </c:pt>
                <c:pt idx="940">
                  <c:v>43079</c:v>
                </c:pt>
                <c:pt idx="941">
                  <c:v>13-10-2017</c:v>
                </c:pt>
                <c:pt idx="942">
                  <c:v>16-10-2017</c:v>
                </c:pt>
                <c:pt idx="943">
                  <c:v>17-10-2017</c:v>
                </c:pt>
                <c:pt idx="944">
                  <c:v>18-10-2017</c:v>
                </c:pt>
                <c:pt idx="945">
                  <c:v>19-10-2017</c:v>
                </c:pt>
                <c:pt idx="946">
                  <c:v>20-10-2017</c:v>
                </c:pt>
                <c:pt idx="947">
                  <c:v>23-10-2017</c:v>
                </c:pt>
                <c:pt idx="948">
                  <c:v>24-10-2017</c:v>
                </c:pt>
                <c:pt idx="949">
                  <c:v>25-10-2017</c:v>
                </c:pt>
                <c:pt idx="950">
                  <c:v>26-10-2017</c:v>
                </c:pt>
                <c:pt idx="951">
                  <c:v>27-10-2017</c:v>
                </c:pt>
                <c:pt idx="952">
                  <c:v>30-10-2017</c:v>
                </c:pt>
                <c:pt idx="953">
                  <c:v>31-10-2017</c:v>
                </c:pt>
                <c:pt idx="954">
                  <c:v>42746</c:v>
                </c:pt>
                <c:pt idx="955">
                  <c:v>42777</c:v>
                </c:pt>
                <c:pt idx="956">
                  <c:v>42805</c:v>
                </c:pt>
                <c:pt idx="957">
                  <c:v>42897</c:v>
                </c:pt>
                <c:pt idx="958">
                  <c:v>42927</c:v>
                </c:pt>
                <c:pt idx="959">
                  <c:v>42958</c:v>
                </c:pt>
                <c:pt idx="960">
                  <c:v>42989</c:v>
                </c:pt>
                <c:pt idx="961">
                  <c:v>43019</c:v>
                </c:pt>
                <c:pt idx="962">
                  <c:v>13-11-2017</c:v>
                </c:pt>
                <c:pt idx="963">
                  <c:v>14-11-2017</c:v>
                </c:pt>
                <c:pt idx="964">
                  <c:v>15-11-2017</c:v>
                </c:pt>
                <c:pt idx="965">
                  <c:v>16-11-2017</c:v>
                </c:pt>
                <c:pt idx="966">
                  <c:v>17-11-2017</c:v>
                </c:pt>
                <c:pt idx="967">
                  <c:v>20-11-2017</c:v>
                </c:pt>
                <c:pt idx="968">
                  <c:v>21-11-2017</c:v>
                </c:pt>
                <c:pt idx="969">
                  <c:v>22-11-2017</c:v>
                </c:pt>
                <c:pt idx="970">
                  <c:v>24-11-2017</c:v>
                </c:pt>
                <c:pt idx="971">
                  <c:v>27-11-2017</c:v>
                </c:pt>
                <c:pt idx="972">
                  <c:v>28-11-2017</c:v>
                </c:pt>
                <c:pt idx="973">
                  <c:v>29-11-2017</c:v>
                </c:pt>
                <c:pt idx="974">
                  <c:v>30-11-2017</c:v>
                </c:pt>
                <c:pt idx="975">
                  <c:v>42747</c:v>
                </c:pt>
                <c:pt idx="976">
                  <c:v>42837</c:v>
                </c:pt>
                <c:pt idx="977">
                  <c:v>42867</c:v>
                </c:pt>
                <c:pt idx="978">
                  <c:v>42898</c:v>
                </c:pt>
                <c:pt idx="979">
                  <c:v>42928</c:v>
                </c:pt>
                <c:pt idx="980">
                  <c:v>42959</c:v>
                </c:pt>
                <c:pt idx="981">
                  <c:v>43051</c:v>
                </c:pt>
                <c:pt idx="982">
                  <c:v>43081</c:v>
                </c:pt>
                <c:pt idx="983">
                  <c:v>13-12-2017</c:v>
                </c:pt>
                <c:pt idx="984">
                  <c:v>14-12-2017</c:v>
                </c:pt>
                <c:pt idx="985">
                  <c:v>15-12-2017</c:v>
                </c:pt>
                <c:pt idx="986">
                  <c:v>18-12-2017</c:v>
                </c:pt>
                <c:pt idx="987">
                  <c:v>19-12-2017</c:v>
                </c:pt>
                <c:pt idx="988">
                  <c:v>20-12-2017</c:v>
                </c:pt>
                <c:pt idx="989">
                  <c:v>21-12-2017</c:v>
                </c:pt>
                <c:pt idx="990">
                  <c:v>22-12-2017</c:v>
                </c:pt>
                <c:pt idx="991">
                  <c:v>26-12-2017</c:v>
                </c:pt>
                <c:pt idx="992">
                  <c:v>27-12-2017</c:v>
                </c:pt>
                <c:pt idx="993">
                  <c:v>28-12-2017</c:v>
                </c:pt>
                <c:pt idx="994">
                  <c:v>29-12-2017</c:v>
                </c:pt>
                <c:pt idx="995">
                  <c:v>43132</c:v>
                </c:pt>
                <c:pt idx="996">
                  <c:v>43160</c:v>
                </c:pt>
                <c:pt idx="997">
                  <c:v>43191</c:v>
                </c:pt>
                <c:pt idx="998">
                  <c:v>43221</c:v>
                </c:pt>
                <c:pt idx="999">
                  <c:v>43313</c:v>
                </c:pt>
                <c:pt idx="1000">
                  <c:v>43344</c:v>
                </c:pt>
                <c:pt idx="1001">
                  <c:v>43374</c:v>
                </c:pt>
                <c:pt idx="1002">
                  <c:v>43405</c:v>
                </c:pt>
                <c:pt idx="1003">
                  <c:v>43435</c:v>
                </c:pt>
                <c:pt idx="1004">
                  <c:v>16-01-2018</c:v>
                </c:pt>
                <c:pt idx="1005">
                  <c:v>17-01-2018</c:v>
                </c:pt>
                <c:pt idx="1006">
                  <c:v>18-01-2018</c:v>
                </c:pt>
                <c:pt idx="1007">
                  <c:v>19-01-2018</c:v>
                </c:pt>
                <c:pt idx="1008">
                  <c:v>22-01-2018</c:v>
                </c:pt>
                <c:pt idx="1009">
                  <c:v>23-01-2018</c:v>
                </c:pt>
                <c:pt idx="1010">
                  <c:v>24-01-2018</c:v>
                </c:pt>
                <c:pt idx="1011">
                  <c:v>25-01-2018</c:v>
                </c:pt>
                <c:pt idx="1012">
                  <c:v>26-01-2018</c:v>
                </c:pt>
                <c:pt idx="1013">
                  <c:v>29-01-2018</c:v>
                </c:pt>
                <c:pt idx="1014">
                  <c:v>30-01-2018</c:v>
                </c:pt>
                <c:pt idx="1015">
                  <c:v>31-01-2018</c:v>
                </c:pt>
                <c:pt idx="1016">
                  <c:v>43102</c:v>
                </c:pt>
                <c:pt idx="1017">
                  <c:v>43133</c:v>
                </c:pt>
                <c:pt idx="1018">
                  <c:v>43222</c:v>
                </c:pt>
                <c:pt idx="1019">
                  <c:v>43253</c:v>
                </c:pt>
                <c:pt idx="1020">
                  <c:v>43283</c:v>
                </c:pt>
                <c:pt idx="1021">
                  <c:v>43314</c:v>
                </c:pt>
                <c:pt idx="1022">
                  <c:v>43345</c:v>
                </c:pt>
                <c:pt idx="1023">
                  <c:v>43436</c:v>
                </c:pt>
                <c:pt idx="1024">
                  <c:v>13-02-2018</c:v>
                </c:pt>
                <c:pt idx="1025">
                  <c:v>14-02-2018</c:v>
                </c:pt>
                <c:pt idx="1026">
                  <c:v>15-02-2018</c:v>
                </c:pt>
                <c:pt idx="1027">
                  <c:v>16-02-2018</c:v>
                </c:pt>
                <c:pt idx="1028">
                  <c:v>20-02-2018</c:v>
                </c:pt>
                <c:pt idx="1029">
                  <c:v>21-02-2018</c:v>
                </c:pt>
                <c:pt idx="1030">
                  <c:v>22-02-2018</c:v>
                </c:pt>
                <c:pt idx="1031">
                  <c:v>23-02-2018</c:v>
                </c:pt>
                <c:pt idx="1032">
                  <c:v>26-02-2018</c:v>
                </c:pt>
                <c:pt idx="1033">
                  <c:v>27-02-2018</c:v>
                </c:pt>
                <c:pt idx="1034">
                  <c:v>28-02-2018</c:v>
                </c:pt>
                <c:pt idx="1035">
                  <c:v>43103</c:v>
                </c:pt>
                <c:pt idx="1036">
                  <c:v>43134</c:v>
                </c:pt>
                <c:pt idx="1037">
                  <c:v>43223</c:v>
                </c:pt>
                <c:pt idx="1038">
                  <c:v>43254</c:v>
                </c:pt>
                <c:pt idx="1039">
                  <c:v>43284</c:v>
                </c:pt>
                <c:pt idx="1040">
                  <c:v>43315</c:v>
                </c:pt>
                <c:pt idx="1041">
                  <c:v>43346</c:v>
                </c:pt>
                <c:pt idx="1042">
                  <c:v>43437</c:v>
                </c:pt>
                <c:pt idx="1043">
                  <c:v>13-03-2018</c:v>
                </c:pt>
                <c:pt idx="1044">
                  <c:v>14-03-2018</c:v>
                </c:pt>
                <c:pt idx="1045">
                  <c:v>15-03-2018</c:v>
                </c:pt>
                <c:pt idx="1046">
                  <c:v>16-03-2018</c:v>
                </c:pt>
                <c:pt idx="1047">
                  <c:v>19-03-2018</c:v>
                </c:pt>
                <c:pt idx="1048">
                  <c:v>20-03-2018</c:v>
                </c:pt>
                <c:pt idx="1049">
                  <c:v>21-03-2018</c:v>
                </c:pt>
                <c:pt idx="1050">
                  <c:v>22-03-2018</c:v>
                </c:pt>
                <c:pt idx="1051">
                  <c:v>23-03-2018</c:v>
                </c:pt>
                <c:pt idx="1052">
                  <c:v>26-03-2018</c:v>
                </c:pt>
                <c:pt idx="1053">
                  <c:v>27-03-2018</c:v>
                </c:pt>
                <c:pt idx="1054">
                  <c:v>28-03-2018</c:v>
                </c:pt>
                <c:pt idx="1055">
                  <c:v>29-03-2018</c:v>
                </c:pt>
                <c:pt idx="1056">
                  <c:v>43135</c:v>
                </c:pt>
                <c:pt idx="1057">
                  <c:v>43163</c:v>
                </c:pt>
                <c:pt idx="1058">
                  <c:v>43194</c:v>
                </c:pt>
                <c:pt idx="1059">
                  <c:v>43224</c:v>
                </c:pt>
                <c:pt idx="1060">
                  <c:v>43255</c:v>
                </c:pt>
                <c:pt idx="1061">
                  <c:v>43347</c:v>
                </c:pt>
                <c:pt idx="1062">
                  <c:v>43377</c:v>
                </c:pt>
                <c:pt idx="1063">
                  <c:v>43408</c:v>
                </c:pt>
                <c:pt idx="1064">
                  <c:v>43438</c:v>
                </c:pt>
                <c:pt idx="1065">
                  <c:v>13-04-2018</c:v>
                </c:pt>
                <c:pt idx="1066">
                  <c:v>16-04-2018</c:v>
                </c:pt>
                <c:pt idx="1067">
                  <c:v>17-04-2018</c:v>
                </c:pt>
                <c:pt idx="1068">
                  <c:v>18-04-2018</c:v>
                </c:pt>
                <c:pt idx="1069">
                  <c:v>19-04-2018</c:v>
                </c:pt>
                <c:pt idx="1070">
                  <c:v>20-04-2018</c:v>
                </c:pt>
                <c:pt idx="1071">
                  <c:v>23-04-2018</c:v>
                </c:pt>
                <c:pt idx="1072">
                  <c:v>24-04-2018</c:v>
                </c:pt>
                <c:pt idx="1073">
                  <c:v>25-04-2018</c:v>
                </c:pt>
                <c:pt idx="1074">
                  <c:v>26-04-2018</c:v>
                </c:pt>
                <c:pt idx="1075">
                  <c:v>27-04-2018</c:v>
                </c:pt>
                <c:pt idx="1076">
                  <c:v>30-04-2018</c:v>
                </c:pt>
                <c:pt idx="1077">
                  <c:v>43105</c:v>
                </c:pt>
                <c:pt idx="1078">
                  <c:v>43136</c:v>
                </c:pt>
                <c:pt idx="1079">
                  <c:v>43164</c:v>
                </c:pt>
                <c:pt idx="1080">
                  <c:v>43195</c:v>
                </c:pt>
                <c:pt idx="1081">
                  <c:v>43286</c:v>
                </c:pt>
                <c:pt idx="1082">
                  <c:v>43317</c:v>
                </c:pt>
                <c:pt idx="1083">
                  <c:v>43348</c:v>
                </c:pt>
                <c:pt idx="1084">
                  <c:v>43378</c:v>
                </c:pt>
                <c:pt idx="1085">
                  <c:v>43409</c:v>
                </c:pt>
                <c:pt idx="1086">
                  <c:v>14-05-2018</c:v>
                </c:pt>
                <c:pt idx="1087">
                  <c:v>15-05-2018</c:v>
                </c:pt>
                <c:pt idx="1088">
                  <c:v>16-05-2018</c:v>
                </c:pt>
                <c:pt idx="1089">
                  <c:v>17-05-2018</c:v>
                </c:pt>
                <c:pt idx="1090">
                  <c:v>18-05-2018</c:v>
                </c:pt>
                <c:pt idx="1091">
                  <c:v>21-05-2018</c:v>
                </c:pt>
                <c:pt idx="1092">
                  <c:v>22-05-2018</c:v>
                </c:pt>
                <c:pt idx="1093">
                  <c:v>23-05-2018</c:v>
                </c:pt>
                <c:pt idx="1094">
                  <c:v>24-05-2018</c:v>
                </c:pt>
                <c:pt idx="1095">
                  <c:v>25-05-2018</c:v>
                </c:pt>
                <c:pt idx="1096">
                  <c:v>29-05-2018</c:v>
                </c:pt>
                <c:pt idx="1097">
                  <c:v>30-05-2018</c:v>
                </c:pt>
                <c:pt idx="1098">
                  <c:v>31-05-2018</c:v>
                </c:pt>
                <c:pt idx="1099">
                  <c:v>43106</c:v>
                </c:pt>
                <c:pt idx="1100">
                  <c:v>43196</c:v>
                </c:pt>
                <c:pt idx="1101">
                  <c:v>43226</c:v>
                </c:pt>
                <c:pt idx="1102">
                  <c:v>43257</c:v>
                </c:pt>
                <c:pt idx="1103">
                  <c:v>43287</c:v>
                </c:pt>
                <c:pt idx="1104">
                  <c:v>43318</c:v>
                </c:pt>
                <c:pt idx="1105">
                  <c:v>43410</c:v>
                </c:pt>
                <c:pt idx="1106">
                  <c:v>43440</c:v>
                </c:pt>
                <c:pt idx="1107">
                  <c:v>13-06-2018</c:v>
                </c:pt>
                <c:pt idx="1108">
                  <c:v>14-06-2018</c:v>
                </c:pt>
                <c:pt idx="1109">
                  <c:v>15-06-2018</c:v>
                </c:pt>
                <c:pt idx="1110">
                  <c:v>18-06-2018</c:v>
                </c:pt>
                <c:pt idx="1111">
                  <c:v>19-06-2018</c:v>
                </c:pt>
                <c:pt idx="1112">
                  <c:v>20-06-2018</c:v>
                </c:pt>
                <c:pt idx="1113">
                  <c:v>21-06-2018</c:v>
                </c:pt>
                <c:pt idx="1114">
                  <c:v>22-06-2018</c:v>
                </c:pt>
                <c:pt idx="1115">
                  <c:v>25-06-2018</c:v>
                </c:pt>
                <c:pt idx="1116">
                  <c:v>26-06-2018</c:v>
                </c:pt>
                <c:pt idx="1117">
                  <c:v>27-06-2018</c:v>
                </c:pt>
                <c:pt idx="1118">
                  <c:v>28-06-2018</c:v>
                </c:pt>
                <c:pt idx="1119">
                  <c:v>29-06-2018</c:v>
                </c:pt>
                <c:pt idx="1120">
                  <c:v>43138</c:v>
                </c:pt>
                <c:pt idx="1121">
                  <c:v>43166</c:v>
                </c:pt>
                <c:pt idx="1122">
                  <c:v>43227</c:v>
                </c:pt>
                <c:pt idx="1123">
                  <c:v>43258</c:v>
                </c:pt>
                <c:pt idx="1124">
                  <c:v>43350</c:v>
                </c:pt>
                <c:pt idx="1125">
                  <c:v>43380</c:v>
                </c:pt>
                <c:pt idx="1126">
                  <c:v>43411</c:v>
                </c:pt>
                <c:pt idx="1127">
                  <c:v>43441</c:v>
                </c:pt>
                <c:pt idx="1128">
                  <c:v>13-07-2018</c:v>
                </c:pt>
                <c:pt idx="1129">
                  <c:v>16-07-2018</c:v>
                </c:pt>
                <c:pt idx="1130">
                  <c:v>17-07-2018</c:v>
                </c:pt>
                <c:pt idx="1131">
                  <c:v>18-07-2018</c:v>
                </c:pt>
                <c:pt idx="1132">
                  <c:v>19-07-2018</c:v>
                </c:pt>
                <c:pt idx="1133">
                  <c:v>20-07-2018</c:v>
                </c:pt>
                <c:pt idx="1134">
                  <c:v>23-07-2018</c:v>
                </c:pt>
                <c:pt idx="1135">
                  <c:v>24-07-2018</c:v>
                </c:pt>
                <c:pt idx="1136">
                  <c:v>25-07-2018</c:v>
                </c:pt>
                <c:pt idx="1137">
                  <c:v>26-07-2018</c:v>
                </c:pt>
                <c:pt idx="1138">
                  <c:v>27-07-2018</c:v>
                </c:pt>
                <c:pt idx="1139">
                  <c:v>30-07-2018</c:v>
                </c:pt>
                <c:pt idx="1140">
                  <c:v>31-07-2018</c:v>
                </c:pt>
                <c:pt idx="1141">
                  <c:v>43108</c:v>
                </c:pt>
                <c:pt idx="1142">
                  <c:v>43139</c:v>
                </c:pt>
                <c:pt idx="1143">
                  <c:v>43167</c:v>
                </c:pt>
                <c:pt idx="1144">
                  <c:v>43259</c:v>
                </c:pt>
                <c:pt idx="1145">
                  <c:v>43289</c:v>
                </c:pt>
                <c:pt idx="1146">
                  <c:v>43320</c:v>
                </c:pt>
                <c:pt idx="1147">
                  <c:v>43351</c:v>
                </c:pt>
                <c:pt idx="1148">
                  <c:v>43381</c:v>
                </c:pt>
                <c:pt idx="1149">
                  <c:v>13-08-2018</c:v>
                </c:pt>
                <c:pt idx="1150">
                  <c:v>14-08-2018</c:v>
                </c:pt>
                <c:pt idx="1151">
                  <c:v>15-08-2018</c:v>
                </c:pt>
                <c:pt idx="1152">
                  <c:v>16-08-2018</c:v>
                </c:pt>
                <c:pt idx="1153">
                  <c:v>17-08-2018</c:v>
                </c:pt>
                <c:pt idx="1154">
                  <c:v>20-08-2018</c:v>
                </c:pt>
                <c:pt idx="1155">
                  <c:v>21-08-2018</c:v>
                </c:pt>
                <c:pt idx="1156">
                  <c:v>22-08-2018</c:v>
                </c:pt>
                <c:pt idx="1157">
                  <c:v>23-08-2018</c:v>
                </c:pt>
                <c:pt idx="1158">
                  <c:v>24-08-2018</c:v>
                </c:pt>
                <c:pt idx="1159">
                  <c:v>27-08-2018</c:v>
                </c:pt>
                <c:pt idx="1160">
                  <c:v>28-08-2018</c:v>
                </c:pt>
                <c:pt idx="1161">
                  <c:v>29-08-2018</c:v>
                </c:pt>
                <c:pt idx="1162">
                  <c:v>30-08-2018</c:v>
                </c:pt>
                <c:pt idx="1163">
                  <c:v>31-08-2018</c:v>
                </c:pt>
                <c:pt idx="1164">
                  <c:v>43199</c:v>
                </c:pt>
                <c:pt idx="1165">
                  <c:v>43229</c:v>
                </c:pt>
                <c:pt idx="1166">
                  <c:v>43260</c:v>
                </c:pt>
                <c:pt idx="1167">
                  <c:v>43290</c:v>
                </c:pt>
                <c:pt idx="1168">
                  <c:v>43382</c:v>
                </c:pt>
                <c:pt idx="1169">
                  <c:v>43413</c:v>
                </c:pt>
                <c:pt idx="1170">
                  <c:v>43443</c:v>
                </c:pt>
                <c:pt idx="1171">
                  <c:v>13-09-2018</c:v>
                </c:pt>
                <c:pt idx="1172">
                  <c:v>14-09-2018</c:v>
                </c:pt>
                <c:pt idx="1173">
                  <c:v>17-09-2018</c:v>
                </c:pt>
                <c:pt idx="1174">
                  <c:v>18-09-2018</c:v>
                </c:pt>
                <c:pt idx="1175">
                  <c:v>19-09-2018</c:v>
                </c:pt>
                <c:pt idx="1176">
                  <c:v>20-09-2018</c:v>
                </c:pt>
                <c:pt idx="1177">
                  <c:v>21-09-2018</c:v>
                </c:pt>
                <c:pt idx="1178">
                  <c:v>24-09-2018</c:v>
                </c:pt>
                <c:pt idx="1179">
                  <c:v>25-09-2018</c:v>
                </c:pt>
                <c:pt idx="1180">
                  <c:v>26-09-2018</c:v>
                </c:pt>
                <c:pt idx="1181">
                  <c:v>27-09-2018</c:v>
                </c:pt>
                <c:pt idx="1182">
                  <c:v>28-09-2018</c:v>
                </c:pt>
                <c:pt idx="1183">
                  <c:v>43110</c:v>
                </c:pt>
                <c:pt idx="1184">
                  <c:v>43141</c:v>
                </c:pt>
                <c:pt idx="1185">
                  <c:v>43169</c:v>
                </c:pt>
                <c:pt idx="1186">
                  <c:v>43200</c:v>
                </c:pt>
                <c:pt idx="1187">
                  <c:v>43230</c:v>
                </c:pt>
                <c:pt idx="1188">
                  <c:v>43322</c:v>
                </c:pt>
                <c:pt idx="1189">
                  <c:v>43353</c:v>
                </c:pt>
                <c:pt idx="1190">
                  <c:v>43383</c:v>
                </c:pt>
                <c:pt idx="1191">
                  <c:v>43414</c:v>
                </c:pt>
                <c:pt idx="1192">
                  <c:v>43444</c:v>
                </c:pt>
                <c:pt idx="1193">
                  <c:v>15-10-2018</c:v>
                </c:pt>
                <c:pt idx="1194">
                  <c:v>16-10-2018</c:v>
                </c:pt>
                <c:pt idx="1195">
                  <c:v>17-10-2018</c:v>
                </c:pt>
                <c:pt idx="1196">
                  <c:v>18-10-2018</c:v>
                </c:pt>
                <c:pt idx="1197">
                  <c:v>19-10-2018</c:v>
                </c:pt>
                <c:pt idx="1198">
                  <c:v>22-10-2018</c:v>
                </c:pt>
                <c:pt idx="1199">
                  <c:v>23-10-2018</c:v>
                </c:pt>
                <c:pt idx="1200">
                  <c:v>24-10-2018</c:v>
                </c:pt>
                <c:pt idx="1201">
                  <c:v>25-10-2018</c:v>
                </c:pt>
                <c:pt idx="1202">
                  <c:v>26-10-2018</c:v>
                </c:pt>
                <c:pt idx="1203">
                  <c:v>29-10-2018</c:v>
                </c:pt>
                <c:pt idx="1204">
                  <c:v>30-10-2018</c:v>
                </c:pt>
                <c:pt idx="1205">
                  <c:v>31-10-2018</c:v>
                </c:pt>
                <c:pt idx="1206">
                  <c:v>43111</c:v>
                </c:pt>
                <c:pt idx="1207">
                  <c:v>43142</c:v>
                </c:pt>
                <c:pt idx="1208">
                  <c:v>43231</c:v>
                </c:pt>
                <c:pt idx="1209">
                  <c:v>43262</c:v>
                </c:pt>
                <c:pt idx="1210">
                  <c:v>43292</c:v>
                </c:pt>
                <c:pt idx="1211">
                  <c:v>43323</c:v>
                </c:pt>
                <c:pt idx="1212">
                  <c:v>43354</c:v>
                </c:pt>
                <c:pt idx="1213">
                  <c:v>43445</c:v>
                </c:pt>
                <c:pt idx="1214">
                  <c:v>13-11-2018</c:v>
                </c:pt>
                <c:pt idx="1215">
                  <c:v>14-11-2018</c:v>
                </c:pt>
                <c:pt idx="1216">
                  <c:v>15-11-2018</c:v>
                </c:pt>
                <c:pt idx="1217">
                  <c:v>16-11-2018</c:v>
                </c:pt>
                <c:pt idx="1218">
                  <c:v>19-11-2018</c:v>
                </c:pt>
                <c:pt idx="1219">
                  <c:v>20-11-2018</c:v>
                </c:pt>
                <c:pt idx="1220">
                  <c:v>21-11-2018</c:v>
                </c:pt>
                <c:pt idx="1221">
                  <c:v>23-11-2018</c:v>
                </c:pt>
                <c:pt idx="1222">
                  <c:v>26-11-2018</c:v>
                </c:pt>
                <c:pt idx="1223">
                  <c:v>27-11-2018</c:v>
                </c:pt>
                <c:pt idx="1224">
                  <c:v>28-11-2018</c:v>
                </c:pt>
                <c:pt idx="1225">
                  <c:v>29-11-2018</c:v>
                </c:pt>
                <c:pt idx="1226">
                  <c:v>30-11-2018</c:v>
                </c:pt>
                <c:pt idx="1227">
                  <c:v>43171</c:v>
                </c:pt>
                <c:pt idx="1228">
                  <c:v>43202</c:v>
                </c:pt>
                <c:pt idx="1229">
                  <c:v>43263</c:v>
                </c:pt>
                <c:pt idx="1230">
                  <c:v>43293</c:v>
                </c:pt>
                <c:pt idx="1231">
                  <c:v>43385</c:v>
                </c:pt>
                <c:pt idx="1232">
                  <c:v>43416</c:v>
                </c:pt>
                <c:pt idx="1233">
                  <c:v>43446</c:v>
                </c:pt>
                <c:pt idx="1234">
                  <c:v>13-12-2018</c:v>
                </c:pt>
                <c:pt idx="1235">
                  <c:v>14-12-2018</c:v>
                </c:pt>
                <c:pt idx="1236">
                  <c:v>17-12-2018</c:v>
                </c:pt>
                <c:pt idx="1237">
                  <c:v>18-12-2018</c:v>
                </c:pt>
                <c:pt idx="1238">
                  <c:v>19-12-2018</c:v>
                </c:pt>
                <c:pt idx="1239">
                  <c:v>20-12-2018</c:v>
                </c:pt>
                <c:pt idx="1240">
                  <c:v>21-12-2018</c:v>
                </c:pt>
                <c:pt idx="1241">
                  <c:v>24-12-2018</c:v>
                </c:pt>
                <c:pt idx="1242">
                  <c:v>26-12-2018</c:v>
                </c:pt>
                <c:pt idx="1243">
                  <c:v>27-12-2018</c:v>
                </c:pt>
                <c:pt idx="1244">
                  <c:v>28-12-2018</c:v>
                </c:pt>
                <c:pt idx="1245">
                  <c:v>31-12-2018</c:v>
                </c:pt>
                <c:pt idx="1246">
                  <c:v>43497</c:v>
                </c:pt>
                <c:pt idx="1247">
                  <c:v>43525</c:v>
                </c:pt>
                <c:pt idx="1248">
                  <c:v>43556</c:v>
                </c:pt>
                <c:pt idx="1249">
                  <c:v>43647</c:v>
                </c:pt>
                <c:pt idx="1250">
                  <c:v>43678</c:v>
                </c:pt>
                <c:pt idx="1251">
                  <c:v>43709</c:v>
                </c:pt>
                <c:pt idx="1252">
                  <c:v>43739</c:v>
                </c:pt>
                <c:pt idx="1253">
                  <c:v>43770</c:v>
                </c:pt>
                <c:pt idx="1254">
                  <c:v>14-01-2019</c:v>
                </c:pt>
                <c:pt idx="1255">
                  <c:v>15-01-2019</c:v>
                </c:pt>
                <c:pt idx="1256">
                  <c:v>16-01-2019</c:v>
                </c:pt>
                <c:pt idx="1257">
                  <c:v>17-01-2019</c:v>
                </c:pt>
                <c:pt idx="1258">
                  <c:v>18-01-2019</c:v>
                </c:pt>
                <c:pt idx="1259">
                  <c:v>22-01-2019</c:v>
                </c:pt>
                <c:pt idx="1260">
                  <c:v>23-01-2019</c:v>
                </c:pt>
                <c:pt idx="1261">
                  <c:v>24-01-2019</c:v>
                </c:pt>
                <c:pt idx="1262">
                  <c:v>25-01-2019</c:v>
                </c:pt>
                <c:pt idx="1263">
                  <c:v>28-01-2019</c:v>
                </c:pt>
                <c:pt idx="1264">
                  <c:v>29-01-2019</c:v>
                </c:pt>
                <c:pt idx="1265">
                  <c:v>30-01-2019</c:v>
                </c:pt>
                <c:pt idx="1266">
                  <c:v>31-01-2019</c:v>
                </c:pt>
                <c:pt idx="1267">
                  <c:v>43467</c:v>
                </c:pt>
                <c:pt idx="1268">
                  <c:v>43557</c:v>
                </c:pt>
                <c:pt idx="1269">
                  <c:v>43587</c:v>
                </c:pt>
                <c:pt idx="1270">
                  <c:v>43618</c:v>
                </c:pt>
                <c:pt idx="1271">
                  <c:v>43648</c:v>
                </c:pt>
                <c:pt idx="1272">
                  <c:v>43679</c:v>
                </c:pt>
                <c:pt idx="1273">
                  <c:v>43771</c:v>
                </c:pt>
                <c:pt idx="1274">
                  <c:v>43801</c:v>
                </c:pt>
                <c:pt idx="1275">
                  <c:v>13-02-2019</c:v>
                </c:pt>
                <c:pt idx="1276">
                  <c:v>14-02-2019</c:v>
                </c:pt>
                <c:pt idx="1277">
                  <c:v>15-02-2019</c:v>
                </c:pt>
                <c:pt idx="1278">
                  <c:v>19-02-2019</c:v>
                </c:pt>
                <c:pt idx="1279">
                  <c:v>20-02-2019</c:v>
                </c:pt>
                <c:pt idx="1280">
                  <c:v>21-02-2019</c:v>
                </c:pt>
                <c:pt idx="1281">
                  <c:v>22-02-2019</c:v>
                </c:pt>
                <c:pt idx="1282">
                  <c:v>25-02-2019</c:v>
                </c:pt>
                <c:pt idx="1283">
                  <c:v>26-02-2019</c:v>
                </c:pt>
                <c:pt idx="1284">
                  <c:v>27-02-2019</c:v>
                </c:pt>
                <c:pt idx="1285">
                  <c:v>28-02-2019</c:v>
                </c:pt>
                <c:pt idx="1286">
                  <c:v>43468</c:v>
                </c:pt>
                <c:pt idx="1287">
                  <c:v>43558</c:v>
                </c:pt>
                <c:pt idx="1288">
                  <c:v>43588</c:v>
                </c:pt>
                <c:pt idx="1289">
                  <c:v>43619</c:v>
                </c:pt>
                <c:pt idx="1290">
                  <c:v>43649</c:v>
                </c:pt>
                <c:pt idx="1291">
                  <c:v>43680</c:v>
                </c:pt>
                <c:pt idx="1292">
                  <c:v>43772</c:v>
                </c:pt>
                <c:pt idx="1293">
                  <c:v>43802</c:v>
                </c:pt>
                <c:pt idx="1294">
                  <c:v>13-03-2019</c:v>
                </c:pt>
                <c:pt idx="1295">
                  <c:v>14-03-2019</c:v>
                </c:pt>
                <c:pt idx="1296">
                  <c:v>15-03-2019</c:v>
                </c:pt>
                <c:pt idx="1297">
                  <c:v>18-03-2019</c:v>
                </c:pt>
                <c:pt idx="1298">
                  <c:v>19-03-2019</c:v>
                </c:pt>
                <c:pt idx="1299">
                  <c:v>20-03-2019</c:v>
                </c:pt>
                <c:pt idx="1300">
                  <c:v>21-03-2019</c:v>
                </c:pt>
                <c:pt idx="1301">
                  <c:v>22-03-2019</c:v>
                </c:pt>
                <c:pt idx="1302">
                  <c:v>25-03-2019</c:v>
                </c:pt>
                <c:pt idx="1303">
                  <c:v>26-03-2019</c:v>
                </c:pt>
                <c:pt idx="1304">
                  <c:v>27-03-2019</c:v>
                </c:pt>
                <c:pt idx="1305">
                  <c:v>28-03-2019</c:v>
                </c:pt>
                <c:pt idx="1306">
                  <c:v>29-03-2019</c:v>
                </c:pt>
                <c:pt idx="1307">
                  <c:v>43469</c:v>
                </c:pt>
                <c:pt idx="1308">
                  <c:v>43500</c:v>
                </c:pt>
                <c:pt idx="1309">
                  <c:v>43528</c:v>
                </c:pt>
                <c:pt idx="1310">
                  <c:v>43559</c:v>
                </c:pt>
                <c:pt idx="1311">
                  <c:v>43589</c:v>
                </c:pt>
                <c:pt idx="1312">
                  <c:v>43681</c:v>
                </c:pt>
                <c:pt idx="1313">
                  <c:v>43712</c:v>
                </c:pt>
                <c:pt idx="1314">
                  <c:v>43742</c:v>
                </c:pt>
                <c:pt idx="1315">
                  <c:v>43773</c:v>
                </c:pt>
                <c:pt idx="1316">
                  <c:v>43803</c:v>
                </c:pt>
                <c:pt idx="1317">
                  <c:v>15-04-2019</c:v>
                </c:pt>
                <c:pt idx="1318">
                  <c:v>16-04-2019</c:v>
                </c:pt>
                <c:pt idx="1319">
                  <c:v>17-04-2019</c:v>
                </c:pt>
                <c:pt idx="1320">
                  <c:v>18-04-2019</c:v>
                </c:pt>
                <c:pt idx="1321">
                  <c:v>22-04-2019</c:v>
                </c:pt>
                <c:pt idx="1322">
                  <c:v>23-04-2019</c:v>
                </c:pt>
                <c:pt idx="1323">
                  <c:v>24-04-2019</c:v>
                </c:pt>
                <c:pt idx="1324">
                  <c:v>25-04-2019</c:v>
                </c:pt>
                <c:pt idx="1325">
                  <c:v>26-04-2019</c:v>
                </c:pt>
                <c:pt idx="1326">
                  <c:v>29-04-2019</c:v>
                </c:pt>
                <c:pt idx="1327">
                  <c:v>30-04-2019</c:v>
                </c:pt>
                <c:pt idx="1328">
                  <c:v>43470</c:v>
                </c:pt>
                <c:pt idx="1329">
                  <c:v>43501</c:v>
                </c:pt>
                <c:pt idx="1330">
                  <c:v>43529</c:v>
                </c:pt>
                <c:pt idx="1331">
                  <c:v>43621</c:v>
                </c:pt>
                <c:pt idx="1332">
                  <c:v>43651</c:v>
                </c:pt>
                <c:pt idx="1333">
                  <c:v>43682</c:v>
                </c:pt>
                <c:pt idx="1334">
                  <c:v>43713</c:v>
                </c:pt>
                <c:pt idx="1335">
                  <c:v>43743</c:v>
                </c:pt>
                <c:pt idx="1336">
                  <c:v>13-05-2019</c:v>
                </c:pt>
                <c:pt idx="1337">
                  <c:v>14-05-2019</c:v>
                </c:pt>
                <c:pt idx="1338">
                  <c:v>15-05-2019</c:v>
                </c:pt>
                <c:pt idx="1339">
                  <c:v>16-05-2019</c:v>
                </c:pt>
                <c:pt idx="1340">
                  <c:v>17-05-2019</c:v>
                </c:pt>
                <c:pt idx="1341">
                  <c:v>20-05-2019</c:v>
                </c:pt>
                <c:pt idx="1342">
                  <c:v>21-05-2019</c:v>
                </c:pt>
                <c:pt idx="1343">
                  <c:v>22-05-2019</c:v>
                </c:pt>
                <c:pt idx="1344">
                  <c:v>23-05-2019</c:v>
                </c:pt>
                <c:pt idx="1345">
                  <c:v>24-05-2019</c:v>
                </c:pt>
                <c:pt idx="1346">
                  <c:v>28-05-2019</c:v>
                </c:pt>
                <c:pt idx="1347">
                  <c:v>29-05-2019</c:v>
                </c:pt>
                <c:pt idx="1348">
                  <c:v>30-05-2019</c:v>
                </c:pt>
                <c:pt idx="1349">
                  <c:v>31-05-2019</c:v>
                </c:pt>
                <c:pt idx="1350">
                  <c:v>43530</c:v>
                </c:pt>
                <c:pt idx="1351">
                  <c:v>43561</c:v>
                </c:pt>
                <c:pt idx="1352">
                  <c:v>43591</c:v>
                </c:pt>
                <c:pt idx="1353">
                  <c:v>43622</c:v>
                </c:pt>
                <c:pt idx="1354">
                  <c:v>43652</c:v>
                </c:pt>
                <c:pt idx="1355">
                  <c:v>43744</c:v>
                </c:pt>
                <c:pt idx="1356">
                  <c:v>43775</c:v>
                </c:pt>
                <c:pt idx="1357">
                  <c:v>43805</c:v>
                </c:pt>
                <c:pt idx="1358">
                  <c:v>13-06-2019</c:v>
                </c:pt>
                <c:pt idx="1359">
                  <c:v>14-06-2019</c:v>
                </c:pt>
                <c:pt idx="1360">
                  <c:v>17-06-2019</c:v>
                </c:pt>
                <c:pt idx="1361">
                  <c:v>18-06-2019</c:v>
                </c:pt>
                <c:pt idx="1362">
                  <c:v>19-06-2019</c:v>
                </c:pt>
                <c:pt idx="1363">
                  <c:v>20-06-2019</c:v>
                </c:pt>
                <c:pt idx="1364">
                  <c:v>21-06-2019</c:v>
                </c:pt>
                <c:pt idx="1365">
                  <c:v>24-06-2019</c:v>
                </c:pt>
                <c:pt idx="1366">
                  <c:v>25-06-2019</c:v>
                </c:pt>
                <c:pt idx="1367">
                  <c:v>26-06-2019</c:v>
                </c:pt>
                <c:pt idx="1368">
                  <c:v>27-06-2019</c:v>
                </c:pt>
                <c:pt idx="1369">
                  <c:v>28-06-2019</c:v>
                </c:pt>
                <c:pt idx="1370">
                  <c:v>43472</c:v>
                </c:pt>
                <c:pt idx="1371">
                  <c:v>43503</c:v>
                </c:pt>
                <c:pt idx="1372">
                  <c:v>43531</c:v>
                </c:pt>
                <c:pt idx="1373">
                  <c:v>43592</c:v>
                </c:pt>
                <c:pt idx="1374">
                  <c:v>43684</c:v>
                </c:pt>
                <c:pt idx="1375">
                  <c:v>43715</c:v>
                </c:pt>
                <c:pt idx="1376">
                  <c:v>43745</c:v>
                </c:pt>
                <c:pt idx="1377">
                  <c:v>43776</c:v>
                </c:pt>
                <c:pt idx="1378">
                  <c:v>43806</c:v>
                </c:pt>
                <c:pt idx="1379">
                  <c:v>15-07-2019</c:v>
                </c:pt>
                <c:pt idx="1380">
                  <c:v>16-07-2019</c:v>
                </c:pt>
                <c:pt idx="1381">
                  <c:v>17-07-2019</c:v>
                </c:pt>
                <c:pt idx="1382">
                  <c:v>18-07-2019</c:v>
                </c:pt>
                <c:pt idx="1383">
                  <c:v>19-07-2019</c:v>
                </c:pt>
                <c:pt idx="1384">
                  <c:v>22-07-2019</c:v>
                </c:pt>
                <c:pt idx="1385">
                  <c:v>23-07-2019</c:v>
                </c:pt>
                <c:pt idx="1386">
                  <c:v>24-07-2019</c:v>
                </c:pt>
                <c:pt idx="1387">
                  <c:v>25-07-2019</c:v>
                </c:pt>
                <c:pt idx="1388">
                  <c:v>26-07-2019</c:v>
                </c:pt>
                <c:pt idx="1389">
                  <c:v>29-07-2019</c:v>
                </c:pt>
                <c:pt idx="1390">
                  <c:v>30-07-2019</c:v>
                </c:pt>
                <c:pt idx="1391">
                  <c:v>31-07-2019</c:v>
                </c:pt>
                <c:pt idx="1392">
                  <c:v>43473</c:v>
                </c:pt>
                <c:pt idx="1393">
                  <c:v>43504</c:v>
                </c:pt>
                <c:pt idx="1394">
                  <c:v>43593</c:v>
                </c:pt>
                <c:pt idx="1395">
                  <c:v>43624</c:v>
                </c:pt>
                <c:pt idx="1396">
                  <c:v>43654</c:v>
                </c:pt>
                <c:pt idx="1397">
                  <c:v>43685</c:v>
                </c:pt>
                <c:pt idx="1398">
                  <c:v>43716</c:v>
                </c:pt>
                <c:pt idx="1399">
                  <c:v>43807</c:v>
                </c:pt>
                <c:pt idx="1400">
                  <c:v>13-08-2019</c:v>
                </c:pt>
                <c:pt idx="1401">
                  <c:v>14-08-2019</c:v>
                </c:pt>
                <c:pt idx="1402">
                  <c:v>15-08-2019</c:v>
                </c:pt>
                <c:pt idx="1403">
                  <c:v>16-08-2019</c:v>
                </c:pt>
                <c:pt idx="1404">
                  <c:v>19-08-2019</c:v>
                </c:pt>
                <c:pt idx="1405">
                  <c:v>20-08-2019</c:v>
                </c:pt>
                <c:pt idx="1406">
                  <c:v>21-08-2019</c:v>
                </c:pt>
                <c:pt idx="1407">
                  <c:v>22-08-2019</c:v>
                </c:pt>
                <c:pt idx="1408">
                  <c:v>23-08-2019</c:v>
                </c:pt>
                <c:pt idx="1409">
                  <c:v>26-08-2019</c:v>
                </c:pt>
                <c:pt idx="1410">
                  <c:v>27-08-2019</c:v>
                </c:pt>
                <c:pt idx="1411">
                  <c:v>28-08-2019</c:v>
                </c:pt>
                <c:pt idx="1412">
                  <c:v>29-08-2019</c:v>
                </c:pt>
                <c:pt idx="1413">
                  <c:v>30-08-2019</c:v>
                </c:pt>
                <c:pt idx="1414">
                  <c:v>43533</c:v>
                </c:pt>
                <c:pt idx="1415">
                  <c:v>43564</c:v>
                </c:pt>
                <c:pt idx="1416">
                  <c:v>43594</c:v>
                </c:pt>
                <c:pt idx="1417">
                  <c:v>43625</c:v>
                </c:pt>
                <c:pt idx="1418">
                  <c:v>43717</c:v>
                </c:pt>
                <c:pt idx="1419">
                  <c:v>43747</c:v>
                </c:pt>
                <c:pt idx="1420">
                  <c:v>43778</c:v>
                </c:pt>
                <c:pt idx="1421">
                  <c:v>43808</c:v>
                </c:pt>
                <c:pt idx="1422">
                  <c:v>13-09-2019</c:v>
                </c:pt>
                <c:pt idx="1423">
                  <c:v>16-09-2019</c:v>
                </c:pt>
                <c:pt idx="1424">
                  <c:v>17-09-2019</c:v>
                </c:pt>
                <c:pt idx="1425">
                  <c:v>18-09-2019</c:v>
                </c:pt>
                <c:pt idx="1426">
                  <c:v>19-09-2019</c:v>
                </c:pt>
                <c:pt idx="1427">
                  <c:v>20-09-2019</c:v>
                </c:pt>
                <c:pt idx="1428">
                  <c:v>23-09-2019</c:v>
                </c:pt>
                <c:pt idx="1429">
                  <c:v>24-09-2019</c:v>
                </c:pt>
                <c:pt idx="1430">
                  <c:v>25-09-2019</c:v>
                </c:pt>
                <c:pt idx="1431">
                  <c:v>26-09-2019</c:v>
                </c:pt>
                <c:pt idx="1432">
                  <c:v>27-09-2019</c:v>
                </c:pt>
                <c:pt idx="1433">
                  <c:v>30-09-2019</c:v>
                </c:pt>
                <c:pt idx="1434">
                  <c:v>43475</c:v>
                </c:pt>
                <c:pt idx="1435">
                  <c:v>43506</c:v>
                </c:pt>
                <c:pt idx="1436">
                  <c:v>43534</c:v>
                </c:pt>
                <c:pt idx="1437">
                  <c:v>43565</c:v>
                </c:pt>
                <c:pt idx="1438">
                  <c:v>43656</c:v>
                </c:pt>
                <c:pt idx="1439">
                  <c:v>43687</c:v>
                </c:pt>
                <c:pt idx="1440">
                  <c:v>43718</c:v>
                </c:pt>
                <c:pt idx="1441">
                  <c:v>43748</c:v>
                </c:pt>
                <c:pt idx="1442">
                  <c:v>43779</c:v>
                </c:pt>
                <c:pt idx="1443">
                  <c:v>14-10-2019</c:v>
                </c:pt>
                <c:pt idx="1444">
                  <c:v>15-10-2019</c:v>
                </c:pt>
                <c:pt idx="1445">
                  <c:v>16-10-2019</c:v>
                </c:pt>
                <c:pt idx="1446">
                  <c:v>17-10-2019</c:v>
                </c:pt>
                <c:pt idx="1447">
                  <c:v>18-10-2019</c:v>
                </c:pt>
                <c:pt idx="1448">
                  <c:v>21-10-2019</c:v>
                </c:pt>
                <c:pt idx="1449">
                  <c:v>22-10-2019</c:v>
                </c:pt>
                <c:pt idx="1450">
                  <c:v>23-10-2019</c:v>
                </c:pt>
                <c:pt idx="1451">
                  <c:v>24-10-2019</c:v>
                </c:pt>
                <c:pt idx="1452">
                  <c:v>25-10-2019</c:v>
                </c:pt>
                <c:pt idx="1453">
                  <c:v>28-10-2019</c:v>
                </c:pt>
                <c:pt idx="1454">
                  <c:v>29-10-2019</c:v>
                </c:pt>
                <c:pt idx="1455">
                  <c:v>30-10-2019</c:v>
                </c:pt>
                <c:pt idx="1456">
                  <c:v>31-10-2019</c:v>
                </c:pt>
                <c:pt idx="1457">
                  <c:v>43476</c:v>
                </c:pt>
                <c:pt idx="1458">
                  <c:v>43566</c:v>
                </c:pt>
                <c:pt idx="1459">
                  <c:v>43596</c:v>
                </c:pt>
                <c:pt idx="1460">
                  <c:v>43627</c:v>
                </c:pt>
                <c:pt idx="1461">
                  <c:v>43657</c:v>
                </c:pt>
                <c:pt idx="1462">
                  <c:v>43688</c:v>
                </c:pt>
                <c:pt idx="1463">
                  <c:v>43780</c:v>
                </c:pt>
                <c:pt idx="1464">
                  <c:v>43810</c:v>
                </c:pt>
                <c:pt idx="1465">
                  <c:v>13-11-2019</c:v>
                </c:pt>
                <c:pt idx="1466">
                  <c:v>14-11-2019</c:v>
                </c:pt>
                <c:pt idx="1467">
                  <c:v>15-11-2019</c:v>
                </c:pt>
                <c:pt idx="1468">
                  <c:v>18-11-2019</c:v>
                </c:pt>
                <c:pt idx="1469">
                  <c:v>19-11-2019</c:v>
                </c:pt>
                <c:pt idx="1470">
                  <c:v>20-11-2019</c:v>
                </c:pt>
                <c:pt idx="1471">
                  <c:v>21-11-2019</c:v>
                </c:pt>
                <c:pt idx="1472">
                  <c:v>22-11-2019</c:v>
                </c:pt>
                <c:pt idx="1473">
                  <c:v>25-11-2019</c:v>
                </c:pt>
                <c:pt idx="1474">
                  <c:v>26-11-2019</c:v>
                </c:pt>
                <c:pt idx="1475">
                  <c:v>27-11-2019</c:v>
                </c:pt>
                <c:pt idx="1476">
                  <c:v>29-11-2019</c:v>
                </c:pt>
                <c:pt idx="1477">
                  <c:v>43508</c:v>
                </c:pt>
                <c:pt idx="1478">
                  <c:v>43536</c:v>
                </c:pt>
                <c:pt idx="1479">
                  <c:v>43567</c:v>
                </c:pt>
                <c:pt idx="1480">
                  <c:v>43597</c:v>
                </c:pt>
                <c:pt idx="1481">
                  <c:v>43628</c:v>
                </c:pt>
                <c:pt idx="1482">
                  <c:v>43720</c:v>
                </c:pt>
                <c:pt idx="1483">
                  <c:v>43750</c:v>
                </c:pt>
                <c:pt idx="1484">
                  <c:v>43781</c:v>
                </c:pt>
                <c:pt idx="1485">
                  <c:v>43811</c:v>
                </c:pt>
                <c:pt idx="1486">
                  <c:v>13-12-2019</c:v>
                </c:pt>
                <c:pt idx="1487">
                  <c:v>16-12-2019</c:v>
                </c:pt>
                <c:pt idx="1488">
                  <c:v>17-12-2019</c:v>
                </c:pt>
                <c:pt idx="1489">
                  <c:v>18-12-2019</c:v>
                </c:pt>
                <c:pt idx="1490">
                  <c:v>19-12-2019</c:v>
                </c:pt>
                <c:pt idx="1491">
                  <c:v>20-12-2019</c:v>
                </c:pt>
                <c:pt idx="1492">
                  <c:v>23-12-2019</c:v>
                </c:pt>
                <c:pt idx="1493">
                  <c:v>24-12-2019</c:v>
                </c:pt>
                <c:pt idx="1494">
                  <c:v>26-12-2019</c:v>
                </c:pt>
                <c:pt idx="1495">
                  <c:v>27-12-2019</c:v>
                </c:pt>
                <c:pt idx="1496">
                  <c:v>30-12-2019</c:v>
                </c:pt>
                <c:pt idx="1497">
                  <c:v>31-12-2019</c:v>
                </c:pt>
                <c:pt idx="1498">
                  <c:v>43862</c:v>
                </c:pt>
                <c:pt idx="1499">
                  <c:v>43891</c:v>
                </c:pt>
                <c:pt idx="1500">
                  <c:v>43983</c:v>
                </c:pt>
                <c:pt idx="1501">
                  <c:v>44013</c:v>
                </c:pt>
                <c:pt idx="1502">
                  <c:v>44044</c:v>
                </c:pt>
                <c:pt idx="1503">
                  <c:v>44075</c:v>
                </c:pt>
                <c:pt idx="1504">
                  <c:v>44105</c:v>
                </c:pt>
                <c:pt idx="1505">
                  <c:v>13-01-2020</c:v>
                </c:pt>
                <c:pt idx="1506">
                  <c:v>14-01-2020</c:v>
                </c:pt>
                <c:pt idx="1507">
                  <c:v>15-01-2020</c:v>
                </c:pt>
                <c:pt idx="1508">
                  <c:v>16-01-2020</c:v>
                </c:pt>
                <c:pt idx="1509">
                  <c:v>17-01-2020</c:v>
                </c:pt>
                <c:pt idx="1510">
                  <c:v>21-01-2020</c:v>
                </c:pt>
                <c:pt idx="1511">
                  <c:v>22-01-2020</c:v>
                </c:pt>
                <c:pt idx="1512">
                  <c:v>23-01-2020</c:v>
                </c:pt>
                <c:pt idx="1513">
                  <c:v>24-01-2020</c:v>
                </c:pt>
                <c:pt idx="1514">
                  <c:v>27-01-2020</c:v>
                </c:pt>
                <c:pt idx="1515">
                  <c:v>28-01-2020</c:v>
                </c:pt>
                <c:pt idx="1516">
                  <c:v>29-01-2020</c:v>
                </c:pt>
                <c:pt idx="1517">
                  <c:v>30-01-2020</c:v>
                </c:pt>
                <c:pt idx="1518">
                  <c:v>31-01-2020</c:v>
                </c:pt>
                <c:pt idx="1519">
                  <c:v>43892</c:v>
                </c:pt>
                <c:pt idx="1520">
                  <c:v>43923</c:v>
                </c:pt>
                <c:pt idx="1521">
                  <c:v>43953</c:v>
                </c:pt>
                <c:pt idx="1522">
                  <c:v>43984</c:v>
                </c:pt>
                <c:pt idx="1523">
                  <c:v>44014</c:v>
                </c:pt>
                <c:pt idx="1524">
                  <c:v>44106</c:v>
                </c:pt>
                <c:pt idx="1525">
                  <c:v>44137</c:v>
                </c:pt>
                <c:pt idx="1526">
                  <c:v>44167</c:v>
                </c:pt>
                <c:pt idx="1527">
                  <c:v>13-02-2020</c:v>
                </c:pt>
                <c:pt idx="1528">
                  <c:v>14-02-2020</c:v>
                </c:pt>
                <c:pt idx="1529">
                  <c:v>18-02-2020</c:v>
                </c:pt>
                <c:pt idx="1530">
                  <c:v>19-02-2020</c:v>
                </c:pt>
                <c:pt idx="1531">
                  <c:v>20-02-2020</c:v>
                </c:pt>
                <c:pt idx="1532">
                  <c:v>21-02-2020</c:v>
                </c:pt>
                <c:pt idx="1533">
                  <c:v>24-02-2020</c:v>
                </c:pt>
                <c:pt idx="1534">
                  <c:v>25-02-2020</c:v>
                </c:pt>
                <c:pt idx="1535">
                  <c:v>26-02-2020</c:v>
                </c:pt>
                <c:pt idx="1536">
                  <c:v>27-02-2020</c:v>
                </c:pt>
                <c:pt idx="1537">
                  <c:v>28-02-2020</c:v>
                </c:pt>
                <c:pt idx="1538">
                  <c:v>43864</c:v>
                </c:pt>
                <c:pt idx="1539">
                  <c:v>43893</c:v>
                </c:pt>
                <c:pt idx="1540">
                  <c:v>43924</c:v>
                </c:pt>
                <c:pt idx="1541">
                  <c:v>43954</c:v>
                </c:pt>
                <c:pt idx="1542">
                  <c:v>43985</c:v>
                </c:pt>
                <c:pt idx="1543">
                  <c:v>44077</c:v>
                </c:pt>
                <c:pt idx="1544">
                  <c:v>44107</c:v>
                </c:pt>
                <c:pt idx="1545">
                  <c:v>44138</c:v>
                </c:pt>
                <c:pt idx="1546">
                  <c:v>44168</c:v>
                </c:pt>
                <c:pt idx="1547">
                  <c:v>13-03-2020</c:v>
                </c:pt>
                <c:pt idx="1548">
                  <c:v>16-03-2020</c:v>
                </c:pt>
                <c:pt idx="1549">
                  <c:v>17-03-2020</c:v>
                </c:pt>
                <c:pt idx="1550">
                  <c:v>18-03-2020</c:v>
                </c:pt>
                <c:pt idx="1551">
                  <c:v>19-03-2020</c:v>
                </c:pt>
                <c:pt idx="1552">
                  <c:v>20-03-2020</c:v>
                </c:pt>
                <c:pt idx="1553">
                  <c:v>23-03-2020</c:v>
                </c:pt>
                <c:pt idx="1554">
                  <c:v>24-03-2020</c:v>
                </c:pt>
                <c:pt idx="1555">
                  <c:v>25-03-2020</c:v>
                </c:pt>
                <c:pt idx="1556">
                  <c:v>26-03-2020</c:v>
                </c:pt>
                <c:pt idx="1557">
                  <c:v>27-03-2020</c:v>
                </c:pt>
                <c:pt idx="1558">
                  <c:v>30-03-2020</c:v>
                </c:pt>
                <c:pt idx="1559">
                  <c:v>31-03-2020</c:v>
                </c:pt>
                <c:pt idx="1560">
                  <c:v>43834</c:v>
                </c:pt>
                <c:pt idx="1561">
                  <c:v>43865</c:v>
                </c:pt>
                <c:pt idx="1562">
                  <c:v>43894</c:v>
                </c:pt>
                <c:pt idx="1563">
                  <c:v>43986</c:v>
                </c:pt>
                <c:pt idx="1564">
                  <c:v>44016</c:v>
                </c:pt>
                <c:pt idx="1565">
                  <c:v>44047</c:v>
                </c:pt>
                <c:pt idx="1566">
                  <c:v>44078</c:v>
                </c:pt>
                <c:pt idx="1567">
                  <c:v>13-04-2020</c:v>
                </c:pt>
                <c:pt idx="1568">
                  <c:v>14-04-2020</c:v>
                </c:pt>
                <c:pt idx="1569">
                  <c:v>15-04-2020</c:v>
                </c:pt>
                <c:pt idx="1570">
                  <c:v>16-04-2020</c:v>
                </c:pt>
                <c:pt idx="1571">
                  <c:v>17-04-2020</c:v>
                </c:pt>
                <c:pt idx="1572">
                  <c:v>20-04-2020</c:v>
                </c:pt>
                <c:pt idx="1573">
                  <c:v>21-04-2020</c:v>
                </c:pt>
                <c:pt idx="1574">
                  <c:v>22-04-2020</c:v>
                </c:pt>
                <c:pt idx="1575">
                  <c:v>23-04-2020</c:v>
                </c:pt>
                <c:pt idx="1576">
                  <c:v>24-04-2020</c:v>
                </c:pt>
                <c:pt idx="1577">
                  <c:v>27-04-2020</c:v>
                </c:pt>
                <c:pt idx="1578">
                  <c:v>28-04-2020</c:v>
                </c:pt>
                <c:pt idx="1579">
                  <c:v>29-04-2020</c:v>
                </c:pt>
                <c:pt idx="1580">
                  <c:v>30-04-2020</c:v>
                </c:pt>
                <c:pt idx="1581">
                  <c:v>43835</c:v>
                </c:pt>
                <c:pt idx="1582">
                  <c:v>43926</c:v>
                </c:pt>
                <c:pt idx="1583">
                  <c:v>43956</c:v>
                </c:pt>
                <c:pt idx="1584">
                  <c:v>43987</c:v>
                </c:pt>
                <c:pt idx="1585">
                  <c:v>44017</c:v>
                </c:pt>
                <c:pt idx="1586">
                  <c:v>44048</c:v>
                </c:pt>
                <c:pt idx="1587">
                  <c:v>44140</c:v>
                </c:pt>
                <c:pt idx="1588">
                  <c:v>44170</c:v>
                </c:pt>
                <c:pt idx="1589">
                  <c:v>13-05-2020</c:v>
                </c:pt>
                <c:pt idx="1590">
                  <c:v>14-05-2020</c:v>
                </c:pt>
                <c:pt idx="1591">
                  <c:v>15-05-2020</c:v>
                </c:pt>
                <c:pt idx="1592">
                  <c:v>18-05-2020</c:v>
                </c:pt>
                <c:pt idx="1593">
                  <c:v>19-05-2020</c:v>
                </c:pt>
                <c:pt idx="1594">
                  <c:v>20-05-2020</c:v>
                </c:pt>
                <c:pt idx="1595">
                  <c:v>21-05-2020</c:v>
                </c:pt>
                <c:pt idx="1596">
                  <c:v>22-05-2020</c:v>
                </c:pt>
                <c:pt idx="1597">
                  <c:v>26-05-2020</c:v>
                </c:pt>
                <c:pt idx="1598">
                  <c:v>27-05-2020</c:v>
                </c:pt>
                <c:pt idx="1599">
                  <c:v>28-05-2020</c:v>
                </c:pt>
                <c:pt idx="1600">
                  <c:v>29-05-2020</c:v>
                </c:pt>
                <c:pt idx="1601">
                  <c:v>43836</c:v>
                </c:pt>
                <c:pt idx="1602">
                  <c:v>43867</c:v>
                </c:pt>
                <c:pt idx="1603">
                  <c:v>43896</c:v>
                </c:pt>
                <c:pt idx="1604">
                  <c:v>43927</c:v>
                </c:pt>
                <c:pt idx="1605">
                  <c:v>43957</c:v>
                </c:pt>
                <c:pt idx="1606">
                  <c:v>44049</c:v>
                </c:pt>
                <c:pt idx="1607">
                  <c:v>44080</c:v>
                </c:pt>
                <c:pt idx="1608">
                  <c:v>44110</c:v>
                </c:pt>
                <c:pt idx="1609">
                  <c:v>44141</c:v>
                </c:pt>
                <c:pt idx="1610">
                  <c:v>44171</c:v>
                </c:pt>
                <c:pt idx="1611">
                  <c:v>15-06-2020</c:v>
                </c:pt>
                <c:pt idx="1612">
                  <c:v>16-06-2020</c:v>
                </c:pt>
                <c:pt idx="1613">
                  <c:v>17-06-2020</c:v>
                </c:pt>
                <c:pt idx="1614">
                  <c:v>18-06-2020</c:v>
                </c:pt>
                <c:pt idx="1615">
                  <c:v>19-06-2020</c:v>
                </c:pt>
                <c:pt idx="1616">
                  <c:v>22-06-2020</c:v>
                </c:pt>
                <c:pt idx="1617">
                  <c:v>23-06-2020</c:v>
                </c:pt>
                <c:pt idx="1618">
                  <c:v>24-06-2020</c:v>
                </c:pt>
                <c:pt idx="1619">
                  <c:v>25-06-2020</c:v>
                </c:pt>
                <c:pt idx="1620">
                  <c:v>26-06-2020</c:v>
                </c:pt>
                <c:pt idx="1621">
                  <c:v>29-06-2020</c:v>
                </c:pt>
                <c:pt idx="1622">
                  <c:v>30-06-2020</c:v>
                </c:pt>
                <c:pt idx="1623">
                  <c:v>43837</c:v>
                </c:pt>
                <c:pt idx="1624">
                  <c:v>43868</c:v>
                </c:pt>
                <c:pt idx="1625">
                  <c:v>43989</c:v>
                </c:pt>
                <c:pt idx="1626">
                  <c:v>44019</c:v>
                </c:pt>
                <c:pt idx="1627">
                  <c:v>44050</c:v>
                </c:pt>
                <c:pt idx="1628">
                  <c:v>44081</c:v>
                </c:pt>
                <c:pt idx="1629">
                  <c:v>44111</c:v>
                </c:pt>
                <c:pt idx="1630">
                  <c:v>13-07-2020</c:v>
                </c:pt>
                <c:pt idx="1631">
                  <c:v>14-07-2020</c:v>
                </c:pt>
                <c:pt idx="1632">
                  <c:v>15-07-2020</c:v>
                </c:pt>
                <c:pt idx="1633">
                  <c:v>16-07-2020</c:v>
                </c:pt>
                <c:pt idx="1634">
                  <c:v>17-07-2020</c:v>
                </c:pt>
                <c:pt idx="1635">
                  <c:v>20-07-2020</c:v>
                </c:pt>
                <c:pt idx="1636">
                  <c:v>21-07-2020</c:v>
                </c:pt>
                <c:pt idx="1637">
                  <c:v>22-07-2020</c:v>
                </c:pt>
                <c:pt idx="1638">
                  <c:v>23-07-2020</c:v>
                </c:pt>
                <c:pt idx="1639">
                  <c:v>24-07-2020</c:v>
                </c:pt>
                <c:pt idx="1640">
                  <c:v>27-07-2020</c:v>
                </c:pt>
                <c:pt idx="1641">
                  <c:v>28-07-2020</c:v>
                </c:pt>
                <c:pt idx="1642">
                  <c:v>29-07-2020</c:v>
                </c:pt>
                <c:pt idx="1643">
                  <c:v>30-07-2020</c:v>
                </c:pt>
                <c:pt idx="1644">
                  <c:v>31-07-2020</c:v>
                </c:pt>
                <c:pt idx="1645">
                  <c:v>43898</c:v>
                </c:pt>
                <c:pt idx="1646">
                  <c:v>43929</c:v>
                </c:pt>
                <c:pt idx="1647">
                  <c:v>43959</c:v>
                </c:pt>
                <c:pt idx="1648">
                  <c:v>43990</c:v>
                </c:pt>
                <c:pt idx="1649">
                  <c:v>44020</c:v>
                </c:pt>
                <c:pt idx="1650">
                  <c:v>44112</c:v>
                </c:pt>
                <c:pt idx="1651">
                  <c:v>44143</c:v>
                </c:pt>
                <c:pt idx="1652">
                  <c:v>44173</c:v>
                </c:pt>
                <c:pt idx="1653">
                  <c:v>13-08-2020</c:v>
                </c:pt>
                <c:pt idx="1654">
                  <c:v>14-08-2020</c:v>
                </c:pt>
                <c:pt idx="1655">
                  <c:v>17-08-2020</c:v>
                </c:pt>
                <c:pt idx="1656">
                  <c:v>18-08-2020</c:v>
                </c:pt>
                <c:pt idx="1657">
                  <c:v>19-08-2020</c:v>
                </c:pt>
                <c:pt idx="1658">
                  <c:v>20-08-2020</c:v>
                </c:pt>
                <c:pt idx="1659">
                  <c:v>21-08-2020</c:v>
                </c:pt>
                <c:pt idx="1660">
                  <c:v>24-08-2020</c:v>
                </c:pt>
                <c:pt idx="1661">
                  <c:v>25-08-2020</c:v>
                </c:pt>
                <c:pt idx="1662">
                  <c:v>26-08-2020</c:v>
                </c:pt>
                <c:pt idx="1663">
                  <c:v>27-08-2020</c:v>
                </c:pt>
                <c:pt idx="1664">
                  <c:v>28-08-2020</c:v>
                </c:pt>
                <c:pt idx="1665">
                  <c:v>31-08-2020</c:v>
                </c:pt>
                <c:pt idx="1666">
                  <c:v>43839</c:v>
                </c:pt>
                <c:pt idx="1667">
                  <c:v>43870</c:v>
                </c:pt>
                <c:pt idx="1668">
                  <c:v>43899</c:v>
                </c:pt>
                <c:pt idx="1669">
                  <c:v>43930</c:v>
                </c:pt>
                <c:pt idx="1670">
                  <c:v>44052</c:v>
                </c:pt>
                <c:pt idx="1671">
                  <c:v>44083</c:v>
                </c:pt>
                <c:pt idx="1672">
                  <c:v>44113</c:v>
                </c:pt>
                <c:pt idx="1673">
                  <c:v>44144</c:v>
                </c:pt>
                <c:pt idx="1674">
                  <c:v>14-09-2020</c:v>
                </c:pt>
                <c:pt idx="1675">
                  <c:v>15-09-2020</c:v>
                </c:pt>
                <c:pt idx="1676">
                  <c:v>16-09-2020</c:v>
                </c:pt>
                <c:pt idx="1677">
                  <c:v>17-09-2020</c:v>
                </c:pt>
                <c:pt idx="1678">
                  <c:v>18-09-2020</c:v>
                </c:pt>
                <c:pt idx="1679">
                  <c:v>21-09-2020</c:v>
                </c:pt>
                <c:pt idx="1680">
                  <c:v>22-09-2020</c:v>
                </c:pt>
                <c:pt idx="1681">
                  <c:v>23-09-2020</c:v>
                </c:pt>
                <c:pt idx="1682">
                  <c:v>24-09-2020</c:v>
                </c:pt>
                <c:pt idx="1683">
                  <c:v>25-09-2020</c:v>
                </c:pt>
                <c:pt idx="1684">
                  <c:v>28-09-2020</c:v>
                </c:pt>
                <c:pt idx="1685">
                  <c:v>29-09-2020</c:v>
                </c:pt>
                <c:pt idx="1686">
                  <c:v>30-09-2020</c:v>
                </c:pt>
                <c:pt idx="1687">
                  <c:v>43840</c:v>
                </c:pt>
                <c:pt idx="1688">
                  <c:v>43871</c:v>
                </c:pt>
                <c:pt idx="1689">
                  <c:v>43961</c:v>
                </c:pt>
                <c:pt idx="1690">
                  <c:v>43992</c:v>
                </c:pt>
                <c:pt idx="1691">
                  <c:v>44022</c:v>
                </c:pt>
                <c:pt idx="1692">
                  <c:v>44053</c:v>
                </c:pt>
                <c:pt idx="1693">
                  <c:v>44084</c:v>
                </c:pt>
                <c:pt idx="1694">
                  <c:v>44175</c:v>
                </c:pt>
                <c:pt idx="1695">
                  <c:v>13-10-2020</c:v>
                </c:pt>
                <c:pt idx="1696">
                  <c:v>14-10-2020</c:v>
                </c:pt>
                <c:pt idx="1697">
                  <c:v>15-10-2020</c:v>
                </c:pt>
                <c:pt idx="1698">
                  <c:v>16-10-2020</c:v>
                </c:pt>
                <c:pt idx="1699">
                  <c:v>19-10-2020</c:v>
                </c:pt>
                <c:pt idx="1700">
                  <c:v>20-10-2020</c:v>
                </c:pt>
                <c:pt idx="1701">
                  <c:v>21-10-2020</c:v>
                </c:pt>
                <c:pt idx="1702">
                  <c:v>22-10-2020</c:v>
                </c:pt>
                <c:pt idx="1703">
                  <c:v>23-10-2020</c:v>
                </c:pt>
                <c:pt idx="1704">
                  <c:v>26-10-2020</c:v>
                </c:pt>
                <c:pt idx="1705">
                  <c:v>27-10-2020</c:v>
                </c:pt>
                <c:pt idx="1706">
                  <c:v>28-10-2020</c:v>
                </c:pt>
                <c:pt idx="1707">
                  <c:v>29-10-2020</c:v>
                </c:pt>
                <c:pt idx="1708">
                  <c:v>30-10-2020</c:v>
                </c:pt>
                <c:pt idx="1709">
                  <c:v>43872</c:v>
                </c:pt>
                <c:pt idx="1710">
                  <c:v>43901</c:v>
                </c:pt>
                <c:pt idx="1711">
                  <c:v>43932</c:v>
                </c:pt>
                <c:pt idx="1712">
                  <c:v>43962</c:v>
                </c:pt>
                <c:pt idx="1713">
                  <c:v>43993</c:v>
                </c:pt>
                <c:pt idx="1714">
                  <c:v>44085</c:v>
                </c:pt>
                <c:pt idx="1715">
                  <c:v>44115</c:v>
                </c:pt>
                <c:pt idx="1716">
                  <c:v>44146</c:v>
                </c:pt>
                <c:pt idx="1717">
                  <c:v>44176</c:v>
                </c:pt>
                <c:pt idx="1718">
                  <c:v>13-11-2020</c:v>
                </c:pt>
                <c:pt idx="1719">
                  <c:v>16-11-2020</c:v>
                </c:pt>
                <c:pt idx="1720">
                  <c:v>17-11-2020</c:v>
                </c:pt>
                <c:pt idx="1721">
                  <c:v>18-11-2020</c:v>
                </c:pt>
                <c:pt idx="1722">
                  <c:v>19-11-2020</c:v>
                </c:pt>
                <c:pt idx="1723">
                  <c:v>20-11-2020</c:v>
                </c:pt>
                <c:pt idx="1724">
                  <c:v>23-11-2020</c:v>
                </c:pt>
                <c:pt idx="1725">
                  <c:v>24-11-2020</c:v>
                </c:pt>
                <c:pt idx="1726">
                  <c:v>25-11-2020</c:v>
                </c:pt>
                <c:pt idx="1727">
                  <c:v>27-11-2020</c:v>
                </c:pt>
                <c:pt idx="1728">
                  <c:v>30-11-2020</c:v>
                </c:pt>
                <c:pt idx="1729">
                  <c:v>43842</c:v>
                </c:pt>
                <c:pt idx="1730">
                  <c:v>43873</c:v>
                </c:pt>
                <c:pt idx="1731">
                  <c:v>43902</c:v>
                </c:pt>
                <c:pt idx="1732">
                  <c:v>43933</c:v>
                </c:pt>
                <c:pt idx="1733">
                  <c:v>44024</c:v>
                </c:pt>
                <c:pt idx="1734">
                  <c:v>44055</c:v>
                </c:pt>
                <c:pt idx="1735">
                  <c:v>44086</c:v>
                </c:pt>
                <c:pt idx="1736">
                  <c:v>44116</c:v>
                </c:pt>
                <c:pt idx="1737">
                  <c:v>44147</c:v>
                </c:pt>
                <c:pt idx="1738">
                  <c:v>14-12-2020</c:v>
                </c:pt>
                <c:pt idx="1739">
                  <c:v>15-12-2020</c:v>
                </c:pt>
                <c:pt idx="1740">
                  <c:v>16-12-2020</c:v>
                </c:pt>
                <c:pt idx="1741">
                  <c:v>17-12-2020</c:v>
                </c:pt>
                <c:pt idx="1742">
                  <c:v>18-12-2020</c:v>
                </c:pt>
                <c:pt idx="1743">
                  <c:v>21-12-2020</c:v>
                </c:pt>
                <c:pt idx="1744">
                  <c:v>22-12-2020</c:v>
                </c:pt>
                <c:pt idx="1745">
                  <c:v>23-12-2020</c:v>
                </c:pt>
                <c:pt idx="1746">
                  <c:v>24-12-2020</c:v>
                </c:pt>
                <c:pt idx="1747">
                  <c:v>28-12-2020</c:v>
                </c:pt>
                <c:pt idx="1748">
                  <c:v>29-12-2020</c:v>
                </c:pt>
                <c:pt idx="1749">
                  <c:v>30-12-2020</c:v>
                </c:pt>
                <c:pt idx="1750">
                  <c:v>31-12-2020</c:v>
                </c:pt>
                <c:pt idx="1751">
                  <c:v>44287</c:v>
                </c:pt>
                <c:pt idx="1752">
                  <c:v>44317</c:v>
                </c:pt>
                <c:pt idx="1753">
                  <c:v>44348</c:v>
                </c:pt>
                <c:pt idx="1754">
                  <c:v>44378</c:v>
                </c:pt>
                <c:pt idx="1755">
                  <c:v>44409</c:v>
                </c:pt>
                <c:pt idx="1756">
                  <c:v>44501</c:v>
                </c:pt>
                <c:pt idx="1757">
                  <c:v>44531</c:v>
                </c:pt>
                <c:pt idx="1758">
                  <c:v>13-01-2021</c:v>
                </c:pt>
                <c:pt idx="1759">
                  <c:v>14-01-2021</c:v>
                </c:pt>
                <c:pt idx="1760">
                  <c:v>15-01-2021</c:v>
                </c:pt>
                <c:pt idx="1761">
                  <c:v>19-01-2021</c:v>
                </c:pt>
                <c:pt idx="1762">
                  <c:v>20-01-2021</c:v>
                </c:pt>
                <c:pt idx="1763">
                  <c:v>21-01-2021</c:v>
                </c:pt>
                <c:pt idx="1764">
                  <c:v>22-01-2021</c:v>
                </c:pt>
                <c:pt idx="1765">
                  <c:v>25-01-2021</c:v>
                </c:pt>
                <c:pt idx="1766">
                  <c:v>26-01-2021</c:v>
                </c:pt>
                <c:pt idx="1767">
                  <c:v>27-01-2021</c:v>
                </c:pt>
                <c:pt idx="1768">
                  <c:v>28-01-2021</c:v>
                </c:pt>
                <c:pt idx="1769">
                  <c:v>29-01-2021</c:v>
                </c:pt>
                <c:pt idx="1770">
                  <c:v>44198</c:v>
                </c:pt>
                <c:pt idx="1771">
                  <c:v>44229</c:v>
                </c:pt>
                <c:pt idx="1772">
                  <c:v>44257</c:v>
                </c:pt>
                <c:pt idx="1773">
                  <c:v>44288</c:v>
                </c:pt>
                <c:pt idx="1774">
                  <c:v>44318</c:v>
                </c:pt>
                <c:pt idx="1775">
                  <c:v>44410</c:v>
                </c:pt>
                <c:pt idx="1776">
                  <c:v>44441</c:v>
                </c:pt>
                <c:pt idx="1777">
                  <c:v>44471</c:v>
                </c:pt>
                <c:pt idx="1778">
                  <c:v>44502</c:v>
                </c:pt>
                <c:pt idx="1779">
                  <c:v>44532</c:v>
                </c:pt>
                <c:pt idx="1780">
                  <c:v>16-02-2021</c:v>
                </c:pt>
                <c:pt idx="1781">
                  <c:v>17-02-2021</c:v>
                </c:pt>
                <c:pt idx="1782">
                  <c:v>18-02-2021</c:v>
                </c:pt>
                <c:pt idx="1783">
                  <c:v>19-02-2021</c:v>
                </c:pt>
                <c:pt idx="1784">
                  <c:v>22-02-2021</c:v>
                </c:pt>
                <c:pt idx="1785">
                  <c:v>23-02-2021</c:v>
                </c:pt>
                <c:pt idx="1786">
                  <c:v>24-02-2021</c:v>
                </c:pt>
                <c:pt idx="1787">
                  <c:v>25-02-2021</c:v>
                </c:pt>
                <c:pt idx="1788">
                  <c:v>26-02-2021</c:v>
                </c:pt>
                <c:pt idx="1789">
                  <c:v>44199</c:v>
                </c:pt>
                <c:pt idx="1790">
                  <c:v>44230</c:v>
                </c:pt>
                <c:pt idx="1791">
                  <c:v>44258</c:v>
                </c:pt>
                <c:pt idx="1792">
                  <c:v>44289</c:v>
                </c:pt>
                <c:pt idx="1793">
                  <c:v>44319</c:v>
                </c:pt>
                <c:pt idx="1794">
                  <c:v>44411</c:v>
                </c:pt>
                <c:pt idx="1795">
                  <c:v>44442</c:v>
                </c:pt>
                <c:pt idx="1796">
                  <c:v>44472</c:v>
                </c:pt>
                <c:pt idx="1797">
                  <c:v>44503</c:v>
                </c:pt>
                <c:pt idx="1798">
                  <c:v>44533</c:v>
                </c:pt>
                <c:pt idx="1799">
                  <c:v>15-03-2021</c:v>
                </c:pt>
                <c:pt idx="1800">
                  <c:v>16-03-2021</c:v>
                </c:pt>
                <c:pt idx="1801">
                  <c:v>17-03-2021</c:v>
                </c:pt>
                <c:pt idx="1802">
                  <c:v>18-03-2021</c:v>
                </c:pt>
                <c:pt idx="1803">
                  <c:v>19-03-2021</c:v>
                </c:pt>
                <c:pt idx="1804">
                  <c:v>22-03-2021</c:v>
                </c:pt>
                <c:pt idx="1805">
                  <c:v>23-03-2021</c:v>
                </c:pt>
                <c:pt idx="1806">
                  <c:v>24-03-2021</c:v>
                </c:pt>
                <c:pt idx="1807">
                  <c:v>25-03-2021</c:v>
                </c:pt>
                <c:pt idx="1808">
                  <c:v>26-03-2021</c:v>
                </c:pt>
                <c:pt idx="1809">
                  <c:v>29-03-2021</c:v>
                </c:pt>
                <c:pt idx="1810">
                  <c:v>30-03-2021</c:v>
                </c:pt>
                <c:pt idx="1811">
                  <c:v>31-03-2021</c:v>
                </c:pt>
                <c:pt idx="1812">
                  <c:v>44200</c:v>
                </c:pt>
                <c:pt idx="1813">
                  <c:v>44320</c:v>
                </c:pt>
                <c:pt idx="1814">
                  <c:v>44351</c:v>
                </c:pt>
                <c:pt idx="1815">
                  <c:v>44381</c:v>
                </c:pt>
                <c:pt idx="1816">
                  <c:v>44412</c:v>
                </c:pt>
                <c:pt idx="1817">
                  <c:v>44443</c:v>
                </c:pt>
                <c:pt idx="1818">
                  <c:v>44534</c:v>
                </c:pt>
                <c:pt idx="1819">
                  <c:v>13-04-2021</c:v>
                </c:pt>
                <c:pt idx="1820">
                  <c:v>14-04-2021</c:v>
                </c:pt>
                <c:pt idx="1821">
                  <c:v>15-04-2021</c:v>
                </c:pt>
                <c:pt idx="1822">
                  <c:v>16-04-2021</c:v>
                </c:pt>
                <c:pt idx="1823">
                  <c:v>19-04-2021</c:v>
                </c:pt>
                <c:pt idx="1824">
                  <c:v>20-04-2021</c:v>
                </c:pt>
                <c:pt idx="1825">
                  <c:v>21-04-2021</c:v>
                </c:pt>
                <c:pt idx="1826">
                  <c:v>22-04-2021</c:v>
                </c:pt>
                <c:pt idx="1827">
                  <c:v>23-04-2021</c:v>
                </c:pt>
                <c:pt idx="1828">
                  <c:v>26-04-2021</c:v>
                </c:pt>
                <c:pt idx="1829">
                  <c:v>27-04-2021</c:v>
                </c:pt>
                <c:pt idx="1830">
                  <c:v>28-04-2021</c:v>
                </c:pt>
                <c:pt idx="1831">
                  <c:v>29-04-2021</c:v>
                </c:pt>
                <c:pt idx="1832">
                  <c:v>30-04-2021</c:v>
                </c:pt>
                <c:pt idx="1833">
                  <c:v>44260</c:v>
                </c:pt>
                <c:pt idx="1834">
                  <c:v>44291</c:v>
                </c:pt>
                <c:pt idx="1835">
                  <c:v>44321</c:v>
                </c:pt>
                <c:pt idx="1836">
                  <c:v>44352</c:v>
                </c:pt>
                <c:pt idx="1837">
                  <c:v>44382</c:v>
                </c:pt>
                <c:pt idx="1838">
                  <c:v>44474</c:v>
                </c:pt>
                <c:pt idx="1839">
                  <c:v>44505</c:v>
                </c:pt>
                <c:pt idx="1840">
                  <c:v>44535</c:v>
                </c:pt>
                <c:pt idx="1841">
                  <c:v>13-05-2021</c:v>
                </c:pt>
                <c:pt idx="1842">
                  <c:v>14-05-2021</c:v>
                </c:pt>
                <c:pt idx="1843">
                  <c:v>17-05-2021</c:v>
                </c:pt>
                <c:pt idx="1844">
                  <c:v>18-05-2021</c:v>
                </c:pt>
                <c:pt idx="1845">
                  <c:v>19-05-2021</c:v>
                </c:pt>
                <c:pt idx="1846">
                  <c:v>20-05-2021</c:v>
                </c:pt>
                <c:pt idx="1847">
                  <c:v>21-05-2021</c:v>
                </c:pt>
                <c:pt idx="1848">
                  <c:v>24-05-2021</c:v>
                </c:pt>
                <c:pt idx="1849">
                  <c:v>25-05-2021</c:v>
                </c:pt>
                <c:pt idx="1850">
                  <c:v>26-05-2021</c:v>
                </c:pt>
                <c:pt idx="1851">
                  <c:v>27-05-2021</c:v>
                </c:pt>
                <c:pt idx="1852">
                  <c:v>28-05-2021</c:v>
                </c:pt>
                <c:pt idx="1853">
                  <c:v>44202</c:v>
                </c:pt>
                <c:pt idx="1854">
                  <c:v>44233</c:v>
                </c:pt>
                <c:pt idx="1855">
                  <c:v>44261</c:v>
                </c:pt>
                <c:pt idx="1856">
                  <c:v>44292</c:v>
                </c:pt>
                <c:pt idx="1857">
                  <c:v>44383</c:v>
                </c:pt>
                <c:pt idx="1858">
                  <c:v>44414</c:v>
                </c:pt>
                <c:pt idx="1859">
                  <c:v>44445</c:v>
                </c:pt>
                <c:pt idx="1860">
                  <c:v>44475</c:v>
                </c:pt>
                <c:pt idx="1861">
                  <c:v>44506</c:v>
                </c:pt>
                <c:pt idx="1862">
                  <c:v>14-06-2021</c:v>
                </c:pt>
                <c:pt idx="1863">
                  <c:v>15-06-2021</c:v>
                </c:pt>
                <c:pt idx="1864">
                  <c:v>16-06-2021</c:v>
                </c:pt>
                <c:pt idx="1865">
                  <c:v>17-06-2021</c:v>
                </c:pt>
                <c:pt idx="1866">
                  <c:v>18-06-2021</c:v>
                </c:pt>
                <c:pt idx="1867">
                  <c:v>21-06-2021</c:v>
                </c:pt>
                <c:pt idx="1868">
                  <c:v>22-06-2021</c:v>
                </c:pt>
                <c:pt idx="1869">
                  <c:v>23-06-2021</c:v>
                </c:pt>
                <c:pt idx="1870">
                  <c:v>24-06-2021</c:v>
                </c:pt>
                <c:pt idx="1871">
                  <c:v>25-06-2021</c:v>
                </c:pt>
                <c:pt idx="1872">
                  <c:v>28-06-2021</c:v>
                </c:pt>
                <c:pt idx="1873">
                  <c:v>29-06-2021</c:v>
                </c:pt>
                <c:pt idx="1874">
                  <c:v>30-06-2021</c:v>
                </c:pt>
                <c:pt idx="1875">
                  <c:v>44203</c:v>
                </c:pt>
                <c:pt idx="1876">
                  <c:v>44234</c:v>
                </c:pt>
                <c:pt idx="1877">
                  <c:v>44354</c:v>
                </c:pt>
                <c:pt idx="1878">
                  <c:v>44384</c:v>
                </c:pt>
                <c:pt idx="1879">
                  <c:v>44415</c:v>
                </c:pt>
                <c:pt idx="1880">
                  <c:v>44446</c:v>
                </c:pt>
                <c:pt idx="1881">
                  <c:v>44537</c:v>
                </c:pt>
                <c:pt idx="1882">
                  <c:v>13-07-2021</c:v>
                </c:pt>
                <c:pt idx="1883">
                  <c:v>14-07-2021</c:v>
                </c:pt>
                <c:pt idx="1884">
                  <c:v>15-07-2021</c:v>
                </c:pt>
                <c:pt idx="1885">
                  <c:v>16-07-2021</c:v>
                </c:pt>
                <c:pt idx="1886">
                  <c:v>19-07-2021</c:v>
                </c:pt>
                <c:pt idx="1887">
                  <c:v>20-07-2021</c:v>
                </c:pt>
                <c:pt idx="1888">
                  <c:v>21-07-2021</c:v>
                </c:pt>
                <c:pt idx="1889">
                  <c:v>22-07-2021</c:v>
                </c:pt>
                <c:pt idx="1890">
                  <c:v>23-07-2021</c:v>
                </c:pt>
                <c:pt idx="1891">
                  <c:v>26-07-2021</c:v>
                </c:pt>
                <c:pt idx="1892">
                  <c:v>27-07-2021</c:v>
                </c:pt>
                <c:pt idx="1893">
                  <c:v>28-07-2021</c:v>
                </c:pt>
                <c:pt idx="1894">
                  <c:v>29-07-2021</c:v>
                </c:pt>
                <c:pt idx="1895">
                  <c:v>30-07-2021</c:v>
                </c:pt>
                <c:pt idx="1896">
                  <c:v>44235</c:v>
                </c:pt>
                <c:pt idx="1897">
                  <c:v>44263</c:v>
                </c:pt>
                <c:pt idx="1898">
                  <c:v>44294</c:v>
                </c:pt>
                <c:pt idx="1899">
                  <c:v>44324</c:v>
                </c:pt>
                <c:pt idx="1900">
                  <c:v>44355</c:v>
                </c:pt>
                <c:pt idx="1901">
                  <c:v>44447</c:v>
                </c:pt>
                <c:pt idx="1902">
                  <c:v>44477</c:v>
                </c:pt>
                <c:pt idx="1903">
                  <c:v>44508</c:v>
                </c:pt>
                <c:pt idx="1904">
                  <c:v>44538</c:v>
                </c:pt>
                <c:pt idx="1905">
                  <c:v>13-08-2021</c:v>
                </c:pt>
                <c:pt idx="1906">
                  <c:v>16-08-2021</c:v>
                </c:pt>
                <c:pt idx="1907">
                  <c:v>17-08-2021</c:v>
                </c:pt>
                <c:pt idx="1908">
                  <c:v>18-08-2021</c:v>
                </c:pt>
                <c:pt idx="1909">
                  <c:v>19-08-2021</c:v>
                </c:pt>
                <c:pt idx="1910">
                  <c:v>20-08-2021</c:v>
                </c:pt>
                <c:pt idx="1911">
                  <c:v>23-08-2021</c:v>
                </c:pt>
                <c:pt idx="1912">
                  <c:v>24-08-2021</c:v>
                </c:pt>
                <c:pt idx="1913">
                  <c:v>25-08-2021</c:v>
                </c:pt>
                <c:pt idx="1914">
                  <c:v>26-08-2021</c:v>
                </c:pt>
                <c:pt idx="1915">
                  <c:v>27-08-2021</c:v>
                </c:pt>
                <c:pt idx="1916">
                  <c:v>30-08-2021</c:v>
                </c:pt>
                <c:pt idx="1917">
                  <c:v>31-08-2021</c:v>
                </c:pt>
                <c:pt idx="1918">
                  <c:v>44205</c:v>
                </c:pt>
                <c:pt idx="1919">
                  <c:v>44236</c:v>
                </c:pt>
                <c:pt idx="1920">
                  <c:v>44264</c:v>
                </c:pt>
                <c:pt idx="1921">
                  <c:v>44386</c:v>
                </c:pt>
                <c:pt idx="1922">
                  <c:v>44417</c:v>
                </c:pt>
                <c:pt idx="1923">
                  <c:v>44448</c:v>
                </c:pt>
                <c:pt idx="1924">
                  <c:v>44478</c:v>
                </c:pt>
                <c:pt idx="1925">
                  <c:v>13-09-2021</c:v>
                </c:pt>
                <c:pt idx="1926">
                  <c:v>14-09-2021</c:v>
                </c:pt>
                <c:pt idx="1927">
                  <c:v>15-09-2021</c:v>
                </c:pt>
                <c:pt idx="1928">
                  <c:v>16-09-2021</c:v>
                </c:pt>
                <c:pt idx="1929">
                  <c:v>17-09-2021</c:v>
                </c:pt>
                <c:pt idx="1930">
                  <c:v>20-09-2021</c:v>
                </c:pt>
                <c:pt idx="1931">
                  <c:v>21-09-2021</c:v>
                </c:pt>
                <c:pt idx="1932">
                  <c:v>22-09-2021</c:v>
                </c:pt>
                <c:pt idx="1933">
                  <c:v>23-09-2021</c:v>
                </c:pt>
                <c:pt idx="1934">
                  <c:v>24-09-2021</c:v>
                </c:pt>
                <c:pt idx="1935">
                  <c:v>27-09-2021</c:v>
                </c:pt>
                <c:pt idx="1936">
                  <c:v>28-09-2021</c:v>
                </c:pt>
                <c:pt idx="1937">
                  <c:v>29-09-2021</c:v>
                </c:pt>
                <c:pt idx="1938">
                  <c:v>30-09-2021</c:v>
                </c:pt>
                <c:pt idx="1939">
                  <c:v>44206</c:v>
                </c:pt>
                <c:pt idx="1940">
                  <c:v>44296</c:v>
                </c:pt>
                <c:pt idx="1941">
                  <c:v>44326</c:v>
                </c:pt>
                <c:pt idx="1942">
                  <c:v>44357</c:v>
                </c:pt>
                <c:pt idx="1943">
                  <c:v>44387</c:v>
                </c:pt>
                <c:pt idx="1944">
                  <c:v>44418</c:v>
                </c:pt>
                <c:pt idx="1945">
                  <c:v>44510</c:v>
                </c:pt>
                <c:pt idx="1946">
                  <c:v>44540</c:v>
                </c:pt>
                <c:pt idx="1947">
                  <c:v>13-10-2021</c:v>
                </c:pt>
                <c:pt idx="1948">
                  <c:v>14-10-2021</c:v>
                </c:pt>
                <c:pt idx="1949">
                  <c:v>15-10-2021</c:v>
                </c:pt>
                <c:pt idx="1950">
                  <c:v>18-10-2021</c:v>
                </c:pt>
                <c:pt idx="1951">
                  <c:v>19-10-2021</c:v>
                </c:pt>
                <c:pt idx="1952">
                  <c:v>20-10-2021</c:v>
                </c:pt>
                <c:pt idx="1953">
                  <c:v>21-10-2021</c:v>
                </c:pt>
                <c:pt idx="1954">
                  <c:v>22-10-2021</c:v>
                </c:pt>
                <c:pt idx="1955">
                  <c:v>25-10-2021</c:v>
                </c:pt>
                <c:pt idx="1956">
                  <c:v>26-10-2021</c:v>
                </c:pt>
                <c:pt idx="1957">
                  <c:v>27-10-2021</c:v>
                </c:pt>
                <c:pt idx="1958">
                  <c:v>28-10-2021</c:v>
                </c:pt>
                <c:pt idx="1959">
                  <c:v>29-10-2021</c:v>
                </c:pt>
                <c:pt idx="1960">
                  <c:v>44207</c:v>
                </c:pt>
                <c:pt idx="1961">
                  <c:v>44238</c:v>
                </c:pt>
                <c:pt idx="1962">
                  <c:v>44266</c:v>
                </c:pt>
                <c:pt idx="1963">
                  <c:v>44297</c:v>
                </c:pt>
                <c:pt idx="1964">
                  <c:v>44327</c:v>
                </c:pt>
                <c:pt idx="1965">
                  <c:v>44419</c:v>
                </c:pt>
                <c:pt idx="1966">
                  <c:v>44450</c:v>
                </c:pt>
                <c:pt idx="1967">
                  <c:v>44480</c:v>
                </c:pt>
                <c:pt idx="1968">
                  <c:v>44511</c:v>
                </c:pt>
                <c:pt idx="1969">
                  <c:v>44541</c:v>
                </c:pt>
                <c:pt idx="1970">
                  <c:v>15-11-2021</c:v>
                </c:pt>
                <c:pt idx="1971">
                  <c:v>16-11-2021</c:v>
                </c:pt>
                <c:pt idx="1972">
                  <c:v>17-11-2021</c:v>
                </c:pt>
                <c:pt idx="1973">
                  <c:v>18-11-2021</c:v>
                </c:pt>
                <c:pt idx="1974">
                  <c:v>19-11-2021</c:v>
                </c:pt>
                <c:pt idx="1975">
                  <c:v>22-11-2021</c:v>
                </c:pt>
                <c:pt idx="1976">
                  <c:v>23-11-2021</c:v>
                </c:pt>
                <c:pt idx="1977">
                  <c:v>24-11-2021</c:v>
                </c:pt>
                <c:pt idx="1978">
                  <c:v>26-11-2021</c:v>
                </c:pt>
                <c:pt idx="1979">
                  <c:v>29-11-2021</c:v>
                </c:pt>
                <c:pt idx="1980">
                  <c:v>30-11-2021</c:v>
                </c:pt>
                <c:pt idx="1981">
                  <c:v>44208</c:v>
                </c:pt>
                <c:pt idx="1982">
                  <c:v>44239</c:v>
                </c:pt>
                <c:pt idx="1983">
                  <c:v>44267</c:v>
                </c:pt>
                <c:pt idx="1984">
                  <c:v>44359</c:v>
                </c:pt>
                <c:pt idx="1985">
                  <c:v>44389</c:v>
                </c:pt>
                <c:pt idx="1986">
                  <c:v>44420</c:v>
                </c:pt>
                <c:pt idx="1987">
                  <c:v>44451</c:v>
                </c:pt>
                <c:pt idx="1988">
                  <c:v>44481</c:v>
                </c:pt>
                <c:pt idx="1989">
                  <c:v>13-12-2021</c:v>
                </c:pt>
                <c:pt idx="1990">
                  <c:v>14-12-2021</c:v>
                </c:pt>
                <c:pt idx="1991">
                  <c:v>15-12-2021</c:v>
                </c:pt>
                <c:pt idx="1992">
                  <c:v>16-12-2021</c:v>
                </c:pt>
                <c:pt idx="1993">
                  <c:v>17-12-2021</c:v>
                </c:pt>
                <c:pt idx="1994">
                  <c:v>20-12-2021</c:v>
                </c:pt>
                <c:pt idx="1995">
                  <c:v>21-12-2021</c:v>
                </c:pt>
                <c:pt idx="1996">
                  <c:v>22-12-2021</c:v>
                </c:pt>
                <c:pt idx="1997">
                  <c:v>23-12-2021</c:v>
                </c:pt>
                <c:pt idx="1998">
                  <c:v>27-12-2021</c:v>
                </c:pt>
                <c:pt idx="1999">
                  <c:v>28-12-2021</c:v>
                </c:pt>
                <c:pt idx="2000">
                  <c:v>29-12-2021</c:v>
                </c:pt>
                <c:pt idx="2001">
                  <c:v>30-12-2021</c:v>
                </c:pt>
                <c:pt idx="2002">
                  <c:v>31-12-2021</c:v>
                </c:pt>
                <c:pt idx="2003">
                  <c:v>44621</c:v>
                </c:pt>
                <c:pt idx="2004">
                  <c:v>44652</c:v>
                </c:pt>
                <c:pt idx="2005">
                  <c:v>44682</c:v>
                </c:pt>
                <c:pt idx="2006">
                  <c:v>44713</c:v>
                </c:pt>
                <c:pt idx="2007">
                  <c:v>44743</c:v>
                </c:pt>
                <c:pt idx="2008">
                  <c:v>44835</c:v>
                </c:pt>
                <c:pt idx="2009">
                  <c:v>44866</c:v>
                </c:pt>
                <c:pt idx="2010">
                  <c:v>44896</c:v>
                </c:pt>
                <c:pt idx="2011">
                  <c:v>13-01-2022</c:v>
                </c:pt>
                <c:pt idx="2012">
                  <c:v>14-01-2022</c:v>
                </c:pt>
                <c:pt idx="2013">
                  <c:v>18-01-2022</c:v>
                </c:pt>
                <c:pt idx="2014">
                  <c:v>19-01-2022</c:v>
                </c:pt>
                <c:pt idx="2015">
                  <c:v>20-01-2022</c:v>
                </c:pt>
                <c:pt idx="2016">
                  <c:v>21-01-2022</c:v>
                </c:pt>
                <c:pt idx="2017">
                  <c:v>24-01-2022</c:v>
                </c:pt>
                <c:pt idx="2018">
                  <c:v>25-01-2022</c:v>
                </c:pt>
                <c:pt idx="2019">
                  <c:v>26-01-2022</c:v>
                </c:pt>
                <c:pt idx="2020">
                  <c:v>27-01-2022</c:v>
                </c:pt>
                <c:pt idx="2021">
                  <c:v>28-01-2022</c:v>
                </c:pt>
                <c:pt idx="2022">
                  <c:v>31-01-2022</c:v>
                </c:pt>
                <c:pt idx="2023">
                  <c:v>44563</c:v>
                </c:pt>
                <c:pt idx="2024">
                  <c:v>44594</c:v>
                </c:pt>
                <c:pt idx="2025">
                  <c:v>44622</c:v>
                </c:pt>
                <c:pt idx="2026">
                  <c:v>44653</c:v>
                </c:pt>
                <c:pt idx="2027">
                  <c:v>44744</c:v>
                </c:pt>
                <c:pt idx="2028">
                  <c:v>44775</c:v>
                </c:pt>
                <c:pt idx="2029">
                  <c:v>44806</c:v>
                </c:pt>
                <c:pt idx="2030">
                  <c:v>44836</c:v>
                </c:pt>
                <c:pt idx="2031">
                  <c:v>44867</c:v>
                </c:pt>
                <c:pt idx="2032">
                  <c:v>14-02-2022</c:v>
                </c:pt>
                <c:pt idx="2033">
                  <c:v>15-02-2022</c:v>
                </c:pt>
                <c:pt idx="2034">
                  <c:v>16-02-2022</c:v>
                </c:pt>
                <c:pt idx="2035">
                  <c:v>17-02-2022</c:v>
                </c:pt>
                <c:pt idx="2036">
                  <c:v>18-02-2022</c:v>
                </c:pt>
                <c:pt idx="2037">
                  <c:v>22-02-2022</c:v>
                </c:pt>
                <c:pt idx="2038">
                  <c:v>23-02-2022</c:v>
                </c:pt>
                <c:pt idx="2039">
                  <c:v>24-02-2022</c:v>
                </c:pt>
                <c:pt idx="2040">
                  <c:v>25-02-2022</c:v>
                </c:pt>
                <c:pt idx="2041">
                  <c:v>28-02-2022</c:v>
                </c:pt>
                <c:pt idx="2042">
                  <c:v>44564</c:v>
                </c:pt>
                <c:pt idx="2043">
                  <c:v>44595</c:v>
                </c:pt>
                <c:pt idx="2044">
                  <c:v>44623</c:v>
                </c:pt>
                <c:pt idx="2045">
                  <c:v>44654</c:v>
                </c:pt>
                <c:pt idx="2046">
                  <c:v>44745</c:v>
                </c:pt>
                <c:pt idx="2047">
                  <c:v>44776</c:v>
                </c:pt>
                <c:pt idx="2048">
                  <c:v>44807</c:v>
                </c:pt>
                <c:pt idx="2049">
                  <c:v>44837</c:v>
                </c:pt>
                <c:pt idx="2050">
                  <c:v>44868</c:v>
                </c:pt>
                <c:pt idx="2051">
                  <c:v>14-03-2022</c:v>
                </c:pt>
                <c:pt idx="2052">
                  <c:v>15-03-2022</c:v>
                </c:pt>
                <c:pt idx="2053">
                  <c:v>16-03-2022</c:v>
                </c:pt>
                <c:pt idx="2054">
                  <c:v>17-03-2022</c:v>
                </c:pt>
                <c:pt idx="2055">
                  <c:v>18-03-2022</c:v>
                </c:pt>
                <c:pt idx="2056">
                  <c:v>21-03-2022</c:v>
                </c:pt>
                <c:pt idx="2057">
                  <c:v>22-03-2022</c:v>
                </c:pt>
                <c:pt idx="2058">
                  <c:v>23-03-2022</c:v>
                </c:pt>
                <c:pt idx="2059">
                  <c:v>24-03-2022</c:v>
                </c:pt>
                <c:pt idx="2060">
                  <c:v>25-03-2022</c:v>
                </c:pt>
                <c:pt idx="2061">
                  <c:v>28-03-2022</c:v>
                </c:pt>
                <c:pt idx="2062">
                  <c:v>29-03-2022</c:v>
                </c:pt>
                <c:pt idx="2063">
                  <c:v>30-03-2022</c:v>
                </c:pt>
                <c:pt idx="2064">
                  <c:v>31-03-2022</c:v>
                </c:pt>
                <c:pt idx="2065">
                  <c:v>44565</c:v>
                </c:pt>
                <c:pt idx="2066">
                  <c:v>44655</c:v>
                </c:pt>
                <c:pt idx="2067">
                  <c:v>44685</c:v>
                </c:pt>
                <c:pt idx="2068">
                  <c:v>44716</c:v>
                </c:pt>
                <c:pt idx="2069">
                  <c:v>44746</c:v>
                </c:pt>
                <c:pt idx="2070">
                  <c:v>44777</c:v>
                </c:pt>
                <c:pt idx="2071">
                  <c:v>44869</c:v>
                </c:pt>
                <c:pt idx="2072">
                  <c:v>44899</c:v>
                </c:pt>
                <c:pt idx="2073">
                  <c:v>13-04-2022</c:v>
                </c:pt>
                <c:pt idx="2074">
                  <c:v>14-04-2022</c:v>
                </c:pt>
                <c:pt idx="2075">
                  <c:v>18-04-2022</c:v>
                </c:pt>
                <c:pt idx="2076">
                  <c:v>19-04-2022</c:v>
                </c:pt>
                <c:pt idx="2077">
                  <c:v>20-04-2022</c:v>
                </c:pt>
                <c:pt idx="2078">
                  <c:v>21-04-2022</c:v>
                </c:pt>
                <c:pt idx="2079">
                  <c:v>22-04-2022</c:v>
                </c:pt>
                <c:pt idx="2080">
                  <c:v>25-04-2022</c:v>
                </c:pt>
                <c:pt idx="2081">
                  <c:v>26-04-2022</c:v>
                </c:pt>
                <c:pt idx="2082">
                  <c:v>27-04-2022</c:v>
                </c:pt>
                <c:pt idx="2083">
                  <c:v>28-04-2022</c:v>
                </c:pt>
                <c:pt idx="2084">
                  <c:v>29-04-2022</c:v>
                </c:pt>
                <c:pt idx="2085">
                  <c:v>44597</c:v>
                </c:pt>
                <c:pt idx="2086">
                  <c:v>44625</c:v>
                </c:pt>
                <c:pt idx="2087">
                  <c:v>44656</c:v>
                </c:pt>
                <c:pt idx="2088">
                  <c:v>44686</c:v>
                </c:pt>
                <c:pt idx="2089">
                  <c:v>44717</c:v>
                </c:pt>
                <c:pt idx="2090">
                  <c:v>44809</c:v>
                </c:pt>
                <c:pt idx="2091">
                  <c:v>44839</c:v>
                </c:pt>
                <c:pt idx="2092">
                  <c:v>44870</c:v>
                </c:pt>
                <c:pt idx="2093">
                  <c:v>44900</c:v>
                </c:pt>
                <c:pt idx="2094">
                  <c:v>13-05-2022</c:v>
                </c:pt>
                <c:pt idx="2095">
                  <c:v>16-05-2022</c:v>
                </c:pt>
                <c:pt idx="2096">
                  <c:v>17-05-2022</c:v>
                </c:pt>
                <c:pt idx="2097">
                  <c:v>18-05-2022</c:v>
                </c:pt>
                <c:pt idx="2098">
                  <c:v>19-05-2022</c:v>
                </c:pt>
                <c:pt idx="2099">
                  <c:v>20-05-2022</c:v>
                </c:pt>
                <c:pt idx="2100">
                  <c:v>23-05-2022</c:v>
                </c:pt>
                <c:pt idx="2101">
                  <c:v>24-05-2022</c:v>
                </c:pt>
                <c:pt idx="2102">
                  <c:v>25-05-2022</c:v>
                </c:pt>
                <c:pt idx="2103">
                  <c:v>26-05-2022</c:v>
                </c:pt>
                <c:pt idx="2104">
                  <c:v>27-05-2022</c:v>
                </c:pt>
                <c:pt idx="2105">
                  <c:v>31-05-2022</c:v>
                </c:pt>
                <c:pt idx="2106">
                  <c:v>44567</c:v>
                </c:pt>
                <c:pt idx="2107">
                  <c:v>44598</c:v>
                </c:pt>
                <c:pt idx="2108">
                  <c:v>44626</c:v>
                </c:pt>
                <c:pt idx="2109">
                  <c:v>44718</c:v>
                </c:pt>
                <c:pt idx="2110">
                  <c:v>44748</c:v>
                </c:pt>
                <c:pt idx="2111">
                  <c:v>44779</c:v>
                </c:pt>
                <c:pt idx="2112">
                  <c:v>44810</c:v>
                </c:pt>
                <c:pt idx="2113">
                  <c:v>44840</c:v>
                </c:pt>
                <c:pt idx="2114">
                  <c:v>13-06-2022</c:v>
                </c:pt>
                <c:pt idx="2115">
                  <c:v>14-06-2022</c:v>
                </c:pt>
                <c:pt idx="2116">
                  <c:v>15-06-2022</c:v>
                </c:pt>
                <c:pt idx="2117">
                  <c:v>16-06-2022</c:v>
                </c:pt>
                <c:pt idx="2118">
                  <c:v>17-06-2022</c:v>
                </c:pt>
                <c:pt idx="2119">
                  <c:v>21-06-2022</c:v>
                </c:pt>
                <c:pt idx="2120">
                  <c:v>22-06-2022</c:v>
                </c:pt>
                <c:pt idx="2121">
                  <c:v>23-06-2022</c:v>
                </c:pt>
                <c:pt idx="2122">
                  <c:v>24-06-2022</c:v>
                </c:pt>
                <c:pt idx="2123">
                  <c:v>27-06-2022</c:v>
                </c:pt>
                <c:pt idx="2124">
                  <c:v>28-06-2022</c:v>
                </c:pt>
                <c:pt idx="2125">
                  <c:v>29-06-2022</c:v>
                </c:pt>
                <c:pt idx="2126">
                  <c:v>30-06-2022</c:v>
                </c:pt>
                <c:pt idx="2127">
                  <c:v>44568</c:v>
                </c:pt>
                <c:pt idx="2128">
                  <c:v>44688</c:v>
                </c:pt>
                <c:pt idx="2129">
                  <c:v>44719</c:v>
                </c:pt>
                <c:pt idx="2130">
                  <c:v>44749</c:v>
                </c:pt>
                <c:pt idx="2131">
                  <c:v>44780</c:v>
                </c:pt>
                <c:pt idx="2132">
                  <c:v>44872</c:v>
                </c:pt>
                <c:pt idx="2133">
                  <c:v>44902</c:v>
                </c:pt>
                <c:pt idx="2134">
                  <c:v>13-07-2022</c:v>
                </c:pt>
                <c:pt idx="2135">
                  <c:v>14-07-2022</c:v>
                </c:pt>
                <c:pt idx="2136">
                  <c:v>15-07-2022</c:v>
                </c:pt>
                <c:pt idx="2137">
                  <c:v>18-07-2022</c:v>
                </c:pt>
                <c:pt idx="2138">
                  <c:v>19-07-2022</c:v>
                </c:pt>
                <c:pt idx="2139">
                  <c:v>20-07-2022</c:v>
                </c:pt>
                <c:pt idx="2140">
                  <c:v>21-07-2022</c:v>
                </c:pt>
                <c:pt idx="2141">
                  <c:v>22-07-2022</c:v>
                </c:pt>
                <c:pt idx="2142">
                  <c:v>25-07-2022</c:v>
                </c:pt>
                <c:pt idx="2143">
                  <c:v>26-07-2022</c:v>
                </c:pt>
                <c:pt idx="2144">
                  <c:v>27-07-2022</c:v>
                </c:pt>
                <c:pt idx="2145">
                  <c:v>28-07-2022</c:v>
                </c:pt>
                <c:pt idx="2146">
                  <c:v>29-07-2022</c:v>
                </c:pt>
                <c:pt idx="2147">
                  <c:v>44569</c:v>
                </c:pt>
                <c:pt idx="2148">
                  <c:v>44600</c:v>
                </c:pt>
                <c:pt idx="2149">
                  <c:v>44628</c:v>
                </c:pt>
                <c:pt idx="2150">
                  <c:v>44659</c:v>
                </c:pt>
                <c:pt idx="2151">
                  <c:v>44689</c:v>
                </c:pt>
                <c:pt idx="2152">
                  <c:v>44781</c:v>
                </c:pt>
                <c:pt idx="2153">
                  <c:v>44812</c:v>
                </c:pt>
                <c:pt idx="2154">
                  <c:v>44842</c:v>
                </c:pt>
                <c:pt idx="2155">
                  <c:v>44873</c:v>
                </c:pt>
                <c:pt idx="2156">
                  <c:v>44903</c:v>
                </c:pt>
                <c:pt idx="2157">
                  <c:v>15-08-2022</c:v>
                </c:pt>
                <c:pt idx="2158">
                  <c:v>16-08-2022</c:v>
                </c:pt>
                <c:pt idx="2159">
                  <c:v>17-08-2022</c:v>
                </c:pt>
                <c:pt idx="2160">
                  <c:v>18-08-2022</c:v>
                </c:pt>
                <c:pt idx="2161">
                  <c:v>19-08-2022</c:v>
                </c:pt>
                <c:pt idx="2162">
                  <c:v>22-08-2022</c:v>
                </c:pt>
                <c:pt idx="2163">
                  <c:v>23-08-2022</c:v>
                </c:pt>
                <c:pt idx="2164">
                  <c:v>24-08-2022</c:v>
                </c:pt>
                <c:pt idx="2165">
                  <c:v>25-08-2022</c:v>
                </c:pt>
                <c:pt idx="2166">
                  <c:v>26-08-2022</c:v>
                </c:pt>
                <c:pt idx="2167">
                  <c:v>29-08-2022</c:v>
                </c:pt>
                <c:pt idx="2168">
                  <c:v>30-08-2022</c:v>
                </c:pt>
                <c:pt idx="2169">
                  <c:v>31-08-2022</c:v>
                </c:pt>
                <c:pt idx="2170">
                  <c:v>44570</c:v>
                </c:pt>
                <c:pt idx="2171">
                  <c:v>44601</c:v>
                </c:pt>
                <c:pt idx="2172">
                  <c:v>44721</c:v>
                </c:pt>
                <c:pt idx="2173">
                  <c:v>44751</c:v>
                </c:pt>
                <c:pt idx="2174">
                  <c:v>44782</c:v>
                </c:pt>
                <c:pt idx="2175">
                  <c:v>44813</c:v>
                </c:pt>
                <c:pt idx="2176">
                  <c:v>44904</c:v>
                </c:pt>
                <c:pt idx="2177">
                  <c:v>13-09-2022</c:v>
                </c:pt>
                <c:pt idx="2178">
                  <c:v>14-09-2022</c:v>
                </c:pt>
                <c:pt idx="2179">
                  <c:v>15-09-2022</c:v>
                </c:pt>
                <c:pt idx="2180">
                  <c:v>16-09-2022</c:v>
                </c:pt>
                <c:pt idx="2181">
                  <c:v>19-09-2022</c:v>
                </c:pt>
                <c:pt idx="2182">
                  <c:v>20-09-2022</c:v>
                </c:pt>
                <c:pt idx="2183">
                  <c:v>21-09-2022</c:v>
                </c:pt>
                <c:pt idx="2184">
                  <c:v>22-09-2022</c:v>
                </c:pt>
                <c:pt idx="2185">
                  <c:v>23-09-2022</c:v>
                </c:pt>
                <c:pt idx="2186">
                  <c:v>26-09-2022</c:v>
                </c:pt>
                <c:pt idx="2187">
                  <c:v>27-09-2022</c:v>
                </c:pt>
                <c:pt idx="2188">
                  <c:v>28-09-2022</c:v>
                </c:pt>
                <c:pt idx="2189">
                  <c:v>29-09-2022</c:v>
                </c:pt>
                <c:pt idx="2190">
                  <c:v>30-09-2022</c:v>
                </c:pt>
                <c:pt idx="2191">
                  <c:v>44630</c:v>
                </c:pt>
                <c:pt idx="2192">
                  <c:v>44661</c:v>
                </c:pt>
                <c:pt idx="2193">
                  <c:v>44691</c:v>
                </c:pt>
                <c:pt idx="2194">
                  <c:v>44722</c:v>
                </c:pt>
                <c:pt idx="2195">
                  <c:v>44752</c:v>
                </c:pt>
                <c:pt idx="2196">
                  <c:v>44844</c:v>
                </c:pt>
                <c:pt idx="2197">
                  <c:v>44875</c:v>
                </c:pt>
                <c:pt idx="2198">
                  <c:v>44905</c:v>
                </c:pt>
                <c:pt idx="2199">
                  <c:v>13-10-2022</c:v>
                </c:pt>
                <c:pt idx="2200">
                  <c:v>14-10-2022</c:v>
                </c:pt>
                <c:pt idx="2201">
                  <c:v>17-10-2022</c:v>
                </c:pt>
                <c:pt idx="2202">
                  <c:v>18-10-2022</c:v>
                </c:pt>
                <c:pt idx="2203">
                  <c:v>19-10-2022</c:v>
                </c:pt>
                <c:pt idx="2204">
                  <c:v>20-10-2022</c:v>
                </c:pt>
                <c:pt idx="2205">
                  <c:v>21-10-2022</c:v>
                </c:pt>
                <c:pt idx="2206">
                  <c:v>24-10-2022</c:v>
                </c:pt>
                <c:pt idx="2207">
                  <c:v>25-10-2022</c:v>
                </c:pt>
                <c:pt idx="2208">
                  <c:v>26-10-2022</c:v>
                </c:pt>
                <c:pt idx="2209">
                  <c:v>27-10-2022</c:v>
                </c:pt>
                <c:pt idx="2210">
                  <c:v>28-10-2022</c:v>
                </c:pt>
                <c:pt idx="2211">
                  <c:v>31-10-2022</c:v>
                </c:pt>
                <c:pt idx="2212">
                  <c:v>44572</c:v>
                </c:pt>
                <c:pt idx="2213">
                  <c:v>44603</c:v>
                </c:pt>
                <c:pt idx="2214">
                  <c:v>44631</c:v>
                </c:pt>
                <c:pt idx="2215">
                  <c:v>44662</c:v>
                </c:pt>
                <c:pt idx="2216">
                  <c:v>44753</c:v>
                </c:pt>
                <c:pt idx="2217">
                  <c:v>44784</c:v>
                </c:pt>
                <c:pt idx="2218">
                  <c:v>44815</c:v>
                </c:pt>
                <c:pt idx="2219">
                  <c:v>44845</c:v>
                </c:pt>
                <c:pt idx="2220">
                  <c:v>44876</c:v>
                </c:pt>
                <c:pt idx="2221">
                  <c:v>14-11-2022</c:v>
                </c:pt>
                <c:pt idx="2222">
                  <c:v>15-11-2022</c:v>
                </c:pt>
                <c:pt idx="2223">
                  <c:v>16-11-2022</c:v>
                </c:pt>
                <c:pt idx="2224">
                  <c:v>17-11-2022</c:v>
                </c:pt>
                <c:pt idx="2225">
                  <c:v>18-11-2022</c:v>
                </c:pt>
                <c:pt idx="2226">
                  <c:v>21-11-2022</c:v>
                </c:pt>
                <c:pt idx="2227">
                  <c:v>22-11-2022</c:v>
                </c:pt>
                <c:pt idx="2228">
                  <c:v>23-11-2022</c:v>
                </c:pt>
                <c:pt idx="2229">
                  <c:v>25-11-2022</c:v>
                </c:pt>
                <c:pt idx="2230">
                  <c:v>28-11-2022</c:v>
                </c:pt>
                <c:pt idx="2231">
                  <c:v>29-11-2022</c:v>
                </c:pt>
                <c:pt idx="2232">
                  <c:v>30-11-2022</c:v>
                </c:pt>
                <c:pt idx="2233">
                  <c:v>44573</c:v>
                </c:pt>
                <c:pt idx="2234">
                  <c:v>44604</c:v>
                </c:pt>
                <c:pt idx="2235">
                  <c:v>44693</c:v>
                </c:pt>
                <c:pt idx="2236">
                  <c:v>44724</c:v>
                </c:pt>
                <c:pt idx="2237">
                  <c:v>44754</c:v>
                </c:pt>
                <c:pt idx="2238">
                  <c:v>44785</c:v>
                </c:pt>
                <c:pt idx="2239">
                  <c:v>44816</c:v>
                </c:pt>
                <c:pt idx="2240">
                  <c:v>44907</c:v>
                </c:pt>
                <c:pt idx="2241">
                  <c:v>13-12-2022</c:v>
                </c:pt>
                <c:pt idx="2242">
                  <c:v>14-12-2022</c:v>
                </c:pt>
                <c:pt idx="2243">
                  <c:v>15-12-2022</c:v>
                </c:pt>
                <c:pt idx="2244">
                  <c:v>16-12-2022</c:v>
                </c:pt>
                <c:pt idx="2245">
                  <c:v>19-12-2022</c:v>
                </c:pt>
                <c:pt idx="2246">
                  <c:v>20-12-2022</c:v>
                </c:pt>
                <c:pt idx="2247">
                  <c:v>21-12-2022</c:v>
                </c:pt>
                <c:pt idx="2248">
                  <c:v>22-12-2022</c:v>
                </c:pt>
                <c:pt idx="2249">
                  <c:v>23-12-2022</c:v>
                </c:pt>
                <c:pt idx="2250">
                  <c:v>27-12-2022</c:v>
                </c:pt>
                <c:pt idx="2251">
                  <c:v>28-12-2022</c:v>
                </c:pt>
                <c:pt idx="2252">
                  <c:v>29-12-2022</c:v>
                </c:pt>
                <c:pt idx="2253">
                  <c:v>30-12-2022</c:v>
                </c:pt>
                <c:pt idx="2254">
                  <c:v>44986</c:v>
                </c:pt>
                <c:pt idx="2255">
                  <c:v>45017</c:v>
                </c:pt>
                <c:pt idx="2256">
                  <c:v>45047</c:v>
                </c:pt>
                <c:pt idx="2257">
                  <c:v>45078</c:v>
                </c:pt>
                <c:pt idx="2258">
                  <c:v>45170</c:v>
                </c:pt>
                <c:pt idx="2259">
                  <c:v>45200</c:v>
                </c:pt>
                <c:pt idx="2260">
                  <c:v>45231</c:v>
                </c:pt>
                <c:pt idx="2261">
                  <c:v>45261</c:v>
                </c:pt>
                <c:pt idx="2262">
                  <c:v>13-01-2023</c:v>
                </c:pt>
                <c:pt idx="2263">
                  <c:v>17-01-2023</c:v>
                </c:pt>
                <c:pt idx="2264">
                  <c:v>18-01-2023</c:v>
                </c:pt>
                <c:pt idx="2265">
                  <c:v>19-01-2023</c:v>
                </c:pt>
                <c:pt idx="2266">
                  <c:v>20-01-2023</c:v>
                </c:pt>
                <c:pt idx="2267">
                  <c:v>23-01-2023</c:v>
                </c:pt>
                <c:pt idx="2268">
                  <c:v>24-01-2023</c:v>
                </c:pt>
                <c:pt idx="2269">
                  <c:v>25-01-2023</c:v>
                </c:pt>
                <c:pt idx="2270">
                  <c:v>26-01-2023</c:v>
                </c:pt>
                <c:pt idx="2271">
                  <c:v>27-01-2023</c:v>
                </c:pt>
                <c:pt idx="2272">
                  <c:v>30-01-2023</c:v>
                </c:pt>
                <c:pt idx="2273">
                  <c:v>31-01-2023</c:v>
                </c:pt>
                <c:pt idx="2274">
                  <c:v>44928</c:v>
                </c:pt>
                <c:pt idx="2275">
                  <c:v>44959</c:v>
                </c:pt>
                <c:pt idx="2276">
                  <c:v>44987</c:v>
                </c:pt>
                <c:pt idx="2277">
                  <c:v>45079</c:v>
                </c:pt>
                <c:pt idx="2278">
                  <c:v>45109</c:v>
                </c:pt>
                <c:pt idx="2279">
                  <c:v>45140</c:v>
                </c:pt>
                <c:pt idx="2280">
                  <c:v>45171</c:v>
                </c:pt>
                <c:pt idx="2281">
                  <c:v>45201</c:v>
                </c:pt>
                <c:pt idx="2282">
                  <c:v>13-02-2023</c:v>
                </c:pt>
                <c:pt idx="2283">
                  <c:v>14-02-2023</c:v>
                </c:pt>
                <c:pt idx="2284">
                  <c:v>15-02-2023</c:v>
                </c:pt>
                <c:pt idx="2285">
                  <c:v>16-02-2023</c:v>
                </c:pt>
                <c:pt idx="2286">
                  <c:v>17-02-2023</c:v>
                </c:pt>
                <c:pt idx="2287">
                  <c:v>21-02-2023</c:v>
                </c:pt>
                <c:pt idx="2288">
                  <c:v>22-02-2023</c:v>
                </c:pt>
                <c:pt idx="2289">
                  <c:v>23-02-2023</c:v>
                </c:pt>
                <c:pt idx="2290">
                  <c:v>24-02-2023</c:v>
                </c:pt>
                <c:pt idx="2291">
                  <c:v>27-02-2023</c:v>
                </c:pt>
                <c:pt idx="2292">
                  <c:v>28-02-2023</c:v>
                </c:pt>
                <c:pt idx="2293">
                  <c:v>44929</c:v>
                </c:pt>
                <c:pt idx="2294">
                  <c:v>44960</c:v>
                </c:pt>
                <c:pt idx="2295">
                  <c:v>44988</c:v>
                </c:pt>
                <c:pt idx="2296">
                  <c:v>45080</c:v>
                </c:pt>
                <c:pt idx="2297">
                  <c:v>45110</c:v>
                </c:pt>
                <c:pt idx="2298">
                  <c:v>45141</c:v>
                </c:pt>
                <c:pt idx="2299">
                  <c:v>45172</c:v>
                </c:pt>
                <c:pt idx="2300">
                  <c:v>45202</c:v>
                </c:pt>
                <c:pt idx="2301">
                  <c:v>13-03-2023</c:v>
                </c:pt>
                <c:pt idx="2302">
                  <c:v>14-03-2023</c:v>
                </c:pt>
                <c:pt idx="2303">
                  <c:v>15-03-2023</c:v>
                </c:pt>
                <c:pt idx="2304">
                  <c:v>16-03-2023</c:v>
                </c:pt>
                <c:pt idx="2305">
                  <c:v>17-03-2023</c:v>
                </c:pt>
                <c:pt idx="2306">
                  <c:v>20-03-2023</c:v>
                </c:pt>
                <c:pt idx="2307">
                  <c:v>21-03-2023</c:v>
                </c:pt>
                <c:pt idx="2308">
                  <c:v>22-03-2023</c:v>
                </c:pt>
                <c:pt idx="2309">
                  <c:v>23-03-2023</c:v>
                </c:pt>
                <c:pt idx="2310">
                  <c:v>24-03-2023</c:v>
                </c:pt>
                <c:pt idx="2311">
                  <c:v>27-03-2023</c:v>
                </c:pt>
                <c:pt idx="2312">
                  <c:v>28-03-2023</c:v>
                </c:pt>
                <c:pt idx="2313">
                  <c:v>29-03-2023</c:v>
                </c:pt>
                <c:pt idx="2314">
                  <c:v>30-03-2023</c:v>
                </c:pt>
                <c:pt idx="2315">
                  <c:v>31-03-2023</c:v>
                </c:pt>
                <c:pt idx="2316">
                  <c:v>44989</c:v>
                </c:pt>
                <c:pt idx="2317">
                  <c:v>45020</c:v>
                </c:pt>
                <c:pt idx="2318">
                  <c:v>45050</c:v>
                </c:pt>
                <c:pt idx="2319">
                  <c:v>45081</c:v>
                </c:pt>
                <c:pt idx="2320">
                  <c:v>45203</c:v>
                </c:pt>
                <c:pt idx="2321">
                  <c:v>45234</c:v>
                </c:pt>
                <c:pt idx="2322">
                  <c:v>45264</c:v>
                </c:pt>
                <c:pt idx="2323">
                  <c:v>13-04-2023</c:v>
                </c:pt>
                <c:pt idx="2324">
                  <c:v>14-04-2023</c:v>
                </c:pt>
                <c:pt idx="2325">
                  <c:v>17-04-2023</c:v>
                </c:pt>
                <c:pt idx="2326">
                  <c:v>18-04-2023</c:v>
                </c:pt>
                <c:pt idx="2327">
                  <c:v>19-04-2023</c:v>
                </c:pt>
                <c:pt idx="2328">
                  <c:v>20-04-2023</c:v>
                </c:pt>
                <c:pt idx="2329">
                  <c:v>21-04-2023</c:v>
                </c:pt>
                <c:pt idx="2330">
                  <c:v>24-04-2023</c:v>
                </c:pt>
                <c:pt idx="2331">
                  <c:v>25-04-2023</c:v>
                </c:pt>
                <c:pt idx="2332">
                  <c:v>26-04-2023</c:v>
                </c:pt>
                <c:pt idx="2333">
                  <c:v>27-04-2023</c:v>
                </c:pt>
                <c:pt idx="2334">
                  <c:v>28-04-2023</c:v>
                </c:pt>
                <c:pt idx="2335">
                  <c:v>44931</c:v>
                </c:pt>
                <c:pt idx="2336">
                  <c:v>44962</c:v>
                </c:pt>
                <c:pt idx="2337">
                  <c:v>44990</c:v>
                </c:pt>
                <c:pt idx="2338">
                  <c:v>45021</c:v>
                </c:pt>
                <c:pt idx="2339">
                  <c:v>45051</c:v>
                </c:pt>
                <c:pt idx="2340">
                  <c:v>45143</c:v>
                </c:pt>
                <c:pt idx="2341">
                  <c:v>45174</c:v>
                </c:pt>
                <c:pt idx="2342">
                  <c:v>45204</c:v>
                </c:pt>
                <c:pt idx="2343">
                  <c:v>45235</c:v>
                </c:pt>
                <c:pt idx="2344">
                  <c:v>45265</c:v>
                </c:pt>
                <c:pt idx="2345">
                  <c:v>15-05-2023</c:v>
                </c:pt>
                <c:pt idx="2346">
                  <c:v>16-05-2023</c:v>
                </c:pt>
                <c:pt idx="2347">
                  <c:v>17-05-2023</c:v>
                </c:pt>
                <c:pt idx="2348">
                  <c:v>18-05-2023</c:v>
                </c:pt>
                <c:pt idx="2349">
                  <c:v>19-05-2023</c:v>
                </c:pt>
                <c:pt idx="2350">
                  <c:v>22-05-2023</c:v>
                </c:pt>
                <c:pt idx="2351">
                  <c:v>23-05-2023</c:v>
                </c:pt>
                <c:pt idx="2352">
                  <c:v>24-05-2023</c:v>
                </c:pt>
                <c:pt idx="2353">
                  <c:v>25-05-2023</c:v>
                </c:pt>
                <c:pt idx="2354">
                  <c:v>26-05-2023</c:v>
                </c:pt>
                <c:pt idx="2355">
                  <c:v>30-05-2023</c:v>
                </c:pt>
                <c:pt idx="2356">
                  <c:v>31-05-2023</c:v>
                </c:pt>
                <c:pt idx="2357">
                  <c:v>44932</c:v>
                </c:pt>
                <c:pt idx="2358">
                  <c:v>44963</c:v>
                </c:pt>
                <c:pt idx="2359">
                  <c:v>45052</c:v>
                </c:pt>
                <c:pt idx="2360">
                  <c:v>45083</c:v>
                </c:pt>
                <c:pt idx="2361">
                  <c:v>45113</c:v>
                </c:pt>
                <c:pt idx="2362">
                  <c:v>45144</c:v>
                </c:pt>
                <c:pt idx="2363">
                  <c:v>45175</c:v>
                </c:pt>
                <c:pt idx="2364">
                  <c:v>45266</c:v>
                </c:pt>
                <c:pt idx="2365">
                  <c:v>13-06-2023</c:v>
                </c:pt>
                <c:pt idx="2366">
                  <c:v>14-06-2023</c:v>
                </c:pt>
                <c:pt idx="2367">
                  <c:v>15-06-2023</c:v>
                </c:pt>
                <c:pt idx="2368">
                  <c:v>16-06-2023</c:v>
                </c:pt>
                <c:pt idx="2369">
                  <c:v>20-06-2023</c:v>
                </c:pt>
                <c:pt idx="2370">
                  <c:v>21-06-2023</c:v>
                </c:pt>
                <c:pt idx="2371">
                  <c:v>22-06-2023</c:v>
                </c:pt>
                <c:pt idx="2372">
                  <c:v>23-06-2023</c:v>
                </c:pt>
                <c:pt idx="2373">
                  <c:v>26-06-2023</c:v>
                </c:pt>
                <c:pt idx="2374">
                  <c:v>27-06-2023</c:v>
                </c:pt>
                <c:pt idx="2375">
                  <c:v>28-06-2023</c:v>
                </c:pt>
                <c:pt idx="2376">
                  <c:v>29-06-2023</c:v>
                </c:pt>
                <c:pt idx="2377">
                  <c:v>30-06-2023</c:v>
                </c:pt>
                <c:pt idx="2378">
                  <c:v>44992</c:v>
                </c:pt>
                <c:pt idx="2379">
                  <c:v>45053</c:v>
                </c:pt>
                <c:pt idx="2380">
                  <c:v>45084</c:v>
                </c:pt>
                <c:pt idx="2381">
                  <c:v>45114</c:v>
                </c:pt>
                <c:pt idx="2382">
                  <c:v>45206</c:v>
                </c:pt>
                <c:pt idx="2383">
                  <c:v>45237</c:v>
                </c:pt>
                <c:pt idx="2384">
                  <c:v>45267</c:v>
                </c:pt>
                <c:pt idx="2385">
                  <c:v>13-07-2023</c:v>
                </c:pt>
                <c:pt idx="2386">
                  <c:v>14-07-2023</c:v>
                </c:pt>
                <c:pt idx="2387">
                  <c:v>17-07-2023</c:v>
                </c:pt>
                <c:pt idx="2388">
                  <c:v>18-07-2023</c:v>
                </c:pt>
                <c:pt idx="2389">
                  <c:v>19-07-2023</c:v>
                </c:pt>
                <c:pt idx="2390">
                  <c:v>20-07-2023</c:v>
                </c:pt>
                <c:pt idx="2391">
                  <c:v>21-07-2023</c:v>
                </c:pt>
                <c:pt idx="2392">
                  <c:v>24-07-2023</c:v>
                </c:pt>
                <c:pt idx="2393">
                  <c:v>25-07-2023</c:v>
                </c:pt>
                <c:pt idx="2394">
                  <c:v>26-07-2023</c:v>
                </c:pt>
                <c:pt idx="2395">
                  <c:v>27-07-2023</c:v>
                </c:pt>
                <c:pt idx="2396">
                  <c:v>28-07-2023</c:v>
                </c:pt>
                <c:pt idx="2397">
                  <c:v>31-07-2023</c:v>
                </c:pt>
                <c:pt idx="2398">
                  <c:v>44934</c:v>
                </c:pt>
                <c:pt idx="2399">
                  <c:v>44965</c:v>
                </c:pt>
                <c:pt idx="2400">
                  <c:v>44993</c:v>
                </c:pt>
                <c:pt idx="2401">
                  <c:v>45024</c:v>
                </c:pt>
                <c:pt idx="2402">
                  <c:v>45115</c:v>
                </c:pt>
                <c:pt idx="2403">
                  <c:v>45146</c:v>
                </c:pt>
                <c:pt idx="2404">
                  <c:v>45177</c:v>
                </c:pt>
                <c:pt idx="2405">
                  <c:v>45207</c:v>
                </c:pt>
                <c:pt idx="2406">
                  <c:v>45238</c:v>
                </c:pt>
                <c:pt idx="2407">
                  <c:v>14-08-2023</c:v>
                </c:pt>
                <c:pt idx="2408">
                  <c:v>15-08-2023</c:v>
                </c:pt>
                <c:pt idx="2409">
                  <c:v>16-08-2023</c:v>
                </c:pt>
                <c:pt idx="2410">
                  <c:v>17-08-2023</c:v>
                </c:pt>
                <c:pt idx="2411">
                  <c:v>18-08-2023</c:v>
                </c:pt>
                <c:pt idx="2412">
                  <c:v>21-08-2023</c:v>
                </c:pt>
                <c:pt idx="2413">
                  <c:v>22-08-2023</c:v>
                </c:pt>
                <c:pt idx="2414">
                  <c:v>23-08-2023</c:v>
                </c:pt>
                <c:pt idx="2415">
                  <c:v>24-08-2023</c:v>
                </c:pt>
                <c:pt idx="2416">
                  <c:v>25-08-2023</c:v>
                </c:pt>
                <c:pt idx="2417">
                  <c:v>28-08-2023</c:v>
                </c:pt>
                <c:pt idx="2418">
                  <c:v>29-08-2023</c:v>
                </c:pt>
                <c:pt idx="2419">
                  <c:v>30-08-2023</c:v>
                </c:pt>
                <c:pt idx="2420">
                  <c:v>31-08-2023</c:v>
                </c:pt>
                <c:pt idx="2421">
                  <c:v>44935</c:v>
                </c:pt>
                <c:pt idx="2422">
                  <c:v>45055</c:v>
                </c:pt>
                <c:pt idx="2423">
                  <c:v>45086</c:v>
                </c:pt>
                <c:pt idx="2424">
                  <c:v>45116</c:v>
                </c:pt>
                <c:pt idx="2425">
                  <c:v>45147</c:v>
                </c:pt>
                <c:pt idx="2426">
                  <c:v>45239</c:v>
                </c:pt>
                <c:pt idx="2427">
                  <c:v>45269</c:v>
                </c:pt>
                <c:pt idx="2428">
                  <c:v>13-09-2023</c:v>
                </c:pt>
                <c:pt idx="2429">
                  <c:v>14-09-2023</c:v>
                </c:pt>
                <c:pt idx="2430">
                  <c:v>15-09-2023</c:v>
                </c:pt>
                <c:pt idx="2431">
                  <c:v>18-09-2023</c:v>
                </c:pt>
                <c:pt idx="2432">
                  <c:v>19-09-2023</c:v>
                </c:pt>
                <c:pt idx="2433">
                  <c:v>20-09-2023</c:v>
                </c:pt>
                <c:pt idx="2434">
                  <c:v>21-09-2023</c:v>
                </c:pt>
                <c:pt idx="2435">
                  <c:v>22-09-2023</c:v>
                </c:pt>
                <c:pt idx="2436">
                  <c:v>25-09-2023</c:v>
                </c:pt>
                <c:pt idx="2437">
                  <c:v>26-09-2023</c:v>
                </c:pt>
                <c:pt idx="2438">
                  <c:v>27-09-2023</c:v>
                </c:pt>
                <c:pt idx="2439">
                  <c:v>28-09-2023</c:v>
                </c:pt>
                <c:pt idx="2440">
                  <c:v>29-09-2023</c:v>
                </c:pt>
                <c:pt idx="2441">
                  <c:v>44967</c:v>
                </c:pt>
                <c:pt idx="2442">
                  <c:v>44995</c:v>
                </c:pt>
                <c:pt idx="2443">
                  <c:v>45026</c:v>
                </c:pt>
                <c:pt idx="2444">
                  <c:v>45056</c:v>
                </c:pt>
                <c:pt idx="2445">
                  <c:v>45087</c:v>
                </c:pt>
                <c:pt idx="2446">
                  <c:v>45179</c:v>
                </c:pt>
                <c:pt idx="2447">
                  <c:v>45209</c:v>
                </c:pt>
                <c:pt idx="2448">
                  <c:v>45240</c:v>
                </c:pt>
                <c:pt idx="2449">
                  <c:v>45270</c:v>
                </c:pt>
                <c:pt idx="2450">
                  <c:v>13-10-2023</c:v>
                </c:pt>
                <c:pt idx="2451">
                  <c:v>16-10-2023</c:v>
                </c:pt>
                <c:pt idx="2452">
                  <c:v>17-10-2023</c:v>
                </c:pt>
                <c:pt idx="2453">
                  <c:v>18-10-2023</c:v>
                </c:pt>
                <c:pt idx="2454">
                  <c:v>19-10-2023</c:v>
                </c:pt>
                <c:pt idx="2455">
                  <c:v>20-10-2023</c:v>
                </c:pt>
                <c:pt idx="2456">
                  <c:v>23-10-2023</c:v>
                </c:pt>
                <c:pt idx="2457">
                  <c:v>24-10-2023</c:v>
                </c:pt>
                <c:pt idx="2458">
                  <c:v>25-10-2023</c:v>
                </c:pt>
                <c:pt idx="2459">
                  <c:v>26-10-2023</c:v>
                </c:pt>
                <c:pt idx="2460">
                  <c:v>27-10-2023</c:v>
                </c:pt>
                <c:pt idx="2461">
                  <c:v>30-10-2023</c:v>
                </c:pt>
                <c:pt idx="2462">
                  <c:v>31-10-2023</c:v>
                </c:pt>
                <c:pt idx="2463">
                  <c:v>44937</c:v>
                </c:pt>
                <c:pt idx="2464">
                  <c:v>44968</c:v>
                </c:pt>
                <c:pt idx="2465">
                  <c:v>44996</c:v>
                </c:pt>
                <c:pt idx="2466">
                  <c:v>45088</c:v>
                </c:pt>
                <c:pt idx="2467">
                  <c:v>45118</c:v>
                </c:pt>
                <c:pt idx="2468">
                  <c:v>45149</c:v>
                </c:pt>
                <c:pt idx="2469">
                  <c:v>45180</c:v>
                </c:pt>
                <c:pt idx="2470">
                  <c:v>45210</c:v>
                </c:pt>
                <c:pt idx="2471">
                  <c:v>13-11-2023</c:v>
                </c:pt>
                <c:pt idx="2472">
                  <c:v>14-11-2023</c:v>
                </c:pt>
                <c:pt idx="2473">
                  <c:v>15-11-2023</c:v>
                </c:pt>
                <c:pt idx="2474">
                  <c:v>16-11-2023</c:v>
                </c:pt>
                <c:pt idx="2475">
                  <c:v>17-11-2023</c:v>
                </c:pt>
                <c:pt idx="2476">
                  <c:v>20-11-2023</c:v>
                </c:pt>
                <c:pt idx="2477">
                  <c:v>21-11-2023</c:v>
                </c:pt>
                <c:pt idx="2478">
                  <c:v>22-11-2023</c:v>
                </c:pt>
                <c:pt idx="2479">
                  <c:v>24-11-2023</c:v>
                </c:pt>
                <c:pt idx="2480">
                  <c:v>27-11-2023</c:v>
                </c:pt>
                <c:pt idx="2481">
                  <c:v>28-11-2023</c:v>
                </c:pt>
                <c:pt idx="2482">
                  <c:v>29-11-2023</c:v>
                </c:pt>
                <c:pt idx="2483">
                  <c:v>30-11-2023</c:v>
                </c:pt>
                <c:pt idx="2484">
                  <c:v>44938</c:v>
                </c:pt>
                <c:pt idx="2485">
                  <c:v>45028</c:v>
                </c:pt>
                <c:pt idx="2486">
                  <c:v>45058</c:v>
                </c:pt>
                <c:pt idx="2487">
                  <c:v>45089</c:v>
                </c:pt>
                <c:pt idx="2488">
                  <c:v>45119</c:v>
                </c:pt>
                <c:pt idx="2489">
                  <c:v>45150</c:v>
                </c:pt>
                <c:pt idx="2490">
                  <c:v>45242</c:v>
                </c:pt>
                <c:pt idx="2491">
                  <c:v>45272</c:v>
                </c:pt>
                <c:pt idx="2492">
                  <c:v>13-12-2023</c:v>
                </c:pt>
                <c:pt idx="2493">
                  <c:v>14-12-2023</c:v>
                </c:pt>
                <c:pt idx="2494">
                  <c:v>15-12-2023</c:v>
                </c:pt>
                <c:pt idx="2495">
                  <c:v>18-12-2023</c:v>
                </c:pt>
                <c:pt idx="2496">
                  <c:v>19-12-2023</c:v>
                </c:pt>
                <c:pt idx="2497">
                  <c:v>20-12-2023</c:v>
                </c:pt>
                <c:pt idx="2498">
                  <c:v>21-12-2023</c:v>
                </c:pt>
                <c:pt idx="2499">
                  <c:v>22-12-2023</c:v>
                </c:pt>
                <c:pt idx="2500">
                  <c:v>26-12-2023</c:v>
                </c:pt>
                <c:pt idx="2501">
                  <c:v>27-12-2023</c:v>
                </c:pt>
                <c:pt idx="2502">
                  <c:v>28-12-2023</c:v>
                </c:pt>
                <c:pt idx="2503">
                  <c:v>29-12-2023</c:v>
                </c:pt>
                <c:pt idx="2504">
                  <c:v>45323</c:v>
                </c:pt>
                <c:pt idx="2505">
                  <c:v>45352</c:v>
                </c:pt>
                <c:pt idx="2506">
                  <c:v>45383</c:v>
                </c:pt>
                <c:pt idx="2507">
                  <c:v>45413</c:v>
                </c:pt>
                <c:pt idx="2508">
                  <c:v>45505</c:v>
                </c:pt>
                <c:pt idx="2509">
                  <c:v>45536</c:v>
                </c:pt>
                <c:pt idx="2510">
                  <c:v>45566</c:v>
                </c:pt>
                <c:pt idx="2511">
                  <c:v>45597</c:v>
                </c:pt>
                <c:pt idx="2512">
                  <c:v>45627</c:v>
                </c:pt>
                <c:pt idx="2513">
                  <c:v>16-01-2024</c:v>
                </c:pt>
                <c:pt idx="2514">
                  <c:v>17-01-2024</c:v>
                </c:pt>
              </c:strCache>
            </c:strRef>
          </c:cat>
          <c:val>
            <c:numRef>
              <c:f>[1]WMT!$B$2:$B$2516</c:f>
              <c:numCache>
                <c:formatCode>General</c:formatCode>
                <c:ptCount val="2515"/>
                <c:pt idx="0">
                  <c:v>61.297370999999998</c:v>
                </c:pt>
                <c:pt idx="1">
                  <c:v>60.901299000000002</c:v>
                </c:pt>
                <c:pt idx="2">
                  <c:v>60.586067</c:v>
                </c:pt>
                <c:pt idx="3">
                  <c:v>60.149631999999997</c:v>
                </c:pt>
                <c:pt idx="4">
                  <c:v>59.931407999999998</c:v>
                </c:pt>
                <c:pt idx="5">
                  <c:v>60.351700000000001</c:v>
                </c:pt>
                <c:pt idx="6">
                  <c:v>59.890984000000003</c:v>
                </c:pt>
                <c:pt idx="7">
                  <c:v>60.416370000000001</c:v>
                </c:pt>
                <c:pt idx="8">
                  <c:v>60.359779000000003</c:v>
                </c:pt>
                <c:pt idx="9">
                  <c:v>58.727119000000002</c:v>
                </c:pt>
                <c:pt idx="10">
                  <c:v>58.783687999999998</c:v>
                </c:pt>
                <c:pt idx="11">
                  <c:v>58.896842999999997</c:v>
                </c:pt>
                <c:pt idx="12">
                  <c:v>58.856453000000002</c:v>
                </c:pt>
                <c:pt idx="13">
                  <c:v>59.608111999999998</c:v>
                </c:pt>
                <c:pt idx="14">
                  <c:v>59.616196000000002</c:v>
                </c:pt>
                <c:pt idx="15">
                  <c:v>60.456783000000001</c:v>
                </c:pt>
                <c:pt idx="16">
                  <c:v>60.586067</c:v>
                </c:pt>
                <c:pt idx="17">
                  <c:v>60.909393000000001</c:v>
                </c:pt>
                <c:pt idx="18">
                  <c:v>61.256923999999998</c:v>
                </c:pt>
                <c:pt idx="19">
                  <c:v>60.885123999999998</c:v>
                </c:pt>
                <c:pt idx="20">
                  <c:v>60.497211</c:v>
                </c:pt>
                <c:pt idx="21">
                  <c:v>59.422215000000001</c:v>
                </c:pt>
                <c:pt idx="22">
                  <c:v>59.098922999999999</c:v>
                </c:pt>
                <c:pt idx="23">
                  <c:v>59.284813</c:v>
                </c:pt>
                <c:pt idx="24">
                  <c:v>59.284813</c:v>
                </c:pt>
                <c:pt idx="25">
                  <c:v>60.440612999999999</c:v>
                </c:pt>
                <c:pt idx="26">
                  <c:v>60.262774999999998</c:v>
                </c:pt>
                <c:pt idx="27">
                  <c:v>60.375954</c:v>
                </c:pt>
                <c:pt idx="28">
                  <c:v>59.907173</c:v>
                </c:pt>
                <c:pt idx="29">
                  <c:v>60.723514999999999</c:v>
                </c:pt>
                <c:pt idx="30">
                  <c:v>60.456783000000001</c:v>
                </c:pt>
                <c:pt idx="31">
                  <c:v>60.521442</c:v>
                </c:pt>
                <c:pt idx="32">
                  <c:v>60.667839000000001</c:v>
                </c:pt>
                <c:pt idx="33">
                  <c:v>60.545830000000002</c:v>
                </c:pt>
                <c:pt idx="34">
                  <c:v>60.944431000000002</c:v>
                </c:pt>
                <c:pt idx="35">
                  <c:v>61.440617000000003</c:v>
                </c:pt>
                <c:pt idx="36">
                  <c:v>60.952553000000002</c:v>
                </c:pt>
                <c:pt idx="37">
                  <c:v>60.423805000000002</c:v>
                </c:pt>
                <c:pt idx="38">
                  <c:v>60.749195</c:v>
                </c:pt>
                <c:pt idx="39">
                  <c:v>60.822414000000002</c:v>
                </c:pt>
                <c:pt idx="40">
                  <c:v>60.505146000000003</c:v>
                </c:pt>
                <c:pt idx="41">
                  <c:v>61.318615000000001</c:v>
                </c:pt>
                <c:pt idx="42">
                  <c:v>61.904282000000002</c:v>
                </c:pt>
                <c:pt idx="43">
                  <c:v>62.441212</c:v>
                </c:pt>
                <c:pt idx="44">
                  <c:v>62.530684999999998</c:v>
                </c:pt>
                <c:pt idx="45">
                  <c:v>62.010052000000002</c:v>
                </c:pt>
                <c:pt idx="46">
                  <c:v>61.936844000000001</c:v>
                </c:pt>
                <c:pt idx="47">
                  <c:v>61.831116000000002</c:v>
                </c:pt>
                <c:pt idx="48">
                  <c:v>62.172744999999999</c:v>
                </c:pt>
                <c:pt idx="49">
                  <c:v>62.449337</c:v>
                </c:pt>
                <c:pt idx="50">
                  <c:v>62.782851999999998</c:v>
                </c:pt>
                <c:pt idx="51">
                  <c:v>63.010609000000002</c:v>
                </c:pt>
                <c:pt idx="52">
                  <c:v>62.888587999999999</c:v>
                </c:pt>
                <c:pt idx="53">
                  <c:v>62.888587999999999</c:v>
                </c:pt>
                <c:pt idx="54">
                  <c:v>63.596316999999999</c:v>
                </c:pt>
                <c:pt idx="55">
                  <c:v>63.425465000000003</c:v>
                </c:pt>
                <c:pt idx="56">
                  <c:v>62.546939999999999</c:v>
                </c:pt>
                <c:pt idx="57">
                  <c:v>62.229694000000002</c:v>
                </c:pt>
                <c:pt idx="58">
                  <c:v>62.945540999999999</c:v>
                </c:pt>
                <c:pt idx="59">
                  <c:v>62.538792000000001</c:v>
                </c:pt>
                <c:pt idx="60">
                  <c:v>62.815395000000002</c:v>
                </c:pt>
                <c:pt idx="61">
                  <c:v>63.173302</c:v>
                </c:pt>
                <c:pt idx="62">
                  <c:v>63.124507999999999</c:v>
                </c:pt>
                <c:pt idx="63">
                  <c:v>63.091971999999998</c:v>
                </c:pt>
                <c:pt idx="64">
                  <c:v>63.482425999999997</c:v>
                </c:pt>
                <c:pt idx="65">
                  <c:v>63.702067999999997</c:v>
                </c:pt>
                <c:pt idx="66">
                  <c:v>63.954242999999998</c:v>
                </c:pt>
                <c:pt idx="67">
                  <c:v>64.881584000000004</c:v>
                </c:pt>
                <c:pt idx="68">
                  <c:v>64.808350000000004</c:v>
                </c:pt>
                <c:pt idx="69">
                  <c:v>64.840896999999998</c:v>
                </c:pt>
                <c:pt idx="70">
                  <c:v>64.832779000000002</c:v>
                </c:pt>
                <c:pt idx="71">
                  <c:v>64.360969999999995</c:v>
                </c:pt>
                <c:pt idx="72">
                  <c:v>63.954242999999998</c:v>
                </c:pt>
                <c:pt idx="73">
                  <c:v>63.458019</c:v>
                </c:pt>
                <c:pt idx="74">
                  <c:v>63.809998</c:v>
                </c:pt>
                <c:pt idx="75">
                  <c:v>64.407486000000006</c:v>
                </c:pt>
                <c:pt idx="76">
                  <c:v>64.824905000000001</c:v>
                </c:pt>
                <c:pt idx="77">
                  <c:v>64.783957999999998</c:v>
                </c:pt>
                <c:pt idx="78">
                  <c:v>64.775810000000007</c:v>
                </c:pt>
                <c:pt idx="79">
                  <c:v>64.448418000000004</c:v>
                </c:pt>
                <c:pt idx="80">
                  <c:v>62.885055999999999</c:v>
                </c:pt>
                <c:pt idx="81">
                  <c:v>63.032420999999999</c:v>
                </c:pt>
                <c:pt idx="82">
                  <c:v>62.704998000000003</c:v>
                </c:pt>
                <c:pt idx="83">
                  <c:v>61.951996000000001</c:v>
                </c:pt>
                <c:pt idx="84">
                  <c:v>61.927447999999998</c:v>
                </c:pt>
                <c:pt idx="85">
                  <c:v>61.706432</c:v>
                </c:pt>
                <c:pt idx="86">
                  <c:v>61.886508999999997</c:v>
                </c:pt>
                <c:pt idx="87">
                  <c:v>61.870154999999997</c:v>
                </c:pt>
                <c:pt idx="88">
                  <c:v>61.821018000000002</c:v>
                </c:pt>
                <c:pt idx="89">
                  <c:v>62.189342000000003</c:v>
                </c:pt>
                <c:pt idx="90">
                  <c:v>62.835976000000002</c:v>
                </c:pt>
                <c:pt idx="91">
                  <c:v>62.827778000000002</c:v>
                </c:pt>
                <c:pt idx="92">
                  <c:v>62.786835000000004</c:v>
                </c:pt>
                <c:pt idx="93">
                  <c:v>63.130629999999996</c:v>
                </c:pt>
                <c:pt idx="94">
                  <c:v>63.286113999999998</c:v>
                </c:pt>
                <c:pt idx="95">
                  <c:v>63.196086999999999</c:v>
                </c:pt>
                <c:pt idx="96">
                  <c:v>63.032420999999999</c:v>
                </c:pt>
                <c:pt idx="97">
                  <c:v>62.713188000000002</c:v>
                </c:pt>
                <c:pt idx="98">
                  <c:v>62.336677999999999</c:v>
                </c:pt>
                <c:pt idx="99">
                  <c:v>61.984741</c:v>
                </c:pt>
                <c:pt idx="100">
                  <c:v>61.616394</c:v>
                </c:pt>
                <c:pt idx="101">
                  <c:v>61.665512</c:v>
                </c:pt>
                <c:pt idx="102">
                  <c:v>61.379044</c:v>
                </c:pt>
                <c:pt idx="103">
                  <c:v>61.960177999999999</c:v>
                </c:pt>
                <c:pt idx="104">
                  <c:v>62.099330999999999</c:v>
                </c:pt>
                <c:pt idx="105">
                  <c:v>61.943824999999997</c:v>
                </c:pt>
                <c:pt idx="106">
                  <c:v>62.033828999999997</c:v>
                </c:pt>
                <c:pt idx="107">
                  <c:v>62.181148999999998</c:v>
                </c:pt>
                <c:pt idx="108">
                  <c:v>61.894699000000003</c:v>
                </c:pt>
                <c:pt idx="109">
                  <c:v>61.313575999999998</c:v>
                </c:pt>
                <c:pt idx="110">
                  <c:v>61.665512</c:v>
                </c:pt>
                <c:pt idx="111">
                  <c:v>61.444527000000001</c:v>
                </c:pt>
                <c:pt idx="112">
                  <c:v>61.616394</c:v>
                </c:pt>
                <c:pt idx="113">
                  <c:v>61.894699000000003</c:v>
                </c:pt>
                <c:pt idx="114">
                  <c:v>62.001091000000002</c:v>
                </c:pt>
                <c:pt idx="115">
                  <c:v>62.262996999999999</c:v>
                </c:pt>
                <c:pt idx="116">
                  <c:v>62.737743000000002</c:v>
                </c:pt>
                <c:pt idx="117">
                  <c:v>63.196086999999999</c:v>
                </c:pt>
                <c:pt idx="118">
                  <c:v>63.073318</c:v>
                </c:pt>
                <c:pt idx="119">
                  <c:v>62.876891999999998</c:v>
                </c:pt>
                <c:pt idx="120">
                  <c:v>62.655903000000002</c:v>
                </c:pt>
                <c:pt idx="121">
                  <c:v>62.893256999999998</c:v>
                </c:pt>
                <c:pt idx="122">
                  <c:v>62.909626000000003</c:v>
                </c:pt>
                <c:pt idx="123">
                  <c:v>62.704998000000003</c:v>
                </c:pt>
                <c:pt idx="124">
                  <c:v>63.097892999999999</c:v>
                </c:pt>
                <c:pt idx="125">
                  <c:v>62.835976000000002</c:v>
                </c:pt>
                <c:pt idx="126">
                  <c:v>62.729560999999997</c:v>
                </c:pt>
                <c:pt idx="127">
                  <c:v>63.016022</c:v>
                </c:pt>
                <c:pt idx="128">
                  <c:v>62.492176000000001</c:v>
                </c:pt>
                <c:pt idx="129">
                  <c:v>62.181148999999998</c:v>
                </c:pt>
                <c:pt idx="130">
                  <c:v>61.968356999999997</c:v>
                </c:pt>
                <c:pt idx="131">
                  <c:v>61.74736</c:v>
                </c:pt>
                <c:pt idx="132">
                  <c:v>61.207165000000003</c:v>
                </c:pt>
                <c:pt idx="133">
                  <c:v>60.224957000000003</c:v>
                </c:pt>
                <c:pt idx="134">
                  <c:v>60.192230000000002</c:v>
                </c:pt>
                <c:pt idx="135">
                  <c:v>60.192230000000002</c:v>
                </c:pt>
                <c:pt idx="136">
                  <c:v>60.028511000000002</c:v>
                </c:pt>
                <c:pt idx="137">
                  <c:v>61.132534</c:v>
                </c:pt>
                <c:pt idx="138">
                  <c:v>60.926558999999997</c:v>
                </c:pt>
                <c:pt idx="139">
                  <c:v>61.519733000000002</c:v>
                </c:pt>
                <c:pt idx="140">
                  <c:v>61.264366000000003</c:v>
                </c:pt>
                <c:pt idx="141">
                  <c:v>61.149017000000001</c:v>
                </c:pt>
                <c:pt idx="142">
                  <c:v>60.992469999999997</c:v>
                </c:pt>
                <c:pt idx="143">
                  <c:v>61.289078000000003</c:v>
                </c:pt>
                <c:pt idx="144">
                  <c:v>60.885353000000002</c:v>
                </c:pt>
                <c:pt idx="145">
                  <c:v>61.371456000000002</c:v>
                </c:pt>
                <c:pt idx="146">
                  <c:v>61.692791</c:v>
                </c:pt>
                <c:pt idx="147">
                  <c:v>61.758667000000003</c:v>
                </c:pt>
                <c:pt idx="148">
                  <c:v>62.244781000000003</c:v>
                </c:pt>
                <c:pt idx="149">
                  <c:v>62.393059000000001</c:v>
                </c:pt>
                <c:pt idx="150">
                  <c:v>62.360129999999998</c:v>
                </c:pt>
                <c:pt idx="151">
                  <c:v>62.220050999999998</c:v>
                </c:pt>
                <c:pt idx="152">
                  <c:v>62.491931999999998</c:v>
                </c:pt>
                <c:pt idx="153">
                  <c:v>62.533127</c:v>
                </c:pt>
                <c:pt idx="154">
                  <c:v>62.203570999999997</c:v>
                </c:pt>
                <c:pt idx="155">
                  <c:v>62.409560999999997</c:v>
                </c:pt>
                <c:pt idx="156">
                  <c:v>62.623783000000003</c:v>
                </c:pt>
                <c:pt idx="157">
                  <c:v>63.076923000000001</c:v>
                </c:pt>
                <c:pt idx="158">
                  <c:v>63.859614999999998</c:v>
                </c:pt>
                <c:pt idx="159">
                  <c:v>63.052193000000003</c:v>
                </c:pt>
                <c:pt idx="160">
                  <c:v>63.225211999999999</c:v>
                </c:pt>
                <c:pt idx="161">
                  <c:v>63.035713000000001</c:v>
                </c:pt>
                <c:pt idx="162">
                  <c:v>62.697944999999997</c:v>
                </c:pt>
                <c:pt idx="163">
                  <c:v>62.426029</c:v>
                </c:pt>
                <c:pt idx="164">
                  <c:v>62.458969000000003</c:v>
                </c:pt>
                <c:pt idx="165">
                  <c:v>62.879154</c:v>
                </c:pt>
                <c:pt idx="166">
                  <c:v>62.813267000000003</c:v>
                </c:pt>
                <c:pt idx="167">
                  <c:v>62.796802999999997</c:v>
                </c:pt>
                <c:pt idx="168">
                  <c:v>63.307594000000002</c:v>
                </c:pt>
                <c:pt idx="169">
                  <c:v>62.870918000000003</c:v>
                </c:pt>
                <c:pt idx="170">
                  <c:v>62.285972999999998</c:v>
                </c:pt>
                <c:pt idx="171">
                  <c:v>63.505329000000003</c:v>
                </c:pt>
                <c:pt idx="172">
                  <c:v>62.714393999999999</c:v>
                </c:pt>
                <c:pt idx="173">
                  <c:v>63.019238000000001</c:v>
                </c:pt>
                <c:pt idx="174">
                  <c:v>62.681418999999998</c:v>
                </c:pt>
                <c:pt idx="175">
                  <c:v>63.002749999999999</c:v>
                </c:pt>
                <c:pt idx="176">
                  <c:v>62.714393999999999</c:v>
                </c:pt>
                <c:pt idx="177">
                  <c:v>62.805019000000001</c:v>
                </c:pt>
                <c:pt idx="178">
                  <c:v>63.703060000000001</c:v>
                </c:pt>
                <c:pt idx="179">
                  <c:v>63.727767999999998</c:v>
                </c:pt>
                <c:pt idx="180">
                  <c:v>63.686588</c:v>
                </c:pt>
                <c:pt idx="181">
                  <c:v>64.461028999999996</c:v>
                </c:pt>
                <c:pt idx="182">
                  <c:v>64.147980000000004</c:v>
                </c:pt>
                <c:pt idx="183">
                  <c:v>64.502234999999999</c:v>
                </c:pt>
                <c:pt idx="184">
                  <c:v>63.900798999999999</c:v>
                </c:pt>
                <c:pt idx="185">
                  <c:v>64.246819000000002</c:v>
                </c:pt>
                <c:pt idx="186">
                  <c:v>61.956398</c:v>
                </c:pt>
                <c:pt idx="187">
                  <c:v>60.819446999999997</c:v>
                </c:pt>
                <c:pt idx="188">
                  <c:v>61.050136999999999</c:v>
                </c:pt>
                <c:pt idx="189">
                  <c:v>61.90699</c:v>
                </c:pt>
                <c:pt idx="190">
                  <c:v>62.631991999999997</c:v>
                </c:pt>
                <c:pt idx="191">
                  <c:v>62.640270000000001</c:v>
                </c:pt>
                <c:pt idx="192">
                  <c:v>62.821499000000003</c:v>
                </c:pt>
                <c:pt idx="193">
                  <c:v>62.928607999999997</c:v>
                </c:pt>
                <c:pt idx="194">
                  <c:v>63.101627000000001</c:v>
                </c:pt>
                <c:pt idx="195">
                  <c:v>62.903892999999997</c:v>
                </c:pt>
                <c:pt idx="196">
                  <c:v>62.936874000000003</c:v>
                </c:pt>
                <c:pt idx="197">
                  <c:v>62.986300999999997</c:v>
                </c:pt>
                <c:pt idx="198">
                  <c:v>62.837981999999997</c:v>
                </c:pt>
                <c:pt idx="199">
                  <c:v>62.846207</c:v>
                </c:pt>
                <c:pt idx="200">
                  <c:v>63.653621999999999</c:v>
                </c:pt>
                <c:pt idx="201">
                  <c:v>64.016136000000003</c:v>
                </c:pt>
                <c:pt idx="202">
                  <c:v>64.106780999999998</c:v>
                </c:pt>
                <c:pt idx="203">
                  <c:v>64.897689999999997</c:v>
                </c:pt>
                <c:pt idx="204">
                  <c:v>65.449698999999995</c:v>
                </c:pt>
                <c:pt idx="205">
                  <c:v>65.095421000000002</c:v>
                </c:pt>
                <c:pt idx="206">
                  <c:v>65.251983999999993</c:v>
                </c:pt>
                <c:pt idx="207">
                  <c:v>68.333327999999995</c:v>
                </c:pt>
                <c:pt idx="208">
                  <c:v>68.349791999999994</c:v>
                </c:pt>
                <c:pt idx="209">
                  <c:v>68.852371000000005</c:v>
                </c:pt>
                <c:pt idx="210">
                  <c:v>69.033623000000006</c:v>
                </c:pt>
                <c:pt idx="211">
                  <c:v>70.022293000000005</c:v>
                </c:pt>
                <c:pt idx="212">
                  <c:v>69.684517</c:v>
                </c:pt>
                <c:pt idx="213">
                  <c:v>69.742165</c:v>
                </c:pt>
                <c:pt idx="214">
                  <c:v>70.360106999999999</c:v>
                </c:pt>
                <c:pt idx="215">
                  <c:v>69.989304000000004</c:v>
                </c:pt>
                <c:pt idx="216">
                  <c:v>70.014053000000004</c:v>
                </c:pt>
                <c:pt idx="217">
                  <c:v>72.123206999999994</c:v>
                </c:pt>
                <c:pt idx="218">
                  <c:v>71.035645000000002</c:v>
                </c:pt>
                <c:pt idx="219">
                  <c:v>71.183975000000004</c:v>
                </c:pt>
                <c:pt idx="220">
                  <c:v>70.372032000000004</c:v>
                </c:pt>
                <c:pt idx="221">
                  <c:v>70.222908000000004</c:v>
                </c:pt>
                <c:pt idx="222">
                  <c:v>69.692702999999995</c:v>
                </c:pt>
                <c:pt idx="223">
                  <c:v>69.783821000000003</c:v>
                </c:pt>
                <c:pt idx="224">
                  <c:v>69.228736999999995</c:v>
                </c:pt>
                <c:pt idx="225">
                  <c:v>68.748199</c:v>
                </c:pt>
                <c:pt idx="226">
                  <c:v>69.452415000000002</c:v>
                </c:pt>
                <c:pt idx="227">
                  <c:v>69.435851999999997</c:v>
                </c:pt>
                <c:pt idx="228">
                  <c:v>69.543571</c:v>
                </c:pt>
                <c:pt idx="229">
                  <c:v>68.731628000000001</c:v>
                </c:pt>
                <c:pt idx="230">
                  <c:v>69.783821000000003</c:v>
                </c:pt>
                <c:pt idx="231">
                  <c:v>71.200539000000006</c:v>
                </c:pt>
                <c:pt idx="232">
                  <c:v>70.554314000000005</c:v>
                </c:pt>
                <c:pt idx="233">
                  <c:v>71.565085999999994</c:v>
                </c:pt>
                <c:pt idx="234">
                  <c:v>71.797066000000001</c:v>
                </c:pt>
                <c:pt idx="235">
                  <c:v>71.606514000000004</c:v>
                </c:pt>
                <c:pt idx="236">
                  <c:v>72.004165999999998</c:v>
                </c:pt>
                <c:pt idx="237">
                  <c:v>71.780486999999994</c:v>
                </c:pt>
                <c:pt idx="238">
                  <c:v>71.904769999999999</c:v>
                </c:pt>
                <c:pt idx="239">
                  <c:v>71.150833000000006</c:v>
                </c:pt>
                <c:pt idx="240">
                  <c:v>71.167396999999994</c:v>
                </c:pt>
                <c:pt idx="241">
                  <c:v>70.960296999999997</c:v>
                </c:pt>
                <c:pt idx="242">
                  <c:v>71.507071999999994</c:v>
                </c:pt>
                <c:pt idx="243">
                  <c:v>73.404312000000004</c:v>
                </c:pt>
                <c:pt idx="244">
                  <c:v>74.953620999999998</c:v>
                </c:pt>
                <c:pt idx="245">
                  <c:v>74.025711000000001</c:v>
                </c:pt>
                <c:pt idx="246">
                  <c:v>74.580794999999995</c:v>
                </c:pt>
                <c:pt idx="247">
                  <c:v>73.992583999999994</c:v>
                </c:pt>
                <c:pt idx="248">
                  <c:v>71.755607999999995</c:v>
                </c:pt>
                <c:pt idx="249">
                  <c:v>72.393585000000002</c:v>
                </c:pt>
                <c:pt idx="250">
                  <c:v>71.888199</c:v>
                </c:pt>
                <c:pt idx="251">
                  <c:v>71.821915000000004</c:v>
                </c:pt>
                <c:pt idx="252">
                  <c:v>71.780486999999994</c:v>
                </c:pt>
                <c:pt idx="253">
                  <c:v>73.155769000000006</c:v>
                </c:pt>
                <c:pt idx="254">
                  <c:v>73.329750000000004</c:v>
                </c:pt>
                <c:pt idx="255">
                  <c:v>73.429198999999997</c:v>
                </c:pt>
                <c:pt idx="256">
                  <c:v>72.517830000000004</c:v>
                </c:pt>
                <c:pt idx="257">
                  <c:v>71.929625999999999</c:v>
                </c:pt>
                <c:pt idx="258">
                  <c:v>72.675269999999998</c:v>
                </c:pt>
                <c:pt idx="259">
                  <c:v>70.405197000000001</c:v>
                </c:pt>
                <c:pt idx="260">
                  <c:v>71.009986999999995</c:v>
                </c:pt>
                <c:pt idx="261">
                  <c:v>71.407684000000003</c:v>
                </c:pt>
                <c:pt idx="262">
                  <c:v>71.788764999999998</c:v>
                </c:pt>
                <c:pt idx="263">
                  <c:v>72.310721999999998</c:v>
                </c:pt>
                <c:pt idx="264">
                  <c:v>72.352126999999996</c:v>
                </c:pt>
                <c:pt idx="265">
                  <c:v>71.175697</c:v>
                </c:pt>
                <c:pt idx="266">
                  <c:v>72.319000000000003</c:v>
                </c:pt>
                <c:pt idx="267">
                  <c:v>71.531920999999997</c:v>
                </c:pt>
                <c:pt idx="268">
                  <c:v>71.159126000000001</c:v>
                </c:pt>
                <c:pt idx="269">
                  <c:v>71.092833999999996</c:v>
                </c:pt>
                <c:pt idx="270">
                  <c:v>71.217117000000002</c:v>
                </c:pt>
                <c:pt idx="271">
                  <c:v>71.490523999999994</c:v>
                </c:pt>
                <c:pt idx="272">
                  <c:v>69.195601999999994</c:v>
                </c:pt>
                <c:pt idx="273">
                  <c:v>69.841849999999994</c:v>
                </c:pt>
                <c:pt idx="274">
                  <c:v>70.090369999999993</c:v>
                </c:pt>
                <c:pt idx="275">
                  <c:v>70.065505999999999</c:v>
                </c:pt>
                <c:pt idx="276">
                  <c:v>69.237030000000004</c:v>
                </c:pt>
                <c:pt idx="277">
                  <c:v>69.427566999999996</c:v>
                </c:pt>
                <c:pt idx="278">
                  <c:v>69.535263</c:v>
                </c:pt>
                <c:pt idx="279">
                  <c:v>69.560135000000002</c:v>
                </c:pt>
                <c:pt idx="280">
                  <c:v>69.071326999999997</c:v>
                </c:pt>
                <c:pt idx="281">
                  <c:v>68.416816999999995</c:v>
                </c:pt>
                <c:pt idx="282">
                  <c:v>69.237030000000004</c:v>
                </c:pt>
                <c:pt idx="283">
                  <c:v>68.425101999999995</c:v>
                </c:pt>
                <c:pt idx="284">
                  <c:v>68.665336999999994</c:v>
                </c:pt>
                <c:pt idx="285">
                  <c:v>67.994292999999999</c:v>
                </c:pt>
                <c:pt idx="286">
                  <c:v>67.252487000000002</c:v>
                </c:pt>
                <c:pt idx="287">
                  <c:v>68.261002000000005</c:v>
                </c:pt>
                <c:pt idx="288">
                  <c:v>68.261002000000005</c:v>
                </c:pt>
                <c:pt idx="289">
                  <c:v>69.419510000000002</c:v>
                </c:pt>
                <c:pt idx="290">
                  <c:v>68.861098999999996</c:v>
                </c:pt>
                <c:pt idx="291">
                  <c:v>68.786079000000001</c:v>
                </c:pt>
                <c:pt idx="292">
                  <c:v>67.944252000000006</c:v>
                </c:pt>
                <c:pt idx="293">
                  <c:v>69.377823000000006</c:v>
                </c:pt>
                <c:pt idx="294">
                  <c:v>69.436156999999994</c:v>
                </c:pt>
                <c:pt idx="295">
                  <c:v>69.219498000000002</c:v>
                </c:pt>
                <c:pt idx="296">
                  <c:v>67.777564999999996</c:v>
                </c:pt>
                <c:pt idx="297">
                  <c:v>68.252655000000004</c:v>
                </c:pt>
                <c:pt idx="298">
                  <c:v>67.802597000000006</c:v>
                </c:pt>
                <c:pt idx="299">
                  <c:v>68.786079000000001</c:v>
                </c:pt>
                <c:pt idx="300">
                  <c:v>68.552718999999996</c:v>
                </c:pt>
                <c:pt idx="301">
                  <c:v>67.269172999999995</c:v>
                </c:pt>
                <c:pt idx="302">
                  <c:v>67.285843</c:v>
                </c:pt>
                <c:pt idx="303">
                  <c:v>67.502540999999994</c:v>
                </c:pt>
                <c:pt idx="304">
                  <c:v>67.094147000000007</c:v>
                </c:pt>
                <c:pt idx="305">
                  <c:v>67.535858000000005</c:v>
                </c:pt>
                <c:pt idx="306">
                  <c:v>67.377517999999995</c:v>
                </c:pt>
                <c:pt idx="307">
                  <c:v>67.219170000000005</c:v>
                </c:pt>
                <c:pt idx="308">
                  <c:v>66.919112999999996</c:v>
                </c:pt>
                <c:pt idx="309">
                  <c:v>66.802429000000004</c:v>
                </c:pt>
                <c:pt idx="310">
                  <c:v>66.460693000000006</c:v>
                </c:pt>
                <c:pt idx="311">
                  <c:v>66.043976000000001</c:v>
                </c:pt>
                <c:pt idx="312">
                  <c:v>64.910454000000001</c:v>
                </c:pt>
                <c:pt idx="313">
                  <c:v>65.127159000000006</c:v>
                </c:pt>
                <c:pt idx="314">
                  <c:v>65.035483999999997</c:v>
                </c:pt>
                <c:pt idx="315">
                  <c:v>65.368842999999998</c:v>
                </c:pt>
                <c:pt idx="316">
                  <c:v>65.993949999999998</c:v>
                </c:pt>
                <c:pt idx="317">
                  <c:v>66.544051999999994</c:v>
                </c:pt>
                <c:pt idx="318">
                  <c:v>66.152313000000007</c:v>
                </c:pt>
                <c:pt idx="319">
                  <c:v>65.927291999999994</c:v>
                </c:pt>
                <c:pt idx="320">
                  <c:v>64.910454000000001</c:v>
                </c:pt>
                <c:pt idx="321">
                  <c:v>65.052147000000005</c:v>
                </c:pt>
                <c:pt idx="322">
                  <c:v>65.510589999999993</c:v>
                </c:pt>
                <c:pt idx="323">
                  <c:v>65.993949999999998</c:v>
                </c:pt>
                <c:pt idx="324">
                  <c:v>65.118819999999999</c:v>
                </c:pt>
                <c:pt idx="325">
                  <c:v>65.127205000000004</c:v>
                </c:pt>
                <c:pt idx="326">
                  <c:v>65.445937999999998</c:v>
                </c:pt>
                <c:pt idx="327">
                  <c:v>65.865288000000007</c:v>
                </c:pt>
                <c:pt idx="328">
                  <c:v>65.504645999999994</c:v>
                </c:pt>
                <c:pt idx="329">
                  <c:v>66.225960000000001</c:v>
                </c:pt>
                <c:pt idx="330">
                  <c:v>65.554955000000007</c:v>
                </c:pt>
                <c:pt idx="331">
                  <c:v>66.024673000000007</c:v>
                </c:pt>
                <c:pt idx="332">
                  <c:v>66.460785000000001</c:v>
                </c:pt>
                <c:pt idx="333">
                  <c:v>67.031127999999995</c:v>
                </c:pt>
                <c:pt idx="334">
                  <c:v>64.103958000000006</c:v>
                </c:pt>
                <c:pt idx="335">
                  <c:v>63.659427999999998</c:v>
                </c:pt>
                <c:pt idx="336">
                  <c:v>63.835586999999997</c:v>
                </c:pt>
                <c:pt idx="337">
                  <c:v>63.625853999999997</c:v>
                </c:pt>
                <c:pt idx="338">
                  <c:v>62.820717000000002</c:v>
                </c:pt>
                <c:pt idx="339">
                  <c:v>63.063934000000003</c:v>
                </c:pt>
                <c:pt idx="340">
                  <c:v>62.770367</c:v>
                </c:pt>
                <c:pt idx="341">
                  <c:v>62.292293999999998</c:v>
                </c:pt>
                <c:pt idx="342">
                  <c:v>62.678134999999997</c:v>
                </c:pt>
                <c:pt idx="343">
                  <c:v>62.510356999999999</c:v>
                </c:pt>
                <c:pt idx="344">
                  <c:v>62.812339999999999</c:v>
                </c:pt>
                <c:pt idx="345">
                  <c:v>62.191668999999997</c:v>
                </c:pt>
                <c:pt idx="346">
                  <c:v>61.277442999999998</c:v>
                </c:pt>
                <c:pt idx="347">
                  <c:v>60.900021000000002</c:v>
                </c:pt>
                <c:pt idx="348">
                  <c:v>60.782578000000001</c:v>
                </c:pt>
                <c:pt idx="349">
                  <c:v>61.168407000000002</c:v>
                </c:pt>
                <c:pt idx="350">
                  <c:v>61.176806999999997</c:v>
                </c:pt>
                <c:pt idx="351">
                  <c:v>60.749049999999997</c:v>
                </c:pt>
                <c:pt idx="352">
                  <c:v>60.32967</c:v>
                </c:pt>
                <c:pt idx="353">
                  <c:v>60.681950000000001</c:v>
                </c:pt>
                <c:pt idx="354">
                  <c:v>61.000686999999999</c:v>
                </c:pt>
                <c:pt idx="355">
                  <c:v>61.210365000000003</c:v>
                </c:pt>
                <c:pt idx="356">
                  <c:v>61.009045</c:v>
                </c:pt>
                <c:pt idx="357">
                  <c:v>61.050991000000003</c:v>
                </c:pt>
                <c:pt idx="358">
                  <c:v>60.866481999999998</c:v>
                </c:pt>
                <c:pt idx="359">
                  <c:v>60.707099999999997</c:v>
                </c:pt>
                <c:pt idx="360">
                  <c:v>60.270980999999999</c:v>
                </c:pt>
                <c:pt idx="361">
                  <c:v>60.489055999999998</c:v>
                </c:pt>
                <c:pt idx="362">
                  <c:v>59.901935999999999</c:v>
                </c:pt>
                <c:pt idx="363">
                  <c:v>59.490940000000002</c:v>
                </c:pt>
                <c:pt idx="364">
                  <c:v>60.287750000000003</c:v>
                </c:pt>
                <c:pt idx="365">
                  <c:v>60.270980999999999</c:v>
                </c:pt>
                <c:pt idx="366">
                  <c:v>60.832915999999997</c:v>
                </c:pt>
                <c:pt idx="367">
                  <c:v>61.889713</c:v>
                </c:pt>
                <c:pt idx="368">
                  <c:v>61.277442999999998</c:v>
                </c:pt>
                <c:pt idx="369">
                  <c:v>61.042594999999999</c:v>
                </c:pt>
                <c:pt idx="370">
                  <c:v>61.327793</c:v>
                </c:pt>
                <c:pt idx="371">
                  <c:v>61.965190999999997</c:v>
                </c:pt>
                <c:pt idx="372">
                  <c:v>61.889713</c:v>
                </c:pt>
                <c:pt idx="373">
                  <c:v>61.772281999999997</c:v>
                </c:pt>
                <c:pt idx="374">
                  <c:v>61.923267000000003</c:v>
                </c:pt>
                <c:pt idx="375">
                  <c:v>61.554211000000002</c:v>
                </c:pt>
                <c:pt idx="376">
                  <c:v>61.311008000000001</c:v>
                </c:pt>
                <c:pt idx="377">
                  <c:v>61.009045</c:v>
                </c:pt>
                <c:pt idx="378">
                  <c:v>61.361328</c:v>
                </c:pt>
                <c:pt idx="379">
                  <c:v>60.816147000000001</c:v>
                </c:pt>
                <c:pt idx="380">
                  <c:v>60.036136999999997</c:v>
                </c:pt>
                <c:pt idx="381">
                  <c:v>59.868385000000004</c:v>
                </c:pt>
                <c:pt idx="382">
                  <c:v>60.472262999999998</c:v>
                </c:pt>
                <c:pt idx="383">
                  <c:v>60.581322</c:v>
                </c:pt>
                <c:pt idx="384">
                  <c:v>60.522593999999998</c:v>
                </c:pt>
                <c:pt idx="385">
                  <c:v>60.371628000000001</c:v>
                </c:pt>
                <c:pt idx="386">
                  <c:v>60.539375</c:v>
                </c:pt>
                <c:pt idx="387">
                  <c:v>60.598075999999999</c:v>
                </c:pt>
                <c:pt idx="388">
                  <c:v>62.075854999999997</c:v>
                </c:pt>
                <c:pt idx="389">
                  <c:v>61.467872999999997</c:v>
                </c:pt>
                <c:pt idx="390">
                  <c:v>60.167385000000003</c:v>
                </c:pt>
                <c:pt idx="391">
                  <c:v>60.361629000000001</c:v>
                </c:pt>
                <c:pt idx="392">
                  <c:v>60.741619</c:v>
                </c:pt>
                <c:pt idx="393">
                  <c:v>61.290534999999998</c:v>
                </c:pt>
                <c:pt idx="394">
                  <c:v>60.893639</c:v>
                </c:pt>
                <c:pt idx="395">
                  <c:v>61.121623999999997</c:v>
                </c:pt>
                <c:pt idx="396">
                  <c:v>60.724739</c:v>
                </c:pt>
                <c:pt idx="397">
                  <c:v>58.672725999999997</c:v>
                </c:pt>
                <c:pt idx="398">
                  <c:v>57.904259000000003</c:v>
                </c:pt>
                <c:pt idx="399">
                  <c:v>57.786029999999997</c:v>
                </c:pt>
                <c:pt idx="400">
                  <c:v>56.190024999999999</c:v>
                </c:pt>
                <c:pt idx="401">
                  <c:v>54.002876000000001</c:v>
                </c:pt>
                <c:pt idx="402">
                  <c:v>53.285099000000002</c:v>
                </c:pt>
                <c:pt idx="403">
                  <c:v>54.746006000000001</c:v>
                </c:pt>
                <c:pt idx="404">
                  <c:v>55.801563000000002</c:v>
                </c:pt>
                <c:pt idx="405">
                  <c:v>54.838898</c:v>
                </c:pt>
                <c:pt idx="406">
                  <c:v>54.661560000000001</c:v>
                </c:pt>
                <c:pt idx="407">
                  <c:v>53.893112000000002</c:v>
                </c:pt>
                <c:pt idx="408">
                  <c:v>54.416663999999997</c:v>
                </c:pt>
                <c:pt idx="409">
                  <c:v>54.771351000000003</c:v>
                </c:pt>
                <c:pt idx="410">
                  <c:v>53.952209000000003</c:v>
                </c:pt>
                <c:pt idx="411">
                  <c:v>56.054904999999998</c:v>
                </c:pt>
                <c:pt idx="412">
                  <c:v>54.990893999999997</c:v>
                </c:pt>
                <c:pt idx="413">
                  <c:v>54.146450000000002</c:v>
                </c:pt>
                <c:pt idx="414">
                  <c:v>54.593997999999999</c:v>
                </c:pt>
                <c:pt idx="415">
                  <c:v>54.281548000000001</c:v>
                </c:pt>
                <c:pt idx="416">
                  <c:v>54.315334</c:v>
                </c:pt>
                <c:pt idx="417">
                  <c:v>54.627791999999999</c:v>
                </c:pt>
                <c:pt idx="418">
                  <c:v>54.442008999999999</c:v>
                </c:pt>
                <c:pt idx="419">
                  <c:v>53.487758999999997</c:v>
                </c:pt>
                <c:pt idx="420">
                  <c:v>53.808655000000002</c:v>
                </c:pt>
                <c:pt idx="421">
                  <c:v>53.698875000000001</c:v>
                </c:pt>
                <c:pt idx="422">
                  <c:v>53.808655000000002</c:v>
                </c:pt>
                <c:pt idx="423">
                  <c:v>53.901546000000003</c:v>
                </c:pt>
                <c:pt idx="424">
                  <c:v>53.859313999999998</c:v>
                </c:pt>
                <c:pt idx="425">
                  <c:v>53.757987999999997</c:v>
                </c:pt>
                <c:pt idx="426">
                  <c:v>53.859313999999998</c:v>
                </c:pt>
                <c:pt idx="427">
                  <c:v>54.754440000000002</c:v>
                </c:pt>
                <c:pt idx="428">
                  <c:v>54.273102000000002</c:v>
                </c:pt>
                <c:pt idx="429">
                  <c:v>54.872672999999999</c:v>
                </c:pt>
                <c:pt idx="430">
                  <c:v>55.624245000000002</c:v>
                </c:pt>
                <c:pt idx="431">
                  <c:v>55.463799000000002</c:v>
                </c:pt>
                <c:pt idx="432">
                  <c:v>56.038024999999998</c:v>
                </c:pt>
                <c:pt idx="433">
                  <c:v>56.477127000000003</c:v>
                </c:pt>
                <c:pt idx="434">
                  <c:v>56.316692000000003</c:v>
                </c:pt>
                <c:pt idx="435">
                  <c:v>56.519359999999999</c:v>
                </c:pt>
                <c:pt idx="436">
                  <c:v>56.350464000000002</c:v>
                </c:pt>
                <c:pt idx="437">
                  <c:v>50.692611999999997</c:v>
                </c:pt>
                <c:pt idx="438">
                  <c:v>50.101512999999997</c:v>
                </c:pt>
                <c:pt idx="439">
                  <c:v>49.729945999999998</c:v>
                </c:pt>
                <c:pt idx="440">
                  <c:v>49.696151999999998</c:v>
                </c:pt>
                <c:pt idx="441">
                  <c:v>49.611728999999997</c:v>
                </c:pt>
                <c:pt idx="442">
                  <c:v>49.518833000000001</c:v>
                </c:pt>
                <c:pt idx="443">
                  <c:v>49.738388</c:v>
                </c:pt>
                <c:pt idx="444">
                  <c:v>49.231712000000002</c:v>
                </c:pt>
                <c:pt idx="445">
                  <c:v>48.995258</c:v>
                </c:pt>
                <c:pt idx="446">
                  <c:v>48.539261000000003</c:v>
                </c:pt>
                <c:pt idx="447">
                  <c:v>48.674370000000003</c:v>
                </c:pt>
                <c:pt idx="448">
                  <c:v>48.944606999999998</c:v>
                </c:pt>
                <c:pt idx="449">
                  <c:v>48.336593999999998</c:v>
                </c:pt>
                <c:pt idx="450">
                  <c:v>48.649048000000001</c:v>
                </c:pt>
                <c:pt idx="451">
                  <c:v>49.071266000000001</c:v>
                </c:pt>
                <c:pt idx="452">
                  <c:v>49.290821000000001</c:v>
                </c:pt>
                <c:pt idx="453">
                  <c:v>49.493499999999997</c:v>
                </c:pt>
                <c:pt idx="454">
                  <c:v>49.637058000000003</c:v>
                </c:pt>
                <c:pt idx="455">
                  <c:v>49.392166000000003</c:v>
                </c:pt>
                <c:pt idx="456">
                  <c:v>49.552607999999999</c:v>
                </c:pt>
                <c:pt idx="457">
                  <c:v>48.623702999999999</c:v>
                </c:pt>
                <c:pt idx="458">
                  <c:v>48.091698000000001</c:v>
                </c:pt>
                <c:pt idx="459">
                  <c:v>47.644150000000003</c:v>
                </c:pt>
                <c:pt idx="460">
                  <c:v>48.868599000000003</c:v>
                </c:pt>
                <c:pt idx="461">
                  <c:v>50.599735000000003</c:v>
                </c:pt>
                <c:pt idx="462">
                  <c:v>51.452643999999999</c:v>
                </c:pt>
                <c:pt idx="463">
                  <c:v>51.258408000000003</c:v>
                </c:pt>
                <c:pt idx="464">
                  <c:v>50.726410000000001</c:v>
                </c:pt>
                <c:pt idx="465">
                  <c:v>50.886848000000001</c:v>
                </c:pt>
                <c:pt idx="466">
                  <c:v>50.599735000000003</c:v>
                </c:pt>
                <c:pt idx="467">
                  <c:v>50.869961000000004</c:v>
                </c:pt>
                <c:pt idx="468">
                  <c:v>50.574398000000002</c:v>
                </c:pt>
                <c:pt idx="469">
                  <c:v>49.687714</c:v>
                </c:pt>
                <c:pt idx="470">
                  <c:v>49.814391999999998</c:v>
                </c:pt>
                <c:pt idx="471">
                  <c:v>49.686656999999997</c:v>
                </c:pt>
                <c:pt idx="472">
                  <c:v>50.274203999999997</c:v>
                </c:pt>
                <c:pt idx="473">
                  <c:v>50.802157999999999</c:v>
                </c:pt>
                <c:pt idx="474">
                  <c:v>51.517440999999998</c:v>
                </c:pt>
                <c:pt idx="475">
                  <c:v>50.759582999999999</c:v>
                </c:pt>
                <c:pt idx="476">
                  <c:v>50.350848999999997</c:v>
                </c:pt>
                <c:pt idx="477">
                  <c:v>50.717007000000002</c:v>
                </c:pt>
                <c:pt idx="478">
                  <c:v>50.546700000000001</c:v>
                </c:pt>
                <c:pt idx="479">
                  <c:v>51.423779000000003</c:v>
                </c:pt>
                <c:pt idx="480">
                  <c:v>50.785133000000002</c:v>
                </c:pt>
                <c:pt idx="481">
                  <c:v>51.347141000000001</c:v>
                </c:pt>
                <c:pt idx="482">
                  <c:v>50.223114000000002</c:v>
                </c:pt>
                <c:pt idx="483">
                  <c:v>50.112411000000002</c:v>
                </c:pt>
                <c:pt idx="484">
                  <c:v>50.708492</c:v>
                </c:pt>
                <c:pt idx="485">
                  <c:v>51.551501999999999</c:v>
                </c:pt>
                <c:pt idx="486">
                  <c:v>52.019855</c:v>
                </c:pt>
                <c:pt idx="487">
                  <c:v>51.798447000000003</c:v>
                </c:pt>
                <c:pt idx="488">
                  <c:v>51.730342999999998</c:v>
                </c:pt>
                <c:pt idx="489">
                  <c:v>52.462639000000003</c:v>
                </c:pt>
                <c:pt idx="490">
                  <c:v>52.522250999999997</c:v>
                </c:pt>
                <c:pt idx="491">
                  <c:v>52.198677000000004</c:v>
                </c:pt>
                <c:pt idx="492">
                  <c:v>52.334923000000003</c:v>
                </c:pt>
                <c:pt idx="493">
                  <c:v>53.578158999999999</c:v>
                </c:pt>
                <c:pt idx="494">
                  <c:v>54.114612999999999</c:v>
                </c:pt>
                <c:pt idx="495">
                  <c:v>55.374870000000001</c:v>
                </c:pt>
                <c:pt idx="496">
                  <c:v>54.106093999999999</c:v>
                </c:pt>
                <c:pt idx="497">
                  <c:v>54.685127000000001</c:v>
                </c:pt>
                <c:pt idx="498">
                  <c:v>54.174210000000002</c:v>
                </c:pt>
                <c:pt idx="499">
                  <c:v>52.726612000000003</c:v>
                </c:pt>
                <c:pt idx="500">
                  <c:v>53.697361000000001</c:v>
                </c:pt>
                <c:pt idx="501">
                  <c:v>52.735129999999998</c:v>
                </c:pt>
                <c:pt idx="502">
                  <c:v>53.271594999999998</c:v>
                </c:pt>
                <c:pt idx="503">
                  <c:v>51.806946000000003</c:v>
                </c:pt>
                <c:pt idx="504">
                  <c:v>52.692562000000002</c:v>
                </c:pt>
                <c:pt idx="505">
                  <c:v>53.382286000000001</c:v>
                </c:pt>
                <c:pt idx="506">
                  <c:v>54.029465000000002</c:v>
                </c:pt>
                <c:pt idx="507">
                  <c:v>54.497784000000003</c:v>
                </c:pt>
                <c:pt idx="508">
                  <c:v>54.455207999999999</c:v>
                </c:pt>
                <c:pt idx="509">
                  <c:v>54.685127000000001</c:v>
                </c:pt>
                <c:pt idx="510">
                  <c:v>56.507404000000001</c:v>
                </c:pt>
                <c:pt idx="511">
                  <c:v>57.478133999999997</c:v>
                </c:pt>
                <c:pt idx="512">
                  <c:v>56.933169999999997</c:v>
                </c:pt>
                <c:pt idx="513">
                  <c:v>56.430748000000001</c:v>
                </c:pt>
                <c:pt idx="514">
                  <c:v>56.558483000000003</c:v>
                </c:pt>
                <c:pt idx="515">
                  <c:v>57.052371999999998</c:v>
                </c:pt>
                <c:pt idx="516">
                  <c:v>56.967216000000001</c:v>
                </c:pt>
                <c:pt idx="517">
                  <c:v>56.039059000000002</c:v>
                </c:pt>
                <c:pt idx="518">
                  <c:v>56.022033999999998</c:v>
                </c:pt>
                <c:pt idx="519">
                  <c:v>55.621799000000003</c:v>
                </c:pt>
                <c:pt idx="520">
                  <c:v>56.354134000000002</c:v>
                </c:pt>
                <c:pt idx="521">
                  <c:v>56.115696</c:v>
                </c:pt>
                <c:pt idx="522">
                  <c:v>56.294521000000003</c:v>
                </c:pt>
                <c:pt idx="523">
                  <c:v>54.599983000000002</c:v>
                </c:pt>
                <c:pt idx="524">
                  <c:v>55.059803000000002</c:v>
                </c:pt>
                <c:pt idx="525">
                  <c:v>55.885792000000002</c:v>
                </c:pt>
                <c:pt idx="526">
                  <c:v>56.609580999999999</c:v>
                </c:pt>
                <c:pt idx="527">
                  <c:v>57.154567999999998</c:v>
                </c:pt>
                <c:pt idx="528">
                  <c:v>57.937969000000002</c:v>
                </c:pt>
                <c:pt idx="529">
                  <c:v>56.635131999999999</c:v>
                </c:pt>
                <c:pt idx="530">
                  <c:v>56.490367999999997</c:v>
                </c:pt>
                <c:pt idx="531">
                  <c:v>56.592540999999997</c:v>
                </c:pt>
                <c:pt idx="532">
                  <c:v>56.379665000000003</c:v>
                </c:pt>
                <c:pt idx="533">
                  <c:v>56.320056999999998</c:v>
                </c:pt>
                <c:pt idx="534">
                  <c:v>56.865054999999998</c:v>
                </c:pt>
                <c:pt idx="535">
                  <c:v>57.810223000000001</c:v>
                </c:pt>
                <c:pt idx="536">
                  <c:v>57.937969000000002</c:v>
                </c:pt>
                <c:pt idx="537">
                  <c:v>57.929397999999999</c:v>
                </c:pt>
                <c:pt idx="538">
                  <c:v>57.826447000000002</c:v>
                </c:pt>
                <c:pt idx="539">
                  <c:v>57.620570999999998</c:v>
                </c:pt>
                <c:pt idx="540">
                  <c:v>57.783569</c:v>
                </c:pt>
                <c:pt idx="541">
                  <c:v>58.409767000000002</c:v>
                </c:pt>
                <c:pt idx="542">
                  <c:v>58.323974999999997</c:v>
                </c:pt>
                <c:pt idx="543">
                  <c:v>57.860759999999999</c:v>
                </c:pt>
                <c:pt idx="544">
                  <c:v>57.431846999999998</c:v>
                </c:pt>
                <c:pt idx="545">
                  <c:v>58.306831000000003</c:v>
                </c:pt>
                <c:pt idx="546">
                  <c:v>58.221054000000002</c:v>
                </c:pt>
                <c:pt idx="547">
                  <c:v>57.869338999999997</c:v>
                </c:pt>
                <c:pt idx="548">
                  <c:v>58.332557999999999</c:v>
                </c:pt>
                <c:pt idx="549">
                  <c:v>58.435504999999999</c:v>
                </c:pt>
                <c:pt idx="550">
                  <c:v>58.358288000000002</c:v>
                </c:pt>
                <c:pt idx="551">
                  <c:v>59.018841000000002</c:v>
                </c:pt>
                <c:pt idx="552">
                  <c:v>58.752910999999997</c:v>
                </c:pt>
                <c:pt idx="553">
                  <c:v>59.241871000000003</c:v>
                </c:pt>
                <c:pt idx="554">
                  <c:v>59.276176</c:v>
                </c:pt>
                <c:pt idx="555">
                  <c:v>58.881577</c:v>
                </c:pt>
                <c:pt idx="556">
                  <c:v>59.224724000000002</c:v>
                </c:pt>
                <c:pt idx="557">
                  <c:v>58.521296999999997</c:v>
                </c:pt>
                <c:pt idx="558">
                  <c:v>58.384036999999999</c:v>
                </c:pt>
                <c:pt idx="559">
                  <c:v>57.817875000000001</c:v>
                </c:pt>
                <c:pt idx="560">
                  <c:v>59.018841000000002</c:v>
                </c:pt>
                <c:pt idx="561">
                  <c:v>59.319077</c:v>
                </c:pt>
                <c:pt idx="562">
                  <c:v>59.018841000000002</c:v>
                </c:pt>
                <c:pt idx="563">
                  <c:v>59.241871000000003</c:v>
                </c:pt>
                <c:pt idx="564">
                  <c:v>59.928153999999999</c:v>
                </c:pt>
                <c:pt idx="565">
                  <c:v>59.850918</c:v>
                </c:pt>
                <c:pt idx="566">
                  <c:v>59.370533000000002</c:v>
                </c:pt>
                <c:pt idx="567">
                  <c:v>58.735756000000002</c:v>
                </c:pt>
                <c:pt idx="568">
                  <c:v>58.950226000000001</c:v>
                </c:pt>
                <c:pt idx="569">
                  <c:v>59.593570999999997</c:v>
                </c:pt>
                <c:pt idx="570">
                  <c:v>59.447761999999997</c:v>
                </c:pt>
                <c:pt idx="571">
                  <c:v>59.550685999999999</c:v>
                </c:pt>
                <c:pt idx="572">
                  <c:v>59.113197</c:v>
                </c:pt>
                <c:pt idx="573">
                  <c:v>57.363216000000001</c:v>
                </c:pt>
                <c:pt idx="574">
                  <c:v>57.980854000000001</c:v>
                </c:pt>
                <c:pt idx="575">
                  <c:v>57.474735000000003</c:v>
                </c:pt>
                <c:pt idx="576">
                  <c:v>57.637732999999997</c:v>
                </c:pt>
                <c:pt idx="577">
                  <c:v>57.654884000000003</c:v>
                </c:pt>
                <c:pt idx="578">
                  <c:v>58.547030999999997</c:v>
                </c:pt>
                <c:pt idx="579">
                  <c:v>59.147511000000002</c:v>
                </c:pt>
                <c:pt idx="580">
                  <c:v>59.010269000000001</c:v>
                </c:pt>
                <c:pt idx="581">
                  <c:v>57.385714999999998</c:v>
                </c:pt>
                <c:pt idx="582">
                  <c:v>57.765926</c:v>
                </c:pt>
                <c:pt idx="583">
                  <c:v>56.115482</c:v>
                </c:pt>
                <c:pt idx="584">
                  <c:v>57.048717000000003</c:v>
                </c:pt>
                <c:pt idx="585">
                  <c:v>56.253734999999999</c:v>
                </c:pt>
                <c:pt idx="586">
                  <c:v>54.568714</c:v>
                </c:pt>
                <c:pt idx="587">
                  <c:v>59.796593000000001</c:v>
                </c:pt>
                <c:pt idx="588">
                  <c:v>60.366905000000003</c:v>
                </c:pt>
                <c:pt idx="589">
                  <c:v>60.055824000000001</c:v>
                </c:pt>
                <c:pt idx="590">
                  <c:v>60.695286000000003</c:v>
                </c:pt>
                <c:pt idx="591">
                  <c:v>60.902633999999999</c:v>
                </c:pt>
                <c:pt idx="592">
                  <c:v>61.222392999999997</c:v>
                </c:pt>
                <c:pt idx="593">
                  <c:v>61.135967000000001</c:v>
                </c:pt>
                <c:pt idx="594">
                  <c:v>61.161903000000002</c:v>
                </c:pt>
                <c:pt idx="595">
                  <c:v>60.919941000000001</c:v>
                </c:pt>
                <c:pt idx="596">
                  <c:v>61.308796000000001</c:v>
                </c:pt>
                <c:pt idx="597">
                  <c:v>61.239669999999997</c:v>
                </c:pt>
                <c:pt idx="598">
                  <c:v>61.395206000000002</c:v>
                </c:pt>
                <c:pt idx="599">
                  <c:v>61.377926000000002</c:v>
                </c:pt>
                <c:pt idx="600">
                  <c:v>61.593941000000001</c:v>
                </c:pt>
                <c:pt idx="601">
                  <c:v>61.429760000000002</c:v>
                </c:pt>
                <c:pt idx="602">
                  <c:v>61.472968999999999</c:v>
                </c:pt>
                <c:pt idx="603">
                  <c:v>60.945853999999997</c:v>
                </c:pt>
                <c:pt idx="604">
                  <c:v>61.308796000000001</c:v>
                </c:pt>
                <c:pt idx="605">
                  <c:v>61.455708000000001</c:v>
                </c:pt>
                <c:pt idx="606">
                  <c:v>61.611240000000002</c:v>
                </c:pt>
                <c:pt idx="607">
                  <c:v>61.308796000000001</c:v>
                </c:pt>
                <c:pt idx="608">
                  <c:v>61.438412</c:v>
                </c:pt>
                <c:pt idx="609">
                  <c:v>61.749499999999998</c:v>
                </c:pt>
                <c:pt idx="610">
                  <c:v>62.000084000000001</c:v>
                </c:pt>
                <c:pt idx="611">
                  <c:v>62.302525000000003</c:v>
                </c:pt>
                <c:pt idx="612">
                  <c:v>62.181541000000003</c:v>
                </c:pt>
                <c:pt idx="613">
                  <c:v>61.784050000000001</c:v>
                </c:pt>
                <c:pt idx="614">
                  <c:v>61.792701999999998</c:v>
                </c:pt>
                <c:pt idx="615">
                  <c:v>62.613602</c:v>
                </c:pt>
                <c:pt idx="616">
                  <c:v>63.097504000000001</c:v>
                </c:pt>
                <c:pt idx="617">
                  <c:v>62.916041999999997</c:v>
                </c:pt>
                <c:pt idx="618">
                  <c:v>63.201191000000001</c:v>
                </c:pt>
                <c:pt idx="619">
                  <c:v>63.788806999999998</c:v>
                </c:pt>
                <c:pt idx="620">
                  <c:v>63.538215999999998</c:v>
                </c:pt>
                <c:pt idx="621">
                  <c:v>63.806083999999998</c:v>
                </c:pt>
                <c:pt idx="622">
                  <c:v>63.996189000000001</c:v>
                </c:pt>
                <c:pt idx="623">
                  <c:v>63.313518999999999</c:v>
                </c:pt>
                <c:pt idx="624">
                  <c:v>63.615993000000003</c:v>
                </c:pt>
                <c:pt idx="625">
                  <c:v>63.685080999999997</c:v>
                </c:pt>
                <c:pt idx="626">
                  <c:v>63.659184000000003</c:v>
                </c:pt>
                <c:pt idx="627">
                  <c:v>63.806083999999998</c:v>
                </c:pt>
                <c:pt idx="628">
                  <c:v>63.650539000000002</c:v>
                </c:pt>
                <c:pt idx="629">
                  <c:v>63.762881999999998</c:v>
                </c:pt>
                <c:pt idx="630">
                  <c:v>63.529575000000001</c:v>
                </c:pt>
                <c:pt idx="631">
                  <c:v>63.555484999999997</c:v>
                </c:pt>
                <c:pt idx="632">
                  <c:v>63.728298000000002</c:v>
                </c:pt>
                <c:pt idx="633">
                  <c:v>63.711010000000002</c:v>
                </c:pt>
                <c:pt idx="634">
                  <c:v>63.356735</c:v>
                </c:pt>
                <c:pt idx="635">
                  <c:v>63.287593999999999</c:v>
                </c:pt>
                <c:pt idx="636">
                  <c:v>63.054310000000001</c:v>
                </c:pt>
                <c:pt idx="637">
                  <c:v>63.754210999999998</c:v>
                </c:pt>
                <c:pt idx="638">
                  <c:v>63.192565999999999</c:v>
                </c:pt>
                <c:pt idx="639">
                  <c:v>63.028381000000003</c:v>
                </c:pt>
                <c:pt idx="640">
                  <c:v>63.339447</c:v>
                </c:pt>
                <c:pt idx="641">
                  <c:v>63.736961000000001</c:v>
                </c:pt>
                <c:pt idx="642">
                  <c:v>63.374026999999998</c:v>
                </c:pt>
                <c:pt idx="643">
                  <c:v>63.546855999999998</c:v>
                </c:pt>
                <c:pt idx="644">
                  <c:v>64.338584999999995</c:v>
                </c:pt>
                <c:pt idx="645">
                  <c:v>64.208061000000001</c:v>
                </c:pt>
                <c:pt idx="646">
                  <c:v>64.286377000000002</c:v>
                </c:pt>
                <c:pt idx="647">
                  <c:v>63.790455000000001</c:v>
                </c:pt>
                <c:pt idx="648">
                  <c:v>63.416344000000002</c:v>
                </c:pt>
                <c:pt idx="649">
                  <c:v>63.451152999999998</c:v>
                </c:pt>
                <c:pt idx="650">
                  <c:v>64.643066000000005</c:v>
                </c:pt>
                <c:pt idx="651">
                  <c:v>63.346741000000002</c:v>
                </c:pt>
                <c:pt idx="652">
                  <c:v>63.251026000000003</c:v>
                </c:pt>
                <c:pt idx="653">
                  <c:v>62.615921</c:v>
                </c:pt>
                <c:pt idx="654">
                  <c:v>62.842136000000004</c:v>
                </c:pt>
                <c:pt idx="655">
                  <c:v>61.963405999999999</c:v>
                </c:pt>
                <c:pt idx="656">
                  <c:v>61.89378</c:v>
                </c:pt>
                <c:pt idx="657">
                  <c:v>62.119995000000003</c:v>
                </c:pt>
                <c:pt idx="658">
                  <c:v>62.041691</c:v>
                </c:pt>
                <c:pt idx="659">
                  <c:v>62.154797000000002</c:v>
                </c:pt>
                <c:pt idx="660">
                  <c:v>63.372841000000001</c:v>
                </c:pt>
                <c:pt idx="661">
                  <c:v>63.077025999999996</c:v>
                </c:pt>
                <c:pt idx="662">
                  <c:v>63.512053999999999</c:v>
                </c:pt>
                <c:pt idx="663">
                  <c:v>62.694225000000003</c:v>
                </c:pt>
                <c:pt idx="664">
                  <c:v>62.494124999999997</c:v>
                </c:pt>
                <c:pt idx="665">
                  <c:v>61.162975000000003</c:v>
                </c:pt>
                <c:pt idx="666">
                  <c:v>62.589824999999998</c:v>
                </c:pt>
                <c:pt idx="667">
                  <c:v>62.172207</c:v>
                </c:pt>
                <c:pt idx="668">
                  <c:v>62.224400000000003</c:v>
                </c:pt>
                <c:pt idx="669">
                  <c:v>62.990036000000003</c:v>
                </c:pt>
                <c:pt idx="670">
                  <c:v>63.398944999999998</c:v>
                </c:pt>
                <c:pt idx="671">
                  <c:v>62.720309999999998</c:v>
                </c:pt>
                <c:pt idx="672">
                  <c:v>62.615921</c:v>
                </c:pt>
                <c:pt idx="673">
                  <c:v>62.807335000000002</c:v>
                </c:pt>
                <c:pt idx="674">
                  <c:v>62.876922999999998</c:v>
                </c:pt>
                <c:pt idx="675">
                  <c:v>62.946510000000004</c:v>
                </c:pt>
                <c:pt idx="676">
                  <c:v>62.311416999999999</c:v>
                </c:pt>
                <c:pt idx="677">
                  <c:v>62.929130999999998</c:v>
                </c:pt>
                <c:pt idx="678">
                  <c:v>62.459324000000002</c:v>
                </c:pt>
                <c:pt idx="679">
                  <c:v>61.537078999999999</c:v>
                </c:pt>
                <c:pt idx="680">
                  <c:v>62.746426</c:v>
                </c:pt>
                <c:pt idx="681">
                  <c:v>62.650719000000002</c:v>
                </c:pt>
                <c:pt idx="682">
                  <c:v>62.424503000000001</c:v>
                </c:pt>
                <c:pt idx="683">
                  <c:v>62.354908000000002</c:v>
                </c:pt>
                <c:pt idx="684">
                  <c:v>60.345146</c:v>
                </c:pt>
                <c:pt idx="685">
                  <c:v>59.770919999999997</c:v>
                </c:pt>
                <c:pt idx="686">
                  <c:v>59.144505000000002</c:v>
                </c:pt>
                <c:pt idx="687">
                  <c:v>58.631176000000004</c:v>
                </c:pt>
                <c:pt idx="688">
                  <c:v>58.692096999999997</c:v>
                </c:pt>
                <c:pt idx="689">
                  <c:v>59.361995999999998</c:v>
                </c:pt>
                <c:pt idx="690">
                  <c:v>59.553417000000003</c:v>
                </c:pt>
                <c:pt idx="691">
                  <c:v>59.353298000000002</c:v>
                </c:pt>
                <c:pt idx="692">
                  <c:v>59.918823000000003</c:v>
                </c:pt>
                <c:pt idx="693">
                  <c:v>59.936233999999999</c:v>
                </c:pt>
                <c:pt idx="694">
                  <c:v>59.797030999999997</c:v>
                </c:pt>
                <c:pt idx="695">
                  <c:v>59.457709999999999</c:v>
                </c:pt>
                <c:pt idx="696">
                  <c:v>60.197239000000003</c:v>
                </c:pt>
                <c:pt idx="697">
                  <c:v>60.345146</c:v>
                </c:pt>
                <c:pt idx="698">
                  <c:v>60.545250000000003</c:v>
                </c:pt>
                <c:pt idx="699">
                  <c:v>60.754050999999997</c:v>
                </c:pt>
                <c:pt idx="700">
                  <c:v>60.893261000000003</c:v>
                </c:pt>
                <c:pt idx="701">
                  <c:v>60.919345999999997</c:v>
                </c:pt>
                <c:pt idx="702">
                  <c:v>60.292949999999998</c:v>
                </c:pt>
                <c:pt idx="703">
                  <c:v>60.423447000000003</c:v>
                </c:pt>
                <c:pt idx="704">
                  <c:v>60.580047999999998</c:v>
                </c:pt>
                <c:pt idx="705">
                  <c:v>60.171131000000003</c:v>
                </c:pt>
                <c:pt idx="706">
                  <c:v>60.710552</c:v>
                </c:pt>
                <c:pt idx="707">
                  <c:v>60.719261000000003</c:v>
                </c:pt>
                <c:pt idx="708">
                  <c:v>61.858994000000003</c:v>
                </c:pt>
                <c:pt idx="709">
                  <c:v>62.111313000000003</c:v>
                </c:pt>
                <c:pt idx="710">
                  <c:v>61.972084000000002</c:v>
                </c:pt>
                <c:pt idx="711">
                  <c:v>61.328280999999997</c:v>
                </c:pt>
                <c:pt idx="712">
                  <c:v>62.137394</c:v>
                </c:pt>
                <c:pt idx="713">
                  <c:v>62.111313000000003</c:v>
                </c:pt>
                <c:pt idx="714">
                  <c:v>60.197239000000003</c:v>
                </c:pt>
                <c:pt idx="715">
                  <c:v>59.631732999999997</c:v>
                </c:pt>
                <c:pt idx="716">
                  <c:v>60.353850999999999</c:v>
                </c:pt>
                <c:pt idx="717">
                  <c:v>61.006366999999997</c:v>
                </c:pt>
                <c:pt idx="718">
                  <c:v>61.624084000000003</c:v>
                </c:pt>
                <c:pt idx="719">
                  <c:v>61.972084000000002</c:v>
                </c:pt>
                <c:pt idx="720">
                  <c:v>61.937302000000003</c:v>
                </c:pt>
                <c:pt idx="721">
                  <c:v>62.093910000000001</c:v>
                </c:pt>
                <c:pt idx="722">
                  <c:v>61.276080999999998</c:v>
                </c:pt>
                <c:pt idx="723">
                  <c:v>61.484875000000002</c:v>
                </c:pt>
                <c:pt idx="724">
                  <c:v>61.667572</c:v>
                </c:pt>
                <c:pt idx="725">
                  <c:v>60.849766000000002</c:v>
                </c:pt>
                <c:pt idx="726">
                  <c:v>61.215183000000003</c:v>
                </c:pt>
                <c:pt idx="727">
                  <c:v>61.863602</c:v>
                </c:pt>
                <c:pt idx="728">
                  <c:v>61.635784000000001</c:v>
                </c:pt>
                <c:pt idx="729">
                  <c:v>61.407955000000001</c:v>
                </c:pt>
                <c:pt idx="730">
                  <c:v>62.801200999999999</c:v>
                </c:pt>
                <c:pt idx="731">
                  <c:v>62.915118999999997</c:v>
                </c:pt>
                <c:pt idx="732">
                  <c:v>62.512008999999999</c:v>
                </c:pt>
                <c:pt idx="733">
                  <c:v>62.284213999999999</c:v>
                </c:pt>
                <c:pt idx="734">
                  <c:v>62.196575000000003</c:v>
                </c:pt>
                <c:pt idx="735">
                  <c:v>62.722335999999999</c:v>
                </c:pt>
                <c:pt idx="736">
                  <c:v>62.932644000000003</c:v>
                </c:pt>
                <c:pt idx="737">
                  <c:v>62.424393000000002</c:v>
                </c:pt>
                <c:pt idx="738">
                  <c:v>60.978588000000002</c:v>
                </c:pt>
                <c:pt idx="739">
                  <c:v>60.934775999999999</c:v>
                </c:pt>
                <c:pt idx="740">
                  <c:v>61.07497</c:v>
                </c:pt>
                <c:pt idx="741">
                  <c:v>60.733238</c:v>
                </c:pt>
                <c:pt idx="742">
                  <c:v>60.689407000000003</c:v>
                </c:pt>
                <c:pt idx="743">
                  <c:v>60.566749999999999</c:v>
                </c:pt>
                <c:pt idx="744">
                  <c:v>60.163680999999997</c:v>
                </c:pt>
                <c:pt idx="745">
                  <c:v>60.514159999999997</c:v>
                </c:pt>
                <c:pt idx="746">
                  <c:v>60.645603000000001</c:v>
                </c:pt>
                <c:pt idx="747">
                  <c:v>59.813175000000001</c:v>
                </c:pt>
                <c:pt idx="748">
                  <c:v>60.207481000000001</c:v>
                </c:pt>
                <c:pt idx="749">
                  <c:v>59.786876999999997</c:v>
                </c:pt>
                <c:pt idx="750">
                  <c:v>60.049751000000001</c:v>
                </c:pt>
                <c:pt idx="751">
                  <c:v>59.559055000000001</c:v>
                </c:pt>
                <c:pt idx="752">
                  <c:v>58.823005999999999</c:v>
                </c:pt>
                <c:pt idx="753">
                  <c:v>59.953358000000001</c:v>
                </c:pt>
                <c:pt idx="754">
                  <c:v>59.681721000000003</c:v>
                </c:pt>
                <c:pt idx="755">
                  <c:v>59.252357000000003</c:v>
                </c:pt>
                <c:pt idx="756">
                  <c:v>58.866810000000001</c:v>
                </c:pt>
                <c:pt idx="757">
                  <c:v>58.402389999999997</c:v>
                </c:pt>
                <c:pt idx="758">
                  <c:v>59.059581999999999</c:v>
                </c:pt>
                <c:pt idx="759">
                  <c:v>58.612690000000001</c:v>
                </c:pt>
                <c:pt idx="760">
                  <c:v>58.472496</c:v>
                </c:pt>
                <c:pt idx="761">
                  <c:v>57.534900999999998</c:v>
                </c:pt>
                <c:pt idx="762">
                  <c:v>58.200854999999997</c:v>
                </c:pt>
                <c:pt idx="763">
                  <c:v>58.481254999999997</c:v>
                </c:pt>
                <c:pt idx="764">
                  <c:v>58.034362999999999</c:v>
                </c:pt>
                <c:pt idx="765">
                  <c:v>58.446201000000002</c:v>
                </c:pt>
                <c:pt idx="766">
                  <c:v>58.270949999999999</c:v>
                </c:pt>
                <c:pt idx="767">
                  <c:v>58.183323000000001</c:v>
                </c:pt>
                <c:pt idx="768">
                  <c:v>58.612690000000001</c:v>
                </c:pt>
                <c:pt idx="769">
                  <c:v>59.418849999999999</c:v>
                </c:pt>
                <c:pt idx="770">
                  <c:v>60.531695999999997</c:v>
                </c:pt>
                <c:pt idx="771">
                  <c:v>59.602851999999999</c:v>
                </c:pt>
                <c:pt idx="772">
                  <c:v>59.383785000000003</c:v>
                </c:pt>
                <c:pt idx="773">
                  <c:v>60.163680999999997</c:v>
                </c:pt>
                <c:pt idx="774">
                  <c:v>60.189953000000003</c:v>
                </c:pt>
                <c:pt idx="775">
                  <c:v>60.347683000000004</c:v>
                </c:pt>
                <c:pt idx="776">
                  <c:v>60.785809</c:v>
                </c:pt>
                <c:pt idx="777">
                  <c:v>62.608409999999999</c:v>
                </c:pt>
                <c:pt idx="778">
                  <c:v>62.836243000000003</c:v>
                </c:pt>
                <c:pt idx="779">
                  <c:v>62.485714000000002</c:v>
                </c:pt>
                <c:pt idx="780">
                  <c:v>63.432105999999997</c:v>
                </c:pt>
                <c:pt idx="781">
                  <c:v>62.862537000000003</c:v>
                </c:pt>
                <c:pt idx="782">
                  <c:v>62.152760000000001</c:v>
                </c:pt>
                <c:pt idx="783">
                  <c:v>61.732170000000004</c:v>
                </c:pt>
                <c:pt idx="784">
                  <c:v>62.003791999999997</c:v>
                </c:pt>
                <c:pt idx="785">
                  <c:v>61.364113000000003</c:v>
                </c:pt>
                <c:pt idx="786">
                  <c:v>61.232692999999998</c:v>
                </c:pt>
                <c:pt idx="787">
                  <c:v>61.223937999999997</c:v>
                </c:pt>
                <c:pt idx="788">
                  <c:v>61.612316</c:v>
                </c:pt>
                <c:pt idx="789">
                  <c:v>61.665272000000002</c:v>
                </c:pt>
                <c:pt idx="790">
                  <c:v>61.877124999999999</c:v>
                </c:pt>
                <c:pt idx="791">
                  <c:v>61.744746999999997</c:v>
                </c:pt>
                <c:pt idx="792">
                  <c:v>62.424380999999997</c:v>
                </c:pt>
                <c:pt idx="793">
                  <c:v>62.300823000000001</c:v>
                </c:pt>
                <c:pt idx="794">
                  <c:v>62.177242</c:v>
                </c:pt>
                <c:pt idx="795">
                  <c:v>61.691761</c:v>
                </c:pt>
                <c:pt idx="796">
                  <c:v>61.771220999999997</c:v>
                </c:pt>
                <c:pt idx="797">
                  <c:v>61.700595999999997</c:v>
                </c:pt>
                <c:pt idx="798">
                  <c:v>62.009524999999996</c:v>
                </c:pt>
                <c:pt idx="799">
                  <c:v>61.665272000000002</c:v>
                </c:pt>
                <c:pt idx="800">
                  <c:v>61.444614000000001</c:v>
                </c:pt>
                <c:pt idx="801">
                  <c:v>61.488742999999999</c:v>
                </c:pt>
                <c:pt idx="802">
                  <c:v>62.071339000000002</c:v>
                </c:pt>
                <c:pt idx="803">
                  <c:v>62.442059</c:v>
                </c:pt>
                <c:pt idx="804">
                  <c:v>63.192345000000003</c:v>
                </c:pt>
                <c:pt idx="805">
                  <c:v>63.624878000000002</c:v>
                </c:pt>
                <c:pt idx="806">
                  <c:v>63.404204999999997</c:v>
                </c:pt>
                <c:pt idx="807">
                  <c:v>63.563094999999997</c:v>
                </c:pt>
                <c:pt idx="808">
                  <c:v>63.245308000000001</c:v>
                </c:pt>
                <c:pt idx="809">
                  <c:v>63.051121000000002</c:v>
                </c:pt>
                <c:pt idx="810">
                  <c:v>64.348701000000005</c:v>
                </c:pt>
                <c:pt idx="811">
                  <c:v>64.489922000000007</c:v>
                </c:pt>
                <c:pt idx="812">
                  <c:v>64.816520999999995</c:v>
                </c:pt>
                <c:pt idx="813">
                  <c:v>64.825348000000005</c:v>
                </c:pt>
                <c:pt idx="814">
                  <c:v>64.569359000000006</c:v>
                </c:pt>
                <c:pt idx="815">
                  <c:v>64.869499000000005</c:v>
                </c:pt>
                <c:pt idx="816">
                  <c:v>65.222549000000001</c:v>
                </c:pt>
                <c:pt idx="817">
                  <c:v>65.381461999999999</c:v>
                </c:pt>
                <c:pt idx="818">
                  <c:v>66.025802999999996</c:v>
                </c:pt>
                <c:pt idx="819">
                  <c:v>66.149390999999994</c:v>
                </c:pt>
                <c:pt idx="820">
                  <c:v>66.008156</c:v>
                </c:pt>
                <c:pt idx="821">
                  <c:v>66.246467999999993</c:v>
                </c:pt>
                <c:pt idx="822">
                  <c:v>66.581901999999999</c:v>
                </c:pt>
                <c:pt idx="823">
                  <c:v>66.590736000000007</c:v>
                </c:pt>
                <c:pt idx="824">
                  <c:v>66.361221</c:v>
                </c:pt>
                <c:pt idx="825">
                  <c:v>66.405365000000003</c:v>
                </c:pt>
                <c:pt idx="826">
                  <c:v>66.661345999999995</c:v>
                </c:pt>
                <c:pt idx="827">
                  <c:v>66.873192000000003</c:v>
                </c:pt>
                <c:pt idx="828">
                  <c:v>67.385154999999997</c:v>
                </c:pt>
                <c:pt idx="829">
                  <c:v>67.526375000000002</c:v>
                </c:pt>
                <c:pt idx="830">
                  <c:v>67.190994000000003</c:v>
                </c:pt>
                <c:pt idx="831">
                  <c:v>67.720573000000002</c:v>
                </c:pt>
                <c:pt idx="832">
                  <c:v>68.155991</c:v>
                </c:pt>
                <c:pt idx="833">
                  <c:v>67.64949</c:v>
                </c:pt>
                <c:pt idx="834">
                  <c:v>67.276283000000006</c:v>
                </c:pt>
                <c:pt idx="835">
                  <c:v>67.791672000000005</c:v>
                </c:pt>
                <c:pt idx="836">
                  <c:v>66.743117999999996</c:v>
                </c:pt>
                <c:pt idx="837">
                  <c:v>66.752021999999997</c:v>
                </c:pt>
                <c:pt idx="838">
                  <c:v>68.902428</c:v>
                </c:pt>
                <c:pt idx="839">
                  <c:v>69.995407</c:v>
                </c:pt>
                <c:pt idx="840">
                  <c:v>69.799926999999997</c:v>
                </c:pt>
                <c:pt idx="841">
                  <c:v>69.746596999999994</c:v>
                </c:pt>
                <c:pt idx="842">
                  <c:v>69.444503999999995</c:v>
                </c:pt>
                <c:pt idx="843">
                  <c:v>69.586639000000005</c:v>
                </c:pt>
                <c:pt idx="844">
                  <c:v>69.426704000000001</c:v>
                </c:pt>
                <c:pt idx="845">
                  <c:v>69.444503999999995</c:v>
                </c:pt>
                <c:pt idx="846">
                  <c:v>69.844359999999995</c:v>
                </c:pt>
                <c:pt idx="847">
                  <c:v>70.919556</c:v>
                </c:pt>
                <c:pt idx="848">
                  <c:v>70.750725000000003</c:v>
                </c:pt>
                <c:pt idx="849">
                  <c:v>71.319434999999999</c:v>
                </c:pt>
                <c:pt idx="850">
                  <c:v>70.137603999999996</c:v>
                </c:pt>
                <c:pt idx="851">
                  <c:v>70.333083999999999</c:v>
                </c:pt>
                <c:pt idx="852">
                  <c:v>70.137603999999996</c:v>
                </c:pt>
                <c:pt idx="853">
                  <c:v>70.573013000000003</c:v>
                </c:pt>
                <c:pt idx="854">
                  <c:v>70.413055</c:v>
                </c:pt>
                <c:pt idx="855">
                  <c:v>70.661857999999995</c:v>
                </c:pt>
                <c:pt idx="856">
                  <c:v>70.999549999999999</c:v>
                </c:pt>
                <c:pt idx="857">
                  <c:v>70.119820000000004</c:v>
                </c:pt>
                <c:pt idx="858">
                  <c:v>66.858635000000007</c:v>
                </c:pt>
                <c:pt idx="859">
                  <c:v>67.089684000000005</c:v>
                </c:pt>
                <c:pt idx="860">
                  <c:v>67.125229000000004</c:v>
                </c:pt>
                <c:pt idx="861">
                  <c:v>67.747230999999999</c:v>
                </c:pt>
                <c:pt idx="862">
                  <c:v>67.107437000000004</c:v>
                </c:pt>
                <c:pt idx="863">
                  <c:v>66.503203999999997</c:v>
                </c:pt>
                <c:pt idx="864">
                  <c:v>67.089684000000005</c:v>
                </c:pt>
                <c:pt idx="865">
                  <c:v>67.542869999999994</c:v>
                </c:pt>
                <c:pt idx="866">
                  <c:v>67.987151999999995</c:v>
                </c:pt>
                <c:pt idx="867">
                  <c:v>67.471778999999998</c:v>
                </c:pt>
                <c:pt idx="868">
                  <c:v>67.249634</c:v>
                </c:pt>
                <c:pt idx="869">
                  <c:v>66.965271000000001</c:v>
                </c:pt>
                <c:pt idx="870">
                  <c:v>66.929732999999999</c:v>
                </c:pt>
                <c:pt idx="871">
                  <c:v>67.063025999999994</c:v>
                </c:pt>
                <c:pt idx="872">
                  <c:v>66.938629000000006</c:v>
                </c:pt>
                <c:pt idx="873">
                  <c:v>65.072547999999998</c:v>
                </c:pt>
                <c:pt idx="874">
                  <c:v>65.285812000000007</c:v>
                </c:pt>
                <c:pt idx="875">
                  <c:v>65.703461000000004</c:v>
                </c:pt>
                <c:pt idx="876">
                  <c:v>66.689812000000003</c:v>
                </c:pt>
                <c:pt idx="877">
                  <c:v>67.836112999999997</c:v>
                </c:pt>
                <c:pt idx="878">
                  <c:v>67.862762000000004</c:v>
                </c:pt>
                <c:pt idx="879">
                  <c:v>67.711708000000002</c:v>
                </c:pt>
                <c:pt idx="880">
                  <c:v>67.418471999999994</c:v>
                </c:pt>
                <c:pt idx="881">
                  <c:v>67.551758000000007</c:v>
                </c:pt>
                <c:pt idx="882">
                  <c:v>67.667266999999995</c:v>
                </c:pt>
                <c:pt idx="883">
                  <c:v>68.324843999999999</c:v>
                </c:pt>
                <c:pt idx="884">
                  <c:v>69.773253999999994</c:v>
                </c:pt>
                <c:pt idx="885">
                  <c:v>70.110939000000002</c:v>
                </c:pt>
                <c:pt idx="886">
                  <c:v>70.892905999999996</c:v>
                </c:pt>
                <c:pt idx="887">
                  <c:v>70.919556</c:v>
                </c:pt>
                <c:pt idx="888">
                  <c:v>71.079521</c:v>
                </c:pt>
                <c:pt idx="889">
                  <c:v>71.532700000000006</c:v>
                </c:pt>
                <c:pt idx="890">
                  <c:v>71.559364000000002</c:v>
                </c:pt>
                <c:pt idx="891">
                  <c:v>71.861496000000002</c:v>
                </c:pt>
                <c:pt idx="892">
                  <c:v>71.514954000000003</c:v>
                </c:pt>
                <c:pt idx="893">
                  <c:v>72.225807000000003</c:v>
                </c:pt>
                <c:pt idx="894">
                  <c:v>72.501273999999995</c:v>
                </c:pt>
                <c:pt idx="895">
                  <c:v>72.975211999999999</c:v>
                </c:pt>
                <c:pt idx="896">
                  <c:v>72.125702000000004</c:v>
                </c:pt>
                <c:pt idx="897">
                  <c:v>71.893234000000007</c:v>
                </c:pt>
                <c:pt idx="898">
                  <c:v>72.161484000000002</c:v>
                </c:pt>
                <c:pt idx="899">
                  <c:v>72.224068000000003</c:v>
                </c:pt>
                <c:pt idx="900">
                  <c:v>72.411873</c:v>
                </c:pt>
                <c:pt idx="901">
                  <c:v>71.267287999999994</c:v>
                </c:pt>
                <c:pt idx="902">
                  <c:v>70.918541000000005</c:v>
                </c:pt>
                <c:pt idx="903">
                  <c:v>71.276222000000004</c:v>
                </c:pt>
                <c:pt idx="904">
                  <c:v>71.553428999999994</c:v>
                </c:pt>
                <c:pt idx="905">
                  <c:v>71.499793999999994</c:v>
                </c:pt>
                <c:pt idx="906">
                  <c:v>70.051192999999998</c:v>
                </c:pt>
                <c:pt idx="907">
                  <c:v>70.310501000000002</c:v>
                </c:pt>
                <c:pt idx="908">
                  <c:v>69.773994000000002</c:v>
                </c:pt>
                <c:pt idx="909">
                  <c:v>70.435676999999998</c:v>
                </c:pt>
                <c:pt idx="910">
                  <c:v>70.230018999999999</c:v>
                </c:pt>
                <c:pt idx="911">
                  <c:v>69.809753000000001</c:v>
                </c:pt>
                <c:pt idx="912">
                  <c:v>70.078002999999995</c:v>
                </c:pt>
                <c:pt idx="913">
                  <c:v>71.356682000000006</c:v>
                </c:pt>
                <c:pt idx="914">
                  <c:v>71.607085999999995</c:v>
                </c:pt>
                <c:pt idx="915">
                  <c:v>71.642853000000002</c:v>
                </c:pt>
                <c:pt idx="916">
                  <c:v>70.534049999999993</c:v>
                </c:pt>
                <c:pt idx="917">
                  <c:v>70.712897999999996</c:v>
                </c:pt>
                <c:pt idx="918">
                  <c:v>71.186813000000001</c:v>
                </c:pt>
                <c:pt idx="919">
                  <c:v>71.41037</c:v>
                </c:pt>
                <c:pt idx="920">
                  <c:v>71.249413000000004</c:v>
                </c:pt>
                <c:pt idx="921">
                  <c:v>71.875336000000004</c:v>
                </c:pt>
                <c:pt idx="922">
                  <c:v>71.535552999999993</c:v>
                </c:pt>
                <c:pt idx="923">
                  <c:v>71.580253999999996</c:v>
                </c:pt>
                <c:pt idx="924">
                  <c:v>71.982651000000004</c:v>
                </c:pt>
                <c:pt idx="925">
                  <c:v>71.544501999999994</c:v>
                </c:pt>
                <c:pt idx="926">
                  <c:v>71.115273000000002</c:v>
                </c:pt>
                <c:pt idx="927">
                  <c:v>70.775490000000005</c:v>
                </c:pt>
                <c:pt idx="928">
                  <c:v>70.990088999999998</c:v>
                </c:pt>
                <c:pt idx="929">
                  <c:v>70.900672999999998</c:v>
                </c:pt>
                <c:pt idx="930">
                  <c:v>70.596656999999993</c:v>
                </c:pt>
                <c:pt idx="931">
                  <c:v>69.87236</c:v>
                </c:pt>
                <c:pt idx="932">
                  <c:v>70.149551000000002</c:v>
                </c:pt>
                <c:pt idx="933">
                  <c:v>70.838074000000006</c:v>
                </c:pt>
                <c:pt idx="934">
                  <c:v>70.721832000000006</c:v>
                </c:pt>
                <c:pt idx="935">
                  <c:v>71.007987999999997</c:v>
                </c:pt>
                <c:pt idx="936">
                  <c:v>70.641356999999999</c:v>
                </c:pt>
                <c:pt idx="937">
                  <c:v>72.009467999999998</c:v>
                </c:pt>
                <c:pt idx="938">
                  <c:v>75.228577000000001</c:v>
                </c:pt>
                <c:pt idx="939">
                  <c:v>76.659294000000003</c:v>
                </c:pt>
                <c:pt idx="940">
                  <c:v>76.990120000000005</c:v>
                </c:pt>
                <c:pt idx="941">
                  <c:v>77.455123999999998</c:v>
                </c:pt>
                <c:pt idx="942">
                  <c:v>76.668221000000003</c:v>
                </c:pt>
                <c:pt idx="943">
                  <c:v>76.882857999999999</c:v>
                </c:pt>
                <c:pt idx="944">
                  <c:v>77.097442999999998</c:v>
                </c:pt>
                <c:pt idx="945">
                  <c:v>77.258408000000003</c:v>
                </c:pt>
                <c:pt idx="946">
                  <c:v>78.188354000000004</c:v>
                </c:pt>
                <c:pt idx="947">
                  <c:v>79.270331999999996</c:v>
                </c:pt>
                <c:pt idx="948">
                  <c:v>78.671227000000002</c:v>
                </c:pt>
                <c:pt idx="949">
                  <c:v>79.118331999999995</c:v>
                </c:pt>
                <c:pt idx="950">
                  <c:v>79.243492000000003</c:v>
                </c:pt>
                <c:pt idx="951">
                  <c:v>78.841117999999994</c:v>
                </c:pt>
                <c:pt idx="952">
                  <c:v>77.750197999999997</c:v>
                </c:pt>
                <c:pt idx="953">
                  <c:v>78.072113000000002</c:v>
                </c:pt>
                <c:pt idx="954">
                  <c:v>78.635445000000004</c:v>
                </c:pt>
                <c:pt idx="955">
                  <c:v>79.404456999999994</c:v>
                </c:pt>
                <c:pt idx="956">
                  <c:v>80.191360000000003</c:v>
                </c:pt>
                <c:pt idx="957">
                  <c:v>79.315033</c:v>
                </c:pt>
                <c:pt idx="958">
                  <c:v>79.538582000000005</c:v>
                </c:pt>
                <c:pt idx="959">
                  <c:v>80.709991000000002</c:v>
                </c:pt>
                <c:pt idx="960">
                  <c:v>80.745750000000001</c:v>
                </c:pt>
                <c:pt idx="961">
                  <c:v>81.300147999999993</c:v>
                </c:pt>
                <c:pt idx="962">
                  <c:v>81.362740000000002</c:v>
                </c:pt>
                <c:pt idx="963">
                  <c:v>81.452140999999997</c:v>
                </c:pt>
                <c:pt idx="964">
                  <c:v>80.325485</c:v>
                </c:pt>
                <c:pt idx="965">
                  <c:v>89.079635999999994</c:v>
                </c:pt>
                <c:pt idx="966">
                  <c:v>87.157127000000003</c:v>
                </c:pt>
                <c:pt idx="967">
                  <c:v>87.1661</c:v>
                </c:pt>
                <c:pt idx="968">
                  <c:v>86.307648</c:v>
                </c:pt>
                <c:pt idx="969">
                  <c:v>86.209282000000002</c:v>
                </c:pt>
                <c:pt idx="970">
                  <c:v>86.397048999999996</c:v>
                </c:pt>
                <c:pt idx="971">
                  <c:v>86.397048999999996</c:v>
                </c:pt>
                <c:pt idx="972">
                  <c:v>86.531188999999998</c:v>
                </c:pt>
                <c:pt idx="973">
                  <c:v>87.237601999999995</c:v>
                </c:pt>
                <c:pt idx="974">
                  <c:v>86.942550999999995</c:v>
                </c:pt>
                <c:pt idx="975">
                  <c:v>87.049819999999997</c:v>
                </c:pt>
                <c:pt idx="976">
                  <c:v>86.745811000000003</c:v>
                </c:pt>
                <c:pt idx="977">
                  <c:v>87.479050000000001</c:v>
                </c:pt>
                <c:pt idx="978">
                  <c:v>86.987228000000002</c:v>
                </c:pt>
                <c:pt idx="979">
                  <c:v>86.996223000000001</c:v>
                </c:pt>
                <c:pt idx="980">
                  <c:v>86.789496999999997</c:v>
                </c:pt>
                <c:pt idx="981">
                  <c:v>87.131057999999996</c:v>
                </c:pt>
                <c:pt idx="982">
                  <c:v>86.924301</c:v>
                </c:pt>
                <c:pt idx="983">
                  <c:v>87.877159000000006</c:v>
                </c:pt>
                <c:pt idx="984">
                  <c:v>87.310828999999998</c:v>
                </c:pt>
                <c:pt idx="985">
                  <c:v>87.292854000000005</c:v>
                </c:pt>
                <c:pt idx="986">
                  <c:v>88.002998000000005</c:v>
                </c:pt>
                <c:pt idx="987">
                  <c:v>88.811988999999997</c:v>
                </c:pt>
                <c:pt idx="988">
                  <c:v>88.767066999999997</c:v>
                </c:pt>
                <c:pt idx="989">
                  <c:v>88.146820000000005</c:v>
                </c:pt>
                <c:pt idx="990">
                  <c:v>88.281677000000002</c:v>
                </c:pt>
                <c:pt idx="991">
                  <c:v>89.135620000000003</c:v>
                </c:pt>
                <c:pt idx="992">
                  <c:v>89.22551</c:v>
                </c:pt>
                <c:pt idx="993">
                  <c:v>89.351356999999993</c:v>
                </c:pt>
                <c:pt idx="994">
                  <c:v>88.767066999999997</c:v>
                </c:pt>
                <c:pt idx="995">
                  <c:v>88.623238000000001</c:v>
                </c:pt>
                <c:pt idx="996">
                  <c:v>89.396286000000003</c:v>
                </c:pt>
                <c:pt idx="997">
                  <c:v>89.477196000000006</c:v>
                </c:pt>
                <c:pt idx="998">
                  <c:v>90.007568000000006</c:v>
                </c:pt>
                <c:pt idx="999">
                  <c:v>91.337952000000001</c:v>
                </c:pt>
                <c:pt idx="1000">
                  <c:v>90.241257000000004</c:v>
                </c:pt>
                <c:pt idx="1001">
                  <c:v>89.594063000000006</c:v>
                </c:pt>
                <c:pt idx="1002">
                  <c:v>89.908676</c:v>
                </c:pt>
                <c:pt idx="1003">
                  <c:v>90.672736999999998</c:v>
                </c:pt>
                <c:pt idx="1004">
                  <c:v>90.510941000000003</c:v>
                </c:pt>
                <c:pt idx="1005">
                  <c:v>92.317734000000002</c:v>
                </c:pt>
                <c:pt idx="1006">
                  <c:v>93.755996999999994</c:v>
                </c:pt>
                <c:pt idx="1007">
                  <c:v>94.016677999999999</c:v>
                </c:pt>
                <c:pt idx="1008">
                  <c:v>94.789726000000002</c:v>
                </c:pt>
                <c:pt idx="1009">
                  <c:v>95.194243999999998</c:v>
                </c:pt>
                <c:pt idx="1010">
                  <c:v>95.095389999999995</c:v>
                </c:pt>
                <c:pt idx="1011">
                  <c:v>95.823493999999997</c:v>
                </c:pt>
                <c:pt idx="1012">
                  <c:v>97.432509999999994</c:v>
                </c:pt>
                <c:pt idx="1013">
                  <c:v>98.475280999999995</c:v>
                </c:pt>
                <c:pt idx="1014">
                  <c:v>96.839248999999995</c:v>
                </c:pt>
                <c:pt idx="1015">
                  <c:v>95.823493999999997</c:v>
                </c:pt>
                <c:pt idx="1016">
                  <c:v>94.852669000000006</c:v>
                </c:pt>
                <c:pt idx="1017">
                  <c:v>93.917800999999997</c:v>
                </c:pt>
                <c:pt idx="1018">
                  <c:v>89.971610999999996</c:v>
                </c:pt>
                <c:pt idx="1019">
                  <c:v>90.699691999999999</c:v>
                </c:pt>
                <c:pt idx="1020">
                  <c:v>92.452599000000006</c:v>
                </c:pt>
                <c:pt idx="1021">
                  <c:v>89.908676</c:v>
                </c:pt>
                <c:pt idx="1022">
                  <c:v>89.324402000000006</c:v>
                </c:pt>
                <c:pt idx="1023">
                  <c:v>89.486191000000005</c:v>
                </c:pt>
                <c:pt idx="1024">
                  <c:v>90.771621999999994</c:v>
                </c:pt>
                <c:pt idx="1025">
                  <c:v>91.418846000000002</c:v>
                </c:pt>
                <c:pt idx="1026">
                  <c:v>92.794158999999993</c:v>
                </c:pt>
                <c:pt idx="1027">
                  <c:v>94.187461999999996</c:v>
                </c:pt>
                <c:pt idx="1028">
                  <c:v>84.596123000000006</c:v>
                </c:pt>
                <c:pt idx="1029">
                  <c:v>82.267966999999999</c:v>
                </c:pt>
                <c:pt idx="1030">
                  <c:v>83.391586000000004</c:v>
                </c:pt>
                <c:pt idx="1031">
                  <c:v>83.499465999999998</c:v>
                </c:pt>
                <c:pt idx="1032">
                  <c:v>83.706222999999994</c:v>
                </c:pt>
                <c:pt idx="1033">
                  <c:v>82.267966999999999</c:v>
                </c:pt>
                <c:pt idx="1034">
                  <c:v>80.910636999999994</c:v>
                </c:pt>
                <c:pt idx="1035">
                  <c:v>80.074637999999993</c:v>
                </c:pt>
                <c:pt idx="1036">
                  <c:v>79.795967000000005</c:v>
                </c:pt>
                <c:pt idx="1037">
                  <c:v>80.883644000000004</c:v>
                </c:pt>
                <c:pt idx="1038">
                  <c:v>80.056647999999996</c:v>
                </c:pt>
                <c:pt idx="1039">
                  <c:v>78.870086999999998</c:v>
                </c:pt>
                <c:pt idx="1040">
                  <c:v>79.503082000000006</c:v>
                </c:pt>
                <c:pt idx="1041">
                  <c:v>80.226500999999999</c:v>
                </c:pt>
                <c:pt idx="1042">
                  <c:v>79.638748000000007</c:v>
                </c:pt>
                <c:pt idx="1043">
                  <c:v>79.846725000000006</c:v>
                </c:pt>
                <c:pt idx="1044">
                  <c:v>79.277023</c:v>
                </c:pt>
                <c:pt idx="1045">
                  <c:v>79.132323999999997</c:v>
                </c:pt>
                <c:pt idx="1046">
                  <c:v>80.633408000000003</c:v>
                </c:pt>
                <c:pt idx="1047">
                  <c:v>79.078086999999996</c:v>
                </c:pt>
                <c:pt idx="1048">
                  <c:v>79.530227999999994</c:v>
                </c:pt>
                <c:pt idx="1049">
                  <c:v>79.738204999999994</c:v>
                </c:pt>
                <c:pt idx="1050">
                  <c:v>78.797759999999997</c:v>
                </c:pt>
                <c:pt idx="1051">
                  <c:v>77.242408999999995</c:v>
                </c:pt>
                <c:pt idx="1052">
                  <c:v>79.123305999999999</c:v>
                </c:pt>
                <c:pt idx="1053">
                  <c:v>77.812118999999996</c:v>
                </c:pt>
                <c:pt idx="1054">
                  <c:v>79.367446999999999</c:v>
                </c:pt>
                <c:pt idx="1055">
                  <c:v>80.452560000000005</c:v>
                </c:pt>
                <c:pt idx="1056">
                  <c:v>77.359970000000004</c:v>
                </c:pt>
                <c:pt idx="1057">
                  <c:v>78.490311000000005</c:v>
                </c:pt>
                <c:pt idx="1058">
                  <c:v>78.870093999999995</c:v>
                </c:pt>
                <c:pt idx="1059">
                  <c:v>79.40361</c:v>
                </c:pt>
                <c:pt idx="1060">
                  <c:v>78.390831000000006</c:v>
                </c:pt>
                <c:pt idx="1061">
                  <c:v>78.020095999999995</c:v>
                </c:pt>
                <c:pt idx="1062">
                  <c:v>78.173820000000006</c:v>
                </c:pt>
                <c:pt idx="1063">
                  <c:v>77.685508999999996</c:v>
                </c:pt>
                <c:pt idx="1064">
                  <c:v>77.251480000000001</c:v>
                </c:pt>
                <c:pt idx="1065">
                  <c:v>77.784958000000003</c:v>
                </c:pt>
                <c:pt idx="1066">
                  <c:v>78.526482000000001</c:v>
                </c:pt>
                <c:pt idx="1067">
                  <c:v>79.484984999999995</c:v>
                </c:pt>
                <c:pt idx="1068">
                  <c:v>79.186583999999996</c:v>
                </c:pt>
                <c:pt idx="1069">
                  <c:v>79.475966999999997</c:v>
                </c:pt>
                <c:pt idx="1070">
                  <c:v>78.653069000000002</c:v>
                </c:pt>
                <c:pt idx="1071">
                  <c:v>77.857322999999994</c:v>
                </c:pt>
                <c:pt idx="1072">
                  <c:v>78.246132000000003</c:v>
                </c:pt>
                <c:pt idx="1073">
                  <c:v>78.824889999999996</c:v>
                </c:pt>
                <c:pt idx="1074">
                  <c:v>79.521193999999994</c:v>
                </c:pt>
                <c:pt idx="1075">
                  <c:v>78.933402999999998</c:v>
                </c:pt>
                <c:pt idx="1076">
                  <c:v>79.991386000000006</c:v>
                </c:pt>
                <c:pt idx="1077">
                  <c:v>79.041893000000002</c:v>
                </c:pt>
                <c:pt idx="1078">
                  <c:v>78.074332999999996</c:v>
                </c:pt>
                <c:pt idx="1079">
                  <c:v>77.974884000000003</c:v>
                </c:pt>
                <c:pt idx="1080">
                  <c:v>79.150429000000003</c:v>
                </c:pt>
                <c:pt idx="1081">
                  <c:v>77.287627999999998</c:v>
                </c:pt>
                <c:pt idx="1082">
                  <c:v>77.531784000000002</c:v>
                </c:pt>
                <c:pt idx="1083">
                  <c:v>75.108352999999994</c:v>
                </c:pt>
                <c:pt idx="1084">
                  <c:v>75.244857999999994</c:v>
                </c:pt>
                <c:pt idx="1085">
                  <c:v>75.872719000000004</c:v>
                </c:pt>
                <c:pt idx="1086">
                  <c:v>76.791779000000005</c:v>
                </c:pt>
                <c:pt idx="1087">
                  <c:v>76.910079999999994</c:v>
                </c:pt>
                <c:pt idx="1088">
                  <c:v>78.375113999999996</c:v>
                </c:pt>
                <c:pt idx="1089">
                  <c:v>76.882782000000006</c:v>
                </c:pt>
                <c:pt idx="1090">
                  <c:v>76.109298999999993</c:v>
                </c:pt>
                <c:pt idx="1091">
                  <c:v>76.900977999999995</c:v>
                </c:pt>
                <c:pt idx="1092">
                  <c:v>75.863617000000005</c:v>
                </c:pt>
                <c:pt idx="1093">
                  <c:v>75.536026000000007</c:v>
                </c:pt>
                <c:pt idx="1094">
                  <c:v>75.390450000000001</c:v>
                </c:pt>
                <c:pt idx="1095">
                  <c:v>75.035552999999993</c:v>
                </c:pt>
                <c:pt idx="1096">
                  <c:v>74.980964999999998</c:v>
                </c:pt>
                <c:pt idx="1097">
                  <c:v>76.546097000000003</c:v>
                </c:pt>
                <c:pt idx="1098">
                  <c:v>75.108352999999994</c:v>
                </c:pt>
                <c:pt idx="1099">
                  <c:v>75.517837999999998</c:v>
                </c:pt>
                <c:pt idx="1100">
                  <c:v>77.729056999999997</c:v>
                </c:pt>
                <c:pt idx="1101">
                  <c:v>77.001075999999998</c:v>
                </c:pt>
                <c:pt idx="1102">
                  <c:v>76.946465000000003</c:v>
                </c:pt>
                <c:pt idx="1103">
                  <c:v>77.301353000000006</c:v>
                </c:pt>
                <c:pt idx="1104">
                  <c:v>76.764481000000004</c:v>
                </c:pt>
                <c:pt idx="1105">
                  <c:v>76.709900000000005</c:v>
                </c:pt>
                <c:pt idx="1106">
                  <c:v>76.527893000000006</c:v>
                </c:pt>
                <c:pt idx="1107">
                  <c:v>76.518790999999993</c:v>
                </c:pt>
                <c:pt idx="1108">
                  <c:v>76.245811000000003</c:v>
                </c:pt>
                <c:pt idx="1109">
                  <c:v>76.163917999999995</c:v>
                </c:pt>
                <c:pt idx="1110">
                  <c:v>75.526932000000002</c:v>
                </c:pt>
                <c:pt idx="1111">
                  <c:v>76.082008000000002</c:v>
                </c:pt>
                <c:pt idx="1112">
                  <c:v>76.082008000000002</c:v>
                </c:pt>
                <c:pt idx="1113">
                  <c:v>76.627983</c:v>
                </c:pt>
                <c:pt idx="1114">
                  <c:v>77.183052000000004</c:v>
                </c:pt>
                <c:pt idx="1115">
                  <c:v>78.684517</c:v>
                </c:pt>
                <c:pt idx="1116">
                  <c:v>78.238624999999999</c:v>
                </c:pt>
                <c:pt idx="1117">
                  <c:v>79.066710999999998</c:v>
                </c:pt>
                <c:pt idx="1118">
                  <c:v>78.129424999999998</c:v>
                </c:pt>
                <c:pt idx="1119">
                  <c:v>77.938346999999993</c:v>
                </c:pt>
                <c:pt idx="1120">
                  <c:v>76.436904999999996</c:v>
                </c:pt>
                <c:pt idx="1121">
                  <c:v>76.837288000000001</c:v>
                </c:pt>
                <c:pt idx="1122">
                  <c:v>76.955566000000005</c:v>
                </c:pt>
                <c:pt idx="1123">
                  <c:v>76.900977999999995</c:v>
                </c:pt>
                <c:pt idx="1124">
                  <c:v>78.193129999999996</c:v>
                </c:pt>
                <c:pt idx="1125">
                  <c:v>79.357872</c:v>
                </c:pt>
                <c:pt idx="1126">
                  <c:v>78.739104999999995</c:v>
                </c:pt>
                <c:pt idx="1127">
                  <c:v>78.730002999999996</c:v>
                </c:pt>
                <c:pt idx="1128">
                  <c:v>79.803771999999995</c:v>
                </c:pt>
                <c:pt idx="1129">
                  <c:v>79.749161000000001</c:v>
                </c:pt>
                <c:pt idx="1130">
                  <c:v>80.249656999999999</c:v>
                </c:pt>
                <c:pt idx="1131">
                  <c:v>80.140441999999993</c:v>
                </c:pt>
                <c:pt idx="1132">
                  <c:v>79.821976000000006</c:v>
                </c:pt>
                <c:pt idx="1133">
                  <c:v>80.131332</c:v>
                </c:pt>
                <c:pt idx="1134">
                  <c:v>79.740059000000002</c:v>
                </c:pt>
                <c:pt idx="1135">
                  <c:v>80.040336999999994</c:v>
                </c:pt>
                <c:pt idx="1136">
                  <c:v>79.985748000000001</c:v>
                </c:pt>
                <c:pt idx="1137">
                  <c:v>80.286040999999997</c:v>
                </c:pt>
                <c:pt idx="1138">
                  <c:v>80.195037999999997</c:v>
                </c:pt>
                <c:pt idx="1139">
                  <c:v>80.877517999999995</c:v>
                </c:pt>
                <c:pt idx="1140">
                  <c:v>81.196006999999994</c:v>
                </c:pt>
                <c:pt idx="1141">
                  <c:v>80.295158000000001</c:v>
                </c:pt>
                <c:pt idx="1142">
                  <c:v>80.768332999999998</c:v>
                </c:pt>
                <c:pt idx="1143">
                  <c:v>81.532677000000007</c:v>
                </c:pt>
                <c:pt idx="1144">
                  <c:v>81.596382000000006</c:v>
                </c:pt>
                <c:pt idx="1145">
                  <c:v>81.687370000000001</c:v>
                </c:pt>
                <c:pt idx="1146">
                  <c:v>81.942161999999996</c:v>
                </c:pt>
                <c:pt idx="1147">
                  <c:v>81.466262999999998</c:v>
                </c:pt>
                <c:pt idx="1148">
                  <c:v>82.537070999999997</c:v>
                </c:pt>
                <c:pt idx="1149">
                  <c:v>82.042854000000005</c:v>
                </c:pt>
                <c:pt idx="1150">
                  <c:v>83.150299000000004</c:v>
                </c:pt>
                <c:pt idx="1151">
                  <c:v>82.573700000000002</c:v>
                </c:pt>
                <c:pt idx="1152">
                  <c:v>90.280083000000005</c:v>
                </c:pt>
                <c:pt idx="1153">
                  <c:v>89.557029999999997</c:v>
                </c:pt>
                <c:pt idx="1154">
                  <c:v>87.863845999999995</c:v>
                </c:pt>
                <c:pt idx="1155">
                  <c:v>87.937049999999999</c:v>
                </c:pt>
                <c:pt idx="1156">
                  <c:v>87.561783000000005</c:v>
                </c:pt>
                <c:pt idx="1157">
                  <c:v>87.113326999999998</c:v>
                </c:pt>
                <c:pt idx="1158">
                  <c:v>86.902809000000005</c:v>
                </c:pt>
                <c:pt idx="1159">
                  <c:v>86.527564999999996</c:v>
                </c:pt>
                <c:pt idx="1160">
                  <c:v>87.927902000000003</c:v>
                </c:pt>
                <c:pt idx="1161">
                  <c:v>87.53434</c:v>
                </c:pt>
                <c:pt idx="1162">
                  <c:v>87.955353000000002</c:v>
                </c:pt>
                <c:pt idx="1163">
                  <c:v>87.735703000000001</c:v>
                </c:pt>
                <c:pt idx="1164">
                  <c:v>87.278060999999994</c:v>
                </c:pt>
                <c:pt idx="1165">
                  <c:v>88.431281999999996</c:v>
                </c:pt>
                <c:pt idx="1166">
                  <c:v>88.275695999999996</c:v>
                </c:pt>
                <c:pt idx="1167">
                  <c:v>87.708243999999993</c:v>
                </c:pt>
                <c:pt idx="1168">
                  <c:v>88.687545999999998</c:v>
                </c:pt>
                <c:pt idx="1169">
                  <c:v>88.449584999999999</c:v>
                </c:pt>
                <c:pt idx="1170">
                  <c:v>87.836365000000001</c:v>
                </c:pt>
                <c:pt idx="1171">
                  <c:v>87.058395000000004</c:v>
                </c:pt>
                <c:pt idx="1172">
                  <c:v>86.573311000000004</c:v>
                </c:pt>
                <c:pt idx="1173">
                  <c:v>86.783828999999997</c:v>
                </c:pt>
                <c:pt idx="1174">
                  <c:v>87.342147999999995</c:v>
                </c:pt>
                <c:pt idx="1175">
                  <c:v>87.168243000000004</c:v>
                </c:pt>
                <c:pt idx="1176">
                  <c:v>87.635024999999999</c:v>
                </c:pt>
                <c:pt idx="1177">
                  <c:v>87.772307999999995</c:v>
                </c:pt>
                <c:pt idx="1178">
                  <c:v>86.875343000000001</c:v>
                </c:pt>
                <c:pt idx="1179">
                  <c:v>87.040099999999995</c:v>
                </c:pt>
                <c:pt idx="1180">
                  <c:v>86.573311000000004</c:v>
                </c:pt>
                <c:pt idx="1181">
                  <c:v>86.152313000000007</c:v>
                </c:pt>
                <c:pt idx="1182">
                  <c:v>85.950965999999994</c:v>
                </c:pt>
                <c:pt idx="1183">
                  <c:v>86.399422000000001</c:v>
                </c:pt>
                <c:pt idx="1184">
                  <c:v>87.085869000000002</c:v>
                </c:pt>
                <c:pt idx="1185">
                  <c:v>86.097389000000007</c:v>
                </c:pt>
                <c:pt idx="1186">
                  <c:v>86.225555</c:v>
                </c:pt>
                <c:pt idx="1187">
                  <c:v>85.401809999999998</c:v>
                </c:pt>
                <c:pt idx="1188">
                  <c:v>86.664856</c:v>
                </c:pt>
                <c:pt idx="1189">
                  <c:v>88.852287000000004</c:v>
                </c:pt>
                <c:pt idx="1190">
                  <c:v>87.644165000000001</c:v>
                </c:pt>
                <c:pt idx="1191">
                  <c:v>85.960114000000004</c:v>
                </c:pt>
                <c:pt idx="1192">
                  <c:v>86.774688999999995</c:v>
                </c:pt>
                <c:pt idx="1193">
                  <c:v>85.868576000000004</c:v>
                </c:pt>
                <c:pt idx="1194">
                  <c:v>87.689926</c:v>
                </c:pt>
                <c:pt idx="1195">
                  <c:v>88.376373000000001</c:v>
                </c:pt>
                <c:pt idx="1196">
                  <c:v>88.019417000000004</c:v>
                </c:pt>
                <c:pt idx="1197">
                  <c:v>88.916359</c:v>
                </c:pt>
                <c:pt idx="1198">
                  <c:v>88.907218999999998</c:v>
                </c:pt>
                <c:pt idx="1199">
                  <c:v>89.511284000000003</c:v>
                </c:pt>
                <c:pt idx="1200">
                  <c:v>89.291611000000003</c:v>
                </c:pt>
                <c:pt idx="1201">
                  <c:v>90.774315000000001</c:v>
                </c:pt>
                <c:pt idx="1202">
                  <c:v>90.554657000000006</c:v>
                </c:pt>
                <c:pt idx="1203">
                  <c:v>91.341781999999995</c:v>
                </c:pt>
                <c:pt idx="1204">
                  <c:v>93.739738000000003</c:v>
                </c:pt>
                <c:pt idx="1205">
                  <c:v>91.781104999999997</c:v>
                </c:pt>
                <c:pt idx="1206">
                  <c:v>92.055663999999993</c:v>
                </c:pt>
                <c:pt idx="1207">
                  <c:v>92.751250999999996</c:v>
                </c:pt>
                <c:pt idx="1208">
                  <c:v>94.188202000000004</c:v>
                </c:pt>
                <c:pt idx="1209">
                  <c:v>94.572577999999993</c:v>
                </c:pt>
                <c:pt idx="1210">
                  <c:v>95.478706000000003</c:v>
                </c:pt>
                <c:pt idx="1211">
                  <c:v>95.991241000000002</c:v>
                </c:pt>
                <c:pt idx="1212">
                  <c:v>96.613608999999997</c:v>
                </c:pt>
                <c:pt idx="1213">
                  <c:v>95.066849000000005</c:v>
                </c:pt>
                <c:pt idx="1214">
                  <c:v>94.215652000000006</c:v>
                </c:pt>
                <c:pt idx="1215">
                  <c:v>92.925171000000006</c:v>
                </c:pt>
                <c:pt idx="1216">
                  <c:v>91.103820999999996</c:v>
                </c:pt>
                <c:pt idx="1217">
                  <c:v>89.410622000000004</c:v>
                </c:pt>
                <c:pt idx="1218">
                  <c:v>88.577713000000003</c:v>
                </c:pt>
                <c:pt idx="1219">
                  <c:v>86.179778999999996</c:v>
                </c:pt>
                <c:pt idx="1220">
                  <c:v>86.188911000000004</c:v>
                </c:pt>
                <c:pt idx="1221">
                  <c:v>87.040099999999995</c:v>
                </c:pt>
                <c:pt idx="1222">
                  <c:v>87.085869000000002</c:v>
                </c:pt>
                <c:pt idx="1223">
                  <c:v>86.985184000000004</c:v>
                </c:pt>
                <c:pt idx="1224">
                  <c:v>89.200080999999997</c:v>
                </c:pt>
                <c:pt idx="1225">
                  <c:v>89.044494999999998</c:v>
                </c:pt>
                <c:pt idx="1226">
                  <c:v>89.373985000000005</c:v>
                </c:pt>
                <c:pt idx="1227">
                  <c:v>90.380759999999995</c:v>
                </c:pt>
                <c:pt idx="1228">
                  <c:v>87.689926</c:v>
                </c:pt>
                <c:pt idx="1229">
                  <c:v>87.211410999999998</c:v>
                </c:pt>
                <c:pt idx="1230">
                  <c:v>85.757430999999997</c:v>
                </c:pt>
                <c:pt idx="1231">
                  <c:v>86.447609</c:v>
                </c:pt>
                <c:pt idx="1232">
                  <c:v>86.364784</c:v>
                </c:pt>
                <c:pt idx="1233">
                  <c:v>85.683800000000005</c:v>
                </c:pt>
                <c:pt idx="1234">
                  <c:v>85.545776000000004</c:v>
                </c:pt>
                <c:pt idx="1235">
                  <c:v>84.524299999999997</c:v>
                </c:pt>
                <c:pt idx="1236">
                  <c:v>83.530440999999996</c:v>
                </c:pt>
                <c:pt idx="1237">
                  <c:v>83.815726999999995</c:v>
                </c:pt>
                <c:pt idx="1238">
                  <c:v>83.327988000000005</c:v>
                </c:pt>
                <c:pt idx="1239">
                  <c:v>80.318787</c:v>
                </c:pt>
                <c:pt idx="1240">
                  <c:v>80.180747999999994</c:v>
                </c:pt>
                <c:pt idx="1241">
                  <c:v>78.975234999999998</c:v>
                </c:pt>
                <c:pt idx="1242">
                  <c:v>83.199150000000003</c:v>
                </c:pt>
                <c:pt idx="1243">
                  <c:v>84.285019000000005</c:v>
                </c:pt>
                <c:pt idx="1244">
                  <c:v>84.781966999999995</c:v>
                </c:pt>
                <c:pt idx="1245">
                  <c:v>85.720618999999999</c:v>
                </c:pt>
                <c:pt idx="1246">
                  <c:v>85.895461999999995</c:v>
                </c:pt>
                <c:pt idx="1247">
                  <c:v>85.453734999999995</c:v>
                </c:pt>
                <c:pt idx="1248">
                  <c:v>85.987487999999999</c:v>
                </c:pt>
                <c:pt idx="1249">
                  <c:v>86.999756000000005</c:v>
                </c:pt>
                <c:pt idx="1250">
                  <c:v>87.607123999999999</c:v>
                </c:pt>
                <c:pt idx="1251">
                  <c:v>87.321854000000002</c:v>
                </c:pt>
                <c:pt idx="1252">
                  <c:v>87.386261000000005</c:v>
                </c:pt>
                <c:pt idx="1253">
                  <c:v>87.275841</c:v>
                </c:pt>
                <c:pt idx="1254">
                  <c:v>87.377037000000001</c:v>
                </c:pt>
                <c:pt idx="1255">
                  <c:v>88.573386999999997</c:v>
                </c:pt>
                <c:pt idx="1256">
                  <c:v>88.665390000000002</c:v>
                </c:pt>
                <c:pt idx="1257">
                  <c:v>89.024276999999998</c:v>
                </c:pt>
                <c:pt idx="1258">
                  <c:v>89.935340999999994</c:v>
                </c:pt>
                <c:pt idx="1259">
                  <c:v>89.714484999999996</c:v>
                </c:pt>
                <c:pt idx="1260">
                  <c:v>90.837173000000007</c:v>
                </c:pt>
                <c:pt idx="1261">
                  <c:v>90.515067999999999</c:v>
                </c:pt>
                <c:pt idx="1262">
                  <c:v>89.208327999999995</c:v>
                </c:pt>
                <c:pt idx="1263">
                  <c:v>89.318747999999999</c:v>
                </c:pt>
                <c:pt idx="1264">
                  <c:v>88.996673999999999</c:v>
                </c:pt>
                <c:pt idx="1265">
                  <c:v>87.239020999999994</c:v>
                </c:pt>
                <c:pt idx="1266">
                  <c:v>88.186858999999998</c:v>
                </c:pt>
                <c:pt idx="1267">
                  <c:v>86.373977999999994</c:v>
                </c:pt>
                <c:pt idx="1268">
                  <c:v>87.211410999999998</c:v>
                </c:pt>
                <c:pt idx="1269">
                  <c:v>87.975211999999999</c:v>
                </c:pt>
                <c:pt idx="1270">
                  <c:v>88.012016000000003</c:v>
                </c:pt>
                <c:pt idx="1271">
                  <c:v>89.015083000000004</c:v>
                </c:pt>
                <c:pt idx="1272">
                  <c:v>87.956801999999996</c:v>
                </c:pt>
                <c:pt idx="1273">
                  <c:v>88.527336000000005</c:v>
                </c:pt>
                <c:pt idx="1274">
                  <c:v>89.235954000000007</c:v>
                </c:pt>
                <c:pt idx="1275">
                  <c:v>90.128555000000006</c:v>
                </c:pt>
                <c:pt idx="1276">
                  <c:v>90.662315000000007</c:v>
                </c:pt>
                <c:pt idx="1277">
                  <c:v>92.015083000000004</c:v>
                </c:pt>
                <c:pt idx="1278">
                  <c:v>94.048812999999996</c:v>
                </c:pt>
                <c:pt idx="1279">
                  <c:v>91.913833999999994</c:v>
                </c:pt>
                <c:pt idx="1280">
                  <c:v>91.462920999999994</c:v>
                </c:pt>
                <c:pt idx="1281">
                  <c:v>91.610175999999996</c:v>
                </c:pt>
                <c:pt idx="1282">
                  <c:v>91.214470000000006</c:v>
                </c:pt>
                <c:pt idx="1283">
                  <c:v>90.818770999999998</c:v>
                </c:pt>
                <c:pt idx="1284">
                  <c:v>90.285019000000005</c:v>
                </c:pt>
                <c:pt idx="1285">
                  <c:v>91.094818000000004</c:v>
                </c:pt>
                <c:pt idx="1286">
                  <c:v>90.119392000000005</c:v>
                </c:pt>
                <c:pt idx="1287">
                  <c:v>90.045769000000007</c:v>
                </c:pt>
                <c:pt idx="1288">
                  <c:v>90.496657999999996</c:v>
                </c:pt>
                <c:pt idx="1289">
                  <c:v>90.423027000000005</c:v>
                </c:pt>
                <c:pt idx="1290">
                  <c:v>89.677643000000003</c:v>
                </c:pt>
                <c:pt idx="1291">
                  <c:v>89.806479999999993</c:v>
                </c:pt>
                <c:pt idx="1292">
                  <c:v>90.625525999999994</c:v>
                </c:pt>
                <c:pt idx="1293">
                  <c:v>90.524283999999994</c:v>
                </c:pt>
                <c:pt idx="1294">
                  <c:v>91.131630000000001</c:v>
                </c:pt>
                <c:pt idx="1295">
                  <c:v>90.872603999999995</c:v>
                </c:pt>
                <c:pt idx="1296">
                  <c:v>91.057625000000002</c:v>
                </c:pt>
                <c:pt idx="1297">
                  <c:v>92.204864999999998</c:v>
                </c:pt>
                <c:pt idx="1298">
                  <c:v>92.380652999999995</c:v>
                </c:pt>
                <c:pt idx="1299">
                  <c:v>91.261168999999995</c:v>
                </c:pt>
                <c:pt idx="1300">
                  <c:v>91.649742000000003</c:v>
                </c:pt>
                <c:pt idx="1301">
                  <c:v>90.928093000000004</c:v>
                </c:pt>
                <c:pt idx="1302">
                  <c:v>90.826317000000003</c:v>
                </c:pt>
                <c:pt idx="1303">
                  <c:v>90.965110999999993</c:v>
                </c:pt>
                <c:pt idx="1304">
                  <c:v>89.938141000000002</c:v>
                </c:pt>
                <c:pt idx="1305">
                  <c:v>89.864113000000003</c:v>
                </c:pt>
                <c:pt idx="1306">
                  <c:v>90.234215000000006</c:v>
                </c:pt>
                <c:pt idx="1307">
                  <c:v>90.502494999999996</c:v>
                </c:pt>
                <c:pt idx="1308">
                  <c:v>89.688323999999994</c:v>
                </c:pt>
                <c:pt idx="1309">
                  <c:v>89.919623999999999</c:v>
                </c:pt>
                <c:pt idx="1310">
                  <c:v>90.770820999999998</c:v>
                </c:pt>
                <c:pt idx="1311">
                  <c:v>91.436942999999999</c:v>
                </c:pt>
                <c:pt idx="1312">
                  <c:v>91.807060000000007</c:v>
                </c:pt>
                <c:pt idx="1313">
                  <c:v>91.307434000000001</c:v>
                </c:pt>
                <c:pt idx="1314">
                  <c:v>92.149338</c:v>
                </c:pt>
                <c:pt idx="1315">
                  <c:v>93.259574999999998</c:v>
                </c:pt>
                <c:pt idx="1316">
                  <c:v>93.962738000000002</c:v>
                </c:pt>
                <c:pt idx="1317">
                  <c:v>94.767639000000003</c:v>
                </c:pt>
                <c:pt idx="1318">
                  <c:v>95.230232000000001</c:v>
                </c:pt>
                <c:pt idx="1319">
                  <c:v>95.443038999999999</c:v>
                </c:pt>
                <c:pt idx="1320">
                  <c:v>95.461539999999999</c:v>
                </c:pt>
                <c:pt idx="1321">
                  <c:v>94.712142999999998</c:v>
                </c:pt>
                <c:pt idx="1322">
                  <c:v>95.359795000000005</c:v>
                </c:pt>
                <c:pt idx="1323">
                  <c:v>95.785362000000006</c:v>
                </c:pt>
                <c:pt idx="1324">
                  <c:v>95.776122999999998</c:v>
                </c:pt>
                <c:pt idx="1325">
                  <c:v>93.934989999999999</c:v>
                </c:pt>
                <c:pt idx="1326">
                  <c:v>93.962738000000002</c:v>
                </c:pt>
                <c:pt idx="1327">
                  <c:v>95.146979999999999</c:v>
                </c:pt>
                <c:pt idx="1328">
                  <c:v>93.777694999999994</c:v>
                </c:pt>
                <c:pt idx="1329">
                  <c:v>93.583397000000005</c:v>
                </c:pt>
                <c:pt idx="1330">
                  <c:v>94.443832</c:v>
                </c:pt>
                <c:pt idx="1331">
                  <c:v>94.795410000000004</c:v>
                </c:pt>
                <c:pt idx="1332">
                  <c:v>93.722198000000006</c:v>
                </c:pt>
                <c:pt idx="1333">
                  <c:v>92.796997000000005</c:v>
                </c:pt>
                <c:pt idx="1334">
                  <c:v>92.583068999999995</c:v>
                </c:pt>
                <c:pt idx="1335">
                  <c:v>94.787430000000001</c:v>
                </c:pt>
                <c:pt idx="1336">
                  <c:v>92.908591999999999</c:v>
                </c:pt>
                <c:pt idx="1337">
                  <c:v>93.280663000000004</c:v>
                </c:pt>
                <c:pt idx="1338">
                  <c:v>92.899299999999997</c:v>
                </c:pt>
                <c:pt idx="1339">
                  <c:v>94.229354999999998</c:v>
                </c:pt>
                <c:pt idx="1340">
                  <c:v>93.810805999999999</c:v>
                </c:pt>
                <c:pt idx="1341">
                  <c:v>94.424666999999999</c:v>
                </c:pt>
                <c:pt idx="1342">
                  <c:v>94.052627999999999</c:v>
                </c:pt>
                <c:pt idx="1343">
                  <c:v>95.085059999999999</c:v>
                </c:pt>
                <c:pt idx="1344">
                  <c:v>94.740921</c:v>
                </c:pt>
                <c:pt idx="1345">
                  <c:v>95.494308000000004</c:v>
                </c:pt>
                <c:pt idx="1346">
                  <c:v>95.261780000000002</c:v>
                </c:pt>
                <c:pt idx="1347">
                  <c:v>94.982758000000004</c:v>
                </c:pt>
                <c:pt idx="1348">
                  <c:v>95.047852000000006</c:v>
                </c:pt>
                <c:pt idx="1349">
                  <c:v>94.350280999999995</c:v>
                </c:pt>
                <c:pt idx="1350">
                  <c:v>94.833922999999999</c:v>
                </c:pt>
                <c:pt idx="1351">
                  <c:v>95.391991000000004</c:v>
                </c:pt>
                <c:pt idx="1352">
                  <c:v>97.121978999999996</c:v>
                </c:pt>
                <c:pt idx="1353">
                  <c:v>97.763779</c:v>
                </c:pt>
                <c:pt idx="1354">
                  <c:v>98.647368999999998</c:v>
                </c:pt>
                <c:pt idx="1355">
                  <c:v>100.005348</c:v>
                </c:pt>
                <c:pt idx="1356">
                  <c:v>100.395973</c:v>
                </c:pt>
                <c:pt idx="1357">
                  <c:v>101.214485</c:v>
                </c:pt>
                <c:pt idx="1358">
                  <c:v>101.056366</c:v>
                </c:pt>
                <c:pt idx="1359">
                  <c:v>101.447014</c:v>
                </c:pt>
                <c:pt idx="1360">
                  <c:v>101.530716</c:v>
                </c:pt>
                <c:pt idx="1361">
                  <c:v>101.986458</c:v>
                </c:pt>
                <c:pt idx="1362">
                  <c:v>101.95856499999999</c:v>
                </c:pt>
                <c:pt idx="1363">
                  <c:v>102.609634</c:v>
                </c:pt>
                <c:pt idx="1364">
                  <c:v>103.363029</c:v>
                </c:pt>
                <c:pt idx="1365">
                  <c:v>103.46534</c:v>
                </c:pt>
                <c:pt idx="1366">
                  <c:v>102.981674</c:v>
                </c:pt>
                <c:pt idx="1367">
                  <c:v>102.460823</c:v>
                </c:pt>
                <c:pt idx="1368">
                  <c:v>102.40501399999999</c:v>
                </c:pt>
                <c:pt idx="1369">
                  <c:v>102.767746</c:v>
                </c:pt>
                <c:pt idx="1370">
                  <c:v>102.88867999999999</c:v>
                </c:pt>
                <c:pt idx="1371">
                  <c:v>103.800186</c:v>
                </c:pt>
                <c:pt idx="1372">
                  <c:v>104.469864</c:v>
                </c:pt>
                <c:pt idx="1373">
                  <c:v>104.15361799999999</c:v>
                </c:pt>
                <c:pt idx="1374">
                  <c:v>104.841904</c:v>
                </c:pt>
                <c:pt idx="1375">
                  <c:v>104.9907</c:v>
                </c:pt>
                <c:pt idx="1376">
                  <c:v>105.083733</c:v>
                </c:pt>
                <c:pt idx="1377">
                  <c:v>105.958038</c:v>
                </c:pt>
                <c:pt idx="1378">
                  <c:v>106.59050000000001</c:v>
                </c:pt>
                <c:pt idx="1379">
                  <c:v>106.943962</c:v>
                </c:pt>
                <c:pt idx="1380">
                  <c:v>106.73931899999999</c:v>
                </c:pt>
                <c:pt idx="1381">
                  <c:v>106.59050000000001</c:v>
                </c:pt>
                <c:pt idx="1382">
                  <c:v>106.70212600000001</c:v>
                </c:pt>
                <c:pt idx="1383">
                  <c:v>105.93943</c:v>
                </c:pt>
                <c:pt idx="1384">
                  <c:v>104.93491400000001</c:v>
                </c:pt>
                <c:pt idx="1385">
                  <c:v>104.255928</c:v>
                </c:pt>
                <c:pt idx="1386">
                  <c:v>104.172218</c:v>
                </c:pt>
                <c:pt idx="1387">
                  <c:v>104.376846</c:v>
                </c:pt>
                <c:pt idx="1388">
                  <c:v>105.120926</c:v>
                </c:pt>
                <c:pt idx="1389">
                  <c:v>104.42334700000001</c:v>
                </c:pt>
                <c:pt idx="1390">
                  <c:v>104.228027</c:v>
                </c:pt>
                <c:pt idx="1391">
                  <c:v>102.665451</c:v>
                </c:pt>
                <c:pt idx="1392">
                  <c:v>101.73532899999999</c:v>
                </c:pt>
                <c:pt idx="1393">
                  <c:v>101.753944</c:v>
                </c:pt>
                <c:pt idx="1394">
                  <c:v>98.424155999999996</c:v>
                </c:pt>
                <c:pt idx="1395">
                  <c:v>99.772819999999996</c:v>
                </c:pt>
                <c:pt idx="1396">
                  <c:v>100.637817</c:v>
                </c:pt>
                <c:pt idx="1397">
                  <c:v>101.43229700000001</c:v>
                </c:pt>
                <c:pt idx="1398">
                  <c:v>100.27327699999999</c:v>
                </c:pt>
                <c:pt idx="1399">
                  <c:v>98.347808999999998</c:v>
                </c:pt>
                <c:pt idx="1400">
                  <c:v>100.394783</c:v>
                </c:pt>
                <c:pt idx="1401">
                  <c:v>99.263817000000003</c:v>
                </c:pt>
                <c:pt idx="1402">
                  <c:v>105.32994100000001</c:v>
                </c:pt>
                <c:pt idx="1403">
                  <c:v>105.61032899999999</c:v>
                </c:pt>
                <c:pt idx="1404">
                  <c:v>106.37679300000001</c:v>
                </c:pt>
                <c:pt idx="1405">
                  <c:v>104.73175000000001</c:v>
                </c:pt>
                <c:pt idx="1406">
                  <c:v>104.70368999999999</c:v>
                </c:pt>
                <c:pt idx="1407">
                  <c:v>104.60086800000001</c:v>
                </c:pt>
                <c:pt idx="1408">
                  <c:v>103.591431</c:v>
                </c:pt>
                <c:pt idx="1409">
                  <c:v>104.675652</c:v>
                </c:pt>
                <c:pt idx="1410">
                  <c:v>105.07757599999999</c:v>
                </c:pt>
                <c:pt idx="1411">
                  <c:v>105.357979</c:v>
                </c:pt>
                <c:pt idx="1412">
                  <c:v>106.629158</c:v>
                </c:pt>
                <c:pt idx="1413">
                  <c:v>106.797409</c:v>
                </c:pt>
                <c:pt idx="1414">
                  <c:v>107.15258</c:v>
                </c:pt>
                <c:pt idx="1415">
                  <c:v>108.33963799999999</c:v>
                </c:pt>
                <c:pt idx="1416">
                  <c:v>107.900322</c:v>
                </c:pt>
                <c:pt idx="1417">
                  <c:v>107.23670199999999</c:v>
                </c:pt>
                <c:pt idx="1418">
                  <c:v>108.73221599999999</c:v>
                </c:pt>
                <c:pt idx="1419">
                  <c:v>108.47049</c:v>
                </c:pt>
                <c:pt idx="1420">
                  <c:v>108.44244399999999</c:v>
                </c:pt>
                <c:pt idx="1421">
                  <c:v>109.283661</c:v>
                </c:pt>
                <c:pt idx="1422">
                  <c:v>109.76035299999999</c:v>
                </c:pt>
                <c:pt idx="1423">
                  <c:v>108.021828</c:v>
                </c:pt>
                <c:pt idx="1424">
                  <c:v>108.900429</c:v>
                </c:pt>
                <c:pt idx="1425">
                  <c:v>109.507988</c:v>
                </c:pt>
                <c:pt idx="1426">
                  <c:v>109.461258</c:v>
                </c:pt>
                <c:pt idx="1427">
                  <c:v>109.339737</c:v>
                </c:pt>
                <c:pt idx="1428">
                  <c:v>109.93795</c:v>
                </c:pt>
                <c:pt idx="1429">
                  <c:v>110.667023</c:v>
                </c:pt>
                <c:pt idx="1430">
                  <c:v>110.732437</c:v>
                </c:pt>
                <c:pt idx="1431">
                  <c:v>110.573517</c:v>
                </c:pt>
                <c:pt idx="1432">
                  <c:v>110.713753</c:v>
                </c:pt>
                <c:pt idx="1433">
                  <c:v>110.928703</c:v>
                </c:pt>
                <c:pt idx="1434">
                  <c:v>110.152931</c:v>
                </c:pt>
                <c:pt idx="1435">
                  <c:v>108.535912</c:v>
                </c:pt>
                <c:pt idx="1436">
                  <c:v>108.713509</c:v>
                </c:pt>
                <c:pt idx="1437">
                  <c:v>110.44268</c:v>
                </c:pt>
                <c:pt idx="1438">
                  <c:v>109.573418</c:v>
                </c:pt>
                <c:pt idx="1439">
                  <c:v>109.900558</c:v>
                </c:pt>
                <c:pt idx="1440">
                  <c:v>111.162384</c:v>
                </c:pt>
                <c:pt idx="1441">
                  <c:v>111.79795799999999</c:v>
                </c:pt>
                <c:pt idx="1442">
                  <c:v>112.386833</c:v>
                </c:pt>
                <c:pt idx="1443">
                  <c:v>111.386719</c:v>
                </c:pt>
                <c:pt idx="1444">
                  <c:v>111.72318300000001</c:v>
                </c:pt>
                <c:pt idx="1445">
                  <c:v>111.62039900000001</c:v>
                </c:pt>
                <c:pt idx="1446">
                  <c:v>112.012947</c:v>
                </c:pt>
                <c:pt idx="1447">
                  <c:v>111.35865</c:v>
                </c:pt>
                <c:pt idx="1448">
                  <c:v>111.919456</c:v>
                </c:pt>
                <c:pt idx="1449">
                  <c:v>111.769943</c:v>
                </c:pt>
                <c:pt idx="1450">
                  <c:v>111.554962</c:v>
                </c:pt>
                <c:pt idx="1451">
                  <c:v>111.321281</c:v>
                </c:pt>
                <c:pt idx="1452">
                  <c:v>111.265198</c:v>
                </c:pt>
                <c:pt idx="1453">
                  <c:v>111.433449</c:v>
                </c:pt>
                <c:pt idx="1454">
                  <c:v>109.498642</c:v>
                </c:pt>
                <c:pt idx="1455">
                  <c:v>110.38659699999999</c:v>
                </c:pt>
                <c:pt idx="1456">
                  <c:v>109.601471</c:v>
                </c:pt>
                <c:pt idx="1457">
                  <c:v>109.93795</c:v>
                </c:pt>
                <c:pt idx="1458">
                  <c:v>109.891212</c:v>
                </c:pt>
                <c:pt idx="1459">
                  <c:v>111.09697</c:v>
                </c:pt>
                <c:pt idx="1460">
                  <c:v>111.695168</c:v>
                </c:pt>
                <c:pt idx="1461">
                  <c:v>112.377487</c:v>
                </c:pt>
                <c:pt idx="1462">
                  <c:v>111.639061</c:v>
                </c:pt>
                <c:pt idx="1463">
                  <c:v>111.265198</c:v>
                </c:pt>
                <c:pt idx="1464">
                  <c:v>111.33998099999999</c:v>
                </c:pt>
                <c:pt idx="1465">
                  <c:v>113.078491</c:v>
                </c:pt>
                <c:pt idx="1466">
                  <c:v>112.77005</c:v>
                </c:pt>
                <c:pt idx="1467">
                  <c:v>111.106308</c:v>
                </c:pt>
                <c:pt idx="1468">
                  <c:v>112.396179</c:v>
                </c:pt>
                <c:pt idx="1469">
                  <c:v>112.059685</c:v>
                </c:pt>
                <c:pt idx="1470">
                  <c:v>111.349335</c:v>
                </c:pt>
                <c:pt idx="1471">
                  <c:v>112.031639</c:v>
                </c:pt>
                <c:pt idx="1472">
                  <c:v>111.564308</c:v>
                </c:pt>
                <c:pt idx="1473">
                  <c:v>111.153038</c:v>
                </c:pt>
                <c:pt idx="1474">
                  <c:v>111.405411</c:v>
                </c:pt>
                <c:pt idx="1475">
                  <c:v>111.003479</c:v>
                </c:pt>
                <c:pt idx="1476">
                  <c:v>111.311943</c:v>
                </c:pt>
                <c:pt idx="1477">
                  <c:v>111.489525</c:v>
                </c:pt>
                <c:pt idx="1478">
                  <c:v>110.919365</c:v>
                </c:pt>
                <c:pt idx="1479">
                  <c:v>110.93807200000001</c:v>
                </c:pt>
                <c:pt idx="1480">
                  <c:v>111.407494</c:v>
                </c:pt>
                <c:pt idx="1481">
                  <c:v>112.45903800000001</c:v>
                </c:pt>
                <c:pt idx="1482">
                  <c:v>112.06471999999999</c:v>
                </c:pt>
                <c:pt idx="1483">
                  <c:v>111.858147</c:v>
                </c:pt>
                <c:pt idx="1484">
                  <c:v>111.726715</c:v>
                </c:pt>
                <c:pt idx="1485">
                  <c:v>112.440269</c:v>
                </c:pt>
                <c:pt idx="1486">
                  <c:v>112.93787399999999</c:v>
                </c:pt>
                <c:pt idx="1487">
                  <c:v>113.172607</c:v>
                </c:pt>
                <c:pt idx="1488">
                  <c:v>113.867355</c:v>
                </c:pt>
                <c:pt idx="1489">
                  <c:v>112.534149</c:v>
                </c:pt>
                <c:pt idx="1490">
                  <c:v>112.740723</c:v>
                </c:pt>
                <c:pt idx="1491">
                  <c:v>112.93787399999999</c:v>
                </c:pt>
                <c:pt idx="1492">
                  <c:v>111.75489</c:v>
                </c:pt>
                <c:pt idx="1493">
                  <c:v>112.205544</c:v>
                </c:pt>
                <c:pt idx="1494">
                  <c:v>112.214928</c:v>
                </c:pt>
                <c:pt idx="1495">
                  <c:v>112.280663</c:v>
                </c:pt>
                <c:pt idx="1496">
                  <c:v>112.102272</c:v>
                </c:pt>
                <c:pt idx="1497">
                  <c:v>111.576508</c:v>
                </c:pt>
                <c:pt idx="1498">
                  <c:v>111.670372</c:v>
                </c:pt>
                <c:pt idx="1499">
                  <c:v>110.68456999999999</c:v>
                </c:pt>
                <c:pt idx="1500">
                  <c:v>110.459236</c:v>
                </c:pt>
                <c:pt idx="1501">
                  <c:v>109.43583700000001</c:v>
                </c:pt>
                <c:pt idx="1502">
                  <c:v>109.060303</c:v>
                </c:pt>
                <c:pt idx="1503">
                  <c:v>110.186966</c:v>
                </c:pt>
                <c:pt idx="1504">
                  <c:v>109.266869</c:v>
                </c:pt>
                <c:pt idx="1505">
                  <c:v>108.79742400000001</c:v>
                </c:pt>
                <c:pt idx="1506">
                  <c:v>109.07907899999999</c:v>
                </c:pt>
                <c:pt idx="1507">
                  <c:v>108.234077</c:v>
                </c:pt>
                <c:pt idx="1508">
                  <c:v>108.816185</c:v>
                </c:pt>
                <c:pt idx="1509">
                  <c:v>107.933655</c:v>
                </c:pt>
                <c:pt idx="1510">
                  <c:v>108.52514600000001</c:v>
                </c:pt>
                <c:pt idx="1511">
                  <c:v>109.003967</c:v>
                </c:pt>
                <c:pt idx="1512">
                  <c:v>108.731689</c:v>
                </c:pt>
                <c:pt idx="1513">
                  <c:v>107.379715</c:v>
                </c:pt>
                <c:pt idx="1514">
                  <c:v>108.77864099999999</c:v>
                </c:pt>
                <c:pt idx="1515">
                  <c:v>109.47341900000001</c:v>
                </c:pt>
                <c:pt idx="1516">
                  <c:v>108.806816</c:v>
                </c:pt>
                <c:pt idx="1517">
                  <c:v>109.45462000000001</c:v>
                </c:pt>
                <c:pt idx="1518">
                  <c:v>107.492355</c:v>
                </c:pt>
                <c:pt idx="1519">
                  <c:v>107.28582</c:v>
                </c:pt>
                <c:pt idx="1520">
                  <c:v>108.224693</c:v>
                </c:pt>
                <c:pt idx="1521">
                  <c:v>109.67057800000001</c:v>
                </c:pt>
                <c:pt idx="1522">
                  <c:v>109.201134</c:v>
                </c:pt>
                <c:pt idx="1523">
                  <c:v>109.33255800000001</c:v>
                </c:pt>
                <c:pt idx="1524">
                  <c:v>108.205917</c:v>
                </c:pt>
                <c:pt idx="1525">
                  <c:v>108.346756</c:v>
                </c:pt>
                <c:pt idx="1526">
                  <c:v>108.769249</c:v>
                </c:pt>
                <c:pt idx="1527">
                  <c:v>110.26207700000001</c:v>
                </c:pt>
                <c:pt idx="1528">
                  <c:v>110.68456999999999</c:v>
                </c:pt>
                <c:pt idx="1529">
                  <c:v>112.318214</c:v>
                </c:pt>
                <c:pt idx="1530">
                  <c:v>110.48741099999999</c:v>
                </c:pt>
                <c:pt idx="1531">
                  <c:v>110.496788</c:v>
                </c:pt>
                <c:pt idx="1532">
                  <c:v>111.332397</c:v>
                </c:pt>
                <c:pt idx="1533">
                  <c:v>109.21051</c:v>
                </c:pt>
                <c:pt idx="1534">
                  <c:v>107.398483</c:v>
                </c:pt>
                <c:pt idx="1535">
                  <c:v>106.82576</c:v>
                </c:pt>
                <c:pt idx="1536">
                  <c:v>103.652351</c:v>
                </c:pt>
                <c:pt idx="1537">
                  <c:v>101.098595</c:v>
                </c:pt>
                <c:pt idx="1538">
                  <c:v>108.79742400000001</c:v>
                </c:pt>
                <c:pt idx="1539">
                  <c:v>106.008942</c:v>
                </c:pt>
                <c:pt idx="1540">
                  <c:v>109.633026</c:v>
                </c:pt>
                <c:pt idx="1541">
                  <c:v>108.834976</c:v>
                </c:pt>
                <c:pt idx="1542">
                  <c:v>110.064903</c:v>
                </c:pt>
                <c:pt idx="1543">
                  <c:v>109.99917600000001</c:v>
                </c:pt>
                <c:pt idx="1544">
                  <c:v>112.46843</c:v>
                </c:pt>
                <c:pt idx="1545">
                  <c:v>107.436035</c:v>
                </c:pt>
                <c:pt idx="1546">
                  <c:v>97.690460000000002</c:v>
                </c:pt>
                <c:pt idx="1547">
                  <c:v>107.126205</c:v>
                </c:pt>
                <c:pt idx="1548">
                  <c:v>100.23483299999999</c:v>
                </c:pt>
                <c:pt idx="1549">
                  <c:v>111.970833</c:v>
                </c:pt>
                <c:pt idx="1550">
                  <c:v>115.087914</c:v>
                </c:pt>
                <c:pt idx="1551">
                  <c:v>112.645454</c:v>
                </c:pt>
                <c:pt idx="1552">
                  <c:v>107.47762299999999</c:v>
                </c:pt>
                <c:pt idx="1553">
                  <c:v>107.769958</c:v>
                </c:pt>
                <c:pt idx="1554">
                  <c:v>108.477234</c:v>
                </c:pt>
                <c:pt idx="1555">
                  <c:v>103.16796100000001</c:v>
                </c:pt>
                <c:pt idx="1556">
                  <c:v>103.564026</c:v>
                </c:pt>
                <c:pt idx="1557">
                  <c:v>103.33770800000001</c:v>
                </c:pt>
                <c:pt idx="1558">
                  <c:v>108.62812</c:v>
                </c:pt>
                <c:pt idx="1559">
                  <c:v>107.147552</c:v>
                </c:pt>
                <c:pt idx="1560">
                  <c:v>107.637939</c:v>
                </c:pt>
                <c:pt idx="1561">
                  <c:v>111.891014</c:v>
                </c:pt>
                <c:pt idx="1562">
                  <c:v>112.673737</c:v>
                </c:pt>
                <c:pt idx="1563">
                  <c:v>118.888351</c:v>
                </c:pt>
                <c:pt idx="1564">
                  <c:v>115.040764</c:v>
                </c:pt>
                <c:pt idx="1565">
                  <c:v>114.899292</c:v>
                </c:pt>
                <c:pt idx="1566">
                  <c:v>114.861565</c:v>
                </c:pt>
                <c:pt idx="1567">
                  <c:v>118.162209</c:v>
                </c:pt>
                <c:pt idx="1568">
                  <c:v>121.65141300000001</c:v>
                </c:pt>
                <c:pt idx="1569">
                  <c:v>121.425102</c:v>
                </c:pt>
                <c:pt idx="1570">
                  <c:v>124.791718</c:v>
                </c:pt>
                <c:pt idx="1571">
                  <c:v>124.59369700000001</c:v>
                </c:pt>
                <c:pt idx="1572">
                  <c:v>122.453011</c:v>
                </c:pt>
                <c:pt idx="1573">
                  <c:v>121.849457</c:v>
                </c:pt>
                <c:pt idx="1574">
                  <c:v>124.093872</c:v>
                </c:pt>
                <c:pt idx="1575">
                  <c:v>121.208214</c:v>
                </c:pt>
                <c:pt idx="1576">
                  <c:v>122.066368</c:v>
                </c:pt>
                <c:pt idx="1577">
                  <c:v>120.991302</c:v>
                </c:pt>
                <c:pt idx="1578">
                  <c:v>120.70837400000001</c:v>
                </c:pt>
                <c:pt idx="1579">
                  <c:v>116.559029</c:v>
                </c:pt>
                <c:pt idx="1580">
                  <c:v>114.625816</c:v>
                </c:pt>
                <c:pt idx="1581">
                  <c:v>115.917793</c:v>
                </c:pt>
                <c:pt idx="1582">
                  <c:v>116.653336</c:v>
                </c:pt>
                <c:pt idx="1583">
                  <c:v>117.62468</c:v>
                </c:pt>
                <c:pt idx="1584">
                  <c:v>116.276115</c:v>
                </c:pt>
                <c:pt idx="1585">
                  <c:v>115.45208</c:v>
                </c:pt>
                <c:pt idx="1586">
                  <c:v>116.446625</c:v>
                </c:pt>
                <c:pt idx="1587">
                  <c:v>117.13806200000001</c:v>
                </c:pt>
                <c:pt idx="1588">
                  <c:v>117.242271</c:v>
                </c:pt>
                <c:pt idx="1589">
                  <c:v>117.175949</c:v>
                </c:pt>
                <c:pt idx="1590">
                  <c:v>116.901276</c:v>
                </c:pt>
                <c:pt idx="1591">
                  <c:v>119.288177</c:v>
                </c:pt>
                <c:pt idx="1592">
                  <c:v>120.91733600000001</c:v>
                </c:pt>
                <c:pt idx="1593">
                  <c:v>118.350464</c:v>
                </c:pt>
                <c:pt idx="1594">
                  <c:v>118.82403600000001</c:v>
                </c:pt>
                <c:pt idx="1595">
                  <c:v>118.388351</c:v>
                </c:pt>
                <c:pt idx="1596">
                  <c:v>117.763199</c:v>
                </c:pt>
                <c:pt idx="1597">
                  <c:v>117.318031</c:v>
                </c:pt>
                <c:pt idx="1598">
                  <c:v>116.01091</c:v>
                </c:pt>
                <c:pt idx="1599">
                  <c:v>117.15701300000001</c:v>
                </c:pt>
                <c:pt idx="1600">
                  <c:v>117.507462</c:v>
                </c:pt>
                <c:pt idx="1601">
                  <c:v>117.41274300000001</c:v>
                </c:pt>
                <c:pt idx="1602">
                  <c:v>117.393822</c:v>
                </c:pt>
                <c:pt idx="1603">
                  <c:v>116.948624</c:v>
                </c:pt>
                <c:pt idx="1604">
                  <c:v>115.66046900000001</c:v>
                </c:pt>
                <c:pt idx="1605">
                  <c:v>115.139503</c:v>
                </c:pt>
                <c:pt idx="1606">
                  <c:v>114.836395</c:v>
                </c:pt>
                <c:pt idx="1607">
                  <c:v>114.94059799999999</c:v>
                </c:pt>
                <c:pt idx="1608">
                  <c:v>114.760651</c:v>
                </c:pt>
                <c:pt idx="1609">
                  <c:v>113.747147</c:v>
                </c:pt>
                <c:pt idx="1610">
                  <c:v>111.521286</c:v>
                </c:pt>
                <c:pt idx="1611">
                  <c:v>111.843338</c:v>
                </c:pt>
                <c:pt idx="1612">
                  <c:v>113.330406</c:v>
                </c:pt>
                <c:pt idx="1613">
                  <c:v>112.743134</c:v>
                </c:pt>
                <c:pt idx="1614">
                  <c:v>111.758072</c:v>
                </c:pt>
                <c:pt idx="1615">
                  <c:v>113.519836</c:v>
                </c:pt>
                <c:pt idx="1616">
                  <c:v>115.253181</c:v>
                </c:pt>
                <c:pt idx="1617">
                  <c:v>114.67540700000001</c:v>
                </c:pt>
                <c:pt idx="1618">
                  <c:v>113.94606</c:v>
                </c:pt>
                <c:pt idx="1619">
                  <c:v>113.38723</c:v>
                </c:pt>
                <c:pt idx="1620">
                  <c:v>112.07064099999999</c:v>
                </c:pt>
                <c:pt idx="1621">
                  <c:v>112.771553</c:v>
                </c:pt>
                <c:pt idx="1622">
                  <c:v>113.453529</c:v>
                </c:pt>
                <c:pt idx="1623">
                  <c:v>113.368286</c:v>
                </c:pt>
                <c:pt idx="1624">
                  <c:v>112.913635</c:v>
                </c:pt>
                <c:pt idx="1625">
                  <c:v>112.610542</c:v>
                </c:pt>
                <c:pt idx="1626">
                  <c:v>120.244812</c:v>
                </c:pt>
                <c:pt idx="1627">
                  <c:v>117.867401</c:v>
                </c:pt>
                <c:pt idx="1628">
                  <c:v>121.00256299999999</c:v>
                </c:pt>
                <c:pt idx="1629">
                  <c:v>123.77778600000001</c:v>
                </c:pt>
                <c:pt idx="1630">
                  <c:v>122.67910000000001</c:v>
                </c:pt>
                <c:pt idx="1631">
                  <c:v>125.03755200000001</c:v>
                </c:pt>
                <c:pt idx="1632">
                  <c:v>125.028091</c:v>
                </c:pt>
                <c:pt idx="1633">
                  <c:v>125.217522</c:v>
                </c:pt>
                <c:pt idx="1634">
                  <c:v>124.78183</c:v>
                </c:pt>
                <c:pt idx="1635">
                  <c:v>124.526093</c:v>
                </c:pt>
                <c:pt idx="1636">
                  <c:v>125.340675</c:v>
                </c:pt>
                <c:pt idx="1637">
                  <c:v>125.653267</c:v>
                </c:pt>
                <c:pt idx="1638">
                  <c:v>124.68710299999999</c:v>
                </c:pt>
                <c:pt idx="1639">
                  <c:v>124.308243</c:v>
                </c:pt>
                <c:pt idx="1640">
                  <c:v>124.279816</c:v>
                </c:pt>
                <c:pt idx="1641">
                  <c:v>124.800781</c:v>
                </c:pt>
                <c:pt idx="1642">
                  <c:v>123.7873</c:v>
                </c:pt>
                <c:pt idx="1643">
                  <c:v>123.24739099999999</c:v>
                </c:pt>
                <c:pt idx="1644">
                  <c:v>122.56540699999999</c:v>
                </c:pt>
                <c:pt idx="1645">
                  <c:v>122.47071800000001</c:v>
                </c:pt>
                <c:pt idx="1646">
                  <c:v>124.68710299999999</c:v>
                </c:pt>
                <c:pt idx="1647">
                  <c:v>122.953773</c:v>
                </c:pt>
                <c:pt idx="1648">
                  <c:v>122.518066</c:v>
                </c:pt>
                <c:pt idx="1649">
                  <c:v>123.105316</c:v>
                </c:pt>
                <c:pt idx="1650">
                  <c:v>124.914421</c:v>
                </c:pt>
                <c:pt idx="1651">
                  <c:v>123.32317399999999</c:v>
                </c:pt>
                <c:pt idx="1652">
                  <c:v>124.92392</c:v>
                </c:pt>
                <c:pt idx="1653">
                  <c:v>125.399452</c:v>
                </c:pt>
                <c:pt idx="1654">
                  <c:v>126.11277</c:v>
                </c:pt>
                <c:pt idx="1655">
                  <c:v>128.96601899999999</c:v>
                </c:pt>
                <c:pt idx="1656">
                  <c:v>128.11952199999999</c:v>
                </c:pt>
                <c:pt idx="1657">
                  <c:v>125.93206000000001</c:v>
                </c:pt>
                <c:pt idx="1658">
                  <c:v>124.182053</c:v>
                </c:pt>
                <c:pt idx="1659">
                  <c:v>125.190201</c:v>
                </c:pt>
                <c:pt idx="1660">
                  <c:v>124.90490699999999</c:v>
                </c:pt>
                <c:pt idx="1661">
                  <c:v>124.239136</c:v>
                </c:pt>
                <c:pt idx="1662">
                  <c:v>124.305725</c:v>
                </c:pt>
                <c:pt idx="1663">
                  <c:v>129.94560200000001</c:v>
                </c:pt>
                <c:pt idx="1664">
                  <c:v>133.436081</c:v>
                </c:pt>
                <c:pt idx="1665">
                  <c:v>132.05699200000001</c:v>
                </c:pt>
                <c:pt idx="1666">
                  <c:v>140.36938499999999</c:v>
                </c:pt>
                <c:pt idx="1667">
                  <c:v>140.45498699999999</c:v>
                </c:pt>
                <c:pt idx="1668">
                  <c:v>137.468613</c:v>
                </c:pt>
                <c:pt idx="1669">
                  <c:v>135.84225499999999</c:v>
                </c:pt>
                <c:pt idx="1670">
                  <c:v>131.67654400000001</c:v>
                </c:pt>
                <c:pt idx="1671">
                  <c:v>133.046097</c:v>
                </c:pt>
                <c:pt idx="1672">
                  <c:v>130.11679100000001</c:v>
                </c:pt>
                <c:pt idx="1673">
                  <c:v>130.01216099999999</c:v>
                </c:pt>
                <c:pt idx="1674">
                  <c:v>130.60185200000001</c:v>
                </c:pt>
                <c:pt idx="1675">
                  <c:v>130.63986199999999</c:v>
                </c:pt>
                <c:pt idx="1676">
                  <c:v>129.593658</c:v>
                </c:pt>
                <c:pt idx="1677">
                  <c:v>130.00266999999999</c:v>
                </c:pt>
                <c:pt idx="1678">
                  <c:v>128.67112700000001</c:v>
                </c:pt>
                <c:pt idx="1679">
                  <c:v>130.36407500000001</c:v>
                </c:pt>
                <c:pt idx="1680">
                  <c:v>131.54342700000001</c:v>
                </c:pt>
                <c:pt idx="1681">
                  <c:v>129.336929</c:v>
                </c:pt>
                <c:pt idx="1682">
                  <c:v>130.01216099999999</c:v>
                </c:pt>
                <c:pt idx="1683">
                  <c:v>130.55427599999999</c:v>
                </c:pt>
                <c:pt idx="1684">
                  <c:v>130.53526299999999</c:v>
                </c:pt>
                <c:pt idx="1685">
                  <c:v>130.43061800000001</c:v>
                </c:pt>
                <c:pt idx="1686">
                  <c:v>133.065155</c:v>
                </c:pt>
                <c:pt idx="1687">
                  <c:v>136.08003199999999</c:v>
                </c:pt>
                <c:pt idx="1688">
                  <c:v>133.626251</c:v>
                </c:pt>
                <c:pt idx="1689">
                  <c:v>134.86265599999999</c:v>
                </c:pt>
                <c:pt idx="1690">
                  <c:v>133.74989299999999</c:v>
                </c:pt>
                <c:pt idx="1691">
                  <c:v>133.997162</c:v>
                </c:pt>
                <c:pt idx="1692">
                  <c:v>134.444153</c:v>
                </c:pt>
                <c:pt idx="1693">
                  <c:v>135.794693</c:v>
                </c:pt>
                <c:pt idx="1694">
                  <c:v>137.19276400000001</c:v>
                </c:pt>
                <c:pt idx="1695">
                  <c:v>139.075928</c:v>
                </c:pt>
                <c:pt idx="1696">
                  <c:v>136.89794900000001</c:v>
                </c:pt>
                <c:pt idx="1697">
                  <c:v>137.45910599999999</c:v>
                </c:pt>
                <c:pt idx="1698">
                  <c:v>137.63028</c:v>
                </c:pt>
                <c:pt idx="1699">
                  <c:v>135.95640599999999</c:v>
                </c:pt>
                <c:pt idx="1700">
                  <c:v>136.85990899999999</c:v>
                </c:pt>
                <c:pt idx="1701">
                  <c:v>137.335464</c:v>
                </c:pt>
                <c:pt idx="1702">
                  <c:v>136.52705399999999</c:v>
                </c:pt>
                <c:pt idx="1703">
                  <c:v>136.812378</c:v>
                </c:pt>
                <c:pt idx="1704">
                  <c:v>135.20504800000001</c:v>
                </c:pt>
                <c:pt idx="1705">
                  <c:v>135.88031000000001</c:v>
                </c:pt>
                <c:pt idx="1706">
                  <c:v>133.188751</c:v>
                </c:pt>
                <c:pt idx="1707">
                  <c:v>133.0746</c:v>
                </c:pt>
                <c:pt idx="1708">
                  <c:v>131.96186800000001</c:v>
                </c:pt>
                <c:pt idx="1709">
                  <c:v>133.531128</c:v>
                </c:pt>
                <c:pt idx="1710">
                  <c:v>135.794693</c:v>
                </c:pt>
                <c:pt idx="1711">
                  <c:v>135.01480100000001</c:v>
                </c:pt>
                <c:pt idx="1712">
                  <c:v>136.45095800000001</c:v>
                </c:pt>
                <c:pt idx="1713">
                  <c:v>138.638443</c:v>
                </c:pt>
                <c:pt idx="1714">
                  <c:v>136.51754800000001</c:v>
                </c:pt>
                <c:pt idx="1715">
                  <c:v>138.43869000000001</c:v>
                </c:pt>
                <c:pt idx="1716">
                  <c:v>140.74031099999999</c:v>
                </c:pt>
                <c:pt idx="1717">
                  <c:v>140.97807299999999</c:v>
                </c:pt>
                <c:pt idx="1718">
                  <c:v>143.175049</c:v>
                </c:pt>
                <c:pt idx="1719">
                  <c:v>144.982101</c:v>
                </c:pt>
                <c:pt idx="1720">
                  <c:v>142.062286</c:v>
                </c:pt>
                <c:pt idx="1721">
                  <c:v>141.79600500000001</c:v>
                </c:pt>
                <c:pt idx="1722">
                  <c:v>144.67775</c:v>
                </c:pt>
                <c:pt idx="1723">
                  <c:v>142.88973999999999</c:v>
                </c:pt>
                <c:pt idx="1724">
                  <c:v>143.545975</c:v>
                </c:pt>
                <c:pt idx="1725">
                  <c:v>143.954926</c:v>
                </c:pt>
                <c:pt idx="1726">
                  <c:v>144.401962</c:v>
                </c:pt>
                <c:pt idx="1727">
                  <c:v>144.18319700000001</c:v>
                </c:pt>
                <c:pt idx="1728">
                  <c:v>145.31497200000001</c:v>
                </c:pt>
                <c:pt idx="1729">
                  <c:v>145.172302</c:v>
                </c:pt>
                <c:pt idx="1730">
                  <c:v>143.156036</c:v>
                </c:pt>
                <c:pt idx="1731">
                  <c:v>141.995743</c:v>
                </c:pt>
                <c:pt idx="1732">
                  <c:v>141.62480199999999</c:v>
                </c:pt>
                <c:pt idx="1733">
                  <c:v>140.863922</c:v>
                </c:pt>
                <c:pt idx="1734">
                  <c:v>142.13836699999999</c:v>
                </c:pt>
                <c:pt idx="1735">
                  <c:v>141.016098</c:v>
                </c:pt>
                <c:pt idx="1736">
                  <c:v>140.35746800000001</c:v>
                </c:pt>
                <c:pt idx="1737">
                  <c:v>140.31929</c:v>
                </c:pt>
                <c:pt idx="1738">
                  <c:v>139.030655</c:v>
                </c:pt>
                <c:pt idx="1739">
                  <c:v>138.96383700000001</c:v>
                </c:pt>
                <c:pt idx="1740">
                  <c:v>138.82067900000001</c:v>
                </c:pt>
                <c:pt idx="1741">
                  <c:v>139.46017499999999</c:v>
                </c:pt>
                <c:pt idx="1742">
                  <c:v>139.317047</c:v>
                </c:pt>
                <c:pt idx="1743">
                  <c:v>139.336105</c:v>
                </c:pt>
                <c:pt idx="1744">
                  <c:v>137.64656099999999</c:v>
                </c:pt>
                <c:pt idx="1745">
                  <c:v>136.711105</c:v>
                </c:pt>
                <c:pt idx="1746">
                  <c:v>136.97837799999999</c:v>
                </c:pt>
                <c:pt idx="1747">
                  <c:v>138.62020899999999</c:v>
                </c:pt>
                <c:pt idx="1748">
                  <c:v>137.74200400000001</c:v>
                </c:pt>
                <c:pt idx="1749">
                  <c:v>137.62747200000001</c:v>
                </c:pt>
                <c:pt idx="1750">
                  <c:v>137.59880100000001</c:v>
                </c:pt>
                <c:pt idx="1751">
                  <c:v>139.870667</c:v>
                </c:pt>
                <c:pt idx="1752">
                  <c:v>139.126114</c:v>
                </c:pt>
                <c:pt idx="1753">
                  <c:v>139.99473599999999</c:v>
                </c:pt>
                <c:pt idx="1754">
                  <c:v>139.985229</c:v>
                </c:pt>
                <c:pt idx="1755">
                  <c:v>139.96612500000001</c:v>
                </c:pt>
                <c:pt idx="1756">
                  <c:v>140.59610000000001</c:v>
                </c:pt>
                <c:pt idx="1757">
                  <c:v>142.199738</c:v>
                </c:pt>
                <c:pt idx="1758">
                  <c:v>140.74885599999999</c:v>
                </c:pt>
                <c:pt idx="1759">
                  <c:v>140.29066499999999</c:v>
                </c:pt>
                <c:pt idx="1760">
                  <c:v>138.066574</c:v>
                </c:pt>
                <c:pt idx="1761">
                  <c:v>136.873367</c:v>
                </c:pt>
                <c:pt idx="1762">
                  <c:v>138.897018</c:v>
                </c:pt>
                <c:pt idx="1763">
                  <c:v>138.26701399999999</c:v>
                </c:pt>
                <c:pt idx="1764">
                  <c:v>139.67976400000001</c:v>
                </c:pt>
                <c:pt idx="1765">
                  <c:v>139.55564899999999</c:v>
                </c:pt>
                <c:pt idx="1766">
                  <c:v>140.806107</c:v>
                </c:pt>
                <c:pt idx="1767">
                  <c:v>137.30290199999999</c:v>
                </c:pt>
                <c:pt idx="1768">
                  <c:v>137.216995</c:v>
                </c:pt>
                <c:pt idx="1769">
                  <c:v>134.105164</c:v>
                </c:pt>
                <c:pt idx="1770">
                  <c:v>132.94061300000001</c:v>
                </c:pt>
                <c:pt idx="1771">
                  <c:v>134.37243699999999</c:v>
                </c:pt>
                <c:pt idx="1772">
                  <c:v>134.78289799999999</c:v>
                </c:pt>
                <c:pt idx="1773">
                  <c:v>136.05244400000001</c:v>
                </c:pt>
                <c:pt idx="1774">
                  <c:v>137.79925499999999</c:v>
                </c:pt>
                <c:pt idx="1775">
                  <c:v>138.43884299999999</c:v>
                </c:pt>
                <c:pt idx="1776">
                  <c:v>139.20245399999999</c:v>
                </c:pt>
                <c:pt idx="1777">
                  <c:v>137.57972699999999</c:v>
                </c:pt>
                <c:pt idx="1778">
                  <c:v>137.47473099999999</c:v>
                </c:pt>
                <c:pt idx="1779">
                  <c:v>137.90428199999999</c:v>
                </c:pt>
                <c:pt idx="1780">
                  <c:v>139.04020700000001</c:v>
                </c:pt>
                <c:pt idx="1781">
                  <c:v>140.51020800000001</c:v>
                </c:pt>
                <c:pt idx="1782">
                  <c:v>131.40377799999999</c:v>
                </c:pt>
                <c:pt idx="1783">
                  <c:v>132.052887</c:v>
                </c:pt>
                <c:pt idx="1784">
                  <c:v>131.432388</c:v>
                </c:pt>
                <c:pt idx="1785">
                  <c:v>129.31333900000001</c:v>
                </c:pt>
                <c:pt idx="1786">
                  <c:v>127.156006</c:v>
                </c:pt>
                <c:pt idx="1787">
                  <c:v>125.953278</c:v>
                </c:pt>
                <c:pt idx="1788">
                  <c:v>124.015511</c:v>
                </c:pt>
                <c:pt idx="1789">
                  <c:v>125.39962800000001</c:v>
                </c:pt>
                <c:pt idx="1790">
                  <c:v>124.196884</c:v>
                </c:pt>
                <c:pt idx="1791">
                  <c:v>121.79141199999999</c:v>
                </c:pt>
                <c:pt idx="1792">
                  <c:v>121.734146</c:v>
                </c:pt>
                <c:pt idx="1793">
                  <c:v>123.251892</c:v>
                </c:pt>
                <c:pt idx="1794">
                  <c:v>122.068253</c:v>
                </c:pt>
                <c:pt idx="1795">
                  <c:v>123.032341</c:v>
                </c:pt>
                <c:pt idx="1796">
                  <c:v>126.172821</c:v>
                </c:pt>
                <c:pt idx="1797">
                  <c:v>126.12509900000001</c:v>
                </c:pt>
                <c:pt idx="1798">
                  <c:v>128.02465799999999</c:v>
                </c:pt>
                <c:pt idx="1799">
                  <c:v>127.366013</c:v>
                </c:pt>
                <c:pt idx="1800">
                  <c:v>127.32785</c:v>
                </c:pt>
                <c:pt idx="1801">
                  <c:v>126.26828</c:v>
                </c:pt>
                <c:pt idx="1802">
                  <c:v>124.61958300000001</c:v>
                </c:pt>
                <c:pt idx="1803">
                  <c:v>126.277855</c:v>
                </c:pt>
                <c:pt idx="1804">
                  <c:v>126.881737</c:v>
                </c:pt>
                <c:pt idx="1805">
                  <c:v>128.38664199999999</c:v>
                </c:pt>
                <c:pt idx="1806">
                  <c:v>127.591064</c:v>
                </c:pt>
                <c:pt idx="1807">
                  <c:v>128.45372</c:v>
                </c:pt>
                <c:pt idx="1808">
                  <c:v>129.527344</c:v>
                </c:pt>
                <c:pt idx="1809">
                  <c:v>131.00344799999999</c:v>
                </c:pt>
                <c:pt idx="1810">
                  <c:v>130.11203</c:v>
                </c:pt>
                <c:pt idx="1811">
                  <c:v>130.198273</c:v>
                </c:pt>
                <c:pt idx="1812">
                  <c:v>129.99696399999999</c:v>
                </c:pt>
                <c:pt idx="1813">
                  <c:v>133.64904799999999</c:v>
                </c:pt>
                <c:pt idx="1814">
                  <c:v>134.29125999999999</c:v>
                </c:pt>
                <c:pt idx="1815">
                  <c:v>134.00367700000001</c:v>
                </c:pt>
                <c:pt idx="1816">
                  <c:v>133.91743500000001</c:v>
                </c:pt>
                <c:pt idx="1817">
                  <c:v>133.984512</c:v>
                </c:pt>
                <c:pt idx="1818">
                  <c:v>134.00367700000001</c:v>
                </c:pt>
                <c:pt idx="1819">
                  <c:v>133.59153699999999</c:v>
                </c:pt>
                <c:pt idx="1820">
                  <c:v>133.54359400000001</c:v>
                </c:pt>
                <c:pt idx="1821">
                  <c:v>134.34877</c:v>
                </c:pt>
                <c:pt idx="1822">
                  <c:v>134.78009</c:v>
                </c:pt>
                <c:pt idx="1823">
                  <c:v>133.91743500000001</c:v>
                </c:pt>
                <c:pt idx="1824">
                  <c:v>134.95263700000001</c:v>
                </c:pt>
                <c:pt idx="1825">
                  <c:v>135.34562700000001</c:v>
                </c:pt>
                <c:pt idx="1826">
                  <c:v>133.87905900000001</c:v>
                </c:pt>
                <c:pt idx="1827">
                  <c:v>134.09951799999999</c:v>
                </c:pt>
                <c:pt idx="1828">
                  <c:v>132.192047</c:v>
                </c:pt>
                <c:pt idx="1829">
                  <c:v>132.642563</c:v>
                </c:pt>
                <c:pt idx="1830">
                  <c:v>132.17288199999999</c:v>
                </c:pt>
                <c:pt idx="1831">
                  <c:v>133.84072900000001</c:v>
                </c:pt>
                <c:pt idx="1832">
                  <c:v>134.10913099999999</c:v>
                </c:pt>
                <c:pt idx="1833">
                  <c:v>136.227509</c:v>
                </c:pt>
                <c:pt idx="1834">
                  <c:v>134.88554400000001</c:v>
                </c:pt>
                <c:pt idx="1835">
                  <c:v>134.770523</c:v>
                </c:pt>
                <c:pt idx="1836">
                  <c:v>135.73281900000001</c:v>
                </c:pt>
                <c:pt idx="1837">
                  <c:v>134.914886</c:v>
                </c:pt>
                <c:pt idx="1838">
                  <c:v>135.511505</c:v>
                </c:pt>
                <c:pt idx="1839">
                  <c:v>134.289368</c:v>
                </c:pt>
                <c:pt idx="1840">
                  <c:v>130.81546</c:v>
                </c:pt>
                <c:pt idx="1841">
                  <c:v>133.02874800000001</c:v>
                </c:pt>
                <c:pt idx="1842">
                  <c:v>134.26048299999999</c:v>
                </c:pt>
                <c:pt idx="1843">
                  <c:v>133.65425099999999</c:v>
                </c:pt>
                <c:pt idx="1844">
                  <c:v>136.56037900000001</c:v>
                </c:pt>
                <c:pt idx="1845">
                  <c:v>136.57002299999999</c:v>
                </c:pt>
                <c:pt idx="1846">
                  <c:v>137.05117799999999</c:v>
                </c:pt>
                <c:pt idx="1847">
                  <c:v>136.406418</c:v>
                </c:pt>
                <c:pt idx="1848">
                  <c:v>136.41604599999999</c:v>
                </c:pt>
                <c:pt idx="1849">
                  <c:v>136.97418200000001</c:v>
                </c:pt>
                <c:pt idx="1850">
                  <c:v>136.81059300000001</c:v>
                </c:pt>
                <c:pt idx="1851">
                  <c:v>136.34869399999999</c:v>
                </c:pt>
                <c:pt idx="1852">
                  <c:v>136.675873</c:v>
                </c:pt>
                <c:pt idx="1853">
                  <c:v>136.319839</c:v>
                </c:pt>
                <c:pt idx="1854">
                  <c:v>136.02151499999999</c:v>
                </c:pt>
                <c:pt idx="1855">
                  <c:v>136.2621</c:v>
                </c:pt>
                <c:pt idx="1856">
                  <c:v>136.50268600000001</c:v>
                </c:pt>
                <c:pt idx="1857">
                  <c:v>135.58845500000001</c:v>
                </c:pt>
                <c:pt idx="1858">
                  <c:v>134.558807</c:v>
                </c:pt>
                <c:pt idx="1859">
                  <c:v>133.837097</c:v>
                </c:pt>
                <c:pt idx="1860">
                  <c:v>134.60691800000001</c:v>
                </c:pt>
                <c:pt idx="1861">
                  <c:v>135.444107</c:v>
                </c:pt>
                <c:pt idx="1862">
                  <c:v>135.26127600000001</c:v>
                </c:pt>
                <c:pt idx="1863">
                  <c:v>134.722397</c:v>
                </c:pt>
                <c:pt idx="1864">
                  <c:v>131.979828</c:v>
                </c:pt>
                <c:pt idx="1865">
                  <c:v>132.528336</c:v>
                </c:pt>
                <c:pt idx="1866">
                  <c:v>130.07446300000001</c:v>
                </c:pt>
                <c:pt idx="1867">
                  <c:v>131.25810200000001</c:v>
                </c:pt>
                <c:pt idx="1868">
                  <c:v>131.86438000000001</c:v>
                </c:pt>
                <c:pt idx="1869">
                  <c:v>130.83470199999999</c:v>
                </c:pt>
                <c:pt idx="1870">
                  <c:v>131.748886</c:v>
                </c:pt>
                <c:pt idx="1871">
                  <c:v>133.307816</c:v>
                </c:pt>
                <c:pt idx="1872">
                  <c:v>132.89404300000001</c:v>
                </c:pt>
                <c:pt idx="1873">
                  <c:v>132.124191</c:v>
                </c:pt>
                <c:pt idx="1874">
                  <c:v>135.70394899999999</c:v>
                </c:pt>
                <c:pt idx="1875">
                  <c:v>134.068039</c:v>
                </c:pt>
                <c:pt idx="1876">
                  <c:v>134.828247</c:v>
                </c:pt>
                <c:pt idx="1877">
                  <c:v>134.664658</c:v>
                </c:pt>
                <c:pt idx="1878">
                  <c:v>134.443344</c:v>
                </c:pt>
                <c:pt idx="1879">
                  <c:v>134.32785000000001</c:v>
                </c:pt>
                <c:pt idx="1880">
                  <c:v>135.011078</c:v>
                </c:pt>
                <c:pt idx="1881">
                  <c:v>134.77050800000001</c:v>
                </c:pt>
                <c:pt idx="1882">
                  <c:v>135.28054800000001</c:v>
                </c:pt>
                <c:pt idx="1883">
                  <c:v>136.21397400000001</c:v>
                </c:pt>
                <c:pt idx="1884">
                  <c:v>136.319839</c:v>
                </c:pt>
                <c:pt idx="1885">
                  <c:v>136.22358700000001</c:v>
                </c:pt>
                <c:pt idx="1886">
                  <c:v>135.90602100000001</c:v>
                </c:pt>
                <c:pt idx="1887">
                  <c:v>136.52188100000001</c:v>
                </c:pt>
                <c:pt idx="1888">
                  <c:v>135.848297</c:v>
                </c:pt>
                <c:pt idx="1889">
                  <c:v>135.944534</c:v>
                </c:pt>
                <c:pt idx="1890">
                  <c:v>137.060776</c:v>
                </c:pt>
                <c:pt idx="1891">
                  <c:v>137.25325000000001</c:v>
                </c:pt>
                <c:pt idx="1892">
                  <c:v>137.26286300000001</c:v>
                </c:pt>
                <c:pt idx="1893">
                  <c:v>136.70474200000001</c:v>
                </c:pt>
                <c:pt idx="1894">
                  <c:v>136.87794500000001</c:v>
                </c:pt>
                <c:pt idx="1895">
                  <c:v>137.17628500000001</c:v>
                </c:pt>
                <c:pt idx="1896">
                  <c:v>136.85871900000001</c:v>
                </c:pt>
                <c:pt idx="1897">
                  <c:v>138.39840699999999</c:v>
                </c:pt>
                <c:pt idx="1898">
                  <c:v>137.45533800000001</c:v>
                </c:pt>
                <c:pt idx="1899">
                  <c:v>140.00543200000001</c:v>
                </c:pt>
                <c:pt idx="1900">
                  <c:v>139.75526400000001</c:v>
                </c:pt>
                <c:pt idx="1901">
                  <c:v>140.09204099999999</c:v>
                </c:pt>
                <c:pt idx="1902">
                  <c:v>143.07517999999999</c:v>
                </c:pt>
                <c:pt idx="1903">
                  <c:v>144.355042</c:v>
                </c:pt>
                <c:pt idx="1904">
                  <c:v>143.968704</c:v>
                </c:pt>
                <c:pt idx="1905">
                  <c:v>144.422684</c:v>
                </c:pt>
                <c:pt idx="1906">
                  <c:v>145.60098300000001</c:v>
                </c:pt>
                <c:pt idx="1907">
                  <c:v>145.55270400000001</c:v>
                </c:pt>
                <c:pt idx="1908">
                  <c:v>144.00735499999999</c:v>
                </c:pt>
                <c:pt idx="1909">
                  <c:v>144.98284899999999</c:v>
                </c:pt>
                <c:pt idx="1910">
                  <c:v>146.277084</c:v>
                </c:pt>
                <c:pt idx="1911">
                  <c:v>145.31123400000001</c:v>
                </c:pt>
                <c:pt idx="1912">
                  <c:v>143.81416300000001</c:v>
                </c:pt>
                <c:pt idx="1913">
                  <c:v>143.87211600000001</c:v>
                </c:pt>
                <c:pt idx="1914">
                  <c:v>142.31710799999999</c:v>
                </c:pt>
                <c:pt idx="1915">
                  <c:v>141.51547199999999</c:v>
                </c:pt>
                <c:pt idx="1916">
                  <c:v>142.65516700000001</c:v>
                </c:pt>
                <c:pt idx="1917">
                  <c:v>143.04151899999999</c:v>
                </c:pt>
                <c:pt idx="1918">
                  <c:v>142.73240699999999</c:v>
                </c:pt>
                <c:pt idx="1919">
                  <c:v>143.48576399999999</c:v>
                </c:pt>
                <c:pt idx="1920">
                  <c:v>144.15220600000001</c:v>
                </c:pt>
                <c:pt idx="1921">
                  <c:v>142.23983799999999</c:v>
                </c:pt>
                <c:pt idx="1922">
                  <c:v>142.42335499999999</c:v>
                </c:pt>
                <c:pt idx="1923">
                  <c:v>141.41888399999999</c:v>
                </c:pt>
                <c:pt idx="1924">
                  <c:v>140.90696700000001</c:v>
                </c:pt>
                <c:pt idx="1925">
                  <c:v>140.10533100000001</c:v>
                </c:pt>
                <c:pt idx="1926">
                  <c:v>139.37129200000001</c:v>
                </c:pt>
                <c:pt idx="1927">
                  <c:v>139.61274700000001</c:v>
                </c:pt>
                <c:pt idx="1928">
                  <c:v>140.07635500000001</c:v>
                </c:pt>
                <c:pt idx="1929">
                  <c:v>139.78660600000001</c:v>
                </c:pt>
                <c:pt idx="1930">
                  <c:v>137.86457799999999</c:v>
                </c:pt>
                <c:pt idx="1931">
                  <c:v>138.13500999999999</c:v>
                </c:pt>
                <c:pt idx="1932">
                  <c:v>137.816284</c:v>
                </c:pt>
                <c:pt idx="1933">
                  <c:v>137.89355499999999</c:v>
                </c:pt>
                <c:pt idx="1934">
                  <c:v>138.279877</c:v>
                </c:pt>
                <c:pt idx="1935">
                  <c:v>137.391312</c:v>
                </c:pt>
                <c:pt idx="1936">
                  <c:v>135.701065</c:v>
                </c:pt>
                <c:pt idx="1937">
                  <c:v>135.64312699999999</c:v>
                </c:pt>
                <c:pt idx="1938">
                  <c:v>134.61935399999999</c:v>
                </c:pt>
                <c:pt idx="1939">
                  <c:v>132.368942</c:v>
                </c:pt>
                <c:pt idx="1940">
                  <c:v>131.09397899999999</c:v>
                </c:pt>
                <c:pt idx="1941">
                  <c:v>131.95361299999999</c:v>
                </c:pt>
                <c:pt idx="1942">
                  <c:v>132.919479</c:v>
                </c:pt>
                <c:pt idx="1943">
                  <c:v>134.484116</c:v>
                </c:pt>
                <c:pt idx="1944">
                  <c:v>134.889771</c:v>
                </c:pt>
                <c:pt idx="1945">
                  <c:v>134.764206</c:v>
                </c:pt>
                <c:pt idx="1946">
                  <c:v>134.61935399999999</c:v>
                </c:pt>
                <c:pt idx="1947">
                  <c:v>133.64382900000001</c:v>
                </c:pt>
                <c:pt idx="1948">
                  <c:v>135.09262100000001</c:v>
                </c:pt>
                <c:pt idx="1949">
                  <c:v>135.74939000000001</c:v>
                </c:pt>
                <c:pt idx="1950">
                  <c:v>136.84079</c:v>
                </c:pt>
                <c:pt idx="1951">
                  <c:v>139.74797100000001</c:v>
                </c:pt>
                <c:pt idx="1952">
                  <c:v>141.01319899999999</c:v>
                </c:pt>
                <c:pt idx="1953">
                  <c:v>141.79556299999999</c:v>
                </c:pt>
                <c:pt idx="1954">
                  <c:v>143.27330000000001</c:v>
                </c:pt>
                <c:pt idx="1955">
                  <c:v>144.93454</c:v>
                </c:pt>
                <c:pt idx="1956">
                  <c:v>143.669296</c:v>
                </c:pt>
                <c:pt idx="1957">
                  <c:v>142.49096700000001</c:v>
                </c:pt>
                <c:pt idx="1958">
                  <c:v>143.379547</c:v>
                </c:pt>
                <c:pt idx="1959">
                  <c:v>144.31643700000001</c:v>
                </c:pt>
                <c:pt idx="1960">
                  <c:v>144.67373699999999</c:v>
                </c:pt>
                <c:pt idx="1961">
                  <c:v>144.60617099999999</c:v>
                </c:pt>
                <c:pt idx="1962">
                  <c:v>145.05046100000001</c:v>
                </c:pt>
                <c:pt idx="1963">
                  <c:v>146.11286899999999</c:v>
                </c:pt>
                <c:pt idx="1964">
                  <c:v>145.09873999999999</c:v>
                </c:pt>
                <c:pt idx="1965">
                  <c:v>144.17152400000001</c:v>
                </c:pt>
                <c:pt idx="1966">
                  <c:v>144.67373699999999</c:v>
                </c:pt>
                <c:pt idx="1967">
                  <c:v>143.369888</c:v>
                </c:pt>
                <c:pt idx="1968">
                  <c:v>143.42782600000001</c:v>
                </c:pt>
                <c:pt idx="1969">
                  <c:v>142.71312</c:v>
                </c:pt>
                <c:pt idx="1970">
                  <c:v>141.892166</c:v>
                </c:pt>
                <c:pt idx="1971">
                  <c:v>138.279877</c:v>
                </c:pt>
                <c:pt idx="1972">
                  <c:v>137.091904</c:v>
                </c:pt>
                <c:pt idx="1973">
                  <c:v>138.270218</c:v>
                </c:pt>
                <c:pt idx="1974">
                  <c:v>137.52654999999999</c:v>
                </c:pt>
                <c:pt idx="1975">
                  <c:v>139.8349</c:v>
                </c:pt>
                <c:pt idx="1976">
                  <c:v>140.82968099999999</c:v>
                </c:pt>
                <c:pt idx="1977">
                  <c:v>141.534775</c:v>
                </c:pt>
                <c:pt idx="1978">
                  <c:v>139.95079000000001</c:v>
                </c:pt>
                <c:pt idx="1979">
                  <c:v>137.758331</c:v>
                </c:pt>
                <c:pt idx="1980">
                  <c:v>135.82666</c:v>
                </c:pt>
                <c:pt idx="1981">
                  <c:v>132.455872</c:v>
                </c:pt>
                <c:pt idx="1982">
                  <c:v>130.84288000000001</c:v>
                </c:pt>
                <c:pt idx="1983">
                  <c:v>132.81320199999999</c:v>
                </c:pt>
                <c:pt idx="1984">
                  <c:v>134.252319</c:v>
                </c:pt>
                <c:pt idx="1985">
                  <c:v>133.81770299999999</c:v>
                </c:pt>
                <c:pt idx="1986">
                  <c:v>132.46549999999999</c:v>
                </c:pt>
                <c:pt idx="1987">
                  <c:v>134.307999</c:v>
                </c:pt>
                <c:pt idx="1988">
                  <c:v>136.761414</c:v>
                </c:pt>
                <c:pt idx="1989">
                  <c:v>139.224548</c:v>
                </c:pt>
                <c:pt idx="1990">
                  <c:v>140.55306999999999</c:v>
                </c:pt>
                <c:pt idx="1991">
                  <c:v>141.35797099999999</c:v>
                </c:pt>
                <c:pt idx="1992">
                  <c:v>139.00151099999999</c:v>
                </c:pt>
                <c:pt idx="1993">
                  <c:v>134.55043000000001</c:v>
                </c:pt>
                <c:pt idx="1994">
                  <c:v>134.98683199999999</c:v>
                </c:pt>
                <c:pt idx="1995">
                  <c:v>135.394104</c:v>
                </c:pt>
                <c:pt idx="1996">
                  <c:v>135.568634</c:v>
                </c:pt>
                <c:pt idx="1997">
                  <c:v>135.26805100000001</c:v>
                </c:pt>
                <c:pt idx="1998">
                  <c:v>136.499573</c:v>
                </c:pt>
                <c:pt idx="1999">
                  <c:v>138.45846599999999</c:v>
                </c:pt>
                <c:pt idx="2000">
                  <c:v>138.39056400000001</c:v>
                </c:pt>
                <c:pt idx="2001">
                  <c:v>138.83663899999999</c:v>
                </c:pt>
                <c:pt idx="2002">
                  <c:v>140.31063800000001</c:v>
                </c:pt>
                <c:pt idx="2003">
                  <c:v>140.271851</c:v>
                </c:pt>
                <c:pt idx="2004">
                  <c:v>137.702057</c:v>
                </c:pt>
                <c:pt idx="2005">
                  <c:v>139.56393399999999</c:v>
                </c:pt>
                <c:pt idx="2006">
                  <c:v>139.17607100000001</c:v>
                </c:pt>
                <c:pt idx="2007">
                  <c:v>140.504593</c:v>
                </c:pt>
                <c:pt idx="2008">
                  <c:v>140.23307800000001</c:v>
                </c:pt>
                <c:pt idx="2009">
                  <c:v>139.83549500000001</c:v>
                </c:pt>
                <c:pt idx="2010">
                  <c:v>139.09848</c:v>
                </c:pt>
                <c:pt idx="2011">
                  <c:v>141.067047</c:v>
                </c:pt>
                <c:pt idx="2012">
                  <c:v>140.66944899999999</c:v>
                </c:pt>
                <c:pt idx="2013">
                  <c:v>138.20631399999999</c:v>
                </c:pt>
                <c:pt idx="2014">
                  <c:v>139.58332799999999</c:v>
                </c:pt>
                <c:pt idx="2015">
                  <c:v>136.94567900000001</c:v>
                </c:pt>
                <c:pt idx="2016">
                  <c:v>135.94683800000001</c:v>
                </c:pt>
                <c:pt idx="2017">
                  <c:v>135.95657299999999</c:v>
                </c:pt>
                <c:pt idx="2018">
                  <c:v>132.99884</c:v>
                </c:pt>
                <c:pt idx="2019">
                  <c:v>131.64125100000001</c:v>
                </c:pt>
                <c:pt idx="2020">
                  <c:v>131.7285</c:v>
                </c:pt>
                <c:pt idx="2021">
                  <c:v>133.357651</c:v>
                </c:pt>
                <c:pt idx="2022">
                  <c:v>135.578339</c:v>
                </c:pt>
                <c:pt idx="2023">
                  <c:v>136.64506499999999</c:v>
                </c:pt>
                <c:pt idx="2024">
                  <c:v>136.58689899999999</c:v>
                </c:pt>
                <c:pt idx="2025">
                  <c:v>136.722656</c:v>
                </c:pt>
                <c:pt idx="2026">
                  <c:v>135.1129</c:v>
                </c:pt>
                <c:pt idx="2027">
                  <c:v>133.78431699999999</c:v>
                </c:pt>
                <c:pt idx="2028">
                  <c:v>133.813446</c:v>
                </c:pt>
                <c:pt idx="2029">
                  <c:v>133.52250699999999</c:v>
                </c:pt>
                <c:pt idx="2030">
                  <c:v>131.96125799999999</c:v>
                </c:pt>
                <c:pt idx="2031">
                  <c:v>131.233948</c:v>
                </c:pt>
                <c:pt idx="2032">
                  <c:v>129.89572100000001</c:v>
                </c:pt>
                <c:pt idx="2033">
                  <c:v>130.303009</c:v>
                </c:pt>
                <c:pt idx="2034">
                  <c:v>129.48841899999999</c:v>
                </c:pt>
                <c:pt idx="2035">
                  <c:v>134.67649800000001</c:v>
                </c:pt>
                <c:pt idx="2036">
                  <c:v>133.813446</c:v>
                </c:pt>
                <c:pt idx="2037">
                  <c:v>132.32002299999999</c:v>
                </c:pt>
                <c:pt idx="2038">
                  <c:v>130.96241800000001</c:v>
                </c:pt>
                <c:pt idx="2039">
                  <c:v>130.458145</c:v>
                </c:pt>
                <c:pt idx="2040">
                  <c:v>132.25216699999999</c:v>
                </c:pt>
                <c:pt idx="2041">
                  <c:v>131.069107</c:v>
                </c:pt>
                <c:pt idx="2042">
                  <c:v>131.87397799999999</c:v>
                </c:pt>
                <c:pt idx="2043">
                  <c:v>132.03883400000001</c:v>
                </c:pt>
                <c:pt idx="2044">
                  <c:v>135.07406599999999</c:v>
                </c:pt>
                <c:pt idx="2045">
                  <c:v>138.497253</c:v>
                </c:pt>
                <c:pt idx="2046">
                  <c:v>137.382034</c:v>
                </c:pt>
                <c:pt idx="2047">
                  <c:v>134.54075599999999</c:v>
                </c:pt>
                <c:pt idx="2048">
                  <c:v>135.23895300000001</c:v>
                </c:pt>
                <c:pt idx="2049">
                  <c:v>138.31298799999999</c:v>
                </c:pt>
                <c:pt idx="2050">
                  <c:v>137.769958</c:v>
                </c:pt>
                <c:pt idx="2051">
                  <c:v>139.69000199999999</c:v>
                </c:pt>
                <c:pt idx="2052">
                  <c:v>141.36762999999999</c:v>
                </c:pt>
                <c:pt idx="2053">
                  <c:v>140.95066800000001</c:v>
                </c:pt>
                <c:pt idx="2054">
                  <c:v>141.164841</c:v>
                </c:pt>
                <c:pt idx="2055">
                  <c:v>141.58343500000001</c:v>
                </c:pt>
                <c:pt idx="2056">
                  <c:v>140.405518</c:v>
                </c:pt>
                <c:pt idx="2057">
                  <c:v>139.98692299999999</c:v>
                </c:pt>
                <c:pt idx="2058">
                  <c:v>138.18598900000001</c:v>
                </c:pt>
                <c:pt idx="2059">
                  <c:v>139.042633</c:v>
                </c:pt>
                <c:pt idx="2060">
                  <c:v>139.64619400000001</c:v>
                </c:pt>
                <c:pt idx="2061">
                  <c:v>142.12855500000001</c:v>
                </c:pt>
                <c:pt idx="2062">
                  <c:v>143.325943</c:v>
                </c:pt>
                <c:pt idx="2063">
                  <c:v>145.89595</c:v>
                </c:pt>
                <c:pt idx="2064">
                  <c:v>144.971161</c:v>
                </c:pt>
                <c:pt idx="2065">
                  <c:v>147.005753</c:v>
                </c:pt>
                <c:pt idx="2066">
                  <c:v>147.034943</c:v>
                </c:pt>
                <c:pt idx="2067">
                  <c:v>147.45353700000001</c:v>
                </c:pt>
                <c:pt idx="2068">
                  <c:v>150.88020299999999</c:v>
                </c:pt>
                <c:pt idx="2069">
                  <c:v>152.38909899999999</c:v>
                </c:pt>
                <c:pt idx="2070">
                  <c:v>153.23603800000001</c:v>
                </c:pt>
                <c:pt idx="2071">
                  <c:v>150.198746</c:v>
                </c:pt>
                <c:pt idx="2072">
                  <c:v>149.16686999999999</c:v>
                </c:pt>
                <c:pt idx="2073">
                  <c:v>153.05107100000001</c:v>
                </c:pt>
                <c:pt idx="2074">
                  <c:v>152.91478000000001</c:v>
                </c:pt>
                <c:pt idx="2075">
                  <c:v>151.74659700000001</c:v>
                </c:pt>
                <c:pt idx="2076">
                  <c:v>153.46966599999999</c:v>
                </c:pt>
                <c:pt idx="2077">
                  <c:v>155.39717099999999</c:v>
                </c:pt>
                <c:pt idx="2078">
                  <c:v>155.630798</c:v>
                </c:pt>
                <c:pt idx="2079">
                  <c:v>152.70062300000001</c:v>
                </c:pt>
                <c:pt idx="2080">
                  <c:v>152.77848800000001</c:v>
                </c:pt>
                <c:pt idx="2081">
                  <c:v>151.18197599999999</c:v>
                </c:pt>
                <c:pt idx="2082">
                  <c:v>150.15010100000001</c:v>
                </c:pt>
                <c:pt idx="2083">
                  <c:v>152.06785600000001</c:v>
                </c:pt>
                <c:pt idx="2084">
                  <c:v>148.933243</c:v>
                </c:pt>
                <c:pt idx="2085">
                  <c:v>147.949997</c:v>
                </c:pt>
                <c:pt idx="2086">
                  <c:v>148.465958</c:v>
                </c:pt>
                <c:pt idx="2087">
                  <c:v>150.520004</c:v>
                </c:pt>
                <c:pt idx="2088">
                  <c:v>149.23034699999999</c:v>
                </c:pt>
                <c:pt idx="2089">
                  <c:v>146.12339800000001</c:v>
                </c:pt>
                <c:pt idx="2090">
                  <c:v>147.833191</c:v>
                </c:pt>
                <c:pt idx="2091">
                  <c:v>145.75213600000001</c:v>
                </c:pt>
                <c:pt idx="2092">
                  <c:v>144.227982</c:v>
                </c:pt>
                <c:pt idx="2093">
                  <c:v>144.09120200000001</c:v>
                </c:pt>
                <c:pt idx="2094">
                  <c:v>144.64810199999999</c:v>
                </c:pt>
                <c:pt idx="2095">
                  <c:v>144.80444299999999</c:v>
                </c:pt>
                <c:pt idx="2096">
                  <c:v>128.33184800000001</c:v>
                </c:pt>
                <c:pt idx="2097">
                  <c:v>119.616798</c:v>
                </c:pt>
                <c:pt idx="2098">
                  <c:v>116.334007</c:v>
                </c:pt>
                <c:pt idx="2099">
                  <c:v>116.461021</c:v>
                </c:pt>
                <c:pt idx="2100">
                  <c:v>119.782906</c:v>
                </c:pt>
                <c:pt idx="2101">
                  <c:v>121.277748</c:v>
                </c:pt>
                <c:pt idx="2102">
                  <c:v>120.535202</c:v>
                </c:pt>
                <c:pt idx="2103">
                  <c:v>123.104767</c:v>
                </c:pt>
                <c:pt idx="2104">
                  <c:v>125.527779</c:v>
                </c:pt>
                <c:pt idx="2105">
                  <c:v>125.674347</c:v>
                </c:pt>
                <c:pt idx="2106">
                  <c:v>122.56740600000001</c:v>
                </c:pt>
                <c:pt idx="2107">
                  <c:v>124.580078</c:v>
                </c:pt>
                <c:pt idx="2108">
                  <c:v>122.440392</c:v>
                </c:pt>
                <c:pt idx="2109">
                  <c:v>122.000748</c:v>
                </c:pt>
                <c:pt idx="2110">
                  <c:v>120.535202</c:v>
                </c:pt>
                <c:pt idx="2111">
                  <c:v>119.48979199999999</c:v>
                </c:pt>
                <c:pt idx="2112">
                  <c:v>118.239197</c:v>
                </c:pt>
                <c:pt idx="2113">
                  <c:v>118.903572</c:v>
                </c:pt>
                <c:pt idx="2114">
                  <c:v>116.666206</c:v>
                </c:pt>
                <c:pt idx="2115">
                  <c:v>116.71505000000001</c:v>
                </c:pt>
                <c:pt idx="2116">
                  <c:v>116.636887</c:v>
                </c:pt>
                <c:pt idx="2117">
                  <c:v>117.848389</c:v>
                </c:pt>
                <c:pt idx="2118">
                  <c:v>115.57192999999999</c:v>
                </c:pt>
                <c:pt idx="2119">
                  <c:v>119.36277800000001</c:v>
                </c:pt>
                <c:pt idx="2120">
                  <c:v>117.91677900000001</c:v>
                </c:pt>
                <c:pt idx="2121">
                  <c:v>120.77945699999999</c:v>
                </c:pt>
                <c:pt idx="2122">
                  <c:v>120.87715900000001</c:v>
                </c:pt>
                <c:pt idx="2123">
                  <c:v>121.267982</c:v>
                </c:pt>
                <c:pt idx="2124">
                  <c:v>119.558182</c:v>
                </c:pt>
                <c:pt idx="2125">
                  <c:v>119.118523</c:v>
                </c:pt>
                <c:pt idx="2126">
                  <c:v>118.786331</c:v>
                </c:pt>
                <c:pt idx="2127">
                  <c:v>119.81220999999999</c:v>
                </c:pt>
                <c:pt idx="2128">
                  <c:v>121.394981</c:v>
                </c:pt>
                <c:pt idx="2129">
                  <c:v>122.25475299999999</c:v>
                </c:pt>
                <c:pt idx="2130">
                  <c:v>122.440392</c:v>
                </c:pt>
                <c:pt idx="2131">
                  <c:v>122.518562</c:v>
                </c:pt>
                <c:pt idx="2132">
                  <c:v>122.56740600000001</c:v>
                </c:pt>
                <c:pt idx="2133">
                  <c:v>122.196144</c:v>
                </c:pt>
                <c:pt idx="2134">
                  <c:v>122.48925800000001</c:v>
                </c:pt>
                <c:pt idx="2135">
                  <c:v>124.88294999999999</c:v>
                </c:pt>
                <c:pt idx="2136">
                  <c:v>126.10423299999999</c:v>
                </c:pt>
                <c:pt idx="2137">
                  <c:v>125.811127</c:v>
                </c:pt>
                <c:pt idx="2138">
                  <c:v>126.58297</c:v>
                </c:pt>
                <c:pt idx="2139">
                  <c:v>127.63814499999999</c:v>
                </c:pt>
                <c:pt idx="2140">
                  <c:v>129.504257</c:v>
                </c:pt>
                <c:pt idx="2141">
                  <c:v>129.172089</c:v>
                </c:pt>
                <c:pt idx="2142">
                  <c:v>128.986435</c:v>
                </c:pt>
                <c:pt idx="2143">
                  <c:v>119.17714700000001</c:v>
                </c:pt>
                <c:pt idx="2144">
                  <c:v>123.681206</c:v>
                </c:pt>
                <c:pt idx="2145">
                  <c:v>126.76860000000001</c:v>
                </c:pt>
                <c:pt idx="2146">
                  <c:v>129.015762</c:v>
                </c:pt>
                <c:pt idx="2147">
                  <c:v>129.49449200000001</c:v>
                </c:pt>
                <c:pt idx="2148">
                  <c:v>129.631271</c:v>
                </c:pt>
                <c:pt idx="2149">
                  <c:v>127.501373</c:v>
                </c:pt>
                <c:pt idx="2150">
                  <c:v>122.684647</c:v>
                </c:pt>
                <c:pt idx="2151">
                  <c:v>123.671448</c:v>
                </c:pt>
                <c:pt idx="2152">
                  <c:v>124.677773</c:v>
                </c:pt>
                <c:pt idx="2153">
                  <c:v>125.908821</c:v>
                </c:pt>
                <c:pt idx="2154">
                  <c:v>126.172623</c:v>
                </c:pt>
                <c:pt idx="2155">
                  <c:v>127.389404</c:v>
                </c:pt>
                <c:pt idx="2156">
                  <c:v>129.744461</c:v>
                </c:pt>
                <c:pt idx="2157">
                  <c:v>130.11737099999999</c:v>
                </c:pt>
                <c:pt idx="2158">
                  <c:v>136.760605</c:v>
                </c:pt>
                <c:pt idx="2159">
                  <c:v>136.907791</c:v>
                </c:pt>
                <c:pt idx="2160">
                  <c:v>136.466217</c:v>
                </c:pt>
                <c:pt idx="2161">
                  <c:v>134.45459</c:v>
                </c:pt>
                <c:pt idx="2162">
                  <c:v>132.05046100000001</c:v>
                </c:pt>
                <c:pt idx="2163">
                  <c:v>131.49113500000001</c:v>
                </c:pt>
                <c:pt idx="2164">
                  <c:v>132.442993</c:v>
                </c:pt>
                <c:pt idx="2165">
                  <c:v>133.32614100000001</c:v>
                </c:pt>
                <c:pt idx="2166">
                  <c:v>129.13609299999999</c:v>
                </c:pt>
                <c:pt idx="2167">
                  <c:v>130.39212000000001</c:v>
                </c:pt>
                <c:pt idx="2168">
                  <c:v>129.99960300000001</c:v>
                </c:pt>
                <c:pt idx="2169">
                  <c:v>130.068298</c:v>
                </c:pt>
                <c:pt idx="2170">
                  <c:v>131.962143</c:v>
                </c:pt>
                <c:pt idx="2171">
                  <c:v>130.50985700000001</c:v>
                </c:pt>
                <c:pt idx="2172">
                  <c:v>129.862213</c:v>
                </c:pt>
                <c:pt idx="2173">
                  <c:v>133.19856300000001</c:v>
                </c:pt>
                <c:pt idx="2174">
                  <c:v>133.87562600000001</c:v>
                </c:pt>
                <c:pt idx="2175">
                  <c:v>134.27795399999999</c:v>
                </c:pt>
                <c:pt idx="2176">
                  <c:v>135.48493999999999</c:v>
                </c:pt>
                <c:pt idx="2177">
                  <c:v>132.688309</c:v>
                </c:pt>
                <c:pt idx="2178">
                  <c:v>132.39392100000001</c:v>
                </c:pt>
                <c:pt idx="2179">
                  <c:v>130.97105400000001</c:v>
                </c:pt>
                <c:pt idx="2180">
                  <c:v>130.696304</c:v>
                </c:pt>
                <c:pt idx="2181">
                  <c:v>131.81497200000001</c:v>
                </c:pt>
                <c:pt idx="2182">
                  <c:v>131.049576</c:v>
                </c:pt>
                <c:pt idx="2183">
                  <c:v>132.246735</c:v>
                </c:pt>
                <c:pt idx="2184">
                  <c:v>130.89257799999999</c:v>
                </c:pt>
                <c:pt idx="2185">
                  <c:v>127.624916</c:v>
                </c:pt>
                <c:pt idx="2186">
                  <c:v>128.851517</c:v>
                </c:pt>
                <c:pt idx="2187">
                  <c:v>128.498245</c:v>
                </c:pt>
                <c:pt idx="2188">
                  <c:v>130.61779799999999</c:v>
                </c:pt>
                <c:pt idx="2189">
                  <c:v>129.77387999999999</c:v>
                </c:pt>
                <c:pt idx="2190">
                  <c:v>127.271652</c:v>
                </c:pt>
                <c:pt idx="2191">
                  <c:v>130.048676</c:v>
                </c:pt>
                <c:pt idx="2192">
                  <c:v>131.73644999999999</c:v>
                </c:pt>
                <c:pt idx="2193">
                  <c:v>130.43135100000001</c:v>
                </c:pt>
                <c:pt idx="2194">
                  <c:v>129.21456900000001</c:v>
                </c:pt>
                <c:pt idx="2195">
                  <c:v>126.15300000000001</c:v>
                </c:pt>
                <c:pt idx="2196">
                  <c:v>126.89876599999999</c:v>
                </c:pt>
                <c:pt idx="2197">
                  <c:v>130.186035</c:v>
                </c:pt>
                <c:pt idx="2198">
                  <c:v>128.714111</c:v>
                </c:pt>
                <c:pt idx="2199">
                  <c:v>129.80332899999999</c:v>
                </c:pt>
                <c:pt idx="2200">
                  <c:v>127.987961</c:v>
                </c:pt>
                <c:pt idx="2201">
                  <c:v>128.91038499999999</c:v>
                </c:pt>
                <c:pt idx="2202">
                  <c:v>131.628525</c:v>
                </c:pt>
                <c:pt idx="2203">
                  <c:v>131.25563</c:v>
                </c:pt>
                <c:pt idx="2204">
                  <c:v>131.579453</c:v>
                </c:pt>
                <c:pt idx="2205">
                  <c:v>134.23872399999999</c:v>
                </c:pt>
                <c:pt idx="2206">
                  <c:v>136.79984999999999</c:v>
                </c:pt>
                <c:pt idx="2207">
                  <c:v>137.447495</c:v>
                </c:pt>
                <c:pt idx="2208">
                  <c:v>138.49745200000001</c:v>
                </c:pt>
                <c:pt idx="2209">
                  <c:v>138.095123</c:v>
                </c:pt>
                <c:pt idx="2210">
                  <c:v>139.841812</c:v>
                </c:pt>
                <c:pt idx="2211">
                  <c:v>139.665176</c:v>
                </c:pt>
                <c:pt idx="2212">
                  <c:v>139.03717</c:v>
                </c:pt>
                <c:pt idx="2213">
                  <c:v>138.114746</c:v>
                </c:pt>
                <c:pt idx="2214">
                  <c:v>138.08532700000001</c:v>
                </c:pt>
                <c:pt idx="2215">
                  <c:v>138.330658</c:v>
                </c:pt>
                <c:pt idx="2216">
                  <c:v>139.782928</c:v>
                </c:pt>
                <c:pt idx="2217">
                  <c:v>140.11656199999999</c:v>
                </c:pt>
                <c:pt idx="2218">
                  <c:v>136.858734</c:v>
                </c:pt>
                <c:pt idx="2219">
                  <c:v>139.69461100000001</c:v>
                </c:pt>
                <c:pt idx="2220">
                  <c:v>139.910492</c:v>
                </c:pt>
                <c:pt idx="2221">
                  <c:v>135.79894999999999</c:v>
                </c:pt>
                <c:pt idx="2222">
                  <c:v>144.67950400000001</c:v>
                </c:pt>
                <c:pt idx="2223">
                  <c:v>145.71965</c:v>
                </c:pt>
                <c:pt idx="2224">
                  <c:v>145.22901899999999</c:v>
                </c:pt>
                <c:pt idx="2225">
                  <c:v>147.41726700000001</c:v>
                </c:pt>
                <c:pt idx="2226">
                  <c:v>148.32003800000001</c:v>
                </c:pt>
                <c:pt idx="2227">
                  <c:v>148.84993</c:v>
                </c:pt>
                <c:pt idx="2228">
                  <c:v>149.56626900000001</c:v>
                </c:pt>
                <c:pt idx="2229">
                  <c:v>150.204117</c:v>
                </c:pt>
                <c:pt idx="2230">
                  <c:v>150.635864</c:v>
                </c:pt>
                <c:pt idx="2231">
                  <c:v>150.105988</c:v>
                </c:pt>
                <c:pt idx="2232">
                  <c:v>149.56626900000001</c:v>
                </c:pt>
                <c:pt idx="2233">
                  <c:v>150.49847399999999</c:v>
                </c:pt>
                <c:pt idx="2234">
                  <c:v>150.35128800000001</c:v>
                </c:pt>
                <c:pt idx="2235">
                  <c:v>148.81068400000001</c:v>
                </c:pt>
                <c:pt idx="2236">
                  <c:v>147.08363299999999</c:v>
                </c:pt>
                <c:pt idx="2237">
                  <c:v>146.31823700000001</c:v>
                </c:pt>
                <c:pt idx="2238">
                  <c:v>146.54478499999999</c:v>
                </c:pt>
                <c:pt idx="2239">
                  <c:v>143.12690699999999</c:v>
                </c:pt>
                <c:pt idx="2240">
                  <c:v>145.79621900000001</c:v>
                </c:pt>
                <c:pt idx="2241">
                  <c:v>145.27418499999999</c:v>
                </c:pt>
                <c:pt idx="2242">
                  <c:v>144.46649199999999</c:v>
                </c:pt>
                <c:pt idx="2243">
                  <c:v>143.176163</c:v>
                </c:pt>
                <c:pt idx="2244">
                  <c:v>140.60536200000001</c:v>
                </c:pt>
                <c:pt idx="2245">
                  <c:v>140.65463299999999</c:v>
                </c:pt>
                <c:pt idx="2246">
                  <c:v>141.88584900000001</c:v>
                </c:pt>
                <c:pt idx="2247">
                  <c:v>142.99887100000001</c:v>
                </c:pt>
                <c:pt idx="2248">
                  <c:v>141.32440199999999</c:v>
                </c:pt>
                <c:pt idx="2249">
                  <c:v>141.61003099999999</c:v>
                </c:pt>
                <c:pt idx="2250">
                  <c:v>141.64944499999999</c:v>
                </c:pt>
                <c:pt idx="2251">
                  <c:v>139.16729699999999</c:v>
                </c:pt>
                <c:pt idx="2252">
                  <c:v>140.01438899999999</c:v>
                </c:pt>
                <c:pt idx="2253">
                  <c:v>139.65978999999999</c:v>
                </c:pt>
                <c:pt idx="2254">
                  <c:v>141.44262699999999</c:v>
                </c:pt>
                <c:pt idx="2255">
                  <c:v>141.60020399999999</c:v>
                </c:pt>
                <c:pt idx="2256">
                  <c:v>141.117569</c:v>
                </c:pt>
                <c:pt idx="2257">
                  <c:v>144.57482899999999</c:v>
                </c:pt>
                <c:pt idx="2258">
                  <c:v>142.77233899999999</c:v>
                </c:pt>
                <c:pt idx="2259">
                  <c:v>142.68367000000001</c:v>
                </c:pt>
                <c:pt idx="2260">
                  <c:v>143.93460099999999</c:v>
                </c:pt>
                <c:pt idx="2261">
                  <c:v>142.63441499999999</c:v>
                </c:pt>
                <c:pt idx="2262">
                  <c:v>143.107193</c:v>
                </c:pt>
                <c:pt idx="2263">
                  <c:v>142.24044799999999</c:v>
                </c:pt>
                <c:pt idx="2264">
                  <c:v>138.72406000000001</c:v>
                </c:pt>
                <c:pt idx="2265">
                  <c:v>136.74427800000001</c:v>
                </c:pt>
                <c:pt idx="2266">
                  <c:v>138.42855800000001</c:v>
                </c:pt>
                <c:pt idx="2267">
                  <c:v>140.49704</c:v>
                </c:pt>
                <c:pt idx="2268">
                  <c:v>140.871307</c:v>
                </c:pt>
                <c:pt idx="2269">
                  <c:v>140.20152300000001</c:v>
                </c:pt>
                <c:pt idx="2270">
                  <c:v>140.073486</c:v>
                </c:pt>
                <c:pt idx="2271">
                  <c:v>141.14712499999999</c:v>
                </c:pt>
                <c:pt idx="2272">
                  <c:v>140.01438899999999</c:v>
                </c:pt>
                <c:pt idx="2273">
                  <c:v>141.70854199999999</c:v>
                </c:pt>
                <c:pt idx="2274">
                  <c:v>142.49653599999999</c:v>
                </c:pt>
                <c:pt idx="2275">
                  <c:v>141.46229600000001</c:v>
                </c:pt>
                <c:pt idx="2276">
                  <c:v>139.580994</c:v>
                </c:pt>
                <c:pt idx="2277">
                  <c:v>138.56646699999999</c:v>
                </c:pt>
                <c:pt idx="2278">
                  <c:v>138.861954</c:v>
                </c:pt>
                <c:pt idx="2279">
                  <c:v>138.11338799999999</c:v>
                </c:pt>
                <c:pt idx="2280">
                  <c:v>139.39385999999999</c:v>
                </c:pt>
                <c:pt idx="2281">
                  <c:v>141.56080600000001</c:v>
                </c:pt>
                <c:pt idx="2282">
                  <c:v>143.71791099999999</c:v>
                </c:pt>
                <c:pt idx="2283">
                  <c:v>143.304214</c:v>
                </c:pt>
                <c:pt idx="2284">
                  <c:v>144.36799600000001</c:v>
                </c:pt>
                <c:pt idx="2285">
                  <c:v>142.10253900000001</c:v>
                </c:pt>
                <c:pt idx="2286">
                  <c:v>144.23994400000001</c:v>
                </c:pt>
                <c:pt idx="2287">
                  <c:v>145.11657700000001</c:v>
                </c:pt>
                <c:pt idx="2288">
                  <c:v>142.07299800000001</c:v>
                </c:pt>
                <c:pt idx="2289">
                  <c:v>139.955276</c:v>
                </c:pt>
                <c:pt idx="2290">
                  <c:v>140.32959</c:v>
                </c:pt>
                <c:pt idx="2291">
                  <c:v>139.31504799999999</c:v>
                </c:pt>
                <c:pt idx="2292">
                  <c:v>139.99468999999999</c:v>
                </c:pt>
                <c:pt idx="2293">
                  <c:v>138.04441800000001</c:v>
                </c:pt>
                <c:pt idx="2294">
                  <c:v>138.38917499999999</c:v>
                </c:pt>
                <c:pt idx="2295">
                  <c:v>138.55664100000001</c:v>
                </c:pt>
                <c:pt idx="2296">
                  <c:v>138.536911</c:v>
                </c:pt>
                <c:pt idx="2297">
                  <c:v>137.15795900000001</c:v>
                </c:pt>
                <c:pt idx="2298">
                  <c:v>136.025238</c:v>
                </c:pt>
                <c:pt idx="2299">
                  <c:v>135.109207</c:v>
                </c:pt>
                <c:pt idx="2300">
                  <c:v>134.91223099999999</c:v>
                </c:pt>
                <c:pt idx="2301">
                  <c:v>135.30621300000001</c:v>
                </c:pt>
                <c:pt idx="2302">
                  <c:v>136.025238</c:v>
                </c:pt>
                <c:pt idx="2303">
                  <c:v>137.542114</c:v>
                </c:pt>
                <c:pt idx="2304">
                  <c:v>136.760773</c:v>
                </c:pt>
                <c:pt idx="2305">
                  <c:v>137.86845400000001</c:v>
                </c:pt>
                <c:pt idx="2306">
                  <c:v>139.35199</c:v>
                </c:pt>
                <c:pt idx="2307">
                  <c:v>138.877274</c:v>
                </c:pt>
                <c:pt idx="2308">
                  <c:v>137.98715200000001</c:v>
                </c:pt>
                <c:pt idx="2309">
                  <c:v>139.10472100000001</c:v>
                </c:pt>
                <c:pt idx="2310">
                  <c:v>140.242096</c:v>
                </c:pt>
                <c:pt idx="2311">
                  <c:v>142.58606</c:v>
                </c:pt>
                <c:pt idx="2312">
                  <c:v>142.03222700000001</c:v>
                </c:pt>
                <c:pt idx="2313">
                  <c:v>142.645386</c:v>
                </c:pt>
                <c:pt idx="2314">
                  <c:v>144.06958</c:v>
                </c:pt>
                <c:pt idx="2315">
                  <c:v>145.83003199999999</c:v>
                </c:pt>
                <c:pt idx="2316">
                  <c:v>147.05641199999999</c:v>
                </c:pt>
                <c:pt idx="2317">
                  <c:v>145.61244199999999</c:v>
                </c:pt>
                <c:pt idx="2318">
                  <c:v>148.02563499999999</c:v>
                </c:pt>
                <c:pt idx="2319">
                  <c:v>149.14323400000001</c:v>
                </c:pt>
                <c:pt idx="2320">
                  <c:v>148.856415</c:v>
                </c:pt>
                <c:pt idx="2321">
                  <c:v>148.42126500000001</c:v>
                </c:pt>
                <c:pt idx="2322">
                  <c:v>147.699265</c:v>
                </c:pt>
                <c:pt idx="2323">
                  <c:v>147.84762599999999</c:v>
                </c:pt>
                <c:pt idx="2324">
                  <c:v>146.84869399999999</c:v>
                </c:pt>
                <c:pt idx="2325">
                  <c:v>147.87728899999999</c:v>
                </c:pt>
                <c:pt idx="2326">
                  <c:v>148.20367400000001</c:v>
                </c:pt>
                <c:pt idx="2327">
                  <c:v>148.361908</c:v>
                </c:pt>
                <c:pt idx="2328">
                  <c:v>149.31137100000001</c:v>
                </c:pt>
                <c:pt idx="2329">
                  <c:v>150.06300400000001</c:v>
                </c:pt>
                <c:pt idx="2330">
                  <c:v>151.08169599999999</c:v>
                </c:pt>
                <c:pt idx="2331">
                  <c:v>149.90477000000001</c:v>
                </c:pt>
                <c:pt idx="2332">
                  <c:v>149.252014</c:v>
                </c:pt>
                <c:pt idx="2333">
                  <c:v>149.716858</c:v>
                </c:pt>
                <c:pt idx="2334">
                  <c:v>149.31137100000001</c:v>
                </c:pt>
                <c:pt idx="2335">
                  <c:v>149.92454499999999</c:v>
                </c:pt>
                <c:pt idx="2336">
                  <c:v>149.51904300000001</c:v>
                </c:pt>
                <c:pt idx="2337">
                  <c:v>148.96519499999999</c:v>
                </c:pt>
                <c:pt idx="2338">
                  <c:v>149.382172</c:v>
                </c:pt>
                <c:pt idx="2339">
                  <c:v>150.672775</c:v>
                </c:pt>
                <c:pt idx="2340">
                  <c:v>151.615906</c:v>
                </c:pt>
                <c:pt idx="2341">
                  <c:v>151.874008</c:v>
                </c:pt>
                <c:pt idx="2342">
                  <c:v>151.44712799999999</c:v>
                </c:pt>
                <c:pt idx="2343">
                  <c:v>152.01300000000001</c:v>
                </c:pt>
                <c:pt idx="2344">
                  <c:v>151.96336400000001</c:v>
                </c:pt>
                <c:pt idx="2345">
                  <c:v>150.781982</c:v>
                </c:pt>
                <c:pt idx="2346">
                  <c:v>148.69714400000001</c:v>
                </c:pt>
                <c:pt idx="2347">
                  <c:v>148.448959</c:v>
                </c:pt>
                <c:pt idx="2348">
                  <c:v>150.37493900000001</c:v>
                </c:pt>
                <c:pt idx="2349">
                  <c:v>148.82621800000001</c:v>
                </c:pt>
                <c:pt idx="2350">
                  <c:v>147.515747</c:v>
                </c:pt>
                <c:pt idx="2351">
                  <c:v>147.23777799999999</c:v>
                </c:pt>
                <c:pt idx="2352">
                  <c:v>146.56269800000001</c:v>
                </c:pt>
                <c:pt idx="2353">
                  <c:v>145.10333299999999</c:v>
                </c:pt>
                <c:pt idx="2354">
                  <c:v>145.361435</c:v>
                </c:pt>
                <c:pt idx="2355">
                  <c:v>145.00404399999999</c:v>
                </c:pt>
                <c:pt idx="2356">
                  <c:v>145.80819700000001</c:v>
                </c:pt>
                <c:pt idx="2357">
                  <c:v>146.34428399999999</c:v>
                </c:pt>
                <c:pt idx="2358">
                  <c:v>147.74409499999999</c:v>
                </c:pt>
                <c:pt idx="2359">
                  <c:v>148.717026</c:v>
                </c:pt>
                <c:pt idx="2360">
                  <c:v>148.69714400000001</c:v>
                </c:pt>
                <c:pt idx="2361">
                  <c:v>148.915558</c:v>
                </c:pt>
                <c:pt idx="2362">
                  <c:v>151.06987000000001</c:v>
                </c:pt>
                <c:pt idx="2363">
                  <c:v>151.98323099999999</c:v>
                </c:pt>
                <c:pt idx="2364">
                  <c:v>152.98593099999999</c:v>
                </c:pt>
                <c:pt idx="2365">
                  <c:v>154.17726099999999</c:v>
                </c:pt>
                <c:pt idx="2366">
                  <c:v>155.73588599999999</c:v>
                </c:pt>
                <c:pt idx="2367">
                  <c:v>156.589676</c:v>
                </c:pt>
                <c:pt idx="2368">
                  <c:v>154.40557899999999</c:v>
                </c:pt>
                <c:pt idx="2369">
                  <c:v>153.04548600000001</c:v>
                </c:pt>
                <c:pt idx="2370">
                  <c:v>153.34333799999999</c:v>
                </c:pt>
                <c:pt idx="2371">
                  <c:v>154.62399300000001</c:v>
                </c:pt>
                <c:pt idx="2372">
                  <c:v>154.336105</c:v>
                </c:pt>
                <c:pt idx="2373">
                  <c:v>153.92906199999999</c:v>
                </c:pt>
                <c:pt idx="2374">
                  <c:v>153.373108</c:v>
                </c:pt>
                <c:pt idx="2375">
                  <c:v>154.207031</c:v>
                </c:pt>
                <c:pt idx="2376">
                  <c:v>153.164627</c:v>
                </c:pt>
                <c:pt idx="2377">
                  <c:v>156.04364000000001</c:v>
                </c:pt>
                <c:pt idx="2378">
                  <c:v>157.056274</c:v>
                </c:pt>
                <c:pt idx="2379">
                  <c:v>156.96693400000001</c:v>
                </c:pt>
                <c:pt idx="2380">
                  <c:v>155.97416699999999</c:v>
                </c:pt>
                <c:pt idx="2381">
                  <c:v>152.38034099999999</c:v>
                </c:pt>
                <c:pt idx="2382">
                  <c:v>153.76028400000001</c:v>
                </c:pt>
                <c:pt idx="2383">
                  <c:v>153.53195199999999</c:v>
                </c:pt>
                <c:pt idx="2384">
                  <c:v>153.91911300000001</c:v>
                </c:pt>
                <c:pt idx="2385">
                  <c:v>153.01570100000001</c:v>
                </c:pt>
                <c:pt idx="2386">
                  <c:v>153.54186999999999</c:v>
                </c:pt>
                <c:pt idx="2387">
                  <c:v>153.73049900000001</c:v>
                </c:pt>
                <c:pt idx="2388">
                  <c:v>153.45253</c:v>
                </c:pt>
                <c:pt idx="2389">
                  <c:v>153.50216699999999</c:v>
                </c:pt>
                <c:pt idx="2390">
                  <c:v>156.34149199999999</c:v>
                </c:pt>
                <c:pt idx="2391">
                  <c:v>157.22505200000001</c:v>
                </c:pt>
                <c:pt idx="2392">
                  <c:v>158.14833100000001</c:v>
                </c:pt>
                <c:pt idx="2393">
                  <c:v>158.01925700000001</c:v>
                </c:pt>
                <c:pt idx="2394">
                  <c:v>158.585159</c:v>
                </c:pt>
                <c:pt idx="2395">
                  <c:v>158.009354</c:v>
                </c:pt>
                <c:pt idx="2396">
                  <c:v>158.75393700000001</c:v>
                </c:pt>
                <c:pt idx="2397">
                  <c:v>158.704285</c:v>
                </c:pt>
                <c:pt idx="2398">
                  <c:v>157.95970199999999</c:v>
                </c:pt>
                <c:pt idx="2399">
                  <c:v>158.06890899999999</c:v>
                </c:pt>
                <c:pt idx="2400">
                  <c:v>158.10861199999999</c:v>
                </c:pt>
                <c:pt idx="2401">
                  <c:v>157.195267</c:v>
                </c:pt>
                <c:pt idx="2402">
                  <c:v>159.32972699999999</c:v>
                </c:pt>
                <c:pt idx="2403">
                  <c:v>159.48857100000001</c:v>
                </c:pt>
                <c:pt idx="2404">
                  <c:v>159.746689</c:v>
                </c:pt>
                <c:pt idx="2405">
                  <c:v>159.666977</c:v>
                </c:pt>
                <c:pt idx="2406">
                  <c:v>160.6035</c:v>
                </c:pt>
                <c:pt idx="2407">
                  <c:v>159.40794399999999</c:v>
                </c:pt>
                <c:pt idx="2408">
                  <c:v>158.59097299999999</c:v>
                </c:pt>
                <c:pt idx="2409">
                  <c:v>158.67068499999999</c:v>
                </c:pt>
                <c:pt idx="2410">
                  <c:v>155.11390700000001</c:v>
                </c:pt>
                <c:pt idx="2411">
                  <c:v>157.345596</c:v>
                </c:pt>
                <c:pt idx="2412">
                  <c:v>156.927155</c:v>
                </c:pt>
                <c:pt idx="2413">
                  <c:v>156.429001</c:v>
                </c:pt>
                <c:pt idx="2414">
                  <c:v>157.514984</c:v>
                </c:pt>
                <c:pt idx="2415">
                  <c:v>156.30946399999999</c:v>
                </c:pt>
                <c:pt idx="2416">
                  <c:v>157.23602299999999</c:v>
                </c:pt>
                <c:pt idx="2417">
                  <c:v>158.13269</c:v>
                </c:pt>
                <c:pt idx="2418">
                  <c:v>159.457764</c:v>
                </c:pt>
                <c:pt idx="2419">
                  <c:v>160.6035</c:v>
                </c:pt>
                <c:pt idx="2420">
                  <c:v>162.008286</c:v>
                </c:pt>
                <c:pt idx="2421">
                  <c:v>160.97215299999999</c:v>
                </c:pt>
                <c:pt idx="2422">
                  <c:v>159.67695599999999</c:v>
                </c:pt>
                <c:pt idx="2423">
                  <c:v>160.872513</c:v>
                </c:pt>
                <c:pt idx="2424">
                  <c:v>162.86511200000001</c:v>
                </c:pt>
                <c:pt idx="2425">
                  <c:v>163.16400100000001</c:v>
                </c:pt>
                <c:pt idx="2426">
                  <c:v>163.731888</c:v>
                </c:pt>
                <c:pt idx="2427">
                  <c:v>163.911224</c:v>
                </c:pt>
                <c:pt idx="2428">
                  <c:v>163.95107999999999</c:v>
                </c:pt>
                <c:pt idx="2429">
                  <c:v>164.638519</c:v>
                </c:pt>
                <c:pt idx="2430">
                  <c:v>164.030777</c:v>
                </c:pt>
                <c:pt idx="2431">
                  <c:v>162.815292</c:v>
                </c:pt>
                <c:pt idx="2432">
                  <c:v>162.775452</c:v>
                </c:pt>
                <c:pt idx="2433">
                  <c:v>163.303482</c:v>
                </c:pt>
                <c:pt idx="2434">
                  <c:v>161.32084699999999</c:v>
                </c:pt>
                <c:pt idx="2435">
                  <c:v>161.74925200000001</c:v>
                </c:pt>
                <c:pt idx="2436">
                  <c:v>162.466599</c:v>
                </c:pt>
                <c:pt idx="2437">
                  <c:v>161.898697</c:v>
                </c:pt>
                <c:pt idx="2438">
                  <c:v>161.12158199999999</c:v>
                </c:pt>
                <c:pt idx="2439">
                  <c:v>161.93853799999999</c:v>
                </c:pt>
                <c:pt idx="2440">
                  <c:v>159.33819600000001</c:v>
                </c:pt>
                <c:pt idx="2441">
                  <c:v>159.50758400000001</c:v>
                </c:pt>
                <c:pt idx="2442">
                  <c:v>158.50131200000001</c:v>
                </c:pt>
                <c:pt idx="2443">
                  <c:v>160.40425099999999</c:v>
                </c:pt>
                <c:pt idx="2444">
                  <c:v>158.49134799999999</c:v>
                </c:pt>
                <c:pt idx="2445">
                  <c:v>155.83123800000001</c:v>
                </c:pt>
                <c:pt idx="2446">
                  <c:v>155.26333600000001</c:v>
                </c:pt>
                <c:pt idx="2447">
                  <c:v>157.01683</c:v>
                </c:pt>
                <c:pt idx="2448">
                  <c:v>157.64450099999999</c:v>
                </c:pt>
                <c:pt idx="2449">
                  <c:v>158.36183199999999</c:v>
                </c:pt>
                <c:pt idx="2450">
                  <c:v>159.238586</c:v>
                </c:pt>
                <c:pt idx="2451">
                  <c:v>160.61348000000001</c:v>
                </c:pt>
                <c:pt idx="2452">
                  <c:v>160.82269299999999</c:v>
                </c:pt>
                <c:pt idx="2453">
                  <c:v>160.94224500000001</c:v>
                </c:pt>
                <c:pt idx="2454">
                  <c:v>160.17510999999999</c:v>
                </c:pt>
                <c:pt idx="2455">
                  <c:v>158.17253099999999</c:v>
                </c:pt>
                <c:pt idx="2456">
                  <c:v>160.41419999999999</c:v>
                </c:pt>
                <c:pt idx="2457">
                  <c:v>162.64591999999999</c:v>
                </c:pt>
                <c:pt idx="2458">
                  <c:v>162.15772999999999</c:v>
                </c:pt>
                <c:pt idx="2459">
                  <c:v>161.171402</c:v>
                </c:pt>
                <c:pt idx="2460">
                  <c:v>160.573624</c:v>
                </c:pt>
                <c:pt idx="2461">
                  <c:v>162.41677899999999</c:v>
                </c:pt>
                <c:pt idx="2462">
                  <c:v>162.805328</c:v>
                </c:pt>
                <c:pt idx="2463">
                  <c:v>164.259918</c:v>
                </c:pt>
                <c:pt idx="2464">
                  <c:v>164.907532</c:v>
                </c:pt>
                <c:pt idx="2465">
                  <c:v>164.05070499999999</c:v>
                </c:pt>
                <c:pt idx="2466">
                  <c:v>164.26989699999999</c:v>
                </c:pt>
                <c:pt idx="2467">
                  <c:v>165.03703300000001</c:v>
                </c:pt>
                <c:pt idx="2468">
                  <c:v>163.692047</c:v>
                </c:pt>
                <c:pt idx="2469">
                  <c:v>163.313446</c:v>
                </c:pt>
                <c:pt idx="2470">
                  <c:v>165.57504299999999</c:v>
                </c:pt>
                <c:pt idx="2471">
                  <c:v>167.05952500000001</c:v>
                </c:pt>
                <c:pt idx="2472">
                  <c:v>167.02963299999999</c:v>
                </c:pt>
                <c:pt idx="2473">
                  <c:v>169.15176400000001</c:v>
                </c:pt>
                <c:pt idx="2474">
                  <c:v>155.46260100000001</c:v>
                </c:pt>
                <c:pt idx="2475">
                  <c:v>154.77516199999999</c:v>
                </c:pt>
                <c:pt idx="2476">
                  <c:v>154.72534200000001</c:v>
                </c:pt>
                <c:pt idx="2477">
                  <c:v>155.283264</c:v>
                </c:pt>
                <c:pt idx="2478">
                  <c:v>154.09767199999999</c:v>
                </c:pt>
                <c:pt idx="2479">
                  <c:v>155.482529</c:v>
                </c:pt>
                <c:pt idx="2480">
                  <c:v>156.189911</c:v>
                </c:pt>
                <c:pt idx="2481">
                  <c:v>158.05297899999999</c:v>
                </c:pt>
                <c:pt idx="2482">
                  <c:v>155.50245699999999</c:v>
                </c:pt>
                <c:pt idx="2483">
                  <c:v>155.11390700000001</c:v>
                </c:pt>
                <c:pt idx="2484">
                  <c:v>153.76889</c:v>
                </c:pt>
                <c:pt idx="2485">
                  <c:v>153.72905</c:v>
                </c:pt>
                <c:pt idx="2486">
                  <c:v>155.15374800000001</c:v>
                </c:pt>
                <c:pt idx="2487">
                  <c:v>153.470001</c:v>
                </c:pt>
                <c:pt idx="2488">
                  <c:v>152.46000699999999</c:v>
                </c:pt>
                <c:pt idx="2489">
                  <c:v>150.86000100000001</c:v>
                </c:pt>
                <c:pt idx="2490">
                  <c:v>151.240005</c:v>
                </c:pt>
                <c:pt idx="2491">
                  <c:v>151.36000100000001</c:v>
                </c:pt>
                <c:pt idx="2492">
                  <c:v>154.050003</c:v>
                </c:pt>
                <c:pt idx="2493">
                  <c:v>152.16999799999999</c:v>
                </c:pt>
                <c:pt idx="2494">
                  <c:v>152.740005</c:v>
                </c:pt>
                <c:pt idx="2495">
                  <c:v>154.970001</c:v>
                </c:pt>
                <c:pt idx="2496">
                  <c:v>155.529999</c:v>
                </c:pt>
                <c:pt idx="2497">
                  <c:v>153.71000699999999</c:v>
                </c:pt>
                <c:pt idx="2498">
                  <c:v>154.800003</c:v>
                </c:pt>
                <c:pt idx="2499">
                  <c:v>156.64999399999999</c:v>
                </c:pt>
                <c:pt idx="2500">
                  <c:v>156.41000399999999</c:v>
                </c:pt>
                <c:pt idx="2501">
                  <c:v>157.88000500000001</c:v>
                </c:pt>
                <c:pt idx="2502">
                  <c:v>157.570007</c:v>
                </c:pt>
                <c:pt idx="2503">
                  <c:v>157.64999399999999</c:v>
                </c:pt>
                <c:pt idx="2504">
                  <c:v>159.28999300000001</c:v>
                </c:pt>
                <c:pt idx="2505">
                  <c:v>159.300003</c:v>
                </c:pt>
                <c:pt idx="2506">
                  <c:v>157.759995</c:v>
                </c:pt>
                <c:pt idx="2507">
                  <c:v>156.71000699999999</c:v>
                </c:pt>
                <c:pt idx="2508">
                  <c:v>158.25</c:v>
                </c:pt>
                <c:pt idx="2509">
                  <c:v>159.30999800000001</c:v>
                </c:pt>
                <c:pt idx="2510">
                  <c:v>161.28999300000001</c:v>
                </c:pt>
                <c:pt idx="2511">
                  <c:v>161.11000100000001</c:v>
                </c:pt>
                <c:pt idx="2512">
                  <c:v>161.320007</c:v>
                </c:pt>
                <c:pt idx="2513">
                  <c:v>161.83000200000001</c:v>
                </c:pt>
                <c:pt idx="2514">
                  <c:v>161.070007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F-9841-953A-FBC7F6A6F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305536"/>
        <c:axId val="332985856"/>
      </c:lineChart>
      <c:catAx>
        <c:axId val="73230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85856"/>
        <c:crosses val="autoZero"/>
        <c:auto val="1"/>
        <c:lblAlgn val="ctr"/>
        <c:lblOffset val="100"/>
        <c:noMultiLvlLbl val="1"/>
      </c:catAx>
      <c:valAx>
        <c:axId val="3329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0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size IS'!$B$11</c:f>
              <c:strCache>
                <c:ptCount val="1"/>
                <c:pt idx="0">
                  <c:v>Direct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'common size IS'!$C$11:$L$11</c:f>
              <c:numCache>
                <c:formatCode>0.00%</c:formatCode>
                <c:ptCount val="10"/>
                <c:pt idx="0">
                  <c:v>0.75174559508783056</c:v>
                </c:pt>
                <c:pt idx="1">
                  <c:v>0.74872752162279888</c:v>
                </c:pt>
                <c:pt idx="2">
                  <c:v>0.74351939704408354</c:v>
                </c:pt>
                <c:pt idx="3">
                  <c:v>0.74628005188440727</c:v>
                </c:pt>
                <c:pt idx="4">
                  <c:v>0.7490226572447779</c:v>
                </c:pt>
                <c:pt idx="5">
                  <c:v>0.75311471780504002</c:v>
                </c:pt>
                <c:pt idx="6">
                  <c:v>0.75170213412834819</c:v>
                </c:pt>
                <c:pt idx="7">
                  <c:v>0.7490126651232466</c:v>
                </c:pt>
                <c:pt idx="8">
                  <c:v>0.75859536160474017</c:v>
                </c:pt>
                <c:pt idx="9">
                  <c:v>0.7562460945033751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7-414A-B718-563F9518A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244288"/>
        <c:axId val="501013152"/>
      </c:barChart>
      <c:catAx>
        <c:axId val="672244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13152"/>
        <c:crosses val="autoZero"/>
        <c:auto val="1"/>
        <c:lblAlgn val="ctr"/>
        <c:lblOffset val="100"/>
        <c:noMultiLvlLbl val="0"/>
      </c:catAx>
      <c:valAx>
        <c:axId val="5010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4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size IS'!$B$13</c:f>
              <c:strCache>
                <c:ptCount val="1"/>
                <c:pt idx="0">
                  <c:v>Selling General &amp; Admin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'common size IS'!$C$13:$L$13</c:f>
              <c:numCache>
                <c:formatCode>0.00%</c:formatCode>
                <c:ptCount val="10"/>
                <c:pt idx="0">
                  <c:v>0.19235623935706916</c:v>
                </c:pt>
                <c:pt idx="1">
                  <c:v>0.20127558957127745</c:v>
                </c:pt>
                <c:pt idx="2">
                  <c:v>0.20962885363047545</c:v>
                </c:pt>
                <c:pt idx="3">
                  <c:v>0.21287396845763806</c:v>
                </c:pt>
                <c:pt idx="4">
                  <c:v>0.20829307646698614</c:v>
                </c:pt>
                <c:pt idx="5">
                  <c:v>0.20763067691673473</c:v>
                </c:pt>
                <c:pt idx="6">
                  <c:v>0.20797244393732642</c:v>
                </c:pt>
                <c:pt idx="7">
                  <c:v>0.20569389301515137</c:v>
                </c:pt>
                <c:pt idx="8">
                  <c:v>0.20798672968105103</c:v>
                </c:pt>
                <c:pt idx="9">
                  <c:v>0.20207675988428159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0-4171-B165-FDE865802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883968"/>
        <c:axId val="1452186415"/>
      </c:barChart>
      <c:catAx>
        <c:axId val="1547883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86415"/>
        <c:crosses val="autoZero"/>
        <c:auto val="1"/>
        <c:lblAlgn val="ctr"/>
        <c:lblOffset val="100"/>
        <c:noMultiLvlLbl val="0"/>
      </c:catAx>
      <c:valAx>
        <c:axId val="14521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8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sheet'!$A$25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'Balance sheet'!$B$25:$K$25</c:f>
              <c:numCache>
                <c:formatCode>_-[$$-409]* #,##0_ ;_-[$$-409]* \-#,##0\ ;_-[$$-409]* "-"??_ ;_-@_ </c:formatCode>
                <c:ptCount val="10"/>
                <c:pt idx="0">
                  <c:v>203706000</c:v>
                </c:pt>
                <c:pt idx="1">
                  <c:v>199581000</c:v>
                </c:pt>
                <c:pt idx="2">
                  <c:v>198825000</c:v>
                </c:pt>
                <c:pt idx="3">
                  <c:v>204522000</c:v>
                </c:pt>
                <c:pt idx="4">
                  <c:v>219295000</c:v>
                </c:pt>
                <c:pt idx="5">
                  <c:v>236495000</c:v>
                </c:pt>
                <c:pt idx="6">
                  <c:v>252496000</c:v>
                </c:pt>
                <c:pt idx="7">
                  <c:v>244860000</c:v>
                </c:pt>
                <c:pt idx="8">
                  <c:v>243197000</c:v>
                </c:pt>
                <c:pt idx="9" formatCode="_(&quot;$&quot;* #,##0_);_(&quot;$&quot;* \(#,##0\);_(&quot;$&quot;* &quot;-&quot;??_);_(@_)">
                  <c:v>252399000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D-40F8-A560-E633E4C52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934784"/>
        <c:axId val="1578153407"/>
      </c:barChart>
      <c:catAx>
        <c:axId val="54893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53407"/>
        <c:crosses val="autoZero"/>
        <c:auto val="1"/>
        <c:lblAlgn val="ctr"/>
        <c:lblOffset val="100"/>
        <c:noMultiLvlLbl val="0"/>
      </c:catAx>
      <c:valAx>
        <c:axId val="15781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3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assets vs current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'Balance sheet'!$A$50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'Balance sheet'!$B$50:$K$50</c:f>
              <c:numCache>
                <c:formatCode>_-[$$-409]* #,##0_ ;_-[$$-409]* \-#,##0\ ;_-[$$-409]* "-"??_ ;_-@_ </c:formatCode>
                <c:ptCount val="10"/>
                <c:pt idx="0">
                  <c:v>61185000</c:v>
                </c:pt>
                <c:pt idx="1">
                  <c:v>63278000</c:v>
                </c:pt>
                <c:pt idx="2">
                  <c:v>60239000</c:v>
                </c:pt>
                <c:pt idx="3">
                  <c:v>57689000</c:v>
                </c:pt>
                <c:pt idx="4">
                  <c:v>59664000</c:v>
                </c:pt>
                <c:pt idx="5">
                  <c:v>61897000</c:v>
                </c:pt>
                <c:pt idx="6">
                  <c:v>61806000</c:v>
                </c:pt>
                <c:pt idx="7">
                  <c:v>90067000</c:v>
                </c:pt>
                <c:pt idx="8">
                  <c:v>81070000</c:v>
                </c:pt>
                <c:pt idx="9">
                  <c:v>75655000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E-4118-8270-AFA3C1C12C1E}"/>
            </c:ext>
          </c:extLst>
        </c:ser>
        <c:ser>
          <c:idx val="1"/>
          <c:order val="1"/>
          <c:tx>
            <c:strRef>
              <c:f>'Balance sheet'!$A$51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'Balance sheet'!$B$51:$K$51</c:f>
              <c:numCache>
                <c:formatCode>_-[$$-409]* #,##0_ ;_-[$$-409]* \-#,##0\ ;_-[$$-409]* "-"??_ ;_-@_ </c:formatCode>
                <c:ptCount val="10"/>
                <c:pt idx="0">
                  <c:v>204751000</c:v>
                </c:pt>
                <c:pt idx="1">
                  <c:v>203706000</c:v>
                </c:pt>
                <c:pt idx="2">
                  <c:v>199581000</c:v>
                </c:pt>
                <c:pt idx="3">
                  <c:v>198825000</c:v>
                </c:pt>
                <c:pt idx="4">
                  <c:v>204522000</c:v>
                </c:pt>
                <c:pt idx="5">
                  <c:v>219295000</c:v>
                </c:pt>
                <c:pt idx="6">
                  <c:v>236495000</c:v>
                </c:pt>
                <c:pt idx="7">
                  <c:v>252496000</c:v>
                </c:pt>
                <c:pt idx="8">
                  <c:v>244860000</c:v>
                </c:pt>
                <c:pt idx="9">
                  <c:v>243197000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E-4118-8270-AFA3C1C12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0956688"/>
        <c:axId val="1578137039"/>
        <c:axId val="0"/>
      </c:bar3DChart>
      <c:catAx>
        <c:axId val="56095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37039"/>
        <c:crosses val="autoZero"/>
        <c:auto val="1"/>
        <c:lblAlgn val="ctr"/>
        <c:lblOffset val="100"/>
        <c:noMultiLvlLbl val="0"/>
      </c:catAx>
      <c:valAx>
        <c:axId val="157813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5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sheet'!$A$36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'Balance sheet'!$B$36:$K$36</c:f>
              <c:numCache>
                <c:formatCode>_-[$$-409]* #,##0_ ;_-[$$-409]* \-#,##0\ ;_-[$$-409]* "-"??_ ;_-@_ </c:formatCode>
                <c:ptCount val="10"/>
                <c:pt idx="0">
                  <c:v>122312000</c:v>
                </c:pt>
                <c:pt idx="1">
                  <c:v>119035000</c:v>
                </c:pt>
                <c:pt idx="2">
                  <c:v>121027000</c:v>
                </c:pt>
                <c:pt idx="3">
                  <c:v>126653000</c:v>
                </c:pt>
                <c:pt idx="4">
                  <c:v>146799000</c:v>
                </c:pt>
                <c:pt idx="5">
                  <c:v>161826000</c:v>
                </c:pt>
                <c:pt idx="6">
                  <c:v>171571000</c:v>
                </c:pt>
                <c:pt idx="7">
                  <c:v>161607000</c:v>
                </c:pt>
                <c:pt idx="8">
                  <c:v>166504000</c:v>
                </c:pt>
                <c:pt idx="9" formatCode="_(&quot;$&quot;* #,##0_);_(&quot;$&quot;* \(#,##0\);_(&quot;$&quot;* &quot;-&quot;??_);_(@_)">
                  <c:v>168538000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4-4334-BBA3-49431A92C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951408"/>
        <c:axId val="1534798559"/>
      </c:barChart>
      <c:catAx>
        <c:axId val="56095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98559"/>
        <c:crosses val="autoZero"/>
        <c:auto val="1"/>
        <c:lblAlgn val="ctr"/>
        <c:lblOffset val="100"/>
        <c:noMultiLvlLbl val="0"/>
      </c:catAx>
      <c:valAx>
        <c:axId val="15347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5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Liabilities vs Current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sheet'!$A$54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'Balance sheet'!$B$54:$K$54</c:f>
              <c:numCache>
                <c:formatCode>_-[$$-409]* #,##0_ ;_-[$$-409]* \-#,##0\ ;_-[$$-409]* "-"??_ ;_-@_ </c:formatCode>
                <c:ptCount val="10"/>
                <c:pt idx="0">
                  <c:v>128496000</c:v>
                </c:pt>
                <c:pt idx="1">
                  <c:v>122312000</c:v>
                </c:pt>
                <c:pt idx="2">
                  <c:v>119035000</c:v>
                </c:pt>
                <c:pt idx="3">
                  <c:v>121027000</c:v>
                </c:pt>
                <c:pt idx="4">
                  <c:v>126653000</c:v>
                </c:pt>
                <c:pt idx="5">
                  <c:v>146799000</c:v>
                </c:pt>
                <c:pt idx="6">
                  <c:v>161826000</c:v>
                </c:pt>
                <c:pt idx="7">
                  <c:v>171571000</c:v>
                </c:pt>
                <c:pt idx="8">
                  <c:v>161607000</c:v>
                </c:pt>
                <c:pt idx="9">
                  <c:v>166504000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1-45D5-A18F-87BF5186815D}"/>
            </c:ext>
          </c:extLst>
        </c:ser>
        <c:ser>
          <c:idx val="1"/>
          <c:order val="1"/>
          <c:tx>
            <c:strRef>
              <c:f>'Balance sheet'!$A$55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'Balance sheet'!$B$55:$K$55</c:f>
              <c:numCache>
                <c:formatCode>_-[$$-409]* #,##0_ ;_-[$$-409]* \-#,##0\ ;_-[$$-409]* "-"??_ ;_-@_ </c:formatCode>
                <c:ptCount val="10"/>
                <c:pt idx="0">
                  <c:v>69345000</c:v>
                </c:pt>
                <c:pt idx="1">
                  <c:v>65272000</c:v>
                </c:pt>
                <c:pt idx="2">
                  <c:v>64619000</c:v>
                </c:pt>
                <c:pt idx="3">
                  <c:v>66928000</c:v>
                </c:pt>
                <c:pt idx="4">
                  <c:v>78521000</c:v>
                </c:pt>
                <c:pt idx="5">
                  <c:v>77477000</c:v>
                </c:pt>
                <c:pt idx="6">
                  <c:v>77790000</c:v>
                </c:pt>
                <c:pt idx="7">
                  <c:v>92645000</c:v>
                </c:pt>
                <c:pt idx="8">
                  <c:v>87379000</c:v>
                </c:pt>
                <c:pt idx="9">
                  <c:v>92198000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1-45D5-A18F-87BF51868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980208"/>
        <c:axId val="1539542767"/>
      </c:barChart>
      <c:catAx>
        <c:axId val="56098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42767"/>
        <c:crosses val="autoZero"/>
        <c:auto val="1"/>
        <c:lblAlgn val="ctr"/>
        <c:lblOffset val="100"/>
        <c:noMultiLvlLbl val="0"/>
      </c:catAx>
      <c:valAx>
        <c:axId val="153954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Assets vs Total Liabilities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'Balance sheet'!$A$58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'Balance sheet'!$B$58:$K$58</c:f>
              <c:numCache>
                <c:formatCode>_-[$$-409]* #,##0_ ;_-[$$-409]* \-#,##0\ ;_-[$$-409]* "-"??_ ;_-@_ </c:formatCode>
                <c:ptCount val="10"/>
                <c:pt idx="0">
                  <c:v>204751000</c:v>
                </c:pt>
                <c:pt idx="1">
                  <c:v>203706000</c:v>
                </c:pt>
                <c:pt idx="2">
                  <c:v>199581000</c:v>
                </c:pt>
                <c:pt idx="3">
                  <c:v>198825000</c:v>
                </c:pt>
                <c:pt idx="4">
                  <c:v>204522000</c:v>
                </c:pt>
                <c:pt idx="5">
                  <c:v>219295000</c:v>
                </c:pt>
                <c:pt idx="6">
                  <c:v>236495000</c:v>
                </c:pt>
                <c:pt idx="7">
                  <c:v>252496000</c:v>
                </c:pt>
                <c:pt idx="8">
                  <c:v>244860000</c:v>
                </c:pt>
                <c:pt idx="9">
                  <c:v>243197000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A-4D49-B967-DA84AEAB517A}"/>
            </c:ext>
          </c:extLst>
        </c:ser>
        <c:ser>
          <c:idx val="1"/>
          <c:order val="1"/>
          <c:tx>
            <c:strRef>
              <c:f>'Balance sheet'!$A$59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'Balance sheet'!$B$59:$K$59</c:f>
              <c:numCache>
                <c:formatCode>_-[$$-409]* #,##0_ ;_-[$$-409]* \-#,##0\ ;_-[$$-409]* "-"??_ ;_-@_ </c:formatCode>
                <c:ptCount val="10"/>
                <c:pt idx="0">
                  <c:v>128496000</c:v>
                </c:pt>
                <c:pt idx="1">
                  <c:v>122312000</c:v>
                </c:pt>
                <c:pt idx="2">
                  <c:v>119035000</c:v>
                </c:pt>
                <c:pt idx="3">
                  <c:v>121027000</c:v>
                </c:pt>
                <c:pt idx="4">
                  <c:v>126653000</c:v>
                </c:pt>
                <c:pt idx="5">
                  <c:v>146799000</c:v>
                </c:pt>
                <c:pt idx="6">
                  <c:v>161826000</c:v>
                </c:pt>
                <c:pt idx="7">
                  <c:v>171571000</c:v>
                </c:pt>
                <c:pt idx="8">
                  <c:v>161607000</c:v>
                </c:pt>
                <c:pt idx="9">
                  <c:v>166504000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A-4D49-B967-DA84AEAB5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5568015"/>
        <c:axId val="1709435039"/>
        <c:axId val="0"/>
      </c:bar3DChart>
      <c:catAx>
        <c:axId val="1635568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35039"/>
        <c:crosses val="autoZero"/>
        <c:auto val="1"/>
        <c:lblAlgn val="ctr"/>
        <c:lblOffset val="100"/>
        <c:noMultiLvlLbl val="0"/>
      </c:catAx>
      <c:valAx>
        <c:axId val="170943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</a:t>
            </a:r>
            <a:r>
              <a:rPr lang="en-IN" baseline="0"/>
              <a:t> Assets vs Current Liabilities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'Balance sheet'!$A$62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'Balance sheet'!$B$62:$K$62</c:f>
              <c:numCache>
                <c:formatCode>_-[$$-409]* #,##0_ ;_-[$$-409]* \-#,##0\ ;_-[$$-409]* "-"??_ ;_-@_ </c:formatCode>
                <c:ptCount val="10"/>
                <c:pt idx="0">
                  <c:v>61185000</c:v>
                </c:pt>
                <c:pt idx="1">
                  <c:v>63278000</c:v>
                </c:pt>
                <c:pt idx="2">
                  <c:v>60239000</c:v>
                </c:pt>
                <c:pt idx="3">
                  <c:v>57689000</c:v>
                </c:pt>
                <c:pt idx="4">
                  <c:v>59664000</c:v>
                </c:pt>
                <c:pt idx="5">
                  <c:v>61897000</c:v>
                </c:pt>
                <c:pt idx="6">
                  <c:v>61806000</c:v>
                </c:pt>
                <c:pt idx="7">
                  <c:v>90067000</c:v>
                </c:pt>
                <c:pt idx="8">
                  <c:v>81070000</c:v>
                </c:pt>
                <c:pt idx="9">
                  <c:v>75655000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4-4D0B-8FAF-3075D54ABE58}"/>
            </c:ext>
          </c:extLst>
        </c:ser>
        <c:ser>
          <c:idx val="1"/>
          <c:order val="1"/>
          <c:tx>
            <c:strRef>
              <c:f>'Balance sheet'!$A$63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'Balance sheet'!$B$63:$K$63</c:f>
              <c:numCache>
                <c:formatCode>_-[$$-409]* #,##0_ ;_-[$$-409]* \-#,##0\ ;_-[$$-409]* "-"??_ ;_-@_ </c:formatCode>
                <c:ptCount val="10"/>
                <c:pt idx="0">
                  <c:v>69345000</c:v>
                </c:pt>
                <c:pt idx="1">
                  <c:v>65272000</c:v>
                </c:pt>
                <c:pt idx="2">
                  <c:v>64619000</c:v>
                </c:pt>
                <c:pt idx="3">
                  <c:v>66928000</c:v>
                </c:pt>
                <c:pt idx="4">
                  <c:v>78521000</c:v>
                </c:pt>
                <c:pt idx="5">
                  <c:v>77477000</c:v>
                </c:pt>
                <c:pt idx="6">
                  <c:v>77790000</c:v>
                </c:pt>
                <c:pt idx="7">
                  <c:v>92645000</c:v>
                </c:pt>
                <c:pt idx="8">
                  <c:v>87379000</c:v>
                </c:pt>
                <c:pt idx="9">
                  <c:v>92198000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4-4D0B-8FAF-3075D54A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0977808"/>
        <c:axId val="1709434543"/>
        <c:axId val="0"/>
      </c:bar3DChart>
      <c:catAx>
        <c:axId val="560977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34543"/>
        <c:crosses val="autoZero"/>
        <c:auto val="1"/>
        <c:lblAlgn val="ctr"/>
        <c:lblOffset val="100"/>
        <c:noMultiLvlLbl val="0"/>
      </c:catAx>
      <c:valAx>
        <c:axId val="17094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7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size balance sheet '!$B$28</c:f>
              <c:strCache>
                <c:ptCount val="1"/>
                <c:pt idx="0">
                  <c:v>LT Debt &amp; Leases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'common size balance sheet '!$C$28:$L$28</c:f>
              <c:numCache>
                <c:formatCode>0%</c:formatCode>
                <c:ptCount val="10"/>
                <c:pt idx="0">
                  <c:v>0.21448558216252836</c:v>
                </c:pt>
                <c:pt idx="1">
                  <c:v>0.2206121825223844</c:v>
                </c:pt>
                <c:pt idx="2">
                  <c:v>0.21133157299132402</c:v>
                </c:pt>
                <c:pt idx="3">
                  <c:v>0.1800539795229853</c:v>
                </c:pt>
                <c:pt idx="4">
                  <c:v>0.22892906815020864</c:v>
                </c:pt>
                <c:pt idx="5">
                  <c:v>0.20305291866635658</c:v>
                </c:pt>
                <c:pt idx="6">
                  <c:v>0.17838302388948735</c:v>
                </c:pt>
                <c:pt idx="7">
                  <c:v>0.15971167197582292</c:v>
                </c:pt>
                <c:pt idx="8">
                  <c:v>0.16238687154857995</c:v>
                </c:pt>
                <c:pt idx="9">
                  <c:v>0.16577323998906493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2-436D-A1F9-CA081A754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594415"/>
        <c:axId val="1709414703"/>
      </c:barChart>
      <c:catAx>
        <c:axId val="1635594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14703"/>
        <c:crosses val="autoZero"/>
        <c:auto val="1"/>
        <c:lblAlgn val="ctr"/>
        <c:lblOffset val="100"/>
        <c:noMultiLvlLbl val="0"/>
      </c:catAx>
      <c:valAx>
        <c:axId val="17094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9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</a:t>
            </a:r>
            <a:r>
              <a:rPr lang="en-US" baseline="0"/>
              <a:t>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size balance sheet '!$B$17</c:f>
              <c:strCache>
                <c:ptCount val="1"/>
                <c:pt idx="0">
                  <c:v>Net Property Plant &amp; Equip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'common size balance sheet '!$C$17:$L$17</c:f>
              <c:numCache>
                <c:formatCode>0%</c:formatCode>
                <c:ptCount val="10"/>
                <c:pt idx="0">
                  <c:v>0.56100458503922324</c:v>
                </c:pt>
                <c:pt idx="1">
                  <c:v>0.55201146401711587</c:v>
                </c:pt>
                <c:pt idx="2">
                  <c:v>0.54173267949201565</c:v>
                </c:pt>
                <c:pt idx="3">
                  <c:v>0.52647147984079956</c:v>
                </c:pt>
                <c:pt idx="4">
                  <c:v>0.4756925602498917</c:v>
                </c:pt>
                <c:pt idx="5">
                  <c:v>0.44486352777014315</c:v>
                </c:pt>
                <c:pt idx="6">
                  <c:v>0.36515825993283063</c:v>
                </c:pt>
                <c:pt idx="7">
                  <c:v>0.38599607939230579</c:v>
                </c:pt>
                <c:pt idx="8">
                  <c:v>0.41431432131152934</c:v>
                </c:pt>
                <c:pt idx="9">
                  <c:v>0.43902709598690959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9-4A10-80DE-54A088640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959088"/>
        <c:axId val="1709457359"/>
      </c:barChart>
      <c:catAx>
        <c:axId val="56095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57359"/>
        <c:crosses val="autoZero"/>
        <c:auto val="1"/>
        <c:lblAlgn val="ctr"/>
        <c:lblOffset val="100"/>
        <c:noMultiLvlLbl val="0"/>
      </c:catAx>
      <c:valAx>
        <c:axId val="17094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5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</a:t>
            </a:r>
            <a:r>
              <a:rPr lang="en-IN" baseline="0"/>
              <a:t> ratios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ratios'!$A$6</c:f>
              <c:strCache>
                <c:ptCount val="1"/>
                <c:pt idx="0">
                  <c:v>Net Profit Margin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ratios'!$B$3:$L$5</c:f>
              <c:strCache>
                <c:ptCount val="11"/>
                <c:pt idx="1">
                  <c:v>01/31/2015</c:v>
                </c:pt>
                <c:pt idx="2">
                  <c:v>01/31/2016</c:v>
                </c:pt>
                <c:pt idx="3">
                  <c:v>01/31/2017</c:v>
                </c:pt>
                <c:pt idx="4">
                  <c:v>01/31/2018</c:v>
                </c:pt>
                <c:pt idx="5">
                  <c:v>01/31/2019</c:v>
                </c:pt>
                <c:pt idx="6">
                  <c:v>01/31/2020</c:v>
                </c:pt>
                <c:pt idx="7">
                  <c:v>01/31/2021</c:v>
                </c:pt>
                <c:pt idx="8">
                  <c:v>01/31/2022</c:v>
                </c:pt>
                <c:pt idx="9">
                  <c:v>01/31/2023</c:v>
                </c:pt>
                <c:pt idx="10">
                  <c:v>01/31/2024</c:v>
                </c:pt>
              </c:strCache>
            </c:strRef>
          </c:cat>
          <c:val>
            <c:numRef>
              <c:f>'financial ratios'!$B$6:$L$6</c:f>
              <c:numCache>
                <c:formatCode>General</c:formatCode>
                <c:ptCount val="11"/>
                <c:pt idx="1">
                  <c:v>3.369291940096901E-2</c:v>
                </c:pt>
                <c:pt idx="2">
                  <c:v>3.0477257171302344E-2</c:v>
                </c:pt>
                <c:pt idx="3">
                  <c:v>2.8079354069890691E-2</c:v>
                </c:pt>
                <c:pt idx="4">
                  <c:v>1.9710478611672393E-2</c:v>
                </c:pt>
                <c:pt idx="5">
                  <c:v>1.2966436951429322E-2</c:v>
                </c:pt>
                <c:pt idx="6">
                  <c:v>2.8400806162255422E-2</c:v>
                </c:pt>
                <c:pt idx="7">
                  <c:v>2.4161630758059986E-2</c:v>
                </c:pt>
                <c:pt idx="8">
                  <c:v>2.3872378019184501E-2</c:v>
                </c:pt>
                <c:pt idx="9">
                  <c:v>1.9107165350595218E-2</c:v>
                </c:pt>
                <c:pt idx="10">
                  <c:v>2.3932111861137896E-2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3-4D5A-89F0-EAAEAD1E3815}"/>
            </c:ext>
          </c:extLst>
        </c:ser>
        <c:ser>
          <c:idx val="1"/>
          <c:order val="1"/>
          <c:tx>
            <c:strRef>
              <c:f>'financial ratios'!$A$7</c:f>
              <c:strCache>
                <c:ptCount val="1"/>
                <c:pt idx="0">
                  <c:v>Gross Profit Margin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'financial ratios'!$B$3:$L$5</c:f>
              <c:strCache>
                <c:ptCount val="11"/>
                <c:pt idx="1">
                  <c:v>01/31/2015</c:v>
                </c:pt>
                <c:pt idx="2">
                  <c:v>01/31/2016</c:v>
                </c:pt>
                <c:pt idx="3">
                  <c:v>01/31/2017</c:v>
                </c:pt>
                <c:pt idx="4">
                  <c:v>01/31/2018</c:v>
                </c:pt>
                <c:pt idx="5">
                  <c:v>01/31/2019</c:v>
                </c:pt>
                <c:pt idx="6">
                  <c:v>01/31/2020</c:v>
                </c:pt>
                <c:pt idx="7">
                  <c:v>01/31/2021</c:v>
                </c:pt>
                <c:pt idx="8">
                  <c:v>01/31/2022</c:v>
                </c:pt>
                <c:pt idx="9">
                  <c:v>01/31/2023</c:v>
                </c:pt>
                <c:pt idx="10">
                  <c:v>01/31/2024</c:v>
                </c:pt>
              </c:strCache>
            </c:strRef>
          </c:cat>
          <c:val>
            <c:numRef>
              <c:f>'financial ratios'!$B$7:$L$7</c:f>
              <c:numCache>
                <c:formatCode>General</c:formatCode>
                <c:ptCount val="11"/>
                <c:pt idx="1">
                  <c:v>0.24825440491216944</c:v>
                </c:pt>
                <c:pt idx="2">
                  <c:v>0.25127247837720118</c:v>
                </c:pt>
                <c:pt idx="3">
                  <c:v>0.25648060295591646</c:v>
                </c:pt>
                <c:pt idx="4">
                  <c:v>0.25371994811559273</c:v>
                </c:pt>
                <c:pt idx="5">
                  <c:v>0.25097734275522204</c:v>
                </c:pt>
                <c:pt idx="6">
                  <c:v>0.24688528219495995</c:v>
                </c:pt>
                <c:pt idx="7">
                  <c:v>0.24829786587165184</c:v>
                </c:pt>
                <c:pt idx="8">
                  <c:v>0.25098733487675334</c:v>
                </c:pt>
                <c:pt idx="9">
                  <c:v>0.24140463839525986</c:v>
                </c:pt>
                <c:pt idx="10">
                  <c:v>0.24375390549662487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3-4D5A-89F0-EAAEAD1E3815}"/>
            </c:ext>
          </c:extLst>
        </c:ser>
        <c:ser>
          <c:idx val="2"/>
          <c:order val="2"/>
          <c:tx>
            <c:strRef>
              <c:f>'financial ratios'!$A$8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'financial ratios'!$B$3:$L$5</c:f>
              <c:strCache>
                <c:ptCount val="11"/>
                <c:pt idx="1">
                  <c:v>01/31/2015</c:v>
                </c:pt>
                <c:pt idx="2">
                  <c:v>01/31/2016</c:v>
                </c:pt>
                <c:pt idx="3">
                  <c:v>01/31/2017</c:v>
                </c:pt>
                <c:pt idx="4">
                  <c:v>01/31/2018</c:v>
                </c:pt>
                <c:pt idx="5">
                  <c:v>01/31/2019</c:v>
                </c:pt>
                <c:pt idx="6">
                  <c:v>01/31/2020</c:v>
                </c:pt>
                <c:pt idx="7">
                  <c:v>01/31/2021</c:v>
                </c:pt>
                <c:pt idx="8">
                  <c:v>01/31/2022</c:v>
                </c:pt>
                <c:pt idx="9">
                  <c:v>01/31/2023</c:v>
                </c:pt>
                <c:pt idx="10">
                  <c:v>01/31/2024</c:v>
                </c:pt>
              </c:strCache>
            </c:strRef>
          </c:cat>
          <c:val>
            <c:numRef>
              <c:f>'financial ratios'!$B$8:$L$8</c:f>
              <c:numCache>
                <c:formatCode>General</c:formatCode>
                <c:ptCount val="11"/>
                <c:pt idx="1">
                  <c:v>5.5898165555100264E-2</c:v>
                </c:pt>
                <c:pt idx="2">
                  <c:v>4.9996888805923713E-2</c:v>
                </c:pt>
                <c:pt idx="3">
                  <c:v>4.6851749325441013E-2</c:v>
                </c:pt>
                <c:pt idx="4">
                  <c:v>4.084597965795464E-2</c:v>
                </c:pt>
                <c:pt idx="5">
                  <c:v>4.268426628823592E-2</c:v>
                </c:pt>
                <c:pt idx="6">
                  <c:v>3.9254605278225219E-2</c:v>
                </c:pt>
                <c:pt idx="7">
                  <c:v>4.032542193432543E-2</c:v>
                </c:pt>
                <c:pt idx="8">
                  <c:v>4.5293441861602016E-2</c:v>
                </c:pt>
                <c:pt idx="9">
                  <c:v>3.3417908714208827E-2</c:v>
                </c:pt>
                <c:pt idx="10">
                  <c:v>4.16771456123433E-2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3-4D5A-89F0-EAAEAD1E3815}"/>
            </c:ext>
          </c:extLst>
        </c:ser>
        <c:ser>
          <c:idx val="3"/>
          <c:order val="3"/>
          <c:tx>
            <c:strRef>
              <c:f>'financial ratios'!$A$9</c:f>
              <c:strCache>
                <c:ptCount val="1"/>
                <c:pt idx="0">
                  <c:v>Return On Assets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'financial ratios'!$B$3:$L$5</c:f>
              <c:strCache>
                <c:ptCount val="11"/>
                <c:pt idx="1">
                  <c:v>01/31/2015</c:v>
                </c:pt>
                <c:pt idx="2">
                  <c:v>01/31/2016</c:v>
                </c:pt>
                <c:pt idx="3">
                  <c:v>01/31/2017</c:v>
                </c:pt>
                <c:pt idx="4">
                  <c:v>01/31/2018</c:v>
                </c:pt>
                <c:pt idx="5">
                  <c:v>01/31/2019</c:v>
                </c:pt>
                <c:pt idx="6">
                  <c:v>01/31/2020</c:v>
                </c:pt>
                <c:pt idx="7">
                  <c:v>01/31/2021</c:v>
                </c:pt>
                <c:pt idx="8">
                  <c:v>01/31/2022</c:v>
                </c:pt>
                <c:pt idx="9">
                  <c:v>01/31/2023</c:v>
                </c:pt>
                <c:pt idx="10">
                  <c:v>01/31/2024</c:v>
                </c:pt>
              </c:strCache>
            </c:strRef>
          </c:cat>
          <c:val>
            <c:numRef>
              <c:f>'financial ratios'!$B$9:$L$9</c:f>
              <c:numCache>
                <c:formatCode>General</c:formatCode>
                <c:ptCount val="11"/>
                <c:pt idx="1">
                  <c:v>8.0326549046174395E-2</c:v>
                </c:pt>
                <c:pt idx="2">
                  <c:v>7.36242427886422E-2</c:v>
                </c:pt>
                <c:pt idx="3">
                  <c:v>6.8618131522695844E-2</c:v>
                </c:pt>
                <c:pt idx="4">
                  <c:v>4.8219751420385093E-2</c:v>
                </c:pt>
                <c:pt idx="5">
                  <c:v>3.0415650151622245E-2</c:v>
                </c:pt>
                <c:pt idx="6">
                  <c:v>6.2923106196748346E-2</c:v>
                </c:pt>
                <c:pt idx="7">
                  <c:v>5.3505798111653256E-2</c:v>
                </c:pt>
                <c:pt idx="8">
                  <c:v>5.5840071877807727E-2</c:v>
                </c:pt>
                <c:pt idx="9">
                  <c:v>4.8026908226663979E-2</c:v>
                </c:pt>
                <c:pt idx="10">
                  <c:v>6.1454284684170697E-2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3-4D5A-89F0-EAAEAD1E3815}"/>
            </c:ext>
          </c:extLst>
        </c:ser>
        <c:ser>
          <c:idx val="4"/>
          <c:order val="4"/>
          <c:tx>
            <c:strRef>
              <c:f>'financial ratios'!$A$10</c:f>
              <c:strCache>
                <c:ptCount val="1"/>
                <c:pt idx="0">
                  <c:v>Return on equity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'financial ratios'!$B$3:$L$5</c:f>
              <c:strCache>
                <c:ptCount val="11"/>
                <c:pt idx="1">
                  <c:v>01/31/2015</c:v>
                </c:pt>
                <c:pt idx="2">
                  <c:v>01/31/2016</c:v>
                </c:pt>
                <c:pt idx="3">
                  <c:v>01/31/2017</c:v>
                </c:pt>
                <c:pt idx="4">
                  <c:v>01/31/2018</c:v>
                </c:pt>
                <c:pt idx="5">
                  <c:v>01/31/2019</c:v>
                </c:pt>
                <c:pt idx="6">
                  <c:v>01/31/2020</c:v>
                </c:pt>
                <c:pt idx="7">
                  <c:v>01/31/2021</c:v>
                </c:pt>
                <c:pt idx="8">
                  <c:v>01/31/2022</c:v>
                </c:pt>
                <c:pt idx="9">
                  <c:v>01/31/2023</c:v>
                </c:pt>
                <c:pt idx="10">
                  <c:v>01/31/2024</c:v>
                </c:pt>
              </c:strCache>
            </c:strRef>
          </c:cat>
          <c:val>
            <c:numRef>
              <c:f>'financial ratios'!$B$10:$L$10</c:f>
              <c:numCache>
                <c:formatCode>General</c:formatCode>
                <c:ptCount val="11"/>
                <c:pt idx="1">
                  <c:v>0.20103447428557389</c:v>
                </c:pt>
                <c:pt idx="2">
                  <c:v>0.1824299158244978</c:v>
                </c:pt>
                <c:pt idx="3">
                  <c:v>0.17536440525463379</c:v>
                </c:pt>
                <c:pt idx="4">
                  <c:v>0.1266486021394907</c:v>
                </c:pt>
                <c:pt idx="5">
                  <c:v>9.2005076142131978E-2</c:v>
                </c:pt>
                <c:pt idx="6">
                  <c:v>0.19929287924038089</c:v>
                </c:pt>
                <c:pt idx="7">
                  <c:v>0.16694470188446092</c:v>
                </c:pt>
                <c:pt idx="8">
                  <c:v>0.16423432188629838</c:v>
                </c:pt>
                <c:pt idx="9">
                  <c:v>0.15229551588802107</c:v>
                </c:pt>
                <c:pt idx="10">
                  <c:v>0.18496082803687053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3-4D5A-89F0-EAAEAD1E3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885552"/>
        <c:axId val="539513984"/>
      </c:barChart>
      <c:catAx>
        <c:axId val="5388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13984"/>
        <c:crosses val="autoZero"/>
        <c:auto val="1"/>
        <c:lblAlgn val="ctr"/>
        <c:lblOffset val="100"/>
        <c:noMultiLvlLbl val="0"/>
      </c:catAx>
      <c:valAx>
        <c:axId val="5395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Liquidity</a:t>
            </a:r>
            <a:r>
              <a:rPr lang="en-IN" baseline="0"/>
              <a:t>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ratios'!$A$13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ratios'!$B$11:$L$12</c:f>
              <c:strCache>
                <c:ptCount val="11"/>
                <c:pt idx="0">
                  <c:v>0</c:v>
                </c:pt>
                <c:pt idx="1">
                  <c:v>01/31/2015</c:v>
                </c:pt>
                <c:pt idx="2">
                  <c:v>01/31/2016</c:v>
                </c:pt>
                <c:pt idx="3">
                  <c:v>01/31/2017</c:v>
                </c:pt>
                <c:pt idx="4">
                  <c:v>01/31/2018</c:v>
                </c:pt>
                <c:pt idx="5">
                  <c:v>01/31/2019</c:v>
                </c:pt>
                <c:pt idx="6">
                  <c:v>01/31/2020</c:v>
                </c:pt>
                <c:pt idx="7">
                  <c:v>01/31/2021</c:v>
                </c:pt>
                <c:pt idx="8">
                  <c:v>01/31/2022</c:v>
                </c:pt>
                <c:pt idx="9">
                  <c:v>01/31/2023</c:v>
                </c:pt>
                <c:pt idx="10">
                  <c:v>01/31/2024</c:v>
                </c:pt>
              </c:strCache>
            </c:strRef>
          </c:cat>
          <c:val>
            <c:numRef>
              <c:f>'financial ratios'!$B$13:$L$13</c:f>
              <c:numCache>
                <c:formatCode>General</c:formatCode>
                <c:ptCount val="11"/>
                <c:pt idx="1">
                  <c:v>0.96945091310209586</c:v>
                </c:pt>
                <c:pt idx="2">
                  <c:v>0.93221807827419179</c:v>
                </c:pt>
                <c:pt idx="3">
                  <c:v>0.86195613196270615</c:v>
                </c:pt>
                <c:pt idx="4">
                  <c:v>0.75984768405904157</c:v>
                </c:pt>
                <c:pt idx="5">
                  <c:v>0.79890806303806294</c:v>
                </c:pt>
                <c:pt idx="6">
                  <c:v>0.7945237177015041</c:v>
                </c:pt>
                <c:pt idx="7">
                  <c:v>0.97217334988396564</c:v>
                </c:pt>
                <c:pt idx="8">
                  <c:v>0.92779729683333523</c:v>
                </c:pt>
                <c:pt idx="9">
                  <c:v>0.82057094513980777</c:v>
                </c:pt>
                <c:pt idx="10">
                  <c:v>0.83186712113834338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0-4981-952E-CD993FDA070F}"/>
            </c:ext>
          </c:extLst>
        </c:ser>
        <c:ser>
          <c:idx val="1"/>
          <c:order val="1"/>
          <c:tx>
            <c:strRef>
              <c:f>'financial ratios'!$A$14</c:f>
              <c:strCache>
                <c:ptCount val="1"/>
                <c:pt idx="0">
                  <c:v>Quick Ratios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'financial ratios'!$B$11:$L$12</c:f>
              <c:strCache>
                <c:ptCount val="11"/>
                <c:pt idx="0">
                  <c:v>0</c:v>
                </c:pt>
                <c:pt idx="1">
                  <c:v>01/31/2015</c:v>
                </c:pt>
                <c:pt idx="2">
                  <c:v>01/31/2016</c:v>
                </c:pt>
                <c:pt idx="3">
                  <c:v>01/31/2017</c:v>
                </c:pt>
                <c:pt idx="4">
                  <c:v>01/31/2018</c:v>
                </c:pt>
                <c:pt idx="5">
                  <c:v>01/31/2019</c:v>
                </c:pt>
                <c:pt idx="6">
                  <c:v>01/31/2020</c:v>
                </c:pt>
                <c:pt idx="7">
                  <c:v>01/31/2021</c:v>
                </c:pt>
                <c:pt idx="8">
                  <c:v>01/31/2022</c:v>
                </c:pt>
                <c:pt idx="9">
                  <c:v>01/31/2023</c:v>
                </c:pt>
                <c:pt idx="10">
                  <c:v>01/31/2024</c:v>
                </c:pt>
              </c:strCache>
            </c:strRef>
          </c:cat>
          <c:val>
            <c:numRef>
              <c:f>'financial ratios'!$B$14:$L$14</c:f>
              <c:numCache>
                <c:formatCode>General</c:formatCode>
                <c:ptCount val="11"/>
                <c:pt idx="1">
                  <c:v>0.2778679985292315</c:v>
                </c:pt>
                <c:pt idx="2">
                  <c:v>0.24404586886209939</c:v>
                </c:pt>
                <c:pt idx="3">
                  <c:v>0.21878735357398996</c:v>
                </c:pt>
                <c:pt idx="4">
                  <c:v>0.20225162695329912</c:v>
                </c:pt>
                <c:pt idx="5">
                  <c:v>0.2275255882390903</c:v>
                </c:pt>
                <c:pt idx="6">
                  <c:v>0.22330633757552384</c:v>
                </c:pt>
                <c:pt idx="7">
                  <c:v>0.48699875870257436</c:v>
                </c:pt>
                <c:pt idx="8">
                  <c:v>0.28106295563007128</c:v>
                </c:pt>
                <c:pt idx="9">
                  <c:v>0.20693507451354692</c:v>
                </c:pt>
                <c:pt idx="10">
                  <c:v>0.23789428123140183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0-4981-952E-CD993FDA070F}"/>
            </c:ext>
          </c:extLst>
        </c:ser>
        <c:ser>
          <c:idx val="2"/>
          <c:order val="2"/>
          <c:tx>
            <c:strRef>
              <c:f>'financial ratios'!$A$15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'financial ratios'!$B$11:$L$12</c:f>
              <c:strCache>
                <c:ptCount val="11"/>
                <c:pt idx="0">
                  <c:v>0</c:v>
                </c:pt>
                <c:pt idx="1">
                  <c:v>01/31/2015</c:v>
                </c:pt>
                <c:pt idx="2">
                  <c:v>01/31/2016</c:v>
                </c:pt>
                <c:pt idx="3">
                  <c:v>01/31/2017</c:v>
                </c:pt>
                <c:pt idx="4">
                  <c:v>01/31/2018</c:v>
                </c:pt>
                <c:pt idx="5">
                  <c:v>01/31/2019</c:v>
                </c:pt>
                <c:pt idx="6">
                  <c:v>01/31/2020</c:v>
                </c:pt>
                <c:pt idx="7">
                  <c:v>01/31/2021</c:v>
                </c:pt>
                <c:pt idx="8">
                  <c:v>01/31/2022</c:v>
                </c:pt>
                <c:pt idx="9">
                  <c:v>01/31/2023</c:v>
                </c:pt>
                <c:pt idx="10">
                  <c:v>01/31/2024</c:v>
                </c:pt>
              </c:strCache>
            </c:strRef>
          </c:cat>
          <c:val>
            <c:numRef>
              <c:f>'financial ratios'!$B$15:$L$15</c:f>
              <c:numCache>
                <c:formatCode>General</c:formatCode>
                <c:ptCount val="11"/>
                <c:pt idx="1">
                  <c:v>0.13995281284471137</c:v>
                </c:pt>
                <c:pt idx="2">
                  <c:v>0.13471270059889506</c:v>
                </c:pt>
                <c:pt idx="3">
                  <c:v>0.10260279703562036</c:v>
                </c:pt>
                <c:pt idx="4">
                  <c:v>8.6040677016339578E-2</c:v>
                </c:pt>
                <c:pt idx="5">
                  <c:v>9.9668288653406822E-2</c:v>
                </c:pt>
                <c:pt idx="6">
                  <c:v>0.12167373698418819</c:v>
                </c:pt>
                <c:pt idx="7">
                  <c:v>0.19149441416158455</c:v>
                </c:pt>
                <c:pt idx="8">
                  <c:v>0.16891930555396606</c:v>
                </c:pt>
                <c:pt idx="9">
                  <c:v>9.3548666999284144E-2</c:v>
                </c:pt>
                <c:pt idx="10">
                  <c:v>0.10676838175620841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0-4981-952E-CD993FDA0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881232"/>
        <c:axId val="539499104"/>
      </c:barChart>
      <c:catAx>
        <c:axId val="5388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99104"/>
        <c:crosses val="autoZero"/>
        <c:auto val="1"/>
        <c:lblAlgn val="ctr"/>
        <c:lblOffset val="100"/>
        <c:noMultiLvlLbl val="0"/>
      </c:catAx>
      <c:valAx>
        <c:axId val="5394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ratios'!$A$18</c:f>
              <c:strCache>
                <c:ptCount val="1"/>
                <c:pt idx="0">
                  <c:v>Debt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'financial ratios'!$B$18:$L$18</c:f>
              <c:numCache>
                <c:formatCode>0.0000000</c:formatCode>
                <c:ptCount val="11"/>
                <c:pt idx="1">
                  <c:v>0.79618508802427379</c:v>
                </c:pt>
                <c:pt idx="2">
                  <c:v>0.83059147728215943</c:v>
                </c:pt>
                <c:pt idx="3">
                  <c:v>0.79630432144776297</c:v>
                </c:pt>
                <c:pt idx="4">
                  <c:v>0.77914655403593458</c:v>
                </c:pt>
                <c:pt idx="5">
                  <c:v>0.93757371116532306</c:v>
                </c:pt>
                <c:pt idx="6">
                  <c:v>0.88128984241012198</c:v>
                </c:pt>
                <c:pt idx="7">
                  <c:v>0.54260717021772675</c:v>
                </c:pt>
                <c:pt idx="8">
                  <c:v>0.52832120389786608</c:v>
                </c:pt>
                <c:pt idx="9">
                  <c:v>0.58980900138787917</c:v>
                </c:pt>
                <c:pt idx="10">
                  <c:v>0.60994835906708122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9-4FAB-87B5-42657AF1C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877872"/>
        <c:axId val="223538160"/>
      </c:lineChart>
      <c:catAx>
        <c:axId val="538877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38160"/>
        <c:crosses val="autoZero"/>
        <c:auto val="1"/>
        <c:lblAlgn val="ctr"/>
        <c:lblOffset val="100"/>
        <c:noMultiLvlLbl val="0"/>
      </c:catAx>
      <c:valAx>
        <c:axId val="22353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7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</a:t>
            </a:r>
            <a:r>
              <a:rPr lang="en-IN" baseline="0"/>
              <a:t> On Assets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with another '!$B$4</c:f>
              <c:strCache>
                <c:ptCount val="1"/>
                <c:pt idx="0">
                  <c:v>ROA WALMART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'Compare with another '!$B$13:$K$13</c15:sqref>
                  </c15:fullRef>
                </c:ext>
              </c:extLst>
              <c:f>'Compare with another '!$D$13:$K$13</c:f>
              <c:strCache>
                <c:ptCount val="8"/>
                <c:pt idx="0">
                  <c:v>01/31/2017</c:v>
                </c:pt>
                <c:pt idx="1">
                  <c:v>01/31/2018</c:v>
                </c:pt>
                <c:pt idx="2">
                  <c:v>01/31/2019</c:v>
                </c:pt>
                <c:pt idx="3">
                  <c:v>01/31/2020</c:v>
                </c:pt>
                <c:pt idx="4">
                  <c:v>01/31/2021</c:v>
                </c:pt>
                <c:pt idx="5">
                  <c:v>01/31/2022</c:v>
                </c:pt>
                <c:pt idx="6">
                  <c:v>01/31/2023</c:v>
                </c:pt>
                <c:pt idx="7">
                  <c:v>31/01/2024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'Compare with another '!$C$4:$M$4</c15:sqref>
                  </c15:fullRef>
                </c:ext>
              </c:extLst>
              <c:f>'Compare with another '!$E$4:$M$4</c:f>
              <c:numCache>
                <c:formatCode>General</c:formatCode>
                <c:ptCount val="9"/>
                <c:pt idx="0">
                  <c:v>-1.3941161179488919E-2</c:v>
                </c:pt>
                <c:pt idx="1">
                  <c:v>-1.2630089363314242E-2</c:v>
                </c:pt>
                <c:pt idx="2">
                  <c:v>-2.8700433152942954E-2</c:v>
                </c:pt>
                <c:pt idx="3">
                  <c:v>-5.6493191970292234E-2</c:v>
                </c:pt>
                <c:pt idx="4">
                  <c:v>-2.3176159320712924E-3</c:v>
                </c:pt>
                <c:pt idx="5">
                  <c:v>-1.0987367849765466E-2</c:v>
                </c:pt>
                <c:pt idx="6">
                  <c:v>-3.8273013458409923E-2</c:v>
                </c:pt>
                <c:pt idx="7">
                  <c:v>-1.6860206552354599E-2</c:v>
                </c:pt>
                <c:pt idx="8">
                  <c:v>-2.3487780804970458E-2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861-AB0A-8210D1FFA0FE}"/>
            </c:ext>
          </c:extLst>
        </c:ser>
        <c:ser>
          <c:idx val="1"/>
          <c:order val="1"/>
          <c:tx>
            <c:strRef>
              <c:f>'Compare with another '!$B$5</c:f>
              <c:strCache>
                <c:ptCount val="1"/>
                <c:pt idx="0">
                  <c:v>Roa costco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'Compare with another '!$B$13:$K$13</c15:sqref>
                  </c15:fullRef>
                </c:ext>
              </c:extLst>
              <c:f>'Compare with another '!$D$13:$K$13</c:f>
              <c:strCache>
                <c:ptCount val="8"/>
                <c:pt idx="0">
                  <c:v>01/31/2017</c:v>
                </c:pt>
                <c:pt idx="1">
                  <c:v>01/31/2018</c:v>
                </c:pt>
                <c:pt idx="2">
                  <c:v>01/31/2019</c:v>
                </c:pt>
                <c:pt idx="3">
                  <c:v>01/31/2020</c:v>
                </c:pt>
                <c:pt idx="4">
                  <c:v>01/31/2021</c:v>
                </c:pt>
                <c:pt idx="5">
                  <c:v>01/31/2022</c:v>
                </c:pt>
                <c:pt idx="6">
                  <c:v>01/31/2023</c:v>
                </c:pt>
                <c:pt idx="7">
                  <c:v>31/01/2024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'Compare with another '!$C$5:$M$5</c15:sqref>
                  </c15:fullRef>
                </c:ext>
              </c:extLst>
              <c:f>'Compare with another '!$E$5:$M$5</c:f>
              <c:numCache>
                <c:formatCode>General</c:formatCode>
                <c:ptCount val="9"/>
                <c:pt idx="0">
                  <c:v>0.26378870269670401</c:v>
                </c:pt>
                <c:pt idx="1">
                  <c:v>0.30872306883867578</c:v>
                </c:pt>
                <c:pt idx="2">
                  <c:v>0.27883014154870939</c:v>
                </c:pt>
                <c:pt idx="3">
                  <c:v>0.27890006229420666</c:v>
                </c:pt>
                <c:pt idx="4">
                  <c:v>0.31329737135028685</c:v>
                </c:pt>
                <c:pt idx="5">
                  <c:v>0.28238780694326843</c:v>
                </c:pt>
                <c:pt idx="6">
                  <c:v>0.30759307040176925</c:v>
                </c:pt>
                <c:pt idx="7">
                  <c:v>0.32743164500224115</c:v>
                </c:pt>
                <c:pt idx="8">
                  <c:v>0.35989246696791166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D-4861-AB0A-8210D1FFA0FE}"/>
            </c:ext>
          </c:extLst>
        </c:ser>
        <c:ser>
          <c:idx val="2"/>
          <c:order val="2"/>
          <c:tx>
            <c:strRef>
              <c:f>'Compare with another '!$B$6</c:f>
              <c:strCache>
                <c:ptCount val="1"/>
                <c:pt idx="0">
                  <c:v>Roa amazon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'Compare with another '!$B$13:$K$13</c15:sqref>
                  </c15:fullRef>
                </c:ext>
              </c:extLst>
              <c:f>'Compare with another '!$D$13:$K$13</c:f>
              <c:strCache>
                <c:ptCount val="8"/>
                <c:pt idx="0">
                  <c:v>01/31/2017</c:v>
                </c:pt>
                <c:pt idx="1">
                  <c:v>01/31/2018</c:v>
                </c:pt>
                <c:pt idx="2">
                  <c:v>01/31/2019</c:v>
                </c:pt>
                <c:pt idx="3">
                  <c:v>01/31/2020</c:v>
                </c:pt>
                <c:pt idx="4">
                  <c:v>01/31/2021</c:v>
                </c:pt>
                <c:pt idx="5">
                  <c:v>01/31/2022</c:v>
                </c:pt>
                <c:pt idx="6">
                  <c:v>01/31/2023</c:v>
                </c:pt>
                <c:pt idx="7">
                  <c:v>31/01/2024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'Compare with another '!$C$6:$M$6</c15:sqref>
                  </c15:fullRef>
                </c:ext>
              </c:extLst>
              <c:f>'Compare with another '!$E$6:$M$6</c:f>
              <c:numCache>
                <c:formatCode>General</c:formatCode>
                <c:ptCount val="9"/>
                <c:pt idx="0">
                  <c:v>-1.4642444862992892E-2</c:v>
                </c:pt>
                <c:pt idx="1">
                  <c:v>2.9219983330881993E-2</c:v>
                </c:pt>
                <c:pt idx="2">
                  <c:v>9.3682089375321034E-2</c:v>
                </c:pt>
                <c:pt idx="3">
                  <c:v>8.7618442338802865E-2</c:v>
                </c:pt>
                <c:pt idx="4">
                  <c:v>0.26374633431085043</c:v>
                </c:pt>
                <c:pt idx="5">
                  <c:v>0.24559693109806499</c:v>
                </c:pt>
                <c:pt idx="6">
                  <c:v>0.29406250430802738</c:v>
                </c:pt>
                <c:pt idx="7">
                  <c:v>0.42413302145835452</c:v>
                </c:pt>
                <c:pt idx="8">
                  <c:v>-3.4195979899497485E-2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D-4861-AB0A-8210D1FFA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350912"/>
        <c:axId val="733244608"/>
      </c:barChart>
      <c:catAx>
        <c:axId val="31135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608"/>
        <c:crosses val="autoZero"/>
        <c:auto val="1"/>
        <c:lblAlgn val="ctr"/>
        <c:lblOffset val="100"/>
        <c:noMultiLvlLbl val="0"/>
      </c:catAx>
      <c:valAx>
        <c:axId val="7332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Debt</a:t>
            </a:r>
            <a:r>
              <a:rPr lang="en-IN" baseline="0"/>
              <a:t> to equity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with another '!$A$14</c:f>
              <c:strCache>
                <c:ptCount val="1"/>
                <c:pt idx="0">
                  <c:v>Debt to equity costco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'Compare with another '!$B$13:$J$13</c:f>
              <c:strCache>
                <c:ptCount val="9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</c:strCache>
            </c:strRef>
          </c:cat>
          <c:val>
            <c:numRef>
              <c:f>'Compare with another '!$B$14:$J$14</c:f>
              <c:numCache>
                <c:formatCode>General</c:formatCode>
                <c:ptCount val="9"/>
                <c:pt idx="0">
                  <c:v>1.6842233601560594</c:v>
                </c:pt>
                <c:pt idx="1">
                  <c:v>2.149665630592446</c:v>
                </c:pt>
                <c:pt idx="2">
                  <c:v>1.7455087341667357</c:v>
                </c:pt>
                <c:pt idx="3">
                  <c:v>2.3723325292262016</c:v>
                </c:pt>
                <c:pt idx="4">
                  <c:v>2.1900929760137511</c:v>
                </c:pt>
                <c:pt idx="5">
                  <c:v>1.9784163222462769</c:v>
                </c:pt>
                <c:pt idx="6">
                  <c:v>2.0385036097134108</c:v>
                </c:pt>
                <c:pt idx="7">
                  <c:v>2.3744021862901388</c:v>
                </c:pt>
                <c:pt idx="8">
                  <c:v>2.1085166166069178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0-44D6-9382-A05EC9BDBCB1}"/>
            </c:ext>
          </c:extLst>
        </c:ser>
        <c:ser>
          <c:idx val="1"/>
          <c:order val="1"/>
          <c:tx>
            <c:strRef>
              <c:f>'Compare with another '!$A$15</c:f>
              <c:strCache>
                <c:ptCount val="1"/>
                <c:pt idx="0">
                  <c:v>Debt to equity amazon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'Compare with another '!$B$13:$J$13</c:f>
              <c:strCache>
                <c:ptCount val="9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</c:strCache>
            </c:strRef>
          </c:cat>
          <c:val>
            <c:numRef>
              <c:f>'Compare with another '!$B$15:$J$15</c:f>
              <c:numCache>
                <c:formatCode>General</c:formatCode>
                <c:ptCount val="9"/>
                <c:pt idx="0">
                  <c:v>4.0744809608043946</c:v>
                </c:pt>
                <c:pt idx="1">
                  <c:v>3.8897190675433353</c:v>
                </c:pt>
                <c:pt idx="2">
                  <c:v>3.3247083225304639</c:v>
                </c:pt>
                <c:pt idx="3">
                  <c:v>3.7388935003067596</c:v>
                </c:pt>
                <c:pt idx="4">
                  <c:v>2.734827435762015</c:v>
                </c:pt>
                <c:pt idx="5">
                  <c:v>2.6295198195294875</c:v>
                </c:pt>
                <c:pt idx="6">
                  <c:v>2.4387713588283155</c:v>
                </c:pt>
                <c:pt idx="7">
                  <c:v>2.0420557705522802</c:v>
                </c:pt>
                <c:pt idx="8">
                  <c:v>2.1680737864875415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0-44D6-9382-A05EC9BDBCB1}"/>
            </c:ext>
          </c:extLst>
        </c:ser>
        <c:ser>
          <c:idx val="2"/>
          <c:order val="2"/>
          <c:tx>
            <c:strRef>
              <c:f>'Compare with another '!$A$16</c:f>
              <c:strCache>
                <c:ptCount val="1"/>
                <c:pt idx="0">
                  <c:v>Debt to equity walmart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'Compare with another '!$B$13:$J$13</c:f>
              <c:strCache>
                <c:ptCount val="9"/>
                <c:pt idx="0">
                  <c:v>01/31/2015</c:v>
                </c:pt>
                <c:pt idx="1">
                  <c:v>01/31/2016</c:v>
                </c:pt>
                <c:pt idx="2">
                  <c:v>01/31/2017</c:v>
                </c:pt>
                <c:pt idx="3">
                  <c:v>01/31/2018</c:v>
                </c:pt>
                <c:pt idx="4">
                  <c:v>01/31/2019</c:v>
                </c:pt>
                <c:pt idx="5">
                  <c:v>01/31/2020</c:v>
                </c:pt>
                <c:pt idx="6">
                  <c:v>01/31/2021</c:v>
                </c:pt>
                <c:pt idx="7">
                  <c:v>01/31/2022</c:v>
                </c:pt>
                <c:pt idx="8">
                  <c:v>01/31/2023</c:v>
                </c:pt>
              </c:strCache>
            </c:strRef>
          </c:cat>
          <c:val>
            <c:numRef>
              <c:f>'Compare with another '!$B$16:$J$16</c:f>
              <c:numCache>
                <c:formatCode>General</c:formatCode>
                <c:ptCount val="9"/>
                <c:pt idx="0">
                  <c:v>1.5027151878516845</c:v>
                </c:pt>
                <c:pt idx="1">
                  <c:v>1.4778511657934597</c:v>
                </c:pt>
                <c:pt idx="2">
                  <c:v>1.5556569577624104</c:v>
                </c:pt>
                <c:pt idx="3">
                  <c:v>1.6264880761278557</c:v>
                </c:pt>
                <c:pt idx="4">
                  <c:v>2.0249255131317589</c:v>
                </c:pt>
                <c:pt idx="5">
                  <c:v>2.1672447736008249</c:v>
                </c:pt>
                <c:pt idx="6">
                  <c:v>2.1201235712079085</c:v>
                </c:pt>
                <c:pt idx="7">
                  <c:v>1.9411552736838311</c:v>
                </c:pt>
                <c:pt idx="8">
                  <c:v>2.1710455973817688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0-44D6-9382-A05EC9BDB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30768"/>
        <c:axId val="172937888"/>
      </c:lineChart>
      <c:catAx>
        <c:axId val="17303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7888"/>
        <c:crosses val="autoZero"/>
        <c:auto val="1"/>
        <c:lblAlgn val="ctr"/>
        <c:lblOffset val="100"/>
        <c:noMultiLvlLbl val="0"/>
      </c:catAx>
      <c:valAx>
        <c:axId val="1729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'projected IS '!$M$2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'projected IS '!$N$1:$W$1</c:f>
              <c:numCache>
                <c:formatCode>m/d/yy</c:formatCode>
                <c:ptCount val="10"/>
                <c:pt idx="0">
                  <c:v>44227</c:v>
                </c:pt>
                <c:pt idx="1">
                  <c:v>44592</c:v>
                </c:pt>
                <c:pt idx="2">
                  <c:v>44957</c:v>
                </c:pt>
                <c:pt idx="3">
                  <c:v>45322</c:v>
                </c:pt>
                <c:pt idx="4">
                  <c:v>45688</c:v>
                </c:pt>
                <c:pt idx="5">
                  <c:v>46053</c:v>
                </c:pt>
                <c:pt idx="6">
                  <c:v>46418</c:v>
                </c:pt>
                <c:pt idx="7">
                  <c:v>46783</c:v>
                </c:pt>
                <c:pt idx="8">
                  <c:v>47149</c:v>
                </c:pt>
                <c:pt idx="9">
                  <c:v>47514</c:v>
                </c:pt>
              </c:numCache>
            </c:numRef>
          </c:cat>
          <c:val>
            <c:numRef>
              <c:f>'projected IS '!$N$2:$W$2</c:f>
              <c:numCache>
                <c:formatCode>General</c:formatCode>
                <c:ptCount val="10"/>
                <c:pt idx="0">
                  <c:v>572754000</c:v>
                </c:pt>
                <c:pt idx="1">
                  <c:v>611289000</c:v>
                </c:pt>
                <c:pt idx="2">
                  <c:v>629627670</c:v>
                </c:pt>
                <c:pt idx="3">
                  <c:v>651664638.44999993</c:v>
                </c:pt>
                <c:pt idx="4">
                  <c:v>674472900.7957499</c:v>
                </c:pt>
                <c:pt idx="5">
                  <c:v>701451816.82757998</c:v>
                </c:pt>
                <c:pt idx="6">
                  <c:v>729509889.50068319</c:v>
                </c:pt>
                <c:pt idx="7">
                  <c:v>762337834.52821386</c:v>
                </c:pt>
                <c:pt idx="8">
                  <c:v>796643037.08198345</c:v>
                </c:pt>
                <c:pt idx="9">
                  <c:v>828508758.56526279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F-441B-9B66-7A6F5D967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5559104"/>
        <c:axId val="1326846976"/>
      </c:barChart>
      <c:dateAx>
        <c:axId val="188555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46976"/>
        <c:crosses val="autoZero"/>
        <c:auto val="1"/>
        <c:lblOffset val="100"/>
        <c:baseTimeUnit val="years"/>
      </c:dateAx>
      <c:valAx>
        <c:axId val="132684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55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Vs Net Income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'projected IS '!$M$2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'projected IS '!$N$1:$W$1</c:f>
              <c:numCache>
                <c:formatCode>m/d/yy</c:formatCode>
                <c:ptCount val="10"/>
                <c:pt idx="0">
                  <c:v>44227</c:v>
                </c:pt>
                <c:pt idx="1">
                  <c:v>44592</c:v>
                </c:pt>
                <c:pt idx="2">
                  <c:v>44957</c:v>
                </c:pt>
                <c:pt idx="3">
                  <c:v>45322</c:v>
                </c:pt>
                <c:pt idx="4">
                  <c:v>45688</c:v>
                </c:pt>
                <c:pt idx="5">
                  <c:v>46053</c:v>
                </c:pt>
                <c:pt idx="6">
                  <c:v>46418</c:v>
                </c:pt>
                <c:pt idx="7">
                  <c:v>46783</c:v>
                </c:pt>
                <c:pt idx="8">
                  <c:v>47149</c:v>
                </c:pt>
                <c:pt idx="9">
                  <c:v>47514</c:v>
                </c:pt>
              </c:numCache>
            </c:numRef>
          </c:cat>
          <c:val>
            <c:numRef>
              <c:f>'projected IS '!$N$2:$W$2</c:f>
              <c:numCache>
                <c:formatCode>General</c:formatCode>
                <c:ptCount val="10"/>
                <c:pt idx="0">
                  <c:v>572754000</c:v>
                </c:pt>
                <c:pt idx="1">
                  <c:v>611289000</c:v>
                </c:pt>
                <c:pt idx="2">
                  <c:v>629627670</c:v>
                </c:pt>
                <c:pt idx="3">
                  <c:v>651664638.44999993</c:v>
                </c:pt>
                <c:pt idx="4">
                  <c:v>674472900.7957499</c:v>
                </c:pt>
                <c:pt idx="5">
                  <c:v>701451816.82757998</c:v>
                </c:pt>
                <c:pt idx="6">
                  <c:v>729509889.50068319</c:v>
                </c:pt>
                <c:pt idx="7">
                  <c:v>762337834.52821386</c:v>
                </c:pt>
                <c:pt idx="8">
                  <c:v>796643037.08198345</c:v>
                </c:pt>
                <c:pt idx="9">
                  <c:v>828508758.56526279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2-4C4B-BC10-F5B09C5CF260}"/>
            </c:ext>
          </c:extLst>
        </c:ser>
        <c:ser>
          <c:idx val="1"/>
          <c:order val="1"/>
          <c:tx>
            <c:strRef>
              <c:f>'projected IS '!$M$3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'projected IS '!$N$1:$W$1</c:f>
              <c:numCache>
                <c:formatCode>m/d/yy</c:formatCode>
                <c:ptCount val="10"/>
                <c:pt idx="0">
                  <c:v>44227</c:v>
                </c:pt>
                <c:pt idx="1">
                  <c:v>44592</c:v>
                </c:pt>
                <c:pt idx="2">
                  <c:v>44957</c:v>
                </c:pt>
                <c:pt idx="3">
                  <c:v>45322</c:v>
                </c:pt>
                <c:pt idx="4">
                  <c:v>45688</c:v>
                </c:pt>
                <c:pt idx="5">
                  <c:v>46053</c:v>
                </c:pt>
                <c:pt idx="6">
                  <c:v>46418</c:v>
                </c:pt>
                <c:pt idx="7">
                  <c:v>46783</c:v>
                </c:pt>
                <c:pt idx="8">
                  <c:v>47149</c:v>
                </c:pt>
                <c:pt idx="9">
                  <c:v>47514</c:v>
                </c:pt>
              </c:numCache>
            </c:numRef>
          </c:cat>
          <c:val>
            <c:numRef>
              <c:f>'projected IS '!$N$3:$W$3</c:f>
              <c:numCache>
                <c:formatCode>General</c:formatCode>
                <c:ptCount val="10"/>
                <c:pt idx="0">
                  <c:v>18429000</c:v>
                </c:pt>
                <c:pt idx="1">
                  <c:v>11292000</c:v>
                </c:pt>
                <c:pt idx="2">
                  <c:v>7121563.2179999817</c:v>
                </c:pt>
                <c:pt idx="3">
                  <c:v>15239711.058063719</c:v>
                </c:pt>
                <c:pt idx="4">
                  <c:v>15445044.695610009</c:v>
                </c:pt>
                <c:pt idx="5">
                  <c:v>11286684.178367581</c:v>
                </c:pt>
                <c:pt idx="6">
                  <c:v>22383078.485789351</c:v>
                </c:pt>
                <c:pt idx="7">
                  <c:v>30198631.832388125</c:v>
                </c:pt>
                <c:pt idx="8">
                  <c:v>37038836.350299567</c:v>
                </c:pt>
                <c:pt idx="9">
                  <c:v>50846402.014696807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2-4C4B-BC10-F5B09C5CF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316480"/>
        <c:axId val="1318669312"/>
      </c:barChart>
      <c:dateAx>
        <c:axId val="1889316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69312"/>
        <c:crosses val="autoZero"/>
        <c:auto val="1"/>
        <c:lblOffset val="100"/>
        <c:baseTimeUnit val="years"/>
      </c:dateAx>
      <c:valAx>
        <c:axId val="13186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31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Current</a:t>
            </a:r>
            <a:r>
              <a:rPr lang="en-IN" baseline="0"/>
              <a:t> Assets Vs Current Liabilities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'projected IS '!$M$6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'projected IS '!$N$5:$W$5</c:f>
              <c:numCache>
                <c:formatCode>m/d/yy</c:formatCode>
                <c:ptCount val="10"/>
                <c:pt idx="0">
                  <c:v>44227</c:v>
                </c:pt>
                <c:pt idx="1">
                  <c:v>44592</c:v>
                </c:pt>
                <c:pt idx="2">
                  <c:v>44957</c:v>
                </c:pt>
                <c:pt idx="3">
                  <c:v>45322</c:v>
                </c:pt>
                <c:pt idx="4">
                  <c:v>45688</c:v>
                </c:pt>
                <c:pt idx="5">
                  <c:v>46053</c:v>
                </c:pt>
                <c:pt idx="6">
                  <c:v>46418</c:v>
                </c:pt>
                <c:pt idx="7">
                  <c:v>46783</c:v>
                </c:pt>
                <c:pt idx="8">
                  <c:v>47149</c:v>
                </c:pt>
                <c:pt idx="9">
                  <c:v>47514</c:v>
                </c:pt>
              </c:numCache>
            </c:numRef>
          </c:cat>
          <c:val>
            <c:numRef>
              <c:f>'projected IS '!$N$6:$W$6</c:f>
              <c:numCache>
                <c:formatCode>General</c:formatCode>
                <c:ptCount val="10"/>
                <c:pt idx="0">
                  <c:v>24559000</c:v>
                </c:pt>
                <c:pt idx="1">
                  <c:v>19079000</c:v>
                </c:pt>
                <c:pt idx="2">
                  <c:v>71780044.704999998</c:v>
                </c:pt>
                <c:pt idx="3">
                  <c:v>54654173.085999995</c:v>
                </c:pt>
                <c:pt idx="4">
                  <c:v>63223564.0866175</c:v>
                </c:pt>
                <c:pt idx="5">
                  <c:v>44608113.029654801</c:v>
                </c:pt>
                <c:pt idx="6">
                  <c:v>68176895.080061495</c:v>
                </c:pt>
                <c:pt idx="7">
                  <c:v>63508032.792257108</c:v>
                </c:pt>
                <c:pt idx="8">
                  <c:v>66252450.001558676</c:v>
                </c:pt>
                <c:pt idx="9">
                  <c:v>60516621.139568396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C-4774-BACA-CD0497D72941}"/>
            </c:ext>
          </c:extLst>
        </c:ser>
        <c:ser>
          <c:idx val="1"/>
          <c:order val="1"/>
          <c:tx>
            <c:strRef>
              <c:f>'projected IS '!$M$7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'projected IS '!$N$5:$W$5</c:f>
              <c:numCache>
                <c:formatCode>m/d/yy</c:formatCode>
                <c:ptCount val="10"/>
                <c:pt idx="0">
                  <c:v>44227</c:v>
                </c:pt>
                <c:pt idx="1">
                  <c:v>44592</c:v>
                </c:pt>
                <c:pt idx="2">
                  <c:v>44957</c:v>
                </c:pt>
                <c:pt idx="3">
                  <c:v>45322</c:v>
                </c:pt>
                <c:pt idx="4">
                  <c:v>45688</c:v>
                </c:pt>
                <c:pt idx="5">
                  <c:v>46053</c:v>
                </c:pt>
                <c:pt idx="6">
                  <c:v>46418</c:v>
                </c:pt>
                <c:pt idx="7">
                  <c:v>46783</c:v>
                </c:pt>
                <c:pt idx="8">
                  <c:v>47149</c:v>
                </c:pt>
                <c:pt idx="9">
                  <c:v>47514</c:v>
                </c:pt>
              </c:numCache>
            </c:numRef>
          </c:cat>
          <c:val>
            <c:numRef>
              <c:f>'projected IS '!$N$7:$W$7</c:f>
              <c:numCache>
                <c:formatCode>General</c:formatCode>
                <c:ptCount val="10"/>
                <c:pt idx="0">
                  <c:v>87379000</c:v>
                </c:pt>
                <c:pt idx="1">
                  <c:v>92198000</c:v>
                </c:pt>
                <c:pt idx="2">
                  <c:v>110997703.90000001</c:v>
                </c:pt>
                <c:pt idx="3">
                  <c:v>114743988.53649999</c:v>
                </c:pt>
                <c:pt idx="4">
                  <c:v>111876664.12731999</c:v>
                </c:pt>
                <c:pt idx="5">
                  <c:v>116193290.69241279</c:v>
                </c:pt>
                <c:pt idx="6">
                  <c:v>135272780.11012298</c:v>
                </c:pt>
                <c:pt idx="7">
                  <c:v>141181810.2150785</c:v>
                </c:pt>
                <c:pt idx="8">
                  <c:v>131423885.93311736</c:v>
                </c:pt>
                <c:pt idx="9">
                  <c:v>136522401.37044203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C-4774-BACA-CD0497D72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160864"/>
        <c:axId val="1326843504"/>
      </c:barChart>
      <c:dateAx>
        <c:axId val="22516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43504"/>
        <c:crosses val="autoZero"/>
        <c:auto val="1"/>
        <c:lblOffset val="100"/>
        <c:baseTimeUnit val="years"/>
      </c:dateAx>
      <c:valAx>
        <c:axId val="132684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6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Direct</a:t>
            </a:r>
            <a:r>
              <a:rPr lang="en-IN" baseline="0"/>
              <a:t> Cost and selling &amp; Admin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'projected IS '!$M$10</c:f>
              <c:strCache>
                <c:ptCount val="1"/>
                <c:pt idx="0">
                  <c:v>Direct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'projected IS '!$N$9:$W$9</c:f>
              <c:numCache>
                <c:formatCode>m/d/yy</c:formatCode>
                <c:ptCount val="10"/>
                <c:pt idx="0">
                  <c:v>44227</c:v>
                </c:pt>
                <c:pt idx="1">
                  <c:v>44592</c:v>
                </c:pt>
                <c:pt idx="2">
                  <c:v>44957</c:v>
                </c:pt>
                <c:pt idx="3">
                  <c:v>45322</c:v>
                </c:pt>
                <c:pt idx="4">
                  <c:v>45688</c:v>
                </c:pt>
                <c:pt idx="5">
                  <c:v>46053</c:v>
                </c:pt>
                <c:pt idx="6">
                  <c:v>46418</c:v>
                </c:pt>
                <c:pt idx="7">
                  <c:v>46783</c:v>
                </c:pt>
                <c:pt idx="8">
                  <c:v>47149</c:v>
                </c:pt>
                <c:pt idx="9">
                  <c:v>47514</c:v>
                </c:pt>
              </c:numCache>
            </c:numRef>
          </c:cat>
          <c:val>
            <c:numRef>
              <c:f>'projected IS '!$N$10:$W$10</c:f>
              <c:numCache>
                <c:formatCode>General</c:formatCode>
                <c:ptCount val="10"/>
                <c:pt idx="0">
                  <c:v>429000000</c:v>
                </c:pt>
                <c:pt idx="1">
                  <c:v>463721000</c:v>
                </c:pt>
                <c:pt idx="2">
                  <c:v>484813305.90000004</c:v>
                </c:pt>
                <c:pt idx="3">
                  <c:v>488748478.83749998</c:v>
                </c:pt>
                <c:pt idx="4">
                  <c:v>505854675.59681243</c:v>
                </c:pt>
                <c:pt idx="5">
                  <c:v>533103380.78896081</c:v>
                </c:pt>
                <c:pt idx="6">
                  <c:v>539837318.23050559</c:v>
                </c:pt>
                <c:pt idx="7">
                  <c:v>556506619.20559609</c:v>
                </c:pt>
                <c:pt idx="8">
                  <c:v>573582986.69902802</c:v>
                </c:pt>
                <c:pt idx="9">
                  <c:v>579956130.99568391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2-4CD6-A909-04538FD10890}"/>
            </c:ext>
          </c:extLst>
        </c:ser>
        <c:ser>
          <c:idx val="1"/>
          <c:order val="1"/>
          <c:tx>
            <c:strRef>
              <c:f>'projected IS '!$M$11</c:f>
              <c:strCache>
                <c:ptCount val="1"/>
                <c:pt idx="0">
                  <c:v>Selling General &amp; Admin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'projected IS '!$N$9:$W$9</c:f>
              <c:numCache>
                <c:formatCode>m/d/yy</c:formatCode>
                <c:ptCount val="10"/>
                <c:pt idx="0">
                  <c:v>44227</c:v>
                </c:pt>
                <c:pt idx="1">
                  <c:v>44592</c:v>
                </c:pt>
                <c:pt idx="2">
                  <c:v>44957</c:v>
                </c:pt>
                <c:pt idx="3">
                  <c:v>45322</c:v>
                </c:pt>
                <c:pt idx="4">
                  <c:v>45688</c:v>
                </c:pt>
                <c:pt idx="5">
                  <c:v>46053</c:v>
                </c:pt>
                <c:pt idx="6">
                  <c:v>46418</c:v>
                </c:pt>
                <c:pt idx="7">
                  <c:v>46783</c:v>
                </c:pt>
                <c:pt idx="8">
                  <c:v>47149</c:v>
                </c:pt>
                <c:pt idx="9">
                  <c:v>47514</c:v>
                </c:pt>
              </c:numCache>
            </c:numRef>
          </c:cat>
          <c:val>
            <c:numRef>
              <c:f>'projected IS '!$N$11:$W$11</c:f>
              <c:numCache>
                <c:formatCode>General</c:formatCode>
                <c:ptCount val="10"/>
                <c:pt idx="0">
                  <c:v>117812000</c:v>
                </c:pt>
                <c:pt idx="1">
                  <c:v>127140000</c:v>
                </c:pt>
                <c:pt idx="2">
                  <c:v>132221810.69999999</c:v>
                </c:pt>
                <c:pt idx="3">
                  <c:v>136849574.07449999</c:v>
                </c:pt>
                <c:pt idx="4">
                  <c:v>141639309.16710746</c:v>
                </c:pt>
                <c:pt idx="5">
                  <c:v>147304881.53379178</c:v>
                </c:pt>
                <c:pt idx="6">
                  <c:v>153197076.79514346</c:v>
                </c:pt>
                <c:pt idx="7">
                  <c:v>160090945.25092492</c:v>
                </c:pt>
                <c:pt idx="8">
                  <c:v>167295037.78721651</c:v>
                </c:pt>
                <c:pt idx="9">
                  <c:v>173986839.29870519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2-4CD6-A909-04538FD10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163264"/>
        <c:axId val="1210635872"/>
      </c:barChart>
      <c:dateAx>
        <c:axId val="22516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35872"/>
        <c:crosses val="autoZero"/>
        <c:auto val="1"/>
        <c:lblOffset val="100"/>
        <c:baseTimeUnit val="years"/>
      </c:dateAx>
      <c:valAx>
        <c:axId val="12106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6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'projected IS '!$M$18</c:f>
              <c:strCache>
                <c:ptCount val="1"/>
                <c:pt idx="0">
                  <c:v>FREE CASH FLOW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'projected IS '!$N$17:$W$17</c15:sqref>
                  </c15:fullRef>
                </c:ext>
              </c:extLst>
              <c:f>'projected IS '!$O$17:$W$17</c:f>
              <c:numCache>
                <c:formatCode>m/d/yy</c:formatCode>
                <c:ptCount val="9"/>
                <c:pt idx="0">
                  <c:v>44592</c:v>
                </c:pt>
                <c:pt idx="1">
                  <c:v>44957</c:v>
                </c:pt>
                <c:pt idx="2">
                  <c:v>45322</c:v>
                </c:pt>
                <c:pt idx="3">
                  <c:v>45688</c:v>
                </c:pt>
                <c:pt idx="4">
                  <c:v>46053</c:v>
                </c:pt>
                <c:pt idx="5">
                  <c:v>46418</c:v>
                </c:pt>
                <c:pt idx="6">
                  <c:v>46783</c:v>
                </c:pt>
                <c:pt idx="7">
                  <c:v>47149</c:v>
                </c:pt>
                <c:pt idx="8">
                  <c:v>47514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'projected IS '!$N$18:$W$18</c15:sqref>
                  </c15:fullRef>
                </c:ext>
              </c:extLst>
              <c:f>'projected IS '!$O$18:$W$18</c:f>
              <c:numCache>
                <c:formatCode>General</c:formatCode>
                <c:ptCount val="9"/>
                <c:pt idx="0">
                  <c:v>12035000</c:v>
                </c:pt>
                <c:pt idx="1">
                  <c:v>-6920060.1000000015</c:v>
                </c:pt>
                <c:pt idx="2">
                  <c:v>40001436.480978727</c:v>
                </c:pt>
                <c:pt idx="3">
                  <c:v>8699524.3301925287</c:v>
                </c:pt>
                <c:pt idx="4">
                  <c:v>30891875.133314282</c:v>
                </c:pt>
                <c:pt idx="5">
                  <c:v>14816955.105560686</c:v>
                </c:pt>
                <c:pt idx="6">
                  <c:v>35982539.430021934</c:v>
                </c:pt>
                <c:pt idx="7">
                  <c:v>19849249.664899867</c:v>
                </c:pt>
                <c:pt idx="8">
                  <c:v>57871714.305251181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A-4EC8-A35E-E4D35FD43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171904"/>
        <c:axId val="18205952"/>
      </c:barChart>
      <c:dateAx>
        <c:axId val="22517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952"/>
        <c:crosses val="autoZero"/>
        <c:auto val="1"/>
        <c:lblOffset val="100"/>
        <c:baseTimeUnit val="years"/>
      </c:dateAx>
      <c:valAx>
        <c:axId val="182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7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92</xdr:row>
      <xdr:rowOff>0</xdr:rowOff>
    </xdr:from>
    <xdr:to>
      <xdr:col>1</xdr:col>
      <xdr:colOff>1310640</xdr:colOff>
      <xdr:row>106</xdr:row>
      <xdr:rowOff>8890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3E4F7C-BFE0-ED40-B4D5-97457A1D1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100</xdr:row>
      <xdr:rowOff>0</xdr:rowOff>
    </xdr:from>
    <xdr:to>
      <xdr:col>4</xdr:col>
      <xdr:colOff>1564640</xdr:colOff>
      <xdr:row>117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F18778-8F86-B743-98FC-A28699EC7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125</xdr:row>
      <xdr:rowOff>0</xdr:rowOff>
    </xdr:from>
    <xdr:to>
      <xdr:col>3</xdr:col>
      <xdr:colOff>1422400</xdr:colOff>
      <xdr:row>141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A22874-7CB1-4546-AAB4-52FB60E01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122</xdr:row>
      <xdr:rowOff>0</xdr:rowOff>
    </xdr:from>
    <xdr:to>
      <xdr:col>8</xdr:col>
      <xdr:colOff>1422400</xdr:colOff>
      <xdr:row>135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1ED820-F0B8-584F-9F84-919A5EFA6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5</xdr:row>
      <xdr:rowOff>72390</xdr:rowOff>
    </xdr:from>
    <xdr:to>
      <xdr:col>21</xdr:col>
      <xdr:colOff>152400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62E76-C423-7027-3AB0-09A80A906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441960</xdr:colOff>
      <xdr:row>23</xdr:row>
      <xdr:rowOff>34290</xdr:rowOff>
    </xdr:from>
    <xdr:to>
      <xdr:col>21</xdr:col>
      <xdr:colOff>137160</xdr:colOff>
      <xdr:row>39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973C69-931F-BF58-FAF0-C86AB4897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1F338BA2-5E86-4020-9F7C-A88053E32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81200" cy="476250"/>
        </a:xfrm>
        <a:prstGeom prst="rect">
          <a:avLst/>
        </a:prstGeom>
      </xdr:spPr>
    </xdr:pic>
    <xdr:clientData/>
  </xdr:oneCellAnchor>
  <xdr:twoCellAnchor>
    <xdr:from>
      <xdr:col>11</xdr:col>
      <xdr:colOff>243840</xdr:colOff>
      <xdr:row>7</xdr:row>
      <xdr:rowOff>26670</xdr:rowOff>
    </xdr:from>
    <xdr:to>
      <xdr:col>16</xdr:col>
      <xdr:colOff>701040</xdr:colOff>
      <xdr:row>23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356423-F95B-A11F-3142-4664AF5DF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541020</xdr:colOff>
      <xdr:row>27</xdr:row>
      <xdr:rowOff>72390</xdr:rowOff>
    </xdr:from>
    <xdr:to>
      <xdr:col>17</xdr:col>
      <xdr:colOff>175260</xdr:colOff>
      <xdr:row>42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9B63B1-33D2-2771-11CA-7A0E5C550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571500</xdr:colOff>
      <xdr:row>45</xdr:row>
      <xdr:rowOff>72390</xdr:rowOff>
    </xdr:from>
    <xdr:to>
      <xdr:col>17</xdr:col>
      <xdr:colOff>205740</xdr:colOff>
      <xdr:row>61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57A49C-A154-0003-246B-EC04E6237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612424</xdr:colOff>
      <xdr:row>59</xdr:row>
      <xdr:rowOff>8690</xdr:rowOff>
    </xdr:from>
    <xdr:to>
      <xdr:col>19</xdr:col>
      <xdr:colOff>246665</xdr:colOff>
      <xdr:row>74</xdr:row>
      <xdr:rowOff>69650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159FF0-EF45-6859-C12E-F06618A18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530917</xdr:colOff>
      <xdr:row>51</xdr:row>
      <xdr:rowOff>133265</xdr:rowOff>
    </xdr:from>
    <xdr:to>
      <xdr:col>22</xdr:col>
      <xdr:colOff>168581</xdr:colOff>
      <xdr:row>68</xdr:row>
      <xdr:rowOff>22988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104621-0199-10AB-D3E3-18FA75205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759518</xdr:colOff>
      <xdr:row>65</xdr:row>
      <xdr:rowOff>93366</xdr:rowOff>
    </xdr:from>
    <xdr:to>
      <xdr:col>22</xdr:col>
      <xdr:colOff>397182</xdr:colOff>
      <xdr:row>80</xdr:row>
      <xdr:rowOff>157922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3476F1-204A-FB45-D0C9-8A50DC579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10</xdr:row>
      <xdr:rowOff>118110</xdr:rowOff>
    </xdr:from>
    <xdr:to>
      <xdr:col>22</xdr:col>
      <xdr:colOff>243840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ADBBE-6DC7-C996-8CD9-E1A278BB6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388620</xdr:colOff>
      <xdr:row>28</xdr:row>
      <xdr:rowOff>156210</xdr:rowOff>
    </xdr:from>
    <xdr:to>
      <xdr:col>22</xdr:col>
      <xdr:colOff>83820</xdr:colOff>
      <xdr:row>45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B349B-2893-D38A-83E0-A1AB30443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0</xdr:row>
      <xdr:rowOff>49530</xdr:rowOff>
    </xdr:from>
    <xdr:to>
      <xdr:col>21</xdr:col>
      <xdr:colOff>190500</xdr:colOff>
      <xdr:row>13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32C27-EC6C-185A-9BB4-1481C2E9E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229048</xdr:colOff>
      <xdr:row>11</xdr:row>
      <xdr:rowOff>123489</xdr:rowOff>
    </xdr:from>
    <xdr:to>
      <xdr:col>28</xdr:col>
      <xdr:colOff>533848</xdr:colOff>
      <xdr:row>20</xdr:row>
      <xdr:rowOff>94353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C8D93B-9ECD-EBF5-1265-A836B0283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571500</xdr:colOff>
      <xdr:row>23</xdr:row>
      <xdr:rowOff>0</xdr:rowOff>
    </xdr:from>
    <xdr:to>
      <xdr:col>24</xdr:col>
      <xdr:colOff>266700</xdr:colOff>
      <xdr:row>34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0CE13D-7595-B4FC-1BE2-E5902121F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</xdr:colOff>
      <xdr:row>0</xdr:row>
      <xdr:rowOff>72390</xdr:rowOff>
    </xdr:from>
    <xdr:to>
      <xdr:col>21</xdr:col>
      <xdr:colOff>327660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FF5C6-A212-5865-486D-D78B84846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19</xdr:row>
      <xdr:rowOff>72390</xdr:rowOff>
    </xdr:from>
    <xdr:to>
      <xdr:col>20</xdr:col>
      <xdr:colOff>0</xdr:colOff>
      <xdr:row>35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76EBE4-6C48-1FB2-9021-902B6258D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693420</xdr:colOff>
      <xdr:row>19</xdr:row>
      <xdr:rowOff>80010</xdr:rowOff>
    </xdr:from>
    <xdr:to>
      <xdr:col>17</xdr:col>
      <xdr:colOff>312420</xdr:colOff>
      <xdr:row>38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98B83-6D89-1DAC-5849-7A32B8E56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708660</xdr:colOff>
      <xdr:row>40</xdr:row>
      <xdr:rowOff>72390</xdr:rowOff>
    </xdr:from>
    <xdr:to>
      <xdr:col>17</xdr:col>
      <xdr:colOff>327660</xdr:colOff>
      <xdr:row>57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16A186-4BD1-1EA5-4EAE-1D89F7FCB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792480</xdr:colOff>
      <xdr:row>19</xdr:row>
      <xdr:rowOff>140970</xdr:rowOff>
    </xdr:from>
    <xdr:to>
      <xdr:col>23</xdr:col>
      <xdr:colOff>563880</xdr:colOff>
      <xdr:row>39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B3C3FF-06C4-9FFB-4931-6280FB1BA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45720</xdr:colOff>
      <xdr:row>41</xdr:row>
      <xdr:rowOff>3810</xdr:rowOff>
    </xdr:from>
    <xdr:to>
      <xdr:col>24</xdr:col>
      <xdr:colOff>30480</xdr:colOff>
      <xdr:row>58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EF12C1-0A2D-8901-81B6-CF75A094E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121920</xdr:colOff>
      <xdr:row>60</xdr:row>
      <xdr:rowOff>156210</xdr:rowOff>
    </xdr:from>
    <xdr:to>
      <xdr:col>24</xdr:col>
      <xdr:colOff>106680</xdr:colOff>
      <xdr:row>76</xdr:row>
      <xdr:rowOff>49530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E53DBF-470A-95F2-4B7F-50438E81E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chenn/Downloads/WMT.csv" TargetMode="External"/><Relationship Id="rId1" Type="http://schemas.openxmlformats.org/officeDocument/2006/relationships/externalLinkPath" Target="file:///C:/Users/chenn/Downloads/WMT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chenn/Downloads/Costco1.xlsx" TargetMode="External"/><Relationship Id="rId1" Type="http://schemas.openxmlformats.org/officeDocument/2006/relationships/externalLinkPath" Target="file:///C:/Users/chenn/Downloads/Costco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chenn/Downloads/standardized%20(1).xlsx" TargetMode="External"/><Relationship Id="rId1" Type="http://schemas.openxmlformats.org/officeDocument/2006/relationships/externalLinkPath" Target="file:///C:/Users/chenn/Downloads/standardize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MT"/>
    </sheetNames>
    <sheetDataSet>
      <sheetData sheetId="0">
        <row r="1">
          <cell r="B1" t="str">
            <v>Adj Close</v>
          </cell>
        </row>
        <row r="2">
          <cell r="A2" t="str">
            <v>21-01-2014</v>
          </cell>
          <cell r="B2">
            <v>61.297370999999998</v>
          </cell>
        </row>
        <row r="3">
          <cell r="A3" t="str">
            <v>22-01-2014</v>
          </cell>
          <cell r="B3">
            <v>60.901299000000002</v>
          </cell>
        </row>
        <row r="4">
          <cell r="A4" t="str">
            <v>23-01-2014</v>
          </cell>
          <cell r="B4">
            <v>60.586067</v>
          </cell>
        </row>
        <row r="5">
          <cell r="A5" t="str">
            <v>24-01-2014</v>
          </cell>
          <cell r="B5">
            <v>60.149631999999997</v>
          </cell>
        </row>
        <row r="6">
          <cell r="A6" t="str">
            <v>27-01-2014</v>
          </cell>
          <cell r="B6">
            <v>59.931407999999998</v>
          </cell>
        </row>
        <row r="7">
          <cell r="A7" t="str">
            <v>28-01-2014</v>
          </cell>
          <cell r="B7">
            <v>60.351700000000001</v>
          </cell>
        </row>
        <row r="8">
          <cell r="A8" t="str">
            <v>29-01-2014</v>
          </cell>
          <cell r="B8">
            <v>59.890984000000003</v>
          </cell>
        </row>
        <row r="9">
          <cell r="A9" t="str">
            <v>30-01-2014</v>
          </cell>
          <cell r="B9">
            <v>60.416370000000001</v>
          </cell>
        </row>
        <row r="10">
          <cell r="A10" t="str">
            <v>31-01-2014</v>
          </cell>
          <cell r="B10">
            <v>60.359779000000003</v>
          </cell>
        </row>
        <row r="11">
          <cell r="A11">
            <v>41700</v>
          </cell>
          <cell r="B11">
            <v>58.727119000000002</v>
          </cell>
        </row>
        <row r="12">
          <cell r="A12">
            <v>41731</v>
          </cell>
          <cell r="B12">
            <v>58.783687999999998</v>
          </cell>
        </row>
        <row r="13">
          <cell r="A13">
            <v>41761</v>
          </cell>
          <cell r="B13">
            <v>58.896842999999997</v>
          </cell>
        </row>
        <row r="14">
          <cell r="A14">
            <v>41792</v>
          </cell>
          <cell r="B14">
            <v>58.856453000000002</v>
          </cell>
        </row>
        <row r="15">
          <cell r="A15">
            <v>41822</v>
          </cell>
          <cell r="B15">
            <v>59.608111999999998</v>
          </cell>
        </row>
        <row r="16">
          <cell r="A16">
            <v>41914</v>
          </cell>
          <cell r="B16">
            <v>59.616196000000002</v>
          </cell>
        </row>
        <row r="17">
          <cell r="A17">
            <v>41945</v>
          </cell>
          <cell r="B17">
            <v>60.456783000000001</v>
          </cell>
        </row>
        <row r="18">
          <cell r="A18">
            <v>41975</v>
          </cell>
          <cell r="B18">
            <v>60.586067</v>
          </cell>
        </row>
        <row r="19">
          <cell r="A19" t="str">
            <v>13-02-2014</v>
          </cell>
          <cell r="B19">
            <v>60.909393000000001</v>
          </cell>
        </row>
        <row r="20">
          <cell r="A20" t="str">
            <v>14-02-2014</v>
          </cell>
          <cell r="B20">
            <v>61.256923999999998</v>
          </cell>
        </row>
        <row r="21">
          <cell r="A21" t="str">
            <v>18-02-2014</v>
          </cell>
          <cell r="B21">
            <v>60.885123999999998</v>
          </cell>
        </row>
        <row r="22">
          <cell r="A22" t="str">
            <v>19-02-2014</v>
          </cell>
          <cell r="B22">
            <v>60.497211</v>
          </cell>
        </row>
        <row r="23">
          <cell r="A23" t="str">
            <v>20-02-2014</v>
          </cell>
          <cell r="B23">
            <v>59.422215000000001</v>
          </cell>
        </row>
        <row r="24">
          <cell r="A24" t="str">
            <v>21-02-2014</v>
          </cell>
          <cell r="B24">
            <v>59.098922999999999</v>
          </cell>
        </row>
        <row r="25">
          <cell r="A25" t="str">
            <v>24-02-2014</v>
          </cell>
          <cell r="B25">
            <v>59.284813</v>
          </cell>
        </row>
        <row r="26">
          <cell r="A26" t="str">
            <v>25-02-2014</v>
          </cell>
          <cell r="B26">
            <v>59.284813</v>
          </cell>
        </row>
        <row r="27">
          <cell r="A27" t="str">
            <v>26-02-2014</v>
          </cell>
          <cell r="B27">
            <v>60.440612999999999</v>
          </cell>
        </row>
        <row r="28">
          <cell r="A28" t="str">
            <v>27-02-2014</v>
          </cell>
          <cell r="B28">
            <v>60.262774999999998</v>
          </cell>
        </row>
        <row r="29">
          <cell r="A29" t="str">
            <v>28-02-2014</v>
          </cell>
          <cell r="B29">
            <v>60.375954</v>
          </cell>
        </row>
        <row r="30">
          <cell r="A30">
            <v>41701</v>
          </cell>
          <cell r="B30">
            <v>59.907173</v>
          </cell>
        </row>
        <row r="31">
          <cell r="A31">
            <v>41732</v>
          </cell>
          <cell r="B31">
            <v>60.723514999999999</v>
          </cell>
        </row>
        <row r="32">
          <cell r="A32">
            <v>41762</v>
          </cell>
          <cell r="B32">
            <v>60.456783000000001</v>
          </cell>
        </row>
        <row r="33">
          <cell r="A33">
            <v>41793</v>
          </cell>
          <cell r="B33">
            <v>60.521442</v>
          </cell>
        </row>
        <row r="34">
          <cell r="A34">
            <v>41823</v>
          </cell>
          <cell r="B34">
            <v>60.667839000000001</v>
          </cell>
        </row>
        <row r="35">
          <cell r="A35">
            <v>41915</v>
          </cell>
          <cell r="B35">
            <v>60.545830000000002</v>
          </cell>
        </row>
        <row r="36">
          <cell r="A36">
            <v>41946</v>
          </cell>
          <cell r="B36">
            <v>60.944431000000002</v>
          </cell>
        </row>
        <row r="37">
          <cell r="A37">
            <v>41976</v>
          </cell>
          <cell r="B37">
            <v>61.440617000000003</v>
          </cell>
        </row>
        <row r="38">
          <cell r="A38" t="str">
            <v>13-03-2014</v>
          </cell>
          <cell r="B38">
            <v>60.952553000000002</v>
          </cell>
        </row>
        <row r="39">
          <cell r="A39" t="str">
            <v>14-03-2014</v>
          </cell>
          <cell r="B39">
            <v>60.423805000000002</v>
          </cell>
        </row>
        <row r="40">
          <cell r="A40" t="str">
            <v>17-03-2014</v>
          </cell>
          <cell r="B40">
            <v>60.749195</v>
          </cell>
        </row>
        <row r="41">
          <cell r="A41" t="str">
            <v>18-03-2014</v>
          </cell>
          <cell r="B41">
            <v>60.822414000000002</v>
          </cell>
        </row>
        <row r="42">
          <cell r="A42" t="str">
            <v>19-03-2014</v>
          </cell>
          <cell r="B42">
            <v>60.505146000000003</v>
          </cell>
        </row>
        <row r="43">
          <cell r="A43" t="str">
            <v>20-03-2014</v>
          </cell>
          <cell r="B43">
            <v>61.318615000000001</v>
          </cell>
        </row>
        <row r="44">
          <cell r="A44" t="str">
            <v>21-03-2014</v>
          </cell>
          <cell r="B44">
            <v>61.904282000000002</v>
          </cell>
        </row>
        <row r="45">
          <cell r="A45" t="str">
            <v>24-03-2014</v>
          </cell>
          <cell r="B45">
            <v>62.441212</v>
          </cell>
        </row>
        <row r="46">
          <cell r="A46" t="str">
            <v>25-03-2014</v>
          </cell>
          <cell r="B46">
            <v>62.530684999999998</v>
          </cell>
        </row>
        <row r="47">
          <cell r="A47" t="str">
            <v>26-03-2014</v>
          </cell>
          <cell r="B47">
            <v>62.010052000000002</v>
          </cell>
        </row>
        <row r="48">
          <cell r="A48" t="str">
            <v>27-03-2014</v>
          </cell>
          <cell r="B48">
            <v>61.936844000000001</v>
          </cell>
        </row>
        <row r="49">
          <cell r="A49" t="str">
            <v>28-03-2014</v>
          </cell>
          <cell r="B49">
            <v>61.831116000000002</v>
          </cell>
        </row>
        <row r="50">
          <cell r="A50" t="str">
            <v>31-03-2014</v>
          </cell>
          <cell r="B50">
            <v>62.172744999999999</v>
          </cell>
        </row>
        <row r="51">
          <cell r="A51">
            <v>41643</v>
          </cell>
          <cell r="B51">
            <v>62.449337</v>
          </cell>
        </row>
        <row r="52">
          <cell r="A52">
            <v>41674</v>
          </cell>
          <cell r="B52">
            <v>62.782851999999998</v>
          </cell>
        </row>
        <row r="53">
          <cell r="A53">
            <v>41702</v>
          </cell>
          <cell r="B53">
            <v>63.010609000000002</v>
          </cell>
        </row>
        <row r="54">
          <cell r="A54">
            <v>41733</v>
          </cell>
          <cell r="B54">
            <v>62.888587999999999</v>
          </cell>
        </row>
        <row r="55">
          <cell r="A55">
            <v>41824</v>
          </cell>
          <cell r="B55">
            <v>62.888587999999999</v>
          </cell>
        </row>
        <row r="56">
          <cell r="A56">
            <v>41855</v>
          </cell>
          <cell r="B56">
            <v>63.596316999999999</v>
          </cell>
        </row>
        <row r="57">
          <cell r="A57">
            <v>41886</v>
          </cell>
          <cell r="B57">
            <v>63.425465000000003</v>
          </cell>
        </row>
        <row r="58">
          <cell r="A58">
            <v>41916</v>
          </cell>
          <cell r="B58">
            <v>62.546939999999999</v>
          </cell>
        </row>
        <row r="59">
          <cell r="A59">
            <v>41947</v>
          </cell>
          <cell r="B59">
            <v>62.229694000000002</v>
          </cell>
        </row>
        <row r="60">
          <cell r="A60" t="str">
            <v>14-04-2014</v>
          </cell>
          <cell r="B60">
            <v>62.945540999999999</v>
          </cell>
        </row>
        <row r="61">
          <cell r="A61" t="str">
            <v>15-04-2014</v>
          </cell>
          <cell r="B61">
            <v>62.538792000000001</v>
          </cell>
        </row>
        <row r="62">
          <cell r="A62" t="str">
            <v>16-04-2014</v>
          </cell>
          <cell r="B62">
            <v>62.815395000000002</v>
          </cell>
        </row>
        <row r="63">
          <cell r="A63" t="str">
            <v>17-04-2014</v>
          </cell>
          <cell r="B63">
            <v>63.173302</v>
          </cell>
        </row>
        <row r="64">
          <cell r="A64" t="str">
            <v>21-04-2014</v>
          </cell>
          <cell r="B64">
            <v>63.124507999999999</v>
          </cell>
        </row>
        <row r="65">
          <cell r="A65" t="str">
            <v>22-04-2014</v>
          </cell>
          <cell r="B65">
            <v>63.091971999999998</v>
          </cell>
        </row>
        <row r="66">
          <cell r="A66" t="str">
            <v>23-04-2014</v>
          </cell>
          <cell r="B66">
            <v>63.482425999999997</v>
          </cell>
        </row>
        <row r="67">
          <cell r="A67" t="str">
            <v>24-04-2014</v>
          </cell>
          <cell r="B67">
            <v>63.702067999999997</v>
          </cell>
        </row>
        <row r="68">
          <cell r="A68" t="str">
            <v>25-04-2014</v>
          </cell>
          <cell r="B68">
            <v>63.954242999999998</v>
          </cell>
        </row>
        <row r="69">
          <cell r="A69" t="str">
            <v>28-04-2014</v>
          </cell>
          <cell r="B69">
            <v>64.881584000000004</v>
          </cell>
        </row>
        <row r="70">
          <cell r="A70" t="str">
            <v>29-04-2014</v>
          </cell>
          <cell r="B70">
            <v>64.808350000000004</v>
          </cell>
        </row>
        <row r="71">
          <cell r="A71" t="str">
            <v>30-04-2014</v>
          </cell>
          <cell r="B71">
            <v>64.840896999999998</v>
          </cell>
        </row>
        <row r="72">
          <cell r="A72">
            <v>41644</v>
          </cell>
          <cell r="B72">
            <v>64.832779000000002</v>
          </cell>
        </row>
        <row r="73">
          <cell r="A73">
            <v>41675</v>
          </cell>
          <cell r="B73">
            <v>64.360969999999995</v>
          </cell>
        </row>
        <row r="74">
          <cell r="A74">
            <v>41764</v>
          </cell>
          <cell r="B74">
            <v>63.954242999999998</v>
          </cell>
        </row>
        <row r="75">
          <cell r="A75">
            <v>41795</v>
          </cell>
          <cell r="B75">
            <v>63.458019</v>
          </cell>
        </row>
        <row r="76">
          <cell r="A76">
            <v>41825</v>
          </cell>
          <cell r="B76">
            <v>63.809998</v>
          </cell>
        </row>
        <row r="77">
          <cell r="A77">
            <v>41856</v>
          </cell>
          <cell r="B77">
            <v>64.407486000000006</v>
          </cell>
        </row>
        <row r="78">
          <cell r="A78">
            <v>41887</v>
          </cell>
          <cell r="B78">
            <v>64.824905000000001</v>
          </cell>
        </row>
        <row r="79">
          <cell r="A79">
            <v>41978</v>
          </cell>
          <cell r="B79">
            <v>64.783957999999998</v>
          </cell>
        </row>
        <row r="80">
          <cell r="A80" t="str">
            <v>13-05-2014</v>
          </cell>
          <cell r="B80">
            <v>64.775810000000007</v>
          </cell>
        </row>
        <row r="81">
          <cell r="A81" t="str">
            <v>14-05-2014</v>
          </cell>
          <cell r="B81">
            <v>64.448418000000004</v>
          </cell>
        </row>
        <row r="82">
          <cell r="A82" t="str">
            <v>15-05-2014</v>
          </cell>
          <cell r="B82">
            <v>62.885055999999999</v>
          </cell>
        </row>
        <row r="83">
          <cell r="A83" t="str">
            <v>16-05-2014</v>
          </cell>
          <cell r="B83">
            <v>63.032420999999999</v>
          </cell>
        </row>
        <row r="84">
          <cell r="A84" t="str">
            <v>19-05-2014</v>
          </cell>
          <cell r="B84">
            <v>62.704998000000003</v>
          </cell>
        </row>
        <row r="85">
          <cell r="A85" t="str">
            <v>20-05-2014</v>
          </cell>
          <cell r="B85">
            <v>61.951996000000001</v>
          </cell>
        </row>
        <row r="86">
          <cell r="A86" t="str">
            <v>21-05-2014</v>
          </cell>
          <cell r="B86">
            <v>61.927447999999998</v>
          </cell>
        </row>
        <row r="87">
          <cell r="A87" t="str">
            <v>22-05-2014</v>
          </cell>
          <cell r="B87">
            <v>61.706432</v>
          </cell>
        </row>
        <row r="88">
          <cell r="A88" t="str">
            <v>23-05-2014</v>
          </cell>
          <cell r="B88">
            <v>61.886508999999997</v>
          </cell>
        </row>
        <row r="89">
          <cell r="A89" t="str">
            <v>27-05-2014</v>
          </cell>
          <cell r="B89">
            <v>61.870154999999997</v>
          </cell>
        </row>
        <row r="90">
          <cell r="A90" t="str">
            <v>28-05-2014</v>
          </cell>
          <cell r="B90">
            <v>61.821018000000002</v>
          </cell>
        </row>
        <row r="91">
          <cell r="A91" t="str">
            <v>29-05-2014</v>
          </cell>
          <cell r="B91">
            <v>62.189342000000003</v>
          </cell>
        </row>
        <row r="92">
          <cell r="A92" t="str">
            <v>30-05-2014</v>
          </cell>
          <cell r="B92">
            <v>62.835976000000002</v>
          </cell>
        </row>
        <row r="93">
          <cell r="A93">
            <v>41676</v>
          </cell>
          <cell r="B93">
            <v>62.827778000000002</v>
          </cell>
        </row>
        <row r="94">
          <cell r="A94">
            <v>41704</v>
          </cell>
          <cell r="B94">
            <v>62.786835000000004</v>
          </cell>
        </row>
        <row r="95">
          <cell r="A95">
            <v>41735</v>
          </cell>
          <cell r="B95">
            <v>63.130629999999996</v>
          </cell>
        </row>
        <row r="96">
          <cell r="A96">
            <v>41765</v>
          </cell>
          <cell r="B96">
            <v>63.286113999999998</v>
          </cell>
        </row>
        <row r="97">
          <cell r="A97">
            <v>41796</v>
          </cell>
          <cell r="B97">
            <v>63.196086999999999</v>
          </cell>
        </row>
        <row r="98">
          <cell r="A98">
            <v>41888</v>
          </cell>
          <cell r="B98">
            <v>63.032420999999999</v>
          </cell>
        </row>
        <row r="99">
          <cell r="A99">
            <v>41918</v>
          </cell>
          <cell r="B99">
            <v>62.713188000000002</v>
          </cell>
        </row>
        <row r="100">
          <cell r="A100">
            <v>41949</v>
          </cell>
          <cell r="B100">
            <v>62.336677999999999</v>
          </cell>
        </row>
        <row r="101">
          <cell r="A101">
            <v>41979</v>
          </cell>
          <cell r="B101">
            <v>61.984741</v>
          </cell>
        </row>
        <row r="102">
          <cell r="A102" t="str">
            <v>13-06-2014</v>
          </cell>
          <cell r="B102">
            <v>61.616394</v>
          </cell>
        </row>
        <row r="103">
          <cell r="A103" t="str">
            <v>16-06-2014</v>
          </cell>
          <cell r="B103">
            <v>61.665512</v>
          </cell>
        </row>
        <row r="104">
          <cell r="A104" t="str">
            <v>17-06-2014</v>
          </cell>
          <cell r="B104">
            <v>61.379044</v>
          </cell>
        </row>
        <row r="105">
          <cell r="A105" t="str">
            <v>18-06-2014</v>
          </cell>
          <cell r="B105">
            <v>61.960177999999999</v>
          </cell>
        </row>
        <row r="106">
          <cell r="A106" t="str">
            <v>19-06-2014</v>
          </cell>
          <cell r="B106">
            <v>62.099330999999999</v>
          </cell>
        </row>
        <row r="107">
          <cell r="A107" t="str">
            <v>20-06-2014</v>
          </cell>
          <cell r="B107">
            <v>61.943824999999997</v>
          </cell>
        </row>
        <row r="108">
          <cell r="A108" t="str">
            <v>23-06-2014</v>
          </cell>
          <cell r="B108">
            <v>62.033828999999997</v>
          </cell>
        </row>
        <row r="109">
          <cell r="A109" t="str">
            <v>24-06-2014</v>
          </cell>
          <cell r="B109">
            <v>62.181148999999998</v>
          </cell>
        </row>
        <row r="110">
          <cell r="A110" t="str">
            <v>25-06-2014</v>
          </cell>
          <cell r="B110">
            <v>61.894699000000003</v>
          </cell>
        </row>
        <row r="111">
          <cell r="A111" t="str">
            <v>26-06-2014</v>
          </cell>
          <cell r="B111">
            <v>61.313575999999998</v>
          </cell>
        </row>
        <row r="112">
          <cell r="A112" t="str">
            <v>27-06-2014</v>
          </cell>
          <cell r="B112">
            <v>61.665512</v>
          </cell>
        </row>
        <row r="113">
          <cell r="A113" t="str">
            <v>30-06-2014</v>
          </cell>
          <cell r="B113">
            <v>61.444527000000001</v>
          </cell>
        </row>
        <row r="114">
          <cell r="A114">
            <v>41646</v>
          </cell>
          <cell r="B114">
            <v>61.616394</v>
          </cell>
        </row>
        <row r="115">
          <cell r="A115">
            <v>41677</v>
          </cell>
          <cell r="B115">
            <v>61.894699000000003</v>
          </cell>
        </row>
        <row r="116">
          <cell r="A116">
            <v>41705</v>
          </cell>
          <cell r="B116">
            <v>62.001091000000002</v>
          </cell>
        </row>
        <row r="117">
          <cell r="A117">
            <v>41827</v>
          </cell>
          <cell r="B117">
            <v>62.262996999999999</v>
          </cell>
        </row>
        <row r="118">
          <cell r="A118">
            <v>41858</v>
          </cell>
          <cell r="B118">
            <v>62.737743000000002</v>
          </cell>
        </row>
        <row r="119">
          <cell r="A119">
            <v>41889</v>
          </cell>
          <cell r="B119">
            <v>63.196086999999999</v>
          </cell>
        </row>
        <row r="120">
          <cell r="A120">
            <v>41919</v>
          </cell>
          <cell r="B120">
            <v>63.073318</v>
          </cell>
        </row>
        <row r="121">
          <cell r="A121">
            <v>41950</v>
          </cell>
          <cell r="B121">
            <v>62.876891999999998</v>
          </cell>
        </row>
        <row r="122">
          <cell r="A122" t="str">
            <v>14-07-2014</v>
          </cell>
          <cell r="B122">
            <v>62.655903000000002</v>
          </cell>
        </row>
        <row r="123">
          <cell r="A123" t="str">
            <v>15-07-2014</v>
          </cell>
          <cell r="B123">
            <v>62.893256999999998</v>
          </cell>
        </row>
        <row r="124">
          <cell r="A124" t="str">
            <v>16-07-2014</v>
          </cell>
          <cell r="B124">
            <v>62.909626000000003</v>
          </cell>
        </row>
        <row r="125">
          <cell r="A125" t="str">
            <v>17-07-2014</v>
          </cell>
          <cell r="B125">
            <v>62.704998000000003</v>
          </cell>
        </row>
        <row r="126">
          <cell r="A126" t="str">
            <v>18-07-2014</v>
          </cell>
          <cell r="B126">
            <v>63.097892999999999</v>
          </cell>
        </row>
        <row r="127">
          <cell r="A127" t="str">
            <v>21-07-2014</v>
          </cell>
          <cell r="B127">
            <v>62.835976000000002</v>
          </cell>
        </row>
        <row r="128">
          <cell r="A128" t="str">
            <v>22-07-2014</v>
          </cell>
          <cell r="B128">
            <v>62.729560999999997</v>
          </cell>
        </row>
        <row r="129">
          <cell r="A129" t="str">
            <v>23-07-2014</v>
          </cell>
          <cell r="B129">
            <v>63.016022</v>
          </cell>
        </row>
        <row r="130">
          <cell r="A130" t="str">
            <v>24-07-2014</v>
          </cell>
          <cell r="B130">
            <v>62.492176000000001</v>
          </cell>
        </row>
        <row r="131">
          <cell r="A131" t="str">
            <v>25-07-2014</v>
          </cell>
          <cell r="B131">
            <v>62.181148999999998</v>
          </cell>
        </row>
        <row r="132">
          <cell r="A132" t="str">
            <v>28-07-2014</v>
          </cell>
          <cell r="B132">
            <v>61.968356999999997</v>
          </cell>
        </row>
        <row r="133">
          <cell r="A133" t="str">
            <v>29-07-2014</v>
          </cell>
          <cell r="B133">
            <v>61.74736</v>
          </cell>
        </row>
        <row r="134">
          <cell r="A134" t="str">
            <v>30-07-2014</v>
          </cell>
          <cell r="B134">
            <v>61.207165000000003</v>
          </cell>
        </row>
        <row r="135">
          <cell r="A135" t="str">
            <v>31-07-2014</v>
          </cell>
          <cell r="B135">
            <v>60.224957000000003</v>
          </cell>
        </row>
        <row r="136">
          <cell r="A136">
            <v>41647</v>
          </cell>
          <cell r="B136">
            <v>60.192230000000002</v>
          </cell>
        </row>
        <row r="137">
          <cell r="A137">
            <v>41737</v>
          </cell>
          <cell r="B137">
            <v>60.192230000000002</v>
          </cell>
        </row>
        <row r="138">
          <cell r="A138">
            <v>41767</v>
          </cell>
          <cell r="B138">
            <v>60.028511000000002</v>
          </cell>
        </row>
        <row r="139">
          <cell r="A139">
            <v>41798</v>
          </cell>
          <cell r="B139">
            <v>61.132534</v>
          </cell>
        </row>
        <row r="140">
          <cell r="A140">
            <v>41828</v>
          </cell>
          <cell r="B140">
            <v>60.926558999999997</v>
          </cell>
        </row>
        <row r="141">
          <cell r="A141">
            <v>41859</v>
          </cell>
          <cell r="B141">
            <v>61.519733000000002</v>
          </cell>
        </row>
        <row r="142">
          <cell r="A142">
            <v>41951</v>
          </cell>
          <cell r="B142">
            <v>61.264366000000003</v>
          </cell>
        </row>
        <row r="143">
          <cell r="A143">
            <v>41981</v>
          </cell>
          <cell r="B143">
            <v>61.149017000000001</v>
          </cell>
        </row>
        <row r="144">
          <cell r="A144" t="str">
            <v>13-08-2014</v>
          </cell>
          <cell r="B144">
            <v>60.992469999999997</v>
          </cell>
        </row>
        <row r="145">
          <cell r="A145" t="str">
            <v>14-08-2014</v>
          </cell>
          <cell r="B145">
            <v>61.289078000000003</v>
          </cell>
        </row>
        <row r="146">
          <cell r="A146" t="str">
            <v>15-08-2014</v>
          </cell>
          <cell r="B146">
            <v>60.885353000000002</v>
          </cell>
        </row>
        <row r="147">
          <cell r="A147" t="str">
            <v>18-08-2014</v>
          </cell>
          <cell r="B147">
            <v>61.371456000000002</v>
          </cell>
        </row>
        <row r="148">
          <cell r="A148" t="str">
            <v>19-08-2014</v>
          </cell>
          <cell r="B148">
            <v>61.692791</v>
          </cell>
        </row>
        <row r="149">
          <cell r="A149" t="str">
            <v>20-08-2014</v>
          </cell>
          <cell r="B149">
            <v>61.758667000000003</v>
          </cell>
        </row>
        <row r="150">
          <cell r="A150" t="str">
            <v>21-08-2014</v>
          </cell>
          <cell r="B150">
            <v>62.244781000000003</v>
          </cell>
        </row>
        <row r="151">
          <cell r="A151" t="str">
            <v>22-08-2014</v>
          </cell>
          <cell r="B151">
            <v>62.393059000000001</v>
          </cell>
        </row>
        <row r="152">
          <cell r="A152" t="str">
            <v>25-08-2014</v>
          </cell>
          <cell r="B152">
            <v>62.360129999999998</v>
          </cell>
        </row>
        <row r="153">
          <cell r="A153" t="str">
            <v>26-08-2014</v>
          </cell>
          <cell r="B153">
            <v>62.220050999999998</v>
          </cell>
        </row>
        <row r="154">
          <cell r="A154" t="str">
            <v>27-08-2014</v>
          </cell>
          <cell r="B154">
            <v>62.491931999999998</v>
          </cell>
        </row>
        <row r="155">
          <cell r="A155" t="str">
            <v>28-08-2014</v>
          </cell>
          <cell r="B155">
            <v>62.533127</v>
          </cell>
        </row>
        <row r="156">
          <cell r="A156" t="str">
            <v>29-08-2014</v>
          </cell>
          <cell r="B156">
            <v>62.203570999999997</v>
          </cell>
        </row>
        <row r="157">
          <cell r="A157">
            <v>41679</v>
          </cell>
          <cell r="B157">
            <v>62.409560999999997</v>
          </cell>
        </row>
        <row r="158">
          <cell r="A158">
            <v>41707</v>
          </cell>
          <cell r="B158">
            <v>62.623783000000003</v>
          </cell>
        </row>
        <row r="159">
          <cell r="A159">
            <v>41738</v>
          </cell>
          <cell r="B159">
            <v>63.076923000000001</v>
          </cell>
        </row>
        <row r="160">
          <cell r="A160">
            <v>41768</v>
          </cell>
          <cell r="B160">
            <v>63.859614999999998</v>
          </cell>
        </row>
        <row r="161">
          <cell r="A161">
            <v>41860</v>
          </cell>
          <cell r="B161">
            <v>63.052193000000003</v>
          </cell>
        </row>
        <row r="162">
          <cell r="A162">
            <v>41891</v>
          </cell>
          <cell r="B162">
            <v>63.225211999999999</v>
          </cell>
        </row>
        <row r="163">
          <cell r="A163">
            <v>41921</v>
          </cell>
          <cell r="B163">
            <v>63.035713000000001</v>
          </cell>
        </row>
        <row r="164">
          <cell r="A164">
            <v>41952</v>
          </cell>
          <cell r="B164">
            <v>62.697944999999997</v>
          </cell>
        </row>
        <row r="165">
          <cell r="A165">
            <v>41982</v>
          </cell>
          <cell r="B165">
            <v>62.426029</v>
          </cell>
        </row>
        <row r="166">
          <cell r="A166" t="str">
            <v>15-09-2014</v>
          </cell>
          <cell r="B166">
            <v>62.458969000000003</v>
          </cell>
        </row>
        <row r="167">
          <cell r="A167" t="str">
            <v>16-09-2014</v>
          </cell>
          <cell r="B167">
            <v>62.879154</v>
          </cell>
        </row>
        <row r="168">
          <cell r="A168" t="str">
            <v>17-09-2014</v>
          </cell>
          <cell r="B168">
            <v>62.813267000000003</v>
          </cell>
        </row>
        <row r="169">
          <cell r="A169" t="str">
            <v>18-09-2014</v>
          </cell>
          <cell r="B169">
            <v>62.796802999999997</v>
          </cell>
        </row>
        <row r="170">
          <cell r="A170" t="str">
            <v>19-09-2014</v>
          </cell>
          <cell r="B170">
            <v>63.307594000000002</v>
          </cell>
        </row>
        <row r="171">
          <cell r="A171" t="str">
            <v>22-09-2014</v>
          </cell>
          <cell r="B171">
            <v>62.870918000000003</v>
          </cell>
        </row>
        <row r="172">
          <cell r="A172" t="str">
            <v>23-09-2014</v>
          </cell>
          <cell r="B172">
            <v>62.285972999999998</v>
          </cell>
        </row>
        <row r="173">
          <cell r="A173" t="str">
            <v>24-09-2014</v>
          </cell>
          <cell r="B173">
            <v>63.505329000000003</v>
          </cell>
        </row>
        <row r="174">
          <cell r="A174" t="str">
            <v>25-09-2014</v>
          </cell>
          <cell r="B174">
            <v>62.714393999999999</v>
          </cell>
        </row>
        <row r="175">
          <cell r="A175" t="str">
            <v>26-09-2014</v>
          </cell>
          <cell r="B175">
            <v>63.019238000000001</v>
          </cell>
        </row>
        <row r="176">
          <cell r="A176" t="str">
            <v>29-09-2014</v>
          </cell>
          <cell r="B176">
            <v>62.681418999999998</v>
          </cell>
        </row>
        <row r="177">
          <cell r="A177" t="str">
            <v>30-09-2014</v>
          </cell>
          <cell r="B177">
            <v>63.002749999999999</v>
          </cell>
        </row>
        <row r="178">
          <cell r="A178">
            <v>41649</v>
          </cell>
          <cell r="B178">
            <v>62.714393999999999</v>
          </cell>
        </row>
        <row r="179">
          <cell r="A179">
            <v>41680</v>
          </cell>
          <cell r="B179">
            <v>62.805019000000001</v>
          </cell>
        </row>
        <row r="180">
          <cell r="A180">
            <v>41708</v>
          </cell>
          <cell r="B180">
            <v>63.703060000000001</v>
          </cell>
        </row>
        <row r="181">
          <cell r="A181">
            <v>41800</v>
          </cell>
          <cell r="B181">
            <v>63.727767999999998</v>
          </cell>
        </row>
        <row r="182">
          <cell r="A182">
            <v>41830</v>
          </cell>
          <cell r="B182">
            <v>63.686588</v>
          </cell>
        </row>
        <row r="183">
          <cell r="A183">
            <v>41861</v>
          </cell>
          <cell r="B183">
            <v>64.461028999999996</v>
          </cell>
        </row>
        <row r="184">
          <cell r="A184">
            <v>41892</v>
          </cell>
          <cell r="B184">
            <v>64.147980000000004</v>
          </cell>
        </row>
        <row r="185">
          <cell r="A185">
            <v>41922</v>
          </cell>
          <cell r="B185">
            <v>64.502234999999999</v>
          </cell>
        </row>
        <row r="186">
          <cell r="A186" t="str">
            <v>13-10-2014</v>
          </cell>
          <cell r="B186">
            <v>63.900798999999999</v>
          </cell>
        </row>
        <row r="187">
          <cell r="A187" t="str">
            <v>14-10-2014</v>
          </cell>
          <cell r="B187">
            <v>64.246819000000002</v>
          </cell>
        </row>
        <row r="188">
          <cell r="A188" t="str">
            <v>15-10-2014</v>
          </cell>
          <cell r="B188">
            <v>61.956398</v>
          </cell>
        </row>
        <row r="189">
          <cell r="A189" t="str">
            <v>16-10-2014</v>
          </cell>
          <cell r="B189">
            <v>60.819446999999997</v>
          </cell>
        </row>
        <row r="190">
          <cell r="A190" t="str">
            <v>17-10-2014</v>
          </cell>
          <cell r="B190">
            <v>61.050136999999999</v>
          </cell>
        </row>
        <row r="191">
          <cell r="A191" t="str">
            <v>20-10-2014</v>
          </cell>
          <cell r="B191">
            <v>61.90699</v>
          </cell>
        </row>
        <row r="192">
          <cell r="A192" t="str">
            <v>21-10-2014</v>
          </cell>
          <cell r="B192">
            <v>62.631991999999997</v>
          </cell>
        </row>
        <row r="193">
          <cell r="A193" t="str">
            <v>22-10-2014</v>
          </cell>
          <cell r="B193">
            <v>62.640270000000001</v>
          </cell>
        </row>
        <row r="194">
          <cell r="A194" t="str">
            <v>23-10-2014</v>
          </cell>
          <cell r="B194">
            <v>62.821499000000003</v>
          </cell>
        </row>
        <row r="195">
          <cell r="A195" t="str">
            <v>24-10-2014</v>
          </cell>
          <cell r="B195">
            <v>62.928607999999997</v>
          </cell>
        </row>
        <row r="196">
          <cell r="A196" t="str">
            <v>27-10-2014</v>
          </cell>
          <cell r="B196">
            <v>63.101627000000001</v>
          </cell>
        </row>
        <row r="197">
          <cell r="A197" t="str">
            <v>28-10-2014</v>
          </cell>
          <cell r="B197">
            <v>62.903892999999997</v>
          </cell>
        </row>
        <row r="198">
          <cell r="A198" t="str">
            <v>29-10-2014</v>
          </cell>
          <cell r="B198">
            <v>62.936874000000003</v>
          </cell>
        </row>
        <row r="199">
          <cell r="A199" t="str">
            <v>30-10-2014</v>
          </cell>
          <cell r="B199">
            <v>62.986300999999997</v>
          </cell>
        </row>
        <row r="200">
          <cell r="A200" t="str">
            <v>31-10-2014</v>
          </cell>
          <cell r="B200">
            <v>62.837981999999997</v>
          </cell>
        </row>
        <row r="201">
          <cell r="A201">
            <v>41709</v>
          </cell>
          <cell r="B201">
            <v>62.846207</v>
          </cell>
        </row>
        <row r="202">
          <cell r="A202">
            <v>41740</v>
          </cell>
          <cell r="B202">
            <v>63.653621999999999</v>
          </cell>
        </row>
        <row r="203">
          <cell r="A203">
            <v>41770</v>
          </cell>
          <cell r="B203">
            <v>64.016136000000003</v>
          </cell>
        </row>
        <row r="204">
          <cell r="A204">
            <v>41801</v>
          </cell>
          <cell r="B204">
            <v>64.106780999999998</v>
          </cell>
        </row>
        <row r="205">
          <cell r="A205">
            <v>41831</v>
          </cell>
          <cell r="B205">
            <v>64.897689999999997</v>
          </cell>
        </row>
        <row r="206">
          <cell r="A206">
            <v>41923</v>
          </cell>
          <cell r="B206">
            <v>65.449698999999995</v>
          </cell>
        </row>
        <row r="207">
          <cell r="A207">
            <v>41954</v>
          </cell>
          <cell r="B207">
            <v>65.095421000000002</v>
          </cell>
        </row>
        <row r="208">
          <cell r="A208">
            <v>41984</v>
          </cell>
          <cell r="B208">
            <v>65.251983999999993</v>
          </cell>
        </row>
        <row r="209">
          <cell r="A209" t="str">
            <v>13-11-2014</v>
          </cell>
          <cell r="B209">
            <v>68.333327999999995</v>
          </cell>
        </row>
        <row r="210">
          <cell r="A210" t="str">
            <v>14-11-2014</v>
          </cell>
          <cell r="B210">
            <v>68.349791999999994</v>
          </cell>
        </row>
        <row r="211">
          <cell r="A211" t="str">
            <v>17-11-2014</v>
          </cell>
          <cell r="B211">
            <v>68.852371000000005</v>
          </cell>
        </row>
        <row r="212">
          <cell r="A212" t="str">
            <v>18-11-2014</v>
          </cell>
          <cell r="B212">
            <v>69.033623000000006</v>
          </cell>
        </row>
        <row r="213">
          <cell r="A213" t="str">
            <v>19-11-2014</v>
          </cell>
          <cell r="B213">
            <v>70.022293000000005</v>
          </cell>
        </row>
        <row r="214">
          <cell r="A214" t="str">
            <v>20-11-2014</v>
          </cell>
          <cell r="B214">
            <v>69.684517</v>
          </cell>
        </row>
        <row r="215">
          <cell r="A215" t="str">
            <v>21-11-2014</v>
          </cell>
          <cell r="B215">
            <v>69.742165</v>
          </cell>
        </row>
        <row r="216">
          <cell r="A216" t="str">
            <v>24-11-2014</v>
          </cell>
          <cell r="B216">
            <v>70.360106999999999</v>
          </cell>
        </row>
        <row r="217">
          <cell r="A217" t="str">
            <v>25-11-2014</v>
          </cell>
          <cell r="B217">
            <v>69.989304000000004</v>
          </cell>
        </row>
        <row r="218">
          <cell r="A218" t="str">
            <v>26-11-2014</v>
          </cell>
          <cell r="B218">
            <v>70.014053000000004</v>
          </cell>
        </row>
        <row r="219">
          <cell r="A219" t="str">
            <v>28-11-2014</v>
          </cell>
          <cell r="B219">
            <v>72.123206999999994</v>
          </cell>
        </row>
        <row r="220">
          <cell r="A220">
            <v>41651</v>
          </cell>
          <cell r="B220">
            <v>71.035645000000002</v>
          </cell>
        </row>
        <row r="221">
          <cell r="A221">
            <v>41682</v>
          </cell>
          <cell r="B221">
            <v>71.183975000000004</v>
          </cell>
        </row>
        <row r="222">
          <cell r="A222">
            <v>41710</v>
          </cell>
          <cell r="B222">
            <v>70.372032000000004</v>
          </cell>
        </row>
        <row r="223">
          <cell r="A223">
            <v>41741</v>
          </cell>
          <cell r="B223">
            <v>70.222908000000004</v>
          </cell>
        </row>
        <row r="224">
          <cell r="A224">
            <v>41771</v>
          </cell>
          <cell r="B224">
            <v>69.692702999999995</v>
          </cell>
        </row>
        <row r="225">
          <cell r="A225">
            <v>41863</v>
          </cell>
          <cell r="B225">
            <v>69.783821000000003</v>
          </cell>
        </row>
        <row r="226">
          <cell r="A226">
            <v>41894</v>
          </cell>
          <cell r="B226">
            <v>69.228736999999995</v>
          </cell>
        </row>
        <row r="227">
          <cell r="A227">
            <v>41924</v>
          </cell>
          <cell r="B227">
            <v>68.748199</v>
          </cell>
        </row>
        <row r="228">
          <cell r="A228">
            <v>41955</v>
          </cell>
          <cell r="B228">
            <v>69.452415000000002</v>
          </cell>
        </row>
        <row r="229">
          <cell r="A229">
            <v>41985</v>
          </cell>
          <cell r="B229">
            <v>69.435851999999997</v>
          </cell>
        </row>
        <row r="230">
          <cell r="A230" t="str">
            <v>15-12-2014</v>
          </cell>
          <cell r="B230">
            <v>69.543571</v>
          </cell>
        </row>
        <row r="231">
          <cell r="A231" t="str">
            <v>16-12-2014</v>
          </cell>
          <cell r="B231">
            <v>68.731628000000001</v>
          </cell>
        </row>
        <row r="232">
          <cell r="A232" t="str">
            <v>17-12-2014</v>
          </cell>
          <cell r="B232">
            <v>69.783821000000003</v>
          </cell>
        </row>
        <row r="233">
          <cell r="A233" t="str">
            <v>18-12-2014</v>
          </cell>
          <cell r="B233">
            <v>71.200539000000006</v>
          </cell>
        </row>
        <row r="234">
          <cell r="A234" t="str">
            <v>19-12-2014</v>
          </cell>
          <cell r="B234">
            <v>70.554314000000005</v>
          </cell>
        </row>
        <row r="235">
          <cell r="A235" t="str">
            <v>22-12-2014</v>
          </cell>
          <cell r="B235">
            <v>71.565085999999994</v>
          </cell>
        </row>
        <row r="236">
          <cell r="A236" t="str">
            <v>23-12-2014</v>
          </cell>
          <cell r="B236">
            <v>71.797066000000001</v>
          </cell>
        </row>
        <row r="237">
          <cell r="A237" t="str">
            <v>24-12-2014</v>
          </cell>
          <cell r="B237">
            <v>71.606514000000004</v>
          </cell>
        </row>
        <row r="238">
          <cell r="A238" t="str">
            <v>26-12-2014</v>
          </cell>
          <cell r="B238">
            <v>72.004165999999998</v>
          </cell>
        </row>
        <row r="239">
          <cell r="A239" t="str">
            <v>29-12-2014</v>
          </cell>
          <cell r="B239">
            <v>71.780486999999994</v>
          </cell>
        </row>
        <row r="240">
          <cell r="A240" t="str">
            <v>30-12-2014</v>
          </cell>
          <cell r="B240">
            <v>71.904769999999999</v>
          </cell>
        </row>
        <row r="241">
          <cell r="A241" t="str">
            <v>31-12-2014</v>
          </cell>
          <cell r="B241">
            <v>71.150833000000006</v>
          </cell>
        </row>
        <row r="242">
          <cell r="A242">
            <v>42036</v>
          </cell>
          <cell r="B242">
            <v>71.167396999999994</v>
          </cell>
        </row>
        <row r="243">
          <cell r="A243">
            <v>42125</v>
          </cell>
          <cell r="B243">
            <v>70.960296999999997</v>
          </cell>
        </row>
        <row r="244">
          <cell r="A244">
            <v>42156</v>
          </cell>
          <cell r="B244">
            <v>71.507071999999994</v>
          </cell>
        </row>
        <row r="245">
          <cell r="A245">
            <v>42186</v>
          </cell>
          <cell r="B245">
            <v>73.404312000000004</v>
          </cell>
        </row>
        <row r="246">
          <cell r="A246">
            <v>42217</v>
          </cell>
          <cell r="B246">
            <v>74.953620999999998</v>
          </cell>
        </row>
        <row r="247">
          <cell r="A247">
            <v>42248</v>
          </cell>
          <cell r="B247">
            <v>74.025711000000001</v>
          </cell>
        </row>
        <row r="248">
          <cell r="A248">
            <v>42339</v>
          </cell>
          <cell r="B248">
            <v>74.580794999999995</v>
          </cell>
        </row>
        <row r="249">
          <cell r="A249" t="str">
            <v>13-01-2015</v>
          </cell>
          <cell r="B249">
            <v>73.992583999999994</v>
          </cell>
        </row>
        <row r="250">
          <cell r="A250" t="str">
            <v>14-01-2015</v>
          </cell>
          <cell r="B250">
            <v>71.755607999999995</v>
          </cell>
        </row>
        <row r="251">
          <cell r="A251" t="str">
            <v>15-01-2015</v>
          </cell>
          <cell r="B251">
            <v>72.393585000000002</v>
          </cell>
        </row>
        <row r="252">
          <cell r="A252" t="str">
            <v>16-01-2015</v>
          </cell>
          <cell r="B252">
            <v>71.888199</v>
          </cell>
        </row>
        <row r="253">
          <cell r="A253" t="str">
            <v>20-01-2015</v>
          </cell>
          <cell r="B253">
            <v>71.821915000000004</v>
          </cell>
        </row>
        <row r="254">
          <cell r="A254" t="str">
            <v>21-01-2015</v>
          </cell>
          <cell r="B254">
            <v>71.780486999999994</v>
          </cell>
        </row>
        <row r="255">
          <cell r="A255" t="str">
            <v>22-01-2015</v>
          </cell>
          <cell r="B255">
            <v>73.155769000000006</v>
          </cell>
        </row>
        <row r="256">
          <cell r="A256" t="str">
            <v>23-01-2015</v>
          </cell>
          <cell r="B256">
            <v>73.329750000000004</v>
          </cell>
        </row>
        <row r="257">
          <cell r="A257" t="str">
            <v>26-01-2015</v>
          </cell>
          <cell r="B257">
            <v>73.429198999999997</v>
          </cell>
        </row>
        <row r="258">
          <cell r="A258" t="str">
            <v>27-01-2015</v>
          </cell>
          <cell r="B258">
            <v>72.517830000000004</v>
          </cell>
        </row>
        <row r="259">
          <cell r="A259" t="str">
            <v>28-01-2015</v>
          </cell>
          <cell r="B259">
            <v>71.929625999999999</v>
          </cell>
        </row>
        <row r="260">
          <cell r="A260" t="str">
            <v>29-01-2015</v>
          </cell>
          <cell r="B260">
            <v>72.675269999999998</v>
          </cell>
        </row>
        <row r="261">
          <cell r="A261" t="str">
            <v>30-01-2015</v>
          </cell>
          <cell r="B261">
            <v>70.405197000000001</v>
          </cell>
        </row>
        <row r="262">
          <cell r="A262">
            <v>42037</v>
          </cell>
          <cell r="B262">
            <v>71.009986999999995</v>
          </cell>
        </row>
        <row r="263">
          <cell r="A263">
            <v>42065</v>
          </cell>
          <cell r="B263">
            <v>71.407684000000003</v>
          </cell>
        </row>
        <row r="264">
          <cell r="A264">
            <v>42096</v>
          </cell>
          <cell r="B264">
            <v>71.788764999999998</v>
          </cell>
        </row>
        <row r="265">
          <cell r="A265">
            <v>42126</v>
          </cell>
          <cell r="B265">
            <v>72.310721999999998</v>
          </cell>
        </row>
        <row r="266">
          <cell r="A266">
            <v>42157</v>
          </cell>
          <cell r="B266">
            <v>72.352126999999996</v>
          </cell>
        </row>
        <row r="267">
          <cell r="A267">
            <v>42249</v>
          </cell>
          <cell r="B267">
            <v>71.175697</v>
          </cell>
        </row>
        <row r="268">
          <cell r="A268">
            <v>42279</v>
          </cell>
          <cell r="B268">
            <v>72.319000000000003</v>
          </cell>
        </row>
        <row r="269">
          <cell r="A269">
            <v>42310</v>
          </cell>
          <cell r="B269">
            <v>71.531920999999997</v>
          </cell>
        </row>
        <row r="270">
          <cell r="A270">
            <v>42340</v>
          </cell>
          <cell r="B270">
            <v>71.159126000000001</v>
          </cell>
        </row>
        <row r="271">
          <cell r="A271" t="str">
            <v>13-02-2015</v>
          </cell>
          <cell r="B271">
            <v>71.092833999999996</v>
          </cell>
        </row>
        <row r="272">
          <cell r="A272" t="str">
            <v>17-02-2015</v>
          </cell>
          <cell r="B272">
            <v>71.217117000000002</v>
          </cell>
        </row>
        <row r="273">
          <cell r="A273" t="str">
            <v>18-02-2015</v>
          </cell>
          <cell r="B273">
            <v>71.490523999999994</v>
          </cell>
        </row>
        <row r="274">
          <cell r="A274" t="str">
            <v>19-02-2015</v>
          </cell>
          <cell r="B274">
            <v>69.195601999999994</v>
          </cell>
        </row>
        <row r="275">
          <cell r="A275" t="str">
            <v>20-02-2015</v>
          </cell>
          <cell r="B275">
            <v>69.841849999999994</v>
          </cell>
        </row>
        <row r="276">
          <cell r="A276" t="str">
            <v>23-02-2015</v>
          </cell>
          <cell r="B276">
            <v>70.090369999999993</v>
          </cell>
        </row>
        <row r="277">
          <cell r="A277" t="str">
            <v>24-02-2015</v>
          </cell>
          <cell r="B277">
            <v>70.065505999999999</v>
          </cell>
        </row>
        <row r="278">
          <cell r="A278" t="str">
            <v>25-02-2015</v>
          </cell>
          <cell r="B278">
            <v>69.237030000000004</v>
          </cell>
        </row>
        <row r="279">
          <cell r="A279" t="str">
            <v>26-02-2015</v>
          </cell>
          <cell r="B279">
            <v>69.427566999999996</v>
          </cell>
        </row>
        <row r="280">
          <cell r="A280" t="str">
            <v>27-02-2015</v>
          </cell>
          <cell r="B280">
            <v>69.535263</v>
          </cell>
        </row>
        <row r="281">
          <cell r="A281">
            <v>42038</v>
          </cell>
          <cell r="B281">
            <v>69.560135000000002</v>
          </cell>
        </row>
        <row r="282">
          <cell r="A282">
            <v>42066</v>
          </cell>
          <cell r="B282">
            <v>69.071326999999997</v>
          </cell>
        </row>
        <row r="283">
          <cell r="A283">
            <v>42097</v>
          </cell>
          <cell r="B283">
            <v>68.416816999999995</v>
          </cell>
        </row>
        <row r="284">
          <cell r="A284">
            <v>42127</v>
          </cell>
          <cell r="B284">
            <v>69.237030000000004</v>
          </cell>
        </row>
        <row r="285">
          <cell r="A285">
            <v>42158</v>
          </cell>
          <cell r="B285">
            <v>68.425101999999995</v>
          </cell>
        </row>
        <row r="286">
          <cell r="A286">
            <v>42250</v>
          </cell>
          <cell r="B286">
            <v>68.665336999999994</v>
          </cell>
        </row>
        <row r="287">
          <cell r="A287">
            <v>42280</v>
          </cell>
          <cell r="B287">
            <v>67.994292999999999</v>
          </cell>
        </row>
        <row r="288">
          <cell r="A288">
            <v>42311</v>
          </cell>
          <cell r="B288">
            <v>67.252487000000002</v>
          </cell>
        </row>
        <row r="289">
          <cell r="A289">
            <v>42341</v>
          </cell>
          <cell r="B289">
            <v>68.261002000000005</v>
          </cell>
        </row>
        <row r="290">
          <cell r="A290" t="str">
            <v>13-03-2015</v>
          </cell>
          <cell r="B290">
            <v>68.261002000000005</v>
          </cell>
        </row>
        <row r="291">
          <cell r="A291" t="str">
            <v>16-03-2015</v>
          </cell>
          <cell r="B291">
            <v>69.419510000000002</v>
          </cell>
        </row>
        <row r="292">
          <cell r="A292" t="str">
            <v>17-03-2015</v>
          </cell>
          <cell r="B292">
            <v>68.861098999999996</v>
          </cell>
        </row>
        <row r="293">
          <cell r="A293" t="str">
            <v>18-03-2015</v>
          </cell>
          <cell r="B293">
            <v>68.786079000000001</v>
          </cell>
        </row>
        <row r="294">
          <cell r="A294" t="str">
            <v>19-03-2015</v>
          </cell>
          <cell r="B294">
            <v>67.944252000000006</v>
          </cell>
        </row>
        <row r="295">
          <cell r="A295" t="str">
            <v>20-03-2015</v>
          </cell>
          <cell r="B295">
            <v>69.377823000000006</v>
          </cell>
        </row>
        <row r="296">
          <cell r="A296" t="str">
            <v>23-03-2015</v>
          </cell>
          <cell r="B296">
            <v>69.436156999999994</v>
          </cell>
        </row>
        <row r="297">
          <cell r="A297" t="str">
            <v>24-03-2015</v>
          </cell>
          <cell r="B297">
            <v>69.219498000000002</v>
          </cell>
        </row>
        <row r="298">
          <cell r="A298" t="str">
            <v>25-03-2015</v>
          </cell>
          <cell r="B298">
            <v>67.777564999999996</v>
          </cell>
        </row>
        <row r="299">
          <cell r="A299" t="str">
            <v>26-03-2015</v>
          </cell>
          <cell r="B299">
            <v>68.252655000000004</v>
          </cell>
        </row>
        <row r="300">
          <cell r="A300" t="str">
            <v>27-03-2015</v>
          </cell>
          <cell r="B300">
            <v>67.802597000000006</v>
          </cell>
        </row>
        <row r="301">
          <cell r="A301" t="str">
            <v>30-03-2015</v>
          </cell>
          <cell r="B301">
            <v>68.786079000000001</v>
          </cell>
        </row>
        <row r="302">
          <cell r="A302" t="str">
            <v>31-03-2015</v>
          </cell>
          <cell r="B302">
            <v>68.552718999999996</v>
          </cell>
        </row>
        <row r="303">
          <cell r="A303">
            <v>42008</v>
          </cell>
          <cell r="B303">
            <v>67.269172999999995</v>
          </cell>
        </row>
        <row r="304">
          <cell r="A304">
            <v>42039</v>
          </cell>
          <cell r="B304">
            <v>67.285843</v>
          </cell>
        </row>
        <row r="305">
          <cell r="A305">
            <v>42159</v>
          </cell>
          <cell r="B305">
            <v>67.502540999999994</v>
          </cell>
        </row>
        <row r="306">
          <cell r="A306">
            <v>42189</v>
          </cell>
          <cell r="B306">
            <v>67.094147000000007</v>
          </cell>
        </row>
        <row r="307">
          <cell r="A307">
            <v>42220</v>
          </cell>
          <cell r="B307">
            <v>67.535858000000005</v>
          </cell>
        </row>
        <row r="308">
          <cell r="A308">
            <v>42251</v>
          </cell>
          <cell r="B308">
            <v>67.377517999999995</v>
          </cell>
        </row>
        <row r="309">
          <cell r="A309">
            <v>42281</v>
          </cell>
          <cell r="B309">
            <v>67.219170000000005</v>
          </cell>
        </row>
        <row r="310">
          <cell r="A310" t="str">
            <v>13-04-2015</v>
          </cell>
          <cell r="B310">
            <v>66.919112999999996</v>
          </cell>
        </row>
        <row r="311">
          <cell r="A311" t="str">
            <v>14-04-2015</v>
          </cell>
          <cell r="B311">
            <v>66.802429000000004</v>
          </cell>
        </row>
        <row r="312">
          <cell r="A312" t="str">
            <v>15-04-2015</v>
          </cell>
          <cell r="B312">
            <v>66.460693000000006</v>
          </cell>
        </row>
        <row r="313">
          <cell r="A313" t="str">
            <v>16-04-2015</v>
          </cell>
          <cell r="B313">
            <v>66.043976000000001</v>
          </cell>
        </row>
        <row r="314">
          <cell r="A314" t="str">
            <v>17-04-2015</v>
          </cell>
          <cell r="B314">
            <v>64.910454000000001</v>
          </cell>
        </row>
        <row r="315">
          <cell r="A315" t="str">
            <v>20-04-2015</v>
          </cell>
          <cell r="B315">
            <v>65.127159000000006</v>
          </cell>
        </row>
        <row r="316">
          <cell r="A316" t="str">
            <v>21-04-2015</v>
          </cell>
          <cell r="B316">
            <v>65.035483999999997</v>
          </cell>
        </row>
        <row r="317">
          <cell r="A317" t="str">
            <v>22-04-2015</v>
          </cell>
          <cell r="B317">
            <v>65.368842999999998</v>
          </cell>
        </row>
        <row r="318">
          <cell r="A318" t="str">
            <v>23-04-2015</v>
          </cell>
          <cell r="B318">
            <v>65.993949999999998</v>
          </cell>
        </row>
        <row r="319">
          <cell r="A319" t="str">
            <v>24-04-2015</v>
          </cell>
          <cell r="B319">
            <v>66.544051999999994</v>
          </cell>
        </row>
        <row r="320">
          <cell r="A320" t="str">
            <v>27-04-2015</v>
          </cell>
          <cell r="B320">
            <v>66.152313000000007</v>
          </cell>
        </row>
        <row r="321">
          <cell r="A321" t="str">
            <v>28-04-2015</v>
          </cell>
          <cell r="B321">
            <v>65.927291999999994</v>
          </cell>
        </row>
        <row r="322">
          <cell r="A322" t="str">
            <v>29-04-2015</v>
          </cell>
          <cell r="B322">
            <v>64.910454000000001</v>
          </cell>
        </row>
        <row r="323">
          <cell r="A323" t="str">
            <v>30-04-2015</v>
          </cell>
          <cell r="B323">
            <v>65.052147000000005</v>
          </cell>
        </row>
        <row r="324">
          <cell r="A324">
            <v>42009</v>
          </cell>
          <cell r="B324">
            <v>65.510589999999993</v>
          </cell>
        </row>
        <row r="325">
          <cell r="A325">
            <v>42099</v>
          </cell>
          <cell r="B325">
            <v>65.993949999999998</v>
          </cell>
        </row>
        <row r="326">
          <cell r="A326">
            <v>42129</v>
          </cell>
          <cell r="B326">
            <v>65.118819999999999</v>
          </cell>
        </row>
        <row r="327">
          <cell r="A327">
            <v>42160</v>
          </cell>
          <cell r="B327">
            <v>65.127205000000004</v>
          </cell>
        </row>
        <row r="328">
          <cell r="A328">
            <v>42190</v>
          </cell>
          <cell r="B328">
            <v>65.445937999999998</v>
          </cell>
        </row>
        <row r="329">
          <cell r="A329">
            <v>42221</v>
          </cell>
          <cell r="B329">
            <v>65.865288000000007</v>
          </cell>
        </row>
        <row r="330">
          <cell r="A330">
            <v>42313</v>
          </cell>
          <cell r="B330">
            <v>65.504645999999994</v>
          </cell>
        </row>
        <row r="331">
          <cell r="A331">
            <v>42343</v>
          </cell>
          <cell r="B331">
            <v>66.225960000000001</v>
          </cell>
        </row>
        <row r="332">
          <cell r="A332" t="str">
            <v>13-05-2015</v>
          </cell>
          <cell r="B332">
            <v>65.554955000000007</v>
          </cell>
        </row>
        <row r="333">
          <cell r="A333" t="str">
            <v>14-05-2015</v>
          </cell>
          <cell r="B333">
            <v>66.024673000000007</v>
          </cell>
        </row>
        <row r="334">
          <cell r="A334" t="str">
            <v>15-05-2015</v>
          </cell>
          <cell r="B334">
            <v>66.460785000000001</v>
          </cell>
        </row>
        <row r="335">
          <cell r="A335" t="str">
            <v>18-05-2015</v>
          </cell>
          <cell r="B335">
            <v>67.031127999999995</v>
          </cell>
        </row>
        <row r="336">
          <cell r="A336" t="str">
            <v>19-05-2015</v>
          </cell>
          <cell r="B336">
            <v>64.103958000000006</v>
          </cell>
        </row>
        <row r="337">
          <cell r="A337" t="str">
            <v>20-05-2015</v>
          </cell>
          <cell r="B337">
            <v>63.659427999999998</v>
          </cell>
        </row>
        <row r="338">
          <cell r="A338" t="str">
            <v>21-05-2015</v>
          </cell>
          <cell r="B338">
            <v>63.835586999999997</v>
          </cell>
        </row>
        <row r="339">
          <cell r="A339" t="str">
            <v>22-05-2015</v>
          </cell>
          <cell r="B339">
            <v>63.625853999999997</v>
          </cell>
        </row>
        <row r="340">
          <cell r="A340" t="str">
            <v>26-05-2015</v>
          </cell>
          <cell r="B340">
            <v>62.820717000000002</v>
          </cell>
        </row>
        <row r="341">
          <cell r="A341" t="str">
            <v>27-05-2015</v>
          </cell>
          <cell r="B341">
            <v>63.063934000000003</v>
          </cell>
        </row>
        <row r="342">
          <cell r="A342" t="str">
            <v>28-05-2015</v>
          </cell>
          <cell r="B342">
            <v>62.770367</v>
          </cell>
        </row>
        <row r="343">
          <cell r="A343" t="str">
            <v>29-05-2015</v>
          </cell>
          <cell r="B343">
            <v>62.292293999999998</v>
          </cell>
        </row>
        <row r="344">
          <cell r="A344">
            <v>42010</v>
          </cell>
          <cell r="B344">
            <v>62.678134999999997</v>
          </cell>
        </row>
        <row r="345">
          <cell r="A345">
            <v>42041</v>
          </cell>
          <cell r="B345">
            <v>62.510356999999999</v>
          </cell>
        </row>
        <row r="346">
          <cell r="A346">
            <v>42069</v>
          </cell>
          <cell r="B346">
            <v>62.812339999999999</v>
          </cell>
        </row>
        <row r="347">
          <cell r="A347">
            <v>42100</v>
          </cell>
          <cell r="B347">
            <v>62.191668999999997</v>
          </cell>
        </row>
        <row r="348">
          <cell r="A348">
            <v>42130</v>
          </cell>
          <cell r="B348">
            <v>61.277442999999998</v>
          </cell>
        </row>
        <row r="349">
          <cell r="A349">
            <v>42222</v>
          </cell>
          <cell r="B349">
            <v>60.900021000000002</v>
          </cell>
        </row>
        <row r="350">
          <cell r="A350">
            <v>42253</v>
          </cell>
          <cell r="B350">
            <v>60.782578000000001</v>
          </cell>
        </row>
        <row r="351">
          <cell r="A351">
            <v>42283</v>
          </cell>
          <cell r="B351">
            <v>61.168407000000002</v>
          </cell>
        </row>
        <row r="352">
          <cell r="A352">
            <v>42314</v>
          </cell>
          <cell r="B352">
            <v>61.176806999999997</v>
          </cell>
        </row>
        <row r="353">
          <cell r="A353">
            <v>42344</v>
          </cell>
          <cell r="B353">
            <v>60.749049999999997</v>
          </cell>
        </row>
        <row r="354">
          <cell r="A354" t="str">
            <v>15-06-2015</v>
          </cell>
          <cell r="B354">
            <v>60.32967</v>
          </cell>
        </row>
        <row r="355">
          <cell r="A355" t="str">
            <v>16-06-2015</v>
          </cell>
          <cell r="B355">
            <v>60.681950000000001</v>
          </cell>
        </row>
        <row r="356">
          <cell r="A356" t="str">
            <v>17-06-2015</v>
          </cell>
          <cell r="B356">
            <v>61.000686999999999</v>
          </cell>
        </row>
        <row r="357">
          <cell r="A357" t="str">
            <v>18-06-2015</v>
          </cell>
          <cell r="B357">
            <v>61.210365000000003</v>
          </cell>
        </row>
        <row r="358">
          <cell r="A358" t="str">
            <v>19-06-2015</v>
          </cell>
          <cell r="B358">
            <v>61.009045</v>
          </cell>
        </row>
        <row r="359">
          <cell r="A359" t="str">
            <v>22-06-2015</v>
          </cell>
          <cell r="B359">
            <v>61.050991000000003</v>
          </cell>
        </row>
        <row r="360">
          <cell r="A360" t="str">
            <v>23-06-2015</v>
          </cell>
          <cell r="B360">
            <v>60.866481999999998</v>
          </cell>
        </row>
        <row r="361">
          <cell r="A361" t="str">
            <v>24-06-2015</v>
          </cell>
          <cell r="B361">
            <v>60.707099999999997</v>
          </cell>
        </row>
        <row r="362">
          <cell r="A362" t="str">
            <v>25-06-2015</v>
          </cell>
          <cell r="B362">
            <v>60.270980999999999</v>
          </cell>
        </row>
        <row r="363">
          <cell r="A363" t="str">
            <v>26-06-2015</v>
          </cell>
          <cell r="B363">
            <v>60.489055999999998</v>
          </cell>
        </row>
        <row r="364">
          <cell r="A364" t="str">
            <v>29-06-2015</v>
          </cell>
          <cell r="B364">
            <v>59.901935999999999</v>
          </cell>
        </row>
        <row r="365">
          <cell r="A365" t="str">
            <v>30-06-2015</v>
          </cell>
          <cell r="B365">
            <v>59.490940000000002</v>
          </cell>
        </row>
        <row r="366">
          <cell r="A366">
            <v>42011</v>
          </cell>
          <cell r="B366">
            <v>60.287750000000003</v>
          </cell>
        </row>
        <row r="367">
          <cell r="A367">
            <v>42042</v>
          </cell>
          <cell r="B367">
            <v>60.270980999999999</v>
          </cell>
        </row>
        <row r="368">
          <cell r="A368">
            <v>42162</v>
          </cell>
          <cell r="B368">
            <v>60.832915999999997</v>
          </cell>
        </row>
        <row r="369">
          <cell r="A369">
            <v>42192</v>
          </cell>
          <cell r="B369">
            <v>61.889713</v>
          </cell>
        </row>
        <row r="370">
          <cell r="A370">
            <v>42223</v>
          </cell>
          <cell r="B370">
            <v>61.277442999999998</v>
          </cell>
        </row>
        <row r="371">
          <cell r="A371">
            <v>42254</v>
          </cell>
          <cell r="B371">
            <v>61.042594999999999</v>
          </cell>
        </row>
        <row r="372">
          <cell r="A372">
            <v>42284</v>
          </cell>
          <cell r="B372">
            <v>61.327793</v>
          </cell>
        </row>
        <row r="373">
          <cell r="A373" t="str">
            <v>13-07-2015</v>
          </cell>
          <cell r="B373">
            <v>61.965190999999997</v>
          </cell>
        </row>
        <row r="374">
          <cell r="A374" t="str">
            <v>14-07-2015</v>
          </cell>
          <cell r="B374">
            <v>61.889713</v>
          </cell>
        </row>
        <row r="375">
          <cell r="A375" t="str">
            <v>15-07-2015</v>
          </cell>
          <cell r="B375">
            <v>61.772281999999997</v>
          </cell>
        </row>
        <row r="376">
          <cell r="A376" t="str">
            <v>16-07-2015</v>
          </cell>
          <cell r="B376">
            <v>61.923267000000003</v>
          </cell>
        </row>
        <row r="377">
          <cell r="A377" t="str">
            <v>17-07-2015</v>
          </cell>
          <cell r="B377">
            <v>61.554211000000002</v>
          </cell>
        </row>
        <row r="378">
          <cell r="A378" t="str">
            <v>20-07-2015</v>
          </cell>
          <cell r="B378">
            <v>61.311008000000001</v>
          </cell>
        </row>
        <row r="379">
          <cell r="A379" t="str">
            <v>21-07-2015</v>
          </cell>
          <cell r="B379">
            <v>61.009045</v>
          </cell>
        </row>
        <row r="380">
          <cell r="A380" t="str">
            <v>22-07-2015</v>
          </cell>
          <cell r="B380">
            <v>61.361328</v>
          </cell>
        </row>
        <row r="381">
          <cell r="A381" t="str">
            <v>23-07-2015</v>
          </cell>
          <cell r="B381">
            <v>60.816147000000001</v>
          </cell>
        </row>
        <row r="382">
          <cell r="A382" t="str">
            <v>24-07-2015</v>
          </cell>
          <cell r="B382">
            <v>60.036136999999997</v>
          </cell>
        </row>
        <row r="383">
          <cell r="A383" t="str">
            <v>27-07-2015</v>
          </cell>
          <cell r="B383">
            <v>59.868385000000004</v>
          </cell>
        </row>
        <row r="384">
          <cell r="A384" t="str">
            <v>28-07-2015</v>
          </cell>
          <cell r="B384">
            <v>60.472262999999998</v>
          </cell>
        </row>
        <row r="385">
          <cell r="A385" t="str">
            <v>29-07-2015</v>
          </cell>
          <cell r="B385">
            <v>60.581322</v>
          </cell>
        </row>
        <row r="386">
          <cell r="A386" t="str">
            <v>30-07-2015</v>
          </cell>
          <cell r="B386">
            <v>60.522593999999998</v>
          </cell>
        </row>
        <row r="387">
          <cell r="A387" t="str">
            <v>31-07-2015</v>
          </cell>
          <cell r="B387">
            <v>60.371628000000001</v>
          </cell>
        </row>
        <row r="388">
          <cell r="A388">
            <v>42071</v>
          </cell>
          <cell r="B388">
            <v>60.539375</v>
          </cell>
        </row>
        <row r="389">
          <cell r="A389">
            <v>42102</v>
          </cell>
          <cell r="B389">
            <v>60.598075999999999</v>
          </cell>
        </row>
        <row r="390">
          <cell r="A390">
            <v>42132</v>
          </cell>
          <cell r="B390">
            <v>62.075854999999997</v>
          </cell>
        </row>
        <row r="391">
          <cell r="A391">
            <v>42163</v>
          </cell>
          <cell r="B391">
            <v>61.467872999999997</v>
          </cell>
        </row>
        <row r="392">
          <cell r="A392">
            <v>42193</v>
          </cell>
          <cell r="B392">
            <v>60.167385000000003</v>
          </cell>
        </row>
        <row r="393">
          <cell r="A393">
            <v>42285</v>
          </cell>
          <cell r="B393">
            <v>60.361629000000001</v>
          </cell>
        </row>
        <row r="394">
          <cell r="A394">
            <v>42316</v>
          </cell>
          <cell r="B394">
            <v>60.741619</v>
          </cell>
        </row>
        <row r="395">
          <cell r="A395">
            <v>42346</v>
          </cell>
          <cell r="B395">
            <v>61.290534999999998</v>
          </cell>
        </row>
        <row r="396">
          <cell r="A396" t="str">
            <v>13-08-2015</v>
          </cell>
          <cell r="B396">
            <v>60.893639</v>
          </cell>
        </row>
        <row r="397">
          <cell r="A397" t="str">
            <v>14-08-2015</v>
          </cell>
          <cell r="B397">
            <v>61.121623999999997</v>
          </cell>
        </row>
        <row r="398">
          <cell r="A398" t="str">
            <v>17-08-2015</v>
          </cell>
          <cell r="B398">
            <v>60.724739</v>
          </cell>
        </row>
        <row r="399">
          <cell r="A399" t="str">
            <v>18-08-2015</v>
          </cell>
          <cell r="B399">
            <v>58.672725999999997</v>
          </cell>
        </row>
        <row r="400">
          <cell r="A400" t="str">
            <v>19-08-2015</v>
          </cell>
          <cell r="B400">
            <v>57.904259000000003</v>
          </cell>
        </row>
        <row r="401">
          <cell r="A401" t="str">
            <v>20-08-2015</v>
          </cell>
          <cell r="B401">
            <v>57.786029999999997</v>
          </cell>
        </row>
        <row r="402">
          <cell r="A402" t="str">
            <v>21-08-2015</v>
          </cell>
          <cell r="B402">
            <v>56.190024999999999</v>
          </cell>
        </row>
        <row r="403">
          <cell r="A403" t="str">
            <v>24-08-2015</v>
          </cell>
          <cell r="B403">
            <v>54.002876000000001</v>
          </cell>
        </row>
        <row r="404">
          <cell r="A404" t="str">
            <v>25-08-2015</v>
          </cell>
          <cell r="B404">
            <v>53.285099000000002</v>
          </cell>
        </row>
        <row r="405">
          <cell r="A405" t="str">
            <v>26-08-2015</v>
          </cell>
          <cell r="B405">
            <v>54.746006000000001</v>
          </cell>
        </row>
        <row r="406">
          <cell r="A406" t="str">
            <v>27-08-2015</v>
          </cell>
          <cell r="B406">
            <v>55.801563000000002</v>
          </cell>
        </row>
        <row r="407">
          <cell r="A407" t="str">
            <v>28-08-2015</v>
          </cell>
          <cell r="B407">
            <v>54.838898</v>
          </cell>
        </row>
        <row r="408">
          <cell r="A408" t="str">
            <v>31-08-2015</v>
          </cell>
          <cell r="B408">
            <v>54.661560000000001</v>
          </cell>
        </row>
        <row r="409">
          <cell r="A409">
            <v>42013</v>
          </cell>
          <cell r="B409">
            <v>53.893112000000002</v>
          </cell>
        </row>
        <row r="410">
          <cell r="A410">
            <v>42044</v>
          </cell>
          <cell r="B410">
            <v>54.416663999999997</v>
          </cell>
        </row>
        <row r="411">
          <cell r="A411">
            <v>42072</v>
          </cell>
          <cell r="B411">
            <v>54.771351000000003</v>
          </cell>
        </row>
        <row r="412">
          <cell r="A412">
            <v>42103</v>
          </cell>
          <cell r="B412">
            <v>53.952209000000003</v>
          </cell>
        </row>
        <row r="413">
          <cell r="A413">
            <v>42225</v>
          </cell>
          <cell r="B413">
            <v>56.054904999999998</v>
          </cell>
        </row>
        <row r="414">
          <cell r="A414">
            <v>42256</v>
          </cell>
          <cell r="B414">
            <v>54.990893999999997</v>
          </cell>
        </row>
        <row r="415">
          <cell r="A415">
            <v>42286</v>
          </cell>
          <cell r="B415">
            <v>54.146450000000002</v>
          </cell>
        </row>
        <row r="416">
          <cell r="A416">
            <v>42317</v>
          </cell>
          <cell r="B416">
            <v>54.593997999999999</v>
          </cell>
        </row>
        <row r="417">
          <cell r="A417" t="str">
            <v>14-09-2015</v>
          </cell>
          <cell r="B417">
            <v>54.281548000000001</v>
          </cell>
        </row>
        <row r="418">
          <cell r="A418" t="str">
            <v>15-09-2015</v>
          </cell>
          <cell r="B418">
            <v>54.315334</v>
          </cell>
        </row>
        <row r="419">
          <cell r="A419" t="str">
            <v>16-09-2015</v>
          </cell>
          <cell r="B419">
            <v>54.627791999999999</v>
          </cell>
        </row>
        <row r="420">
          <cell r="A420" t="str">
            <v>17-09-2015</v>
          </cell>
          <cell r="B420">
            <v>54.442008999999999</v>
          </cell>
        </row>
        <row r="421">
          <cell r="A421" t="str">
            <v>18-09-2015</v>
          </cell>
          <cell r="B421">
            <v>53.487758999999997</v>
          </cell>
        </row>
        <row r="422">
          <cell r="A422" t="str">
            <v>21-09-2015</v>
          </cell>
          <cell r="B422">
            <v>53.808655000000002</v>
          </cell>
        </row>
        <row r="423">
          <cell r="A423" t="str">
            <v>22-09-2015</v>
          </cell>
          <cell r="B423">
            <v>53.698875000000001</v>
          </cell>
        </row>
        <row r="424">
          <cell r="A424" t="str">
            <v>23-09-2015</v>
          </cell>
          <cell r="B424">
            <v>53.808655000000002</v>
          </cell>
        </row>
        <row r="425">
          <cell r="A425" t="str">
            <v>24-09-2015</v>
          </cell>
          <cell r="B425">
            <v>53.901546000000003</v>
          </cell>
        </row>
        <row r="426">
          <cell r="A426" t="str">
            <v>25-09-2015</v>
          </cell>
          <cell r="B426">
            <v>53.859313999999998</v>
          </cell>
        </row>
        <row r="427">
          <cell r="A427" t="str">
            <v>28-09-2015</v>
          </cell>
          <cell r="B427">
            <v>53.757987999999997</v>
          </cell>
        </row>
        <row r="428">
          <cell r="A428" t="str">
            <v>29-09-2015</v>
          </cell>
          <cell r="B428">
            <v>53.859313999999998</v>
          </cell>
        </row>
        <row r="429">
          <cell r="A429" t="str">
            <v>30-09-2015</v>
          </cell>
          <cell r="B429">
            <v>54.754440000000002</v>
          </cell>
        </row>
        <row r="430">
          <cell r="A430">
            <v>42014</v>
          </cell>
          <cell r="B430">
            <v>54.273102000000002</v>
          </cell>
        </row>
        <row r="431">
          <cell r="A431">
            <v>42045</v>
          </cell>
          <cell r="B431">
            <v>54.872672999999999</v>
          </cell>
        </row>
        <row r="432">
          <cell r="A432">
            <v>42134</v>
          </cell>
          <cell r="B432">
            <v>55.624245000000002</v>
          </cell>
        </row>
        <row r="433">
          <cell r="A433">
            <v>42165</v>
          </cell>
          <cell r="B433">
            <v>55.463799000000002</v>
          </cell>
        </row>
        <row r="434">
          <cell r="A434">
            <v>42195</v>
          </cell>
          <cell r="B434">
            <v>56.038024999999998</v>
          </cell>
        </row>
        <row r="435">
          <cell r="A435">
            <v>42226</v>
          </cell>
          <cell r="B435">
            <v>56.477127000000003</v>
          </cell>
        </row>
        <row r="436">
          <cell r="A436">
            <v>42257</v>
          </cell>
          <cell r="B436">
            <v>56.316692000000003</v>
          </cell>
        </row>
        <row r="437">
          <cell r="A437">
            <v>42348</v>
          </cell>
          <cell r="B437">
            <v>56.519359999999999</v>
          </cell>
        </row>
        <row r="438">
          <cell r="A438" t="str">
            <v>13-10-2015</v>
          </cell>
          <cell r="B438">
            <v>56.350464000000002</v>
          </cell>
        </row>
        <row r="439">
          <cell r="A439" t="str">
            <v>14-10-2015</v>
          </cell>
          <cell r="B439">
            <v>50.692611999999997</v>
          </cell>
        </row>
        <row r="440">
          <cell r="A440" t="str">
            <v>15-10-2015</v>
          </cell>
          <cell r="B440">
            <v>50.101512999999997</v>
          </cell>
        </row>
        <row r="441">
          <cell r="A441" t="str">
            <v>16-10-2015</v>
          </cell>
          <cell r="B441">
            <v>49.729945999999998</v>
          </cell>
        </row>
        <row r="442">
          <cell r="A442" t="str">
            <v>19-10-2015</v>
          </cell>
          <cell r="B442">
            <v>49.696151999999998</v>
          </cell>
        </row>
        <row r="443">
          <cell r="A443" t="str">
            <v>20-10-2015</v>
          </cell>
          <cell r="B443">
            <v>49.611728999999997</v>
          </cell>
        </row>
        <row r="444">
          <cell r="A444" t="str">
            <v>21-10-2015</v>
          </cell>
          <cell r="B444">
            <v>49.518833000000001</v>
          </cell>
        </row>
        <row r="445">
          <cell r="A445" t="str">
            <v>22-10-2015</v>
          </cell>
          <cell r="B445">
            <v>49.738388</v>
          </cell>
        </row>
        <row r="446">
          <cell r="A446" t="str">
            <v>23-10-2015</v>
          </cell>
          <cell r="B446">
            <v>49.231712000000002</v>
          </cell>
        </row>
        <row r="447">
          <cell r="A447" t="str">
            <v>26-10-2015</v>
          </cell>
          <cell r="B447">
            <v>48.995258</v>
          </cell>
        </row>
        <row r="448">
          <cell r="A448" t="str">
            <v>27-10-2015</v>
          </cell>
          <cell r="B448">
            <v>48.539261000000003</v>
          </cell>
        </row>
        <row r="449">
          <cell r="A449" t="str">
            <v>28-10-2015</v>
          </cell>
          <cell r="B449">
            <v>48.674370000000003</v>
          </cell>
        </row>
        <row r="450">
          <cell r="A450" t="str">
            <v>29-10-2015</v>
          </cell>
          <cell r="B450">
            <v>48.944606999999998</v>
          </cell>
        </row>
        <row r="451">
          <cell r="A451" t="str">
            <v>30-10-2015</v>
          </cell>
          <cell r="B451">
            <v>48.336593999999998</v>
          </cell>
        </row>
        <row r="452">
          <cell r="A452">
            <v>42046</v>
          </cell>
          <cell r="B452">
            <v>48.649048000000001</v>
          </cell>
        </row>
        <row r="453">
          <cell r="A453">
            <v>42074</v>
          </cell>
          <cell r="B453">
            <v>49.071266000000001</v>
          </cell>
        </row>
        <row r="454">
          <cell r="A454">
            <v>42105</v>
          </cell>
          <cell r="B454">
            <v>49.290821000000001</v>
          </cell>
        </row>
        <row r="455">
          <cell r="A455">
            <v>42135</v>
          </cell>
          <cell r="B455">
            <v>49.493499999999997</v>
          </cell>
        </row>
        <row r="456">
          <cell r="A456">
            <v>42166</v>
          </cell>
          <cell r="B456">
            <v>49.637058000000003</v>
          </cell>
        </row>
        <row r="457">
          <cell r="A457">
            <v>42258</v>
          </cell>
          <cell r="B457">
            <v>49.392166000000003</v>
          </cell>
        </row>
        <row r="458">
          <cell r="A458">
            <v>42288</v>
          </cell>
          <cell r="B458">
            <v>49.552607999999999</v>
          </cell>
        </row>
        <row r="459">
          <cell r="A459">
            <v>42319</v>
          </cell>
          <cell r="B459">
            <v>48.623702999999999</v>
          </cell>
        </row>
        <row r="460">
          <cell r="A460">
            <v>42349</v>
          </cell>
          <cell r="B460">
            <v>48.091698000000001</v>
          </cell>
        </row>
        <row r="461">
          <cell r="A461" t="str">
            <v>13-11-2015</v>
          </cell>
          <cell r="B461">
            <v>47.644150000000003</v>
          </cell>
        </row>
        <row r="462">
          <cell r="A462" t="str">
            <v>16-11-2015</v>
          </cell>
          <cell r="B462">
            <v>48.868599000000003</v>
          </cell>
        </row>
        <row r="463">
          <cell r="A463" t="str">
            <v>17-11-2015</v>
          </cell>
          <cell r="B463">
            <v>50.599735000000003</v>
          </cell>
        </row>
        <row r="464">
          <cell r="A464" t="str">
            <v>18-11-2015</v>
          </cell>
          <cell r="B464">
            <v>51.452643999999999</v>
          </cell>
        </row>
        <row r="465">
          <cell r="A465" t="str">
            <v>19-11-2015</v>
          </cell>
          <cell r="B465">
            <v>51.258408000000003</v>
          </cell>
        </row>
        <row r="466">
          <cell r="A466" t="str">
            <v>20-11-2015</v>
          </cell>
          <cell r="B466">
            <v>50.726410000000001</v>
          </cell>
        </row>
        <row r="467">
          <cell r="A467" t="str">
            <v>23-11-2015</v>
          </cell>
          <cell r="B467">
            <v>50.886848000000001</v>
          </cell>
        </row>
        <row r="468">
          <cell r="A468" t="str">
            <v>24-11-2015</v>
          </cell>
          <cell r="B468">
            <v>50.599735000000003</v>
          </cell>
        </row>
        <row r="469">
          <cell r="A469" t="str">
            <v>25-11-2015</v>
          </cell>
          <cell r="B469">
            <v>50.869961000000004</v>
          </cell>
        </row>
        <row r="470">
          <cell r="A470" t="str">
            <v>27-11-2015</v>
          </cell>
          <cell r="B470">
            <v>50.574398000000002</v>
          </cell>
        </row>
        <row r="471">
          <cell r="A471" t="str">
            <v>30-11-2015</v>
          </cell>
          <cell r="B471">
            <v>49.687714</v>
          </cell>
        </row>
        <row r="472">
          <cell r="A472">
            <v>42016</v>
          </cell>
          <cell r="B472">
            <v>49.814391999999998</v>
          </cell>
        </row>
        <row r="473">
          <cell r="A473">
            <v>42047</v>
          </cell>
          <cell r="B473">
            <v>49.686656999999997</v>
          </cell>
        </row>
        <row r="474">
          <cell r="A474">
            <v>42075</v>
          </cell>
          <cell r="B474">
            <v>50.274203999999997</v>
          </cell>
        </row>
        <row r="475">
          <cell r="A475">
            <v>42106</v>
          </cell>
          <cell r="B475">
            <v>50.802157999999999</v>
          </cell>
        </row>
        <row r="476">
          <cell r="A476">
            <v>42197</v>
          </cell>
          <cell r="B476">
            <v>51.517440999999998</v>
          </cell>
        </row>
        <row r="477">
          <cell r="A477">
            <v>42228</v>
          </cell>
          <cell r="B477">
            <v>50.759582999999999</v>
          </cell>
        </row>
        <row r="478">
          <cell r="A478">
            <v>42259</v>
          </cell>
          <cell r="B478">
            <v>50.350848999999997</v>
          </cell>
        </row>
        <row r="479">
          <cell r="A479">
            <v>42289</v>
          </cell>
          <cell r="B479">
            <v>50.717007000000002</v>
          </cell>
        </row>
        <row r="480">
          <cell r="A480">
            <v>42320</v>
          </cell>
          <cell r="B480">
            <v>50.546700000000001</v>
          </cell>
        </row>
        <row r="481">
          <cell r="A481" t="str">
            <v>14-12-2015</v>
          </cell>
          <cell r="B481">
            <v>51.423779000000003</v>
          </cell>
        </row>
        <row r="482">
          <cell r="A482" t="str">
            <v>15-12-2015</v>
          </cell>
          <cell r="B482">
            <v>50.785133000000002</v>
          </cell>
        </row>
        <row r="483">
          <cell r="A483" t="str">
            <v>16-12-2015</v>
          </cell>
          <cell r="B483">
            <v>51.347141000000001</v>
          </cell>
        </row>
        <row r="484">
          <cell r="A484" t="str">
            <v>17-12-2015</v>
          </cell>
          <cell r="B484">
            <v>50.223114000000002</v>
          </cell>
        </row>
        <row r="485">
          <cell r="A485" t="str">
            <v>18-12-2015</v>
          </cell>
          <cell r="B485">
            <v>50.112411000000002</v>
          </cell>
        </row>
        <row r="486">
          <cell r="A486" t="str">
            <v>21-12-2015</v>
          </cell>
          <cell r="B486">
            <v>50.708492</v>
          </cell>
        </row>
        <row r="487">
          <cell r="A487" t="str">
            <v>22-12-2015</v>
          </cell>
          <cell r="B487">
            <v>51.551501999999999</v>
          </cell>
        </row>
        <row r="488">
          <cell r="A488" t="str">
            <v>23-12-2015</v>
          </cell>
          <cell r="B488">
            <v>52.019855</v>
          </cell>
        </row>
        <row r="489">
          <cell r="A489" t="str">
            <v>24-12-2015</v>
          </cell>
          <cell r="B489">
            <v>51.798447000000003</v>
          </cell>
        </row>
        <row r="490">
          <cell r="A490" t="str">
            <v>28-12-2015</v>
          </cell>
          <cell r="B490">
            <v>51.730342999999998</v>
          </cell>
        </row>
        <row r="491">
          <cell r="A491" t="str">
            <v>29-12-2015</v>
          </cell>
          <cell r="B491">
            <v>52.462639000000003</v>
          </cell>
        </row>
        <row r="492">
          <cell r="A492" t="str">
            <v>30-12-2015</v>
          </cell>
          <cell r="B492">
            <v>52.522250999999997</v>
          </cell>
        </row>
        <row r="493">
          <cell r="A493" t="str">
            <v>31-12-2015</v>
          </cell>
          <cell r="B493">
            <v>52.198677000000004</v>
          </cell>
        </row>
        <row r="494">
          <cell r="A494">
            <v>42461</v>
          </cell>
          <cell r="B494">
            <v>52.334923000000003</v>
          </cell>
        </row>
        <row r="495">
          <cell r="A495">
            <v>42491</v>
          </cell>
          <cell r="B495">
            <v>53.578158999999999</v>
          </cell>
        </row>
        <row r="496">
          <cell r="A496">
            <v>42522</v>
          </cell>
          <cell r="B496">
            <v>54.114612999999999</v>
          </cell>
        </row>
        <row r="497">
          <cell r="A497">
            <v>42552</v>
          </cell>
          <cell r="B497">
            <v>55.374870000000001</v>
          </cell>
        </row>
        <row r="498">
          <cell r="A498">
            <v>42583</v>
          </cell>
          <cell r="B498">
            <v>54.106093999999999</v>
          </cell>
        </row>
        <row r="499">
          <cell r="A499">
            <v>42675</v>
          </cell>
          <cell r="B499">
            <v>54.685127000000001</v>
          </cell>
        </row>
        <row r="500">
          <cell r="A500">
            <v>42705</v>
          </cell>
          <cell r="B500">
            <v>54.174210000000002</v>
          </cell>
        </row>
        <row r="501">
          <cell r="A501" t="str">
            <v>13-01-2016</v>
          </cell>
          <cell r="B501">
            <v>52.726612000000003</v>
          </cell>
        </row>
        <row r="502">
          <cell r="A502" t="str">
            <v>14-01-2016</v>
          </cell>
          <cell r="B502">
            <v>53.697361000000001</v>
          </cell>
        </row>
        <row r="503">
          <cell r="A503" t="str">
            <v>15-01-2016</v>
          </cell>
          <cell r="B503">
            <v>52.735129999999998</v>
          </cell>
        </row>
        <row r="504">
          <cell r="A504" t="str">
            <v>19-01-2016</v>
          </cell>
          <cell r="B504">
            <v>53.271594999999998</v>
          </cell>
        </row>
        <row r="505">
          <cell r="A505" t="str">
            <v>20-01-2016</v>
          </cell>
          <cell r="B505">
            <v>51.806946000000003</v>
          </cell>
        </row>
        <row r="506">
          <cell r="A506" t="str">
            <v>21-01-2016</v>
          </cell>
          <cell r="B506">
            <v>52.692562000000002</v>
          </cell>
        </row>
        <row r="507">
          <cell r="A507" t="str">
            <v>22-01-2016</v>
          </cell>
          <cell r="B507">
            <v>53.382286000000001</v>
          </cell>
        </row>
        <row r="508">
          <cell r="A508" t="str">
            <v>25-01-2016</v>
          </cell>
          <cell r="B508">
            <v>54.029465000000002</v>
          </cell>
        </row>
        <row r="509">
          <cell r="A509" t="str">
            <v>26-01-2016</v>
          </cell>
          <cell r="B509">
            <v>54.497784000000003</v>
          </cell>
        </row>
        <row r="510">
          <cell r="A510" t="str">
            <v>27-01-2016</v>
          </cell>
          <cell r="B510">
            <v>54.455207999999999</v>
          </cell>
        </row>
        <row r="511">
          <cell r="A511" t="str">
            <v>28-01-2016</v>
          </cell>
          <cell r="B511">
            <v>54.685127000000001</v>
          </cell>
        </row>
        <row r="512">
          <cell r="A512" t="str">
            <v>29-01-2016</v>
          </cell>
          <cell r="B512">
            <v>56.507404000000001</v>
          </cell>
        </row>
        <row r="513">
          <cell r="A513">
            <v>42371</v>
          </cell>
          <cell r="B513">
            <v>57.478133999999997</v>
          </cell>
        </row>
        <row r="514">
          <cell r="A514">
            <v>42402</v>
          </cell>
          <cell r="B514">
            <v>56.933169999999997</v>
          </cell>
        </row>
        <row r="515">
          <cell r="A515">
            <v>42431</v>
          </cell>
          <cell r="B515">
            <v>56.430748000000001</v>
          </cell>
        </row>
        <row r="516">
          <cell r="A516">
            <v>42462</v>
          </cell>
          <cell r="B516">
            <v>56.558483000000003</v>
          </cell>
        </row>
        <row r="517">
          <cell r="A517">
            <v>42492</v>
          </cell>
          <cell r="B517">
            <v>57.052371999999998</v>
          </cell>
        </row>
        <row r="518">
          <cell r="A518">
            <v>42584</v>
          </cell>
          <cell r="B518">
            <v>56.967216000000001</v>
          </cell>
        </row>
        <row r="519">
          <cell r="A519">
            <v>42615</v>
          </cell>
          <cell r="B519">
            <v>56.039059000000002</v>
          </cell>
        </row>
        <row r="520">
          <cell r="A520">
            <v>42645</v>
          </cell>
          <cell r="B520">
            <v>56.022033999999998</v>
          </cell>
        </row>
        <row r="521">
          <cell r="A521">
            <v>42676</v>
          </cell>
          <cell r="B521">
            <v>55.621799000000003</v>
          </cell>
        </row>
        <row r="522">
          <cell r="A522">
            <v>42706</v>
          </cell>
          <cell r="B522">
            <v>56.354134000000002</v>
          </cell>
        </row>
        <row r="523">
          <cell r="A523" t="str">
            <v>16-02-2016</v>
          </cell>
          <cell r="B523">
            <v>56.115696</v>
          </cell>
        </row>
        <row r="524">
          <cell r="A524" t="str">
            <v>17-02-2016</v>
          </cell>
          <cell r="B524">
            <v>56.294521000000003</v>
          </cell>
        </row>
        <row r="525">
          <cell r="A525" t="str">
            <v>18-02-2016</v>
          </cell>
          <cell r="B525">
            <v>54.599983000000002</v>
          </cell>
        </row>
        <row r="526">
          <cell r="A526" t="str">
            <v>19-02-2016</v>
          </cell>
          <cell r="B526">
            <v>55.059803000000002</v>
          </cell>
        </row>
        <row r="527">
          <cell r="A527" t="str">
            <v>22-02-2016</v>
          </cell>
          <cell r="B527">
            <v>55.885792000000002</v>
          </cell>
        </row>
        <row r="528">
          <cell r="A528" t="str">
            <v>23-02-2016</v>
          </cell>
          <cell r="B528">
            <v>56.609580999999999</v>
          </cell>
        </row>
        <row r="529">
          <cell r="A529" t="str">
            <v>24-02-2016</v>
          </cell>
          <cell r="B529">
            <v>57.154567999999998</v>
          </cell>
        </row>
        <row r="530">
          <cell r="A530" t="str">
            <v>25-02-2016</v>
          </cell>
          <cell r="B530">
            <v>57.937969000000002</v>
          </cell>
        </row>
        <row r="531">
          <cell r="A531" t="str">
            <v>26-02-2016</v>
          </cell>
          <cell r="B531">
            <v>56.635131999999999</v>
          </cell>
        </row>
        <row r="532">
          <cell r="A532" t="str">
            <v>29-02-2016</v>
          </cell>
          <cell r="B532">
            <v>56.490367999999997</v>
          </cell>
        </row>
        <row r="533">
          <cell r="A533">
            <v>42372</v>
          </cell>
          <cell r="B533">
            <v>56.592540999999997</v>
          </cell>
        </row>
        <row r="534">
          <cell r="A534">
            <v>42403</v>
          </cell>
          <cell r="B534">
            <v>56.379665000000003</v>
          </cell>
        </row>
        <row r="535">
          <cell r="A535">
            <v>42432</v>
          </cell>
          <cell r="B535">
            <v>56.320056999999998</v>
          </cell>
        </row>
        <row r="536">
          <cell r="A536">
            <v>42463</v>
          </cell>
          <cell r="B536">
            <v>56.865054999999998</v>
          </cell>
        </row>
        <row r="537">
          <cell r="A537">
            <v>42554</v>
          </cell>
          <cell r="B537">
            <v>57.810223000000001</v>
          </cell>
        </row>
        <row r="538">
          <cell r="A538">
            <v>42585</v>
          </cell>
          <cell r="B538">
            <v>57.937969000000002</v>
          </cell>
        </row>
        <row r="539">
          <cell r="A539">
            <v>42616</v>
          </cell>
          <cell r="B539">
            <v>57.929397999999999</v>
          </cell>
        </row>
        <row r="540">
          <cell r="A540">
            <v>42646</v>
          </cell>
          <cell r="B540">
            <v>57.826447000000002</v>
          </cell>
        </row>
        <row r="541">
          <cell r="A541">
            <v>42677</v>
          </cell>
          <cell r="B541">
            <v>57.620570999999998</v>
          </cell>
        </row>
        <row r="542">
          <cell r="A542" t="str">
            <v>14-03-2016</v>
          </cell>
          <cell r="B542">
            <v>57.783569</v>
          </cell>
        </row>
        <row r="543">
          <cell r="A543" t="str">
            <v>15-03-2016</v>
          </cell>
          <cell r="B543">
            <v>58.409767000000002</v>
          </cell>
        </row>
        <row r="544">
          <cell r="A544" t="str">
            <v>16-03-2016</v>
          </cell>
          <cell r="B544">
            <v>58.323974999999997</v>
          </cell>
        </row>
        <row r="545">
          <cell r="A545" t="str">
            <v>17-03-2016</v>
          </cell>
          <cell r="B545">
            <v>57.860759999999999</v>
          </cell>
        </row>
        <row r="546">
          <cell r="A546" t="str">
            <v>18-03-2016</v>
          </cell>
          <cell r="B546">
            <v>57.431846999999998</v>
          </cell>
        </row>
        <row r="547">
          <cell r="A547" t="str">
            <v>21-03-2016</v>
          </cell>
          <cell r="B547">
            <v>58.306831000000003</v>
          </cell>
        </row>
        <row r="548">
          <cell r="A548" t="str">
            <v>22-03-2016</v>
          </cell>
          <cell r="B548">
            <v>58.221054000000002</v>
          </cell>
        </row>
        <row r="549">
          <cell r="A549" t="str">
            <v>23-03-2016</v>
          </cell>
          <cell r="B549">
            <v>57.869338999999997</v>
          </cell>
        </row>
        <row r="550">
          <cell r="A550" t="str">
            <v>24-03-2016</v>
          </cell>
          <cell r="B550">
            <v>58.332557999999999</v>
          </cell>
        </row>
        <row r="551">
          <cell r="A551" t="str">
            <v>28-03-2016</v>
          </cell>
          <cell r="B551">
            <v>58.435504999999999</v>
          </cell>
        </row>
        <row r="552">
          <cell r="A552" t="str">
            <v>29-03-2016</v>
          </cell>
          <cell r="B552">
            <v>58.358288000000002</v>
          </cell>
        </row>
        <row r="553">
          <cell r="A553" t="str">
            <v>30-03-2016</v>
          </cell>
          <cell r="B553">
            <v>59.018841000000002</v>
          </cell>
        </row>
        <row r="554">
          <cell r="A554" t="str">
            <v>31-03-2016</v>
          </cell>
          <cell r="B554">
            <v>58.752910999999997</v>
          </cell>
        </row>
        <row r="555">
          <cell r="A555">
            <v>42373</v>
          </cell>
          <cell r="B555">
            <v>59.241871000000003</v>
          </cell>
        </row>
        <row r="556">
          <cell r="A556">
            <v>42464</v>
          </cell>
          <cell r="B556">
            <v>59.276176</v>
          </cell>
        </row>
        <row r="557">
          <cell r="A557">
            <v>42494</v>
          </cell>
          <cell r="B557">
            <v>58.881577</v>
          </cell>
        </row>
        <row r="558">
          <cell r="A558">
            <v>42525</v>
          </cell>
          <cell r="B558">
            <v>59.224724000000002</v>
          </cell>
        </row>
        <row r="559">
          <cell r="A559">
            <v>42555</v>
          </cell>
          <cell r="B559">
            <v>58.521296999999997</v>
          </cell>
        </row>
        <row r="560">
          <cell r="A560">
            <v>42586</v>
          </cell>
          <cell r="B560">
            <v>58.384036999999999</v>
          </cell>
        </row>
        <row r="561">
          <cell r="A561">
            <v>42678</v>
          </cell>
          <cell r="B561">
            <v>57.817875000000001</v>
          </cell>
        </row>
        <row r="562">
          <cell r="A562">
            <v>42708</v>
          </cell>
          <cell r="B562">
            <v>59.018841000000002</v>
          </cell>
        </row>
        <row r="563">
          <cell r="A563" t="str">
            <v>13-04-2016</v>
          </cell>
          <cell r="B563">
            <v>59.319077</v>
          </cell>
        </row>
        <row r="564">
          <cell r="A564" t="str">
            <v>14-04-2016</v>
          </cell>
          <cell r="B564">
            <v>59.018841000000002</v>
          </cell>
        </row>
        <row r="565">
          <cell r="A565" t="str">
            <v>15-04-2016</v>
          </cell>
          <cell r="B565">
            <v>59.241871000000003</v>
          </cell>
        </row>
        <row r="566">
          <cell r="A566" t="str">
            <v>18-04-2016</v>
          </cell>
          <cell r="B566">
            <v>59.928153999999999</v>
          </cell>
        </row>
        <row r="567">
          <cell r="A567" t="str">
            <v>19-04-2016</v>
          </cell>
          <cell r="B567">
            <v>59.850918</v>
          </cell>
        </row>
        <row r="568">
          <cell r="A568" t="str">
            <v>20-04-2016</v>
          </cell>
          <cell r="B568">
            <v>59.370533000000002</v>
          </cell>
        </row>
        <row r="569">
          <cell r="A569" t="str">
            <v>21-04-2016</v>
          </cell>
          <cell r="B569">
            <v>58.735756000000002</v>
          </cell>
        </row>
        <row r="570">
          <cell r="A570" t="str">
            <v>22-04-2016</v>
          </cell>
          <cell r="B570">
            <v>58.950226000000001</v>
          </cell>
        </row>
        <row r="571">
          <cell r="A571" t="str">
            <v>25-04-2016</v>
          </cell>
          <cell r="B571">
            <v>59.593570999999997</v>
          </cell>
        </row>
        <row r="572">
          <cell r="A572" t="str">
            <v>26-04-2016</v>
          </cell>
          <cell r="B572">
            <v>59.447761999999997</v>
          </cell>
        </row>
        <row r="573">
          <cell r="A573" t="str">
            <v>27-04-2016</v>
          </cell>
          <cell r="B573">
            <v>59.550685999999999</v>
          </cell>
        </row>
        <row r="574">
          <cell r="A574" t="str">
            <v>28-04-2016</v>
          </cell>
          <cell r="B574">
            <v>59.113197</v>
          </cell>
        </row>
        <row r="575">
          <cell r="A575" t="str">
            <v>29-04-2016</v>
          </cell>
          <cell r="B575">
            <v>57.363216000000001</v>
          </cell>
        </row>
        <row r="576">
          <cell r="A576">
            <v>42405</v>
          </cell>
          <cell r="B576">
            <v>57.980854000000001</v>
          </cell>
        </row>
        <row r="577">
          <cell r="A577">
            <v>42434</v>
          </cell>
          <cell r="B577">
            <v>57.474735000000003</v>
          </cell>
        </row>
        <row r="578">
          <cell r="A578">
            <v>42465</v>
          </cell>
          <cell r="B578">
            <v>57.637732999999997</v>
          </cell>
        </row>
        <row r="579">
          <cell r="A579">
            <v>42495</v>
          </cell>
          <cell r="B579">
            <v>57.654884000000003</v>
          </cell>
        </row>
        <row r="580">
          <cell r="A580">
            <v>42526</v>
          </cell>
          <cell r="B580">
            <v>58.547030999999997</v>
          </cell>
        </row>
        <row r="581">
          <cell r="A581">
            <v>42618</v>
          </cell>
          <cell r="B581">
            <v>59.147511000000002</v>
          </cell>
        </row>
        <row r="582">
          <cell r="A582">
            <v>42648</v>
          </cell>
          <cell r="B582">
            <v>59.010269000000001</v>
          </cell>
        </row>
        <row r="583">
          <cell r="A583">
            <v>42679</v>
          </cell>
          <cell r="B583">
            <v>57.385714999999998</v>
          </cell>
        </row>
        <row r="584">
          <cell r="A584">
            <v>42709</v>
          </cell>
          <cell r="B584">
            <v>57.765926</v>
          </cell>
        </row>
        <row r="585">
          <cell r="A585" t="str">
            <v>13-05-2016</v>
          </cell>
          <cell r="B585">
            <v>56.115482</v>
          </cell>
        </row>
        <row r="586">
          <cell r="A586" t="str">
            <v>16-05-2016</v>
          </cell>
          <cell r="B586">
            <v>57.048717000000003</v>
          </cell>
        </row>
        <row r="587">
          <cell r="A587" t="str">
            <v>17-05-2016</v>
          </cell>
          <cell r="B587">
            <v>56.253734999999999</v>
          </cell>
        </row>
        <row r="588">
          <cell r="A588" t="str">
            <v>18-05-2016</v>
          </cell>
          <cell r="B588">
            <v>54.568714</v>
          </cell>
        </row>
        <row r="589">
          <cell r="A589" t="str">
            <v>19-05-2016</v>
          </cell>
          <cell r="B589">
            <v>59.796593000000001</v>
          </cell>
        </row>
        <row r="590">
          <cell r="A590" t="str">
            <v>20-05-2016</v>
          </cell>
          <cell r="B590">
            <v>60.366905000000003</v>
          </cell>
        </row>
        <row r="591">
          <cell r="A591" t="str">
            <v>23-05-2016</v>
          </cell>
          <cell r="B591">
            <v>60.055824000000001</v>
          </cell>
        </row>
        <row r="592">
          <cell r="A592" t="str">
            <v>24-05-2016</v>
          </cell>
          <cell r="B592">
            <v>60.695286000000003</v>
          </cell>
        </row>
        <row r="593">
          <cell r="A593" t="str">
            <v>25-05-2016</v>
          </cell>
          <cell r="B593">
            <v>60.902633999999999</v>
          </cell>
        </row>
        <row r="594">
          <cell r="A594" t="str">
            <v>26-05-2016</v>
          </cell>
          <cell r="B594">
            <v>61.222392999999997</v>
          </cell>
        </row>
        <row r="595">
          <cell r="A595" t="str">
            <v>27-05-2016</v>
          </cell>
          <cell r="B595">
            <v>61.135967000000001</v>
          </cell>
        </row>
        <row r="596">
          <cell r="A596" t="str">
            <v>31-05-2016</v>
          </cell>
          <cell r="B596">
            <v>61.161903000000002</v>
          </cell>
        </row>
        <row r="597">
          <cell r="A597">
            <v>42375</v>
          </cell>
          <cell r="B597">
            <v>60.919941000000001</v>
          </cell>
        </row>
        <row r="598">
          <cell r="A598">
            <v>42406</v>
          </cell>
          <cell r="B598">
            <v>61.308796000000001</v>
          </cell>
        </row>
        <row r="599">
          <cell r="A599">
            <v>42435</v>
          </cell>
          <cell r="B599">
            <v>61.239669999999997</v>
          </cell>
        </row>
        <row r="600">
          <cell r="A600">
            <v>42527</v>
          </cell>
          <cell r="B600">
            <v>61.395206000000002</v>
          </cell>
        </row>
        <row r="601">
          <cell r="A601">
            <v>42557</v>
          </cell>
          <cell r="B601">
            <v>61.377926000000002</v>
          </cell>
        </row>
        <row r="602">
          <cell r="A602">
            <v>42588</v>
          </cell>
          <cell r="B602">
            <v>61.593941000000001</v>
          </cell>
        </row>
        <row r="603">
          <cell r="A603">
            <v>42619</v>
          </cell>
          <cell r="B603">
            <v>61.429760000000002</v>
          </cell>
        </row>
        <row r="604">
          <cell r="A604">
            <v>42649</v>
          </cell>
          <cell r="B604">
            <v>61.472968999999999</v>
          </cell>
        </row>
        <row r="605">
          <cell r="A605" t="str">
            <v>13-06-2016</v>
          </cell>
          <cell r="B605">
            <v>60.945853999999997</v>
          </cell>
        </row>
        <row r="606">
          <cell r="A606" t="str">
            <v>14-06-2016</v>
          </cell>
          <cell r="B606">
            <v>61.308796000000001</v>
          </cell>
        </row>
        <row r="607">
          <cell r="A607" t="str">
            <v>15-06-2016</v>
          </cell>
          <cell r="B607">
            <v>61.455708000000001</v>
          </cell>
        </row>
        <row r="608">
          <cell r="A608" t="str">
            <v>16-06-2016</v>
          </cell>
          <cell r="B608">
            <v>61.611240000000002</v>
          </cell>
        </row>
        <row r="609">
          <cell r="A609" t="str">
            <v>17-06-2016</v>
          </cell>
          <cell r="B609">
            <v>61.308796000000001</v>
          </cell>
        </row>
        <row r="610">
          <cell r="A610" t="str">
            <v>20-06-2016</v>
          </cell>
          <cell r="B610">
            <v>61.438412</v>
          </cell>
        </row>
        <row r="611">
          <cell r="A611" t="str">
            <v>21-06-2016</v>
          </cell>
          <cell r="B611">
            <v>61.749499999999998</v>
          </cell>
        </row>
        <row r="612">
          <cell r="A612" t="str">
            <v>22-06-2016</v>
          </cell>
          <cell r="B612">
            <v>62.000084000000001</v>
          </cell>
        </row>
        <row r="613">
          <cell r="A613" t="str">
            <v>23-06-2016</v>
          </cell>
          <cell r="B613">
            <v>62.302525000000003</v>
          </cell>
        </row>
        <row r="614">
          <cell r="A614" t="str">
            <v>24-06-2016</v>
          </cell>
          <cell r="B614">
            <v>62.181541000000003</v>
          </cell>
        </row>
        <row r="615">
          <cell r="A615" t="str">
            <v>27-06-2016</v>
          </cell>
          <cell r="B615">
            <v>61.784050000000001</v>
          </cell>
        </row>
        <row r="616">
          <cell r="A616" t="str">
            <v>28-06-2016</v>
          </cell>
          <cell r="B616">
            <v>61.792701999999998</v>
          </cell>
        </row>
        <row r="617">
          <cell r="A617" t="str">
            <v>29-06-2016</v>
          </cell>
          <cell r="B617">
            <v>62.613602</v>
          </cell>
        </row>
        <row r="618">
          <cell r="A618" t="str">
            <v>30-06-2016</v>
          </cell>
          <cell r="B618">
            <v>63.097504000000001</v>
          </cell>
        </row>
        <row r="619">
          <cell r="A619">
            <v>42376</v>
          </cell>
          <cell r="B619">
            <v>62.916041999999997</v>
          </cell>
        </row>
        <row r="620">
          <cell r="A620">
            <v>42497</v>
          </cell>
          <cell r="B620">
            <v>63.201191000000001</v>
          </cell>
        </row>
        <row r="621">
          <cell r="A621">
            <v>42528</v>
          </cell>
          <cell r="B621">
            <v>63.788806999999998</v>
          </cell>
        </row>
        <row r="622">
          <cell r="A622">
            <v>42558</v>
          </cell>
          <cell r="B622">
            <v>63.538215999999998</v>
          </cell>
        </row>
        <row r="623">
          <cell r="A623">
            <v>42589</v>
          </cell>
          <cell r="B623">
            <v>63.806083999999998</v>
          </cell>
        </row>
        <row r="624">
          <cell r="A624">
            <v>42681</v>
          </cell>
          <cell r="B624">
            <v>63.996189000000001</v>
          </cell>
        </row>
        <row r="625">
          <cell r="A625">
            <v>42711</v>
          </cell>
          <cell r="B625">
            <v>63.313518999999999</v>
          </cell>
        </row>
        <row r="626">
          <cell r="A626" t="str">
            <v>13-07-2016</v>
          </cell>
          <cell r="B626">
            <v>63.615993000000003</v>
          </cell>
        </row>
        <row r="627">
          <cell r="A627" t="str">
            <v>14-07-2016</v>
          </cell>
          <cell r="B627">
            <v>63.685080999999997</v>
          </cell>
        </row>
        <row r="628">
          <cell r="A628" t="str">
            <v>15-07-2016</v>
          </cell>
          <cell r="B628">
            <v>63.659184000000003</v>
          </cell>
        </row>
        <row r="629">
          <cell r="A629" t="str">
            <v>18-07-2016</v>
          </cell>
          <cell r="B629">
            <v>63.806083999999998</v>
          </cell>
        </row>
        <row r="630">
          <cell r="A630" t="str">
            <v>19-07-2016</v>
          </cell>
          <cell r="B630">
            <v>63.650539000000002</v>
          </cell>
        </row>
        <row r="631">
          <cell r="A631" t="str">
            <v>20-07-2016</v>
          </cell>
          <cell r="B631">
            <v>63.762881999999998</v>
          </cell>
        </row>
        <row r="632">
          <cell r="A632" t="str">
            <v>21-07-2016</v>
          </cell>
          <cell r="B632">
            <v>63.529575000000001</v>
          </cell>
        </row>
        <row r="633">
          <cell r="A633" t="str">
            <v>22-07-2016</v>
          </cell>
          <cell r="B633">
            <v>63.555484999999997</v>
          </cell>
        </row>
        <row r="634">
          <cell r="A634" t="str">
            <v>25-07-2016</v>
          </cell>
          <cell r="B634">
            <v>63.728298000000002</v>
          </cell>
        </row>
        <row r="635">
          <cell r="A635" t="str">
            <v>26-07-2016</v>
          </cell>
          <cell r="B635">
            <v>63.711010000000002</v>
          </cell>
        </row>
        <row r="636">
          <cell r="A636" t="str">
            <v>27-07-2016</v>
          </cell>
          <cell r="B636">
            <v>63.356735</v>
          </cell>
        </row>
        <row r="637">
          <cell r="A637" t="str">
            <v>28-07-2016</v>
          </cell>
          <cell r="B637">
            <v>63.287593999999999</v>
          </cell>
        </row>
        <row r="638">
          <cell r="A638" t="str">
            <v>29-07-2016</v>
          </cell>
          <cell r="B638">
            <v>63.054310000000001</v>
          </cell>
        </row>
        <row r="639">
          <cell r="A639">
            <v>42377</v>
          </cell>
          <cell r="B639">
            <v>63.754210999999998</v>
          </cell>
        </row>
        <row r="640">
          <cell r="A640">
            <v>42408</v>
          </cell>
          <cell r="B640">
            <v>63.192565999999999</v>
          </cell>
        </row>
        <row r="641">
          <cell r="A641">
            <v>42437</v>
          </cell>
          <cell r="B641">
            <v>63.028381000000003</v>
          </cell>
        </row>
        <row r="642">
          <cell r="A642">
            <v>42468</v>
          </cell>
          <cell r="B642">
            <v>63.339447</v>
          </cell>
        </row>
        <row r="643">
          <cell r="A643">
            <v>42498</v>
          </cell>
          <cell r="B643">
            <v>63.736961000000001</v>
          </cell>
        </row>
        <row r="644">
          <cell r="A644">
            <v>42590</v>
          </cell>
          <cell r="B644">
            <v>63.374026999999998</v>
          </cell>
        </row>
        <row r="645">
          <cell r="A645">
            <v>42621</v>
          </cell>
          <cell r="B645">
            <v>63.546855999999998</v>
          </cell>
        </row>
        <row r="646">
          <cell r="A646">
            <v>42651</v>
          </cell>
          <cell r="B646">
            <v>64.338584999999995</v>
          </cell>
        </row>
        <row r="647">
          <cell r="A647">
            <v>42682</v>
          </cell>
          <cell r="B647">
            <v>64.208061000000001</v>
          </cell>
        </row>
        <row r="648">
          <cell r="A648">
            <v>42712</v>
          </cell>
          <cell r="B648">
            <v>64.286377000000002</v>
          </cell>
        </row>
        <row r="649">
          <cell r="A649" t="str">
            <v>15-08-2016</v>
          </cell>
          <cell r="B649">
            <v>63.790455000000001</v>
          </cell>
        </row>
        <row r="650">
          <cell r="A650" t="str">
            <v>16-08-2016</v>
          </cell>
          <cell r="B650">
            <v>63.416344000000002</v>
          </cell>
        </row>
        <row r="651">
          <cell r="A651" t="str">
            <v>17-08-2016</v>
          </cell>
          <cell r="B651">
            <v>63.451152999999998</v>
          </cell>
        </row>
        <row r="652">
          <cell r="A652" t="str">
            <v>18-08-2016</v>
          </cell>
          <cell r="B652">
            <v>64.643066000000005</v>
          </cell>
        </row>
        <row r="653">
          <cell r="A653" t="str">
            <v>19-08-2016</v>
          </cell>
          <cell r="B653">
            <v>63.346741000000002</v>
          </cell>
        </row>
        <row r="654">
          <cell r="A654" t="str">
            <v>22-08-2016</v>
          </cell>
          <cell r="B654">
            <v>63.251026000000003</v>
          </cell>
        </row>
        <row r="655">
          <cell r="A655" t="str">
            <v>23-08-2016</v>
          </cell>
          <cell r="B655">
            <v>62.615921</v>
          </cell>
        </row>
        <row r="656">
          <cell r="A656" t="str">
            <v>24-08-2016</v>
          </cell>
          <cell r="B656">
            <v>62.842136000000004</v>
          </cell>
        </row>
        <row r="657">
          <cell r="A657" t="str">
            <v>25-08-2016</v>
          </cell>
          <cell r="B657">
            <v>61.963405999999999</v>
          </cell>
        </row>
        <row r="658">
          <cell r="A658" t="str">
            <v>26-08-2016</v>
          </cell>
          <cell r="B658">
            <v>61.89378</v>
          </cell>
        </row>
        <row r="659">
          <cell r="A659" t="str">
            <v>29-08-2016</v>
          </cell>
          <cell r="B659">
            <v>62.119995000000003</v>
          </cell>
        </row>
        <row r="660">
          <cell r="A660" t="str">
            <v>30-08-2016</v>
          </cell>
          <cell r="B660">
            <v>62.041691</v>
          </cell>
        </row>
        <row r="661">
          <cell r="A661" t="str">
            <v>31-08-2016</v>
          </cell>
          <cell r="B661">
            <v>62.154797000000002</v>
          </cell>
        </row>
        <row r="662">
          <cell r="A662">
            <v>42378</v>
          </cell>
          <cell r="B662">
            <v>63.372841000000001</v>
          </cell>
        </row>
        <row r="663">
          <cell r="A663">
            <v>42409</v>
          </cell>
          <cell r="B663">
            <v>63.077025999999996</v>
          </cell>
        </row>
        <row r="664">
          <cell r="A664">
            <v>42530</v>
          </cell>
          <cell r="B664">
            <v>63.512053999999999</v>
          </cell>
        </row>
        <row r="665">
          <cell r="A665">
            <v>42560</v>
          </cell>
          <cell r="B665">
            <v>62.694225000000003</v>
          </cell>
        </row>
        <row r="666">
          <cell r="A666">
            <v>42591</v>
          </cell>
          <cell r="B666">
            <v>62.494124999999997</v>
          </cell>
        </row>
        <row r="667">
          <cell r="A667">
            <v>42622</v>
          </cell>
          <cell r="B667">
            <v>61.162975000000003</v>
          </cell>
        </row>
        <row r="668">
          <cell r="A668">
            <v>42713</v>
          </cell>
          <cell r="B668">
            <v>62.589824999999998</v>
          </cell>
        </row>
        <row r="669">
          <cell r="A669" t="str">
            <v>13-09-2016</v>
          </cell>
          <cell r="B669">
            <v>62.172207</v>
          </cell>
        </row>
        <row r="670">
          <cell r="A670" t="str">
            <v>14-09-2016</v>
          </cell>
          <cell r="B670">
            <v>62.224400000000003</v>
          </cell>
        </row>
        <row r="671">
          <cell r="A671" t="str">
            <v>15-09-2016</v>
          </cell>
          <cell r="B671">
            <v>62.990036000000003</v>
          </cell>
        </row>
        <row r="672">
          <cell r="A672" t="str">
            <v>16-09-2016</v>
          </cell>
          <cell r="B672">
            <v>63.398944999999998</v>
          </cell>
        </row>
        <row r="673">
          <cell r="A673" t="str">
            <v>19-09-2016</v>
          </cell>
          <cell r="B673">
            <v>62.720309999999998</v>
          </cell>
        </row>
        <row r="674">
          <cell r="A674" t="str">
            <v>20-09-2016</v>
          </cell>
          <cell r="B674">
            <v>62.615921</v>
          </cell>
        </row>
        <row r="675">
          <cell r="A675" t="str">
            <v>21-09-2016</v>
          </cell>
          <cell r="B675">
            <v>62.807335000000002</v>
          </cell>
        </row>
        <row r="676">
          <cell r="A676" t="str">
            <v>22-09-2016</v>
          </cell>
          <cell r="B676">
            <v>62.876922999999998</v>
          </cell>
        </row>
        <row r="677">
          <cell r="A677" t="str">
            <v>23-09-2016</v>
          </cell>
          <cell r="B677">
            <v>62.946510000000004</v>
          </cell>
        </row>
        <row r="678">
          <cell r="A678" t="str">
            <v>26-09-2016</v>
          </cell>
          <cell r="B678">
            <v>62.311416999999999</v>
          </cell>
        </row>
        <row r="679">
          <cell r="A679" t="str">
            <v>27-09-2016</v>
          </cell>
          <cell r="B679">
            <v>62.929130999999998</v>
          </cell>
        </row>
        <row r="680">
          <cell r="A680" t="str">
            <v>28-09-2016</v>
          </cell>
          <cell r="B680">
            <v>62.459324000000002</v>
          </cell>
        </row>
        <row r="681">
          <cell r="A681" t="str">
            <v>29-09-2016</v>
          </cell>
          <cell r="B681">
            <v>61.537078999999999</v>
          </cell>
        </row>
        <row r="682">
          <cell r="A682" t="str">
            <v>30-09-2016</v>
          </cell>
          <cell r="B682">
            <v>62.746426</v>
          </cell>
        </row>
        <row r="683">
          <cell r="A683">
            <v>42439</v>
          </cell>
          <cell r="B683">
            <v>62.650719000000002</v>
          </cell>
        </row>
        <row r="684">
          <cell r="A684">
            <v>42470</v>
          </cell>
          <cell r="B684">
            <v>62.424503000000001</v>
          </cell>
        </row>
        <row r="685">
          <cell r="A685">
            <v>42500</v>
          </cell>
          <cell r="B685">
            <v>62.354908000000002</v>
          </cell>
        </row>
        <row r="686">
          <cell r="A686">
            <v>42531</v>
          </cell>
          <cell r="B686">
            <v>60.345146</v>
          </cell>
        </row>
        <row r="687">
          <cell r="A687">
            <v>42561</v>
          </cell>
          <cell r="B687">
            <v>59.770919999999997</v>
          </cell>
        </row>
        <row r="688">
          <cell r="A688">
            <v>42653</v>
          </cell>
          <cell r="B688">
            <v>59.144505000000002</v>
          </cell>
        </row>
        <row r="689">
          <cell r="A689">
            <v>42684</v>
          </cell>
          <cell r="B689">
            <v>58.631176000000004</v>
          </cell>
        </row>
        <row r="690">
          <cell r="A690">
            <v>42714</v>
          </cell>
          <cell r="B690">
            <v>58.692096999999997</v>
          </cell>
        </row>
        <row r="691">
          <cell r="A691" t="str">
            <v>13-10-2016</v>
          </cell>
          <cell r="B691">
            <v>59.361995999999998</v>
          </cell>
        </row>
        <row r="692">
          <cell r="A692" t="str">
            <v>14-10-2016</v>
          </cell>
          <cell r="B692">
            <v>59.553417000000003</v>
          </cell>
        </row>
        <row r="693">
          <cell r="A693" t="str">
            <v>17-10-2016</v>
          </cell>
          <cell r="B693">
            <v>59.353298000000002</v>
          </cell>
        </row>
        <row r="694">
          <cell r="A694" t="str">
            <v>18-10-2016</v>
          </cell>
          <cell r="B694">
            <v>59.918823000000003</v>
          </cell>
        </row>
        <row r="695">
          <cell r="A695" t="str">
            <v>19-10-2016</v>
          </cell>
          <cell r="B695">
            <v>59.936233999999999</v>
          </cell>
        </row>
        <row r="696">
          <cell r="A696" t="str">
            <v>20-10-2016</v>
          </cell>
          <cell r="B696">
            <v>59.797030999999997</v>
          </cell>
        </row>
        <row r="697">
          <cell r="A697" t="str">
            <v>21-10-2016</v>
          </cell>
          <cell r="B697">
            <v>59.457709999999999</v>
          </cell>
        </row>
        <row r="698">
          <cell r="A698" t="str">
            <v>24-10-2016</v>
          </cell>
          <cell r="B698">
            <v>60.197239000000003</v>
          </cell>
        </row>
        <row r="699">
          <cell r="A699" t="str">
            <v>25-10-2016</v>
          </cell>
          <cell r="B699">
            <v>60.345146</v>
          </cell>
        </row>
        <row r="700">
          <cell r="A700" t="str">
            <v>26-10-2016</v>
          </cell>
          <cell r="B700">
            <v>60.545250000000003</v>
          </cell>
        </row>
        <row r="701">
          <cell r="A701" t="str">
            <v>27-10-2016</v>
          </cell>
          <cell r="B701">
            <v>60.754050999999997</v>
          </cell>
        </row>
        <row r="702">
          <cell r="A702" t="str">
            <v>28-10-2016</v>
          </cell>
          <cell r="B702">
            <v>60.893261000000003</v>
          </cell>
        </row>
        <row r="703">
          <cell r="A703" t="str">
            <v>31-10-2016</v>
          </cell>
          <cell r="B703">
            <v>60.919345999999997</v>
          </cell>
        </row>
        <row r="704">
          <cell r="A704">
            <v>42380</v>
          </cell>
          <cell r="B704">
            <v>60.292949999999998</v>
          </cell>
        </row>
        <row r="705">
          <cell r="A705">
            <v>42411</v>
          </cell>
          <cell r="B705">
            <v>60.423447000000003</v>
          </cell>
        </row>
        <row r="706">
          <cell r="A706">
            <v>42440</v>
          </cell>
          <cell r="B706">
            <v>60.580047999999998</v>
          </cell>
        </row>
        <row r="707">
          <cell r="A707">
            <v>42471</v>
          </cell>
          <cell r="B707">
            <v>60.171131000000003</v>
          </cell>
        </row>
        <row r="708">
          <cell r="A708">
            <v>42562</v>
          </cell>
          <cell r="B708">
            <v>60.710552</v>
          </cell>
        </row>
        <row r="709">
          <cell r="A709">
            <v>42593</v>
          </cell>
          <cell r="B709">
            <v>60.719261000000003</v>
          </cell>
        </row>
        <row r="710">
          <cell r="A710">
            <v>42624</v>
          </cell>
          <cell r="B710">
            <v>61.858994000000003</v>
          </cell>
        </row>
        <row r="711">
          <cell r="A711">
            <v>42654</v>
          </cell>
          <cell r="B711">
            <v>62.111313000000003</v>
          </cell>
        </row>
        <row r="712">
          <cell r="A712">
            <v>42685</v>
          </cell>
          <cell r="B712">
            <v>61.972084000000002</v>
          </cell>
        </row>
        <row r="713">
          <cell r="A713" t="str">
            <v>14-11-2016</v>
          </cell>
          <cell r="B713">
            <v>61.328280999999997</v>
          </cell>
        </row>
        <row r="714">
          <cell r="A714" t="str">
            <v>15-11-2016</v>
          </cell>
          <cell r="B714">
            <v>62.137394</v>
          </cell>
        </row>
        <row r="715">
          <cell r="A715" t="str">
            <v>16-11-2016</v>
          </cell>
          <cell r="B715">
            <v>62.111313000000003</v>
          </cell>
        </row>
        <row r="716">
          <cell r="A716" t="str">
            <v>17-11-2016</v>
          </cell>
          <cell r="B716">
            <v>60.197239000000003</v>
          </cell>
        </row>
        <row r="717">
          <cell r="A717" t="str">
            <v>18-11-2016</v>
          </cell>
          <cell r="B717">
            <v>59.631732999999997</v>
          </cell>
        </row>
        <row r="718">
          <cell r="A718" t="str">
            <v>21-11-2016</v>
          </cell>
          <cell r="B718">
            <v>60.353850999999999</v>
          </cell>
        </row>
        <row r="719">
          <cell r="A719" t="str">
            <v>22-11-2016</v>
          </cell>
          <cell r="B719">
            <v>61.006366999999997</v>
          </cell>
        </row>
        <row r="720">
          <cell r="A720" t="str">
            <v>23-11-2016</v>
          </cell>
          <cell r="B720">
            <v>61.624084000000003</v>
          </cell>
        </row>
        <row r="721">
          <cell r="A721" t="str">
            <v>25-11-2016</v>
          </cell>
          <cell r="B721">
            <v>61.972084000000002</v>
          </cell>
        </row>
        <row r="722">
          <cell r="A722" t="str">
            <v>28-11-2016</v>
          </cell>
          <cell r="B722">
            <v>61.937302000000003</v>
          </cell>
        </row>
        <row r="723">
          <cell r="A723" t="str">
            <v>29-11-2016</v>
          </cell>
          <cell r="B723">
            <v>62.093910000000001</v>
          </cell>
        </row>
        <row r="724">
          <cell r="A724" t="str">
            <v>30-11-2016</v>
          </cell>
          <cell r="B724">
            <v>61.276080999999998</v>
          </cell>
        </row>
        <row r="725">
          <cell r="A725">
            <v>42381</v>
          </cell>
          <cell r="B725">
            <v>61.484875000000002</v>
          </cell>
        </row>
        <row r="726">
          <cell r="A726">
            <v>42412</v>
          </cell>
          <cell r="B726">
            <v>61.667572</v>
          </cell>
        </row>
        <row r="727">
          <cell r="A727">
            <v>42502</v>
          </cell>
          <cell r="B727">
            <v>60.849766000000002</v>
          </cell>
        </row>
        <row r="728">
          <cell r="A728">
            <v>42533</v>
          </cell>
          <cell r="B728">
            <v>61.215183000000003</v>
          </cell>
        </row>
        <row r="729">
          <cell r="A729">
            <v>42563</v>
          </cell>
          <cell r="B729">
            <v>61.863602</v>
          </cell>
        </row>
        <row r="730">
          <cell r="A730">
            <v>42594</v>
          </cell>
          <cell r="B730">
            <v>61.635784000000001</v>
          </cell>
        </row>
        <row r="731">
          <cell r="A731">
            <v>42625</v>
          </cell>
          <cell r="B731">
            <v>61.407955000000001</v>
          </cell>
        </row>
        <row r="732">
          <cell r="A732">
            <v>42716</v>
          </cell>
          <cell r="B732">
            <v>62.801200999999999</v>
          </cell>
        </row>
        <row r="733">
          <cell r="A733" t="str">
            <v>13-12-2016</v>
          </cell>
          <cell r="B733">
            <v>62.915118999999997</v>
          </cell>
        </row>
        <row r="734">
          <cell r="A734" t="str">
            <v>14-12-2016</v>
          </cell>
          <cell r="B734">
            <v>62.512008999999999</v>
          </cell>
        </row>
        <row r="735">
          <cell r="A735" t="str">
            <v>15-12-2016</v>
          </cell>
          <cell r="B735">
            <v>62.284213999999999</v>
          </cell>
        </row>
        <row r="736">
          <cell r="A736" t="str">
            <v>16-12-2016</v>
          </cell>
          <cell r="B736">
            <v>62.196575000000003</v>
          </cell>
        </row>
        <row r="737">
          <cell r="A737" t="str">
            <v>19-12-2016</v>
          </cell>
          <cell r="B737">
            <v>62.722335999999999</v>
          </cell>
        </row>
        <row r="738">
          <cell r="A738" t="str">
            <v>20-12-2016</v>
          </cell>
          <cell r="B738">
            <v>62.932644000000003</v>
          </cell>
        </row>
        <row r="739">
          <cell r="A739" t="str">
            <v>21-12-2016</v>
          </cell>
          <cell r="B739">
            <v>62.424393000000002</v>
          </cell>
        </row>
        <row r="740">
          <cell r="A740" t="str">
            <v>22-12-2016</v>
          </cell>
          <cell r="B740">
            <v>60.978588000000002</v>
          </cell>
        </row>
        <row r="741">
          <cell r="A741" t="str">
            <v>23-12-2016</v>
          </cell>
          <cell r="B741">
            <v>60.934775999999999</v>
          </cell>
        </row>
        <row r="742">
          <cell r="A742" t="str">
            <v>27-12-2016</v>
          </cell>
          <cell r="B742">
            <v>61.07497</v>
          </cell>
        </row>
        <row r="743">
          <cell r="A743" t="str">
            <v>28-12-2016</v>
          </cell>
          <cell r="B743">
            <v>60.733238</v>
          </cell>
        </row>
        <row r="744">
          <cell r="A744" t="str">
            <v>29-12-2016</v>
          </cell>
          <cell r="B744">
            <v>60.689407000000003</v>
          </cell>
        </row>
        <row r="745">
          <cell r="A745" t="str">
            <v>30-12-2016</v>
          </cell>
          <cell r="B745">
            <v>60.566749999999999</v>
          </cell>
        </row>
        <row r="746">
          <cell r="A746">
            <v>42795</v>
          </cell>
          <cell r="B746">
            <v>60.163680999999997</v>
          </cell>
        </row>
        <row r="747">
          <cell r="A747">
            <v>42826</v>
          </cell>
          <cell r="B747">
            <v>60.514159999999997</v>
          </cell>
        </row>
        <row r="748">
          <cell r="A748">
            <v>42856</v>
          </cell>
          <cell r="B748">
            <v>60.645603000000001</v>
          </cell>
        </row>
        <row r="749">
          <cell r="A749">
            <v>42887</v>
          </cell>
          <cell r="B749">
            <v>59.813175000000001</v>
          </cell>
        </row>
        <row r="750">
          <cell r="A750">
            <v>42979</v>
          </cell>
          <cell r="B750">
            <v>60.207481000000001</v>
          </cell>
        </row>
        <row r="751">
          <cell r="A751">
            <v>43009</v>
          </cell>
          <cell r="B751">
            <v>59.786876999999997</v>
          </cell>
        </row>
        <row r="752">
          <cell r="A752">
            <v>43040</v>
          </cell>
          <cell r="B752">
            <v>60.049751000000001</v>
          </cell>
        </row>
        <row r="753">
          <cell r="A753">
            <v>43070</v>
          </cell>
          <cell r="B753">
            <v>59.559055000000001</v>
          </cell>
        </row>
        <row r="754">
          <cell r="A754" t="str">
            <v>13-01-2017</v>
          </cell>
          <cell r="B754">
            <v>58.823005999999999</v>
          </cell>
        </row>
        <row r="755">
          <cell r="A755" t="str">
            <v>17-01-2017</v>
          </cell>
          <cell r="B755">
            <v>59.953358000000001</v>
          </cell>
        </row>
        <row r="756">
          <cell r="A756" t="str">
            <v>18-01-2017</v>
          </cell>
          <cell r="B756">
            <v>59.681721000000003</v>
          </cell>
        </row>
        <row r="757">
          <cell r="A757" t="str">
            <v>19-01-2017</v>
          </cell>
          <cell r="B757">
            <v>59.252357000000003</v>
          </cell>
        </row>
        <row r="758">
          <cell r="A758" t="str">
            <v>20-01-2017</v>
          </cell>
          <cell r="B758">
            <v>58.866810000000001</v>
          </cell>
        </row>
        <row r="759">
          <cell r="A759" t="str">
            <v>23-01-2017</v>
          </cell>
          <cell r="B759">
            <v>58.402389999999997</v>
          </cell>
        </row>
        <row r="760">
          <cell r="A760" t="str">
            <v>24-01-2017</v>
          </cell>
          <cell r="B760">
            <v>59.059581999999999</v>
          </cell>
        </row>
        <row r="761">
          <cell r="A761" t="str">
            <v>25-01-2017</v>
          </cell>
          <cell r="B761">
            <v>58.612690000000001</v>
          </cell>
        </row>
        <row r="762">
          <cell r="A762" t="str">
            <v>26-01-2017</v>
          </cell>
          <cell r="B762">
            <v>58.472496</v>
          </cell>
        </row>
        <row r="763">
          <cell r="A763" t="str">
            <v>27-01-2017</v>
          </cell>
          <cell r="B763">
            <v>57.534900999999998</v>
          </cell>
        </row>
        <row r="764">
          <cell r="A764" t="str">
            <v>30-01-2017</v>
          </cell>
          <cell r="B764">
            <v>58.200854999999997</v>
          </cell>
        </row>
        <row r="765">
          <cell r="A765" t="str">
            <v>31-01-2017</v>
          </cell>
          <cell r="B765">
            <v>58.481254999999997</v>
          </cell>
        </row>
        <row r="766">
          <cell r="A766">
            <v>42737</v>
          </cell>
          <cell r="B766">
            <v>58.034362999999999</v>
          </cell>
        </row>
        <row r="767">
          <cell r="A767">
            <v>42768</v>
          </cell>
          <cell r="B767">
            <v>58.446201000000002</v>
          </cell>
        </row>
        <row r="768">
          <cell r="A768">
            <v>42796</v>
          </cell>
          <cell r="B768">
            <v>58.270949999999999</v>
          </cell>
        </row>
        <row r="769">
          <cell r="A769">
            <v>42888</v>
          </cell>
          <cell r="B769">
            <v>58.183323000000001</v>
          </cell>
        </row>
        <row r="770">
          <cell r="A770">
            <v>42918</v>
          </cell>
          <cell r="B770">
            <v>58.612690000000001</v>
          </cell>
        </row>
        <row r="771">
          <cell r="A771">
            <v>42949</v>
          </cell>
          <cell r="B771">
            <v>59.418849999999999</v>
          </cell>
        </row>
        <row r="772">
          <cell r="A772">
            <v>42980</v>
          </cell>
          <cell r="B772">
            <v>60.531695999999997</v>
          </cell>
        </row>
        <row r="773">
          <cell r="A773">
            <v>43010</v>
          </cell>
          <cell r="B773">
            <v>59.602851999999999</v>
          </cell>
        </row>
        <row r="774">
          <cell r="A774" t="str">
            <v>13-02-2017</v>
          </cell>
          <cell r="B774">
            <v>59.383785000000003</v>
          </cell>
        </row>
        <row r="775">
          <cell r="A775" t="str">
            <v>14-02-2017</v>
          </cell>
          <cell r="B775">
            <v>60.163680999999997</v>
          </cell>
        </row>
        <row r="776">
          <cell r="A776" t="str">
            <v>15-02-2017</v>
          </cell>
          <cell r="B776">
            <v>60.189953000000003</v>
          </cell>
        </row>
        <row r="777">
          <cell r="A777" t="str">
            <v>16-02-2017</v>
          </cell>
          <cell r="B777">
            <v>60.347683000000004</v>
          </cell>
        </row>
        <row r="778">
          <cell r="A778" t="str">
            <v>17-02-2017</v>
          </cell>
          <cell r="B778">
            <v>60.785809</v>
          </cell>
        </row>
        <row r="779">
          <cell r="A779" t="str">
            <v>21-02-2017</v>
          </cell>
          <cell r="B779">
            <v>62.608409999999999</v>
          </cell>
        </row>
        <row r="780">
          <cell r="A780" t="str">
            <v>22-02-2017</v>
          </cell>
          <cell r="B780">
            <v>62.836243000000003</v>
          </cell>
        </row>
        <row r="781">
          <cell r="A781" t="str">
            <v>23-02-2017</v>
          </cell>
          <cell r="B781">
            <v>62.485714000000002</v>
          </cell>
        </row>
        <row r="782">
          <cell r="A782" t="str">
            <v>24-02-2017</v>
          </cell>
          <cell r="B782">
            <v>63.432105999999997</v>
          </cell>
        </row>
        <row r="783">
          <cell r="A783" t="str">
            <v>27-02-2017</v>
          </cell>
          <cell r="B783">
            <v>62.862537000000003</v>
          </cell>
        </row>
        <row r="784">
          <cell r="A784" t="str">
            <v>28-02-2017</v>
          </cell>
          <cell r="B784">
            <v>62.152760000000001</v>
          </cell>
        </row>
        <row r="785">
          <cell r="A785">
            <v>42738</v>
          </cell>
          <cell r="B785">
            <v>61.732170000000004</v>
          </cell>
        </row>
        <row r="786">
          <cell r="A786">
            <v>42769</v>
          </cell>
          <cell r="B786">
            <v>62.003791999999997</v>
          </cell>
        </row>
        <row r="787">
          <cell r="A787">
            <v>42797</v>
          </cell>
          <cell r="B787">
            <v>61.364113000000003</v>
          </cell>
        </row>
        <row r="788">
          <cell r="A788">
            <v>42889</v>
          </cell>
          <cell r="B788">
            <v>61.232692999999998</v>
          </cell>
        </row>
        <row r="789">
          <cell r="A789">
            <v>42919</v>
          </cell>
          <cell r="B789">
            <v>61.223937999999997</v>
          </cell>
        </row>
        <row r="790">
          <cell r="A790">
            <v>42950</v>
          </cell>
          <cell r="B790">
            <v>61.612316</v>
          </cell>
        </row>
        <row r="791">
          <cell r="A791">
            <v>42981</v>
          </cell>
          <cell r="B791">
            <v>61.665272000000002</v>
          </cell>
        </row>
        <row r="792">
          <cell r="A792">
            <v>43011</v>
          </cell>
          <cell r="B792">
            <v>61.877124999999999</v>
          </cell>
        </row>
        <row r="793">
          <cell r="A793" t="str">
            <v>13-03-2017</v>
          </cell>
          <cell r="B793">
            <v>61.744746999999997</v>
          </cell>
        </row>
        <row r="794">
          <cell r="A794" t="str">
            <v>14-03-2017</v>
          </cell>
          <cell r="B794">
            <v>62.424380999999997</v>
          </cell>
        </row>
        <row r="795">
          <cell r="A795" t="str">
            <v>15-03-2017</v>
          </cell>
          <cell r="B795">
            <v>62.300823000000001</v>
          </cell>
        </row>
        <row r="796">
          <cell r="A796" t="str">
            <v>16-03-2017</v>
          </cell>
          <cell r="B796">
            <v>62.177242</v>
          </cell>
        </row>
        <row r="797">
          <cell r="A797" t="str">
            <v>17-03-2017</v>
          </cell>
          <cell r="B797">
            <v>61.691761</v>
          </cell>
        </row>
        <row r="798">
          <cell r="A798" t="str">
            <v>20-03-2017</v>
          </cell>
          <cell r="B798">
            <v>61.771220999999997</v>
          </cell>
        </row>
        <row r="799">
          <cell r="A799" t="str">
            <v>21-03-2017</v>
          </cell>
          <cell r="B799">
            <v>61.700595999999997</v>
          </cell>
        </row>
        <row r="800">
          <cell r="A800" t="str">
            <v>22-03-2017</v>
          </cell>
          <cell r="B800">
            <v>62.009524999999996</v>
          </cell>
        </row>
        <row r="801">
          <cell r="A801" t="str">
            <v>23-03-2017</v>
          </cell>
          <cell r="B801">
            <v>61.665272000000002</v>
          </cell>
        </row>
        <row r="802">
          <cell r="A802" t="str">
            <v>24-03-2017</v>
          </cell>
          <cell r="B802">
            <v>61.444614000000001</v>
          </cell>
        </row>
        <row r="803">
          <cell r="A803" t="str">
            <v>27-03-2017</v>
          </cell>
          <cell r="B803">
            <v>61.488742999999999</v>
          </cell>
        </row>
        <row r="804">
          <cell r="A804" t="str">
            <v>28-03-2017</v>
          </cell>
          <cell r="B804">
            <v>62.071339000000002</v>
          </cell>
        </row>
        <row r="805">
          <cell r="A805" t="str">
            <v>29-03-2017</v>
          </cell>
          <cell r="B805">
            <v>62.442059</v>
          </cell>
        </row>
        <row r="806">
          <cell r="A806" t="str">
            <v>30-03-2017</v>
          </cell>
          <cell r="B806">
            <v>63.192345000000003</v>
          </cell>
        </row>
        <row r="807">
          <cell r="A807" t="str">
            <v>31-03-2017</v>
          </cell>
          <cell r="B807">
            <v>63.624878000000002</v>
          </cell>
        </row>
        <row r="808">
          <cell r="A808">
            <v>42798</v>
          </cell>
          <cell r="B808">
            <v>63.404204999999997</v>
          </cell>
        </row>
        <row r="809">
          <cell r="A809">
            <v>42829</v>
          </cell>
          <cell r="B809">
            <v>63.563094999999997</v>
          </cell>
        </row>
        <row r="810">
          <cell r="A810">
            <v>42859</v>
          </cell>
          <cell r="B810">
            <v>63.245308000000001</v>
          </cell>
        </row>
        <row r="811">
          <cell r="A811">
            <v>42890</v>
          </cell>
          <cell r="B811">
            <v>63.051121000000002</v>
          </cell>
        </row>
        <row r="812">
          <cell r="A812">
            <v>42920</v>
          </cell>
          <cell r="B812">
            <v>64.348701000000005</v>
          </cell>
        </row>
        <row r="813">
          <cell r="A813">
            <v>43012</v>
          </cell>
          <cell r="B813">
            <v>64.489922000000007</v>
          </cell>
        </row>
        <row r="814">
          <cell r="A814">
            <v>43043</v>
          </cell>
          <cell r="B814">
            <v>64.816520999999995</v>
          </cell>
        </row>
        <row r="815">
          <cell r="A815">
            <v>43073</v>
          </cell>
          <cell r="B815">
            <v>64.825348000000005</v>
          </cell>
        </row>
        <row r="816">
          <cell r="A816" t="str">
            <v>13-04-2017</v>
          </cell>
          <cell r="B816">
            <v>64.569359000000006</v>
          </cell>
        </row>
        <row r="817">
          <cell r="A817" t="str">
            <v>17-04-2017</v>
          </cell>
          <cell r="B817">
            <v>64.869499000000005</v>
          </cell>
        </row>
        <row r="818">
          <cell r="A818" t="str">
            <v>18-04-2017</v>
          </cell>
          <cell r="B818">
            <v>65.222549000000001</v>
          </cell>
        </row>
        <row r="819">
          <cell r="A819" t="str">
            <v>19-04-2017</v>
          </cell>
          <cell r="B819">
            <v>65.381461999999999</v>
          </cell>
        </row>
        <row r="820">
          <cell r="A820" t="str">
            <v>20-04-2017</v>
          </cell>
          <cell r="B820">
            <v>66.025802999999996</v>
          </cell>
        </row>
        <row r="821">
          <cell r="A821" t="str">
            <v>21-04-2017</v>
          </cell>
          <cell r="B821">
            <v>66.149390999999994</v>
          </cell>
        </row>
        <row r="822">
          <cell r="A822" t="str">
            <v>24-04-2017</v>
          </cell>
          <cell r="B822">
            <v>66.008156</v>
          </cell>
        </row>
        <row r="823">
          <cell r="A823" t="str">
            <v>25-04-2017</v>
          </cell>
          <cell r="B823">
            <v>66.246467999999993</v>
          </cell>
        </row>
        <row r="824">
          <cell r="A824" t="str">
            <v>26-04-2017</v>
          </cell>
          <cell r="B824">
            <v>66.581901999999999</v>
          </cell>
        </row>
        <row r="825">
          <cell r="A825" t="str">
            <v>27-04-2017</v>
          </cell>
          <cell r="B825">
            <v>66.590736000000007</v>
          </cell>
        </row>
        <row r="826">
          <cell r="A826" t="str">
            <v>28-04-2017</v>
          </cell>
          <cell r="B826">
            <v>66.361221</v>
          </cell>
        </row>
        <row r="827">
          <cell r="A827">
            <v>42740</v>
          </cell>
          <cell r="B827">
            <v>66.405365000000003</v>
          </cell>
        </row>
        <row r="828">
          <cell r="A828">
            <v>42771</v>
          </cell>
          <cell r="B828">
            <v>66.661345999999995</v>
          </cell>
        </row>
        <row r="829">
          <cell r="A829">
            <v>42799</v>
          </cell>
          <cell r="B829">
            <v>66.873192000000003</v>
          </cell>
        </row>
        <row r="830">
          <cell r="A830">
            <v>42830</v>
          </cell>
          <cell r="B830">
            <v>67.385154999999997</v>
          </cell>
        </row>
        <row r="831">
          <cell r="A831">
            <v>42860</v>
          </cell>
          <cell r="B831">
            <v>67.526375000000002</v>
          </cell>
        </row>
        <row r="832">
          <cell r="A832">
            <v>42952</v>
          </cell>
          <cell r="B832">
            <v>67.190994000000003</v>
          </cell>
        </row>
        <row r="833">
          <cell r="A833">
            <v>42983</v>
          </cell>
          <cell r="B833">
            <v>67.720573000000002</v>
          </cell>
        </row>
        <row r="834">
          <cell r="A834">
            <v>43013</v>
          </cell>
          <cell r="B834">
            <v>68.155991</v>
          </cell>
        </row>
        <row r="835">
          <cell r="A835">
            <v>43044</v>
          </cell>
          <cell r="B835">
            <v>67.64949</v>
          </cell>
        </row>
        <row r="836">
          <cell r="A836">
            <v>43074</v>
          </cell>
          <cell r="B836">
            <v>67.276283000000006</v>
          </cell>
        </row>
        <row r="837">
          <cell r="A837" t="str">
            <v>15-05-2017</v>
          </cell>
          <cell r="B837">
            <v>67.791672000000005</v>
          </cell>
        </row>
        <row r="838">
          <cell r="A838" t="str">
            <v>16-05-2017</v>
          </cell>
          <cell r="B838">
            <v>66.743117999999996</v>
          </cell>
        </row>
        <row r="839">
          <cell r="A839" t="str">
            <v>17-05-2017</v>
          </cell>
          <cell r="B839">
            <v>66.752021999999997</v>
          </cell>
        </row>
        <row r="840">
          <cell r="A840" t="str">
            <v>18-05-2017</v>
          </cell>
          <cell r="B840">
            <v>68.902428</v>
          </cell>
        </row>
        <row r="841">
          <cell r="A841" t="str">
            <v>19-05-2017</v>
          </cell>
          <cell r="B841">
            <v>69.995407</v>
          </cell>
        </row>
        <row r="842">
          <cell r="A842" t="str">
            <v>22-05-2017</v>
          </cell>
          <cell r="B842">
            <v>69.799926999999997</v>
          </cell>
        </row>
        <row r="843">
          <cell r="A843" t="str">
            <v>23-05-2017</v>
          </cell>
          <cell r="B843">
            <v>69.746596999999994</v>
          </cell>
        </row>
        <row r="844">
          <cell r="A844" t="str">
            <v>24-05-2017</v>
          </cell>
          <cell r="B844">
            <v>69.444503999999995</v>
          </cell>
        </row>
        <row r="845">
          <cell r="A845" t="str">
            <v>25-05-2017</v>
          </cell>
          <cell r="B845">
            <v>69.586639000000005</v>
          </cell>
        </row>
        <row r="846">
          <cell r="A846" t="str">
            <v>26-05-2017</v>
          </cell>
          <cell r="B846">
            <v>69.426704000000001</v>
          </cell>
        </row>
        <row r="847">
          <cell r="A847" t="str">
            <v>30-05-2017</v>
          </cell>
          <cell r="B847">
            <v>69.444503999999995</v>
          </cell>
        </row>
        <row r="848">
          <cell r="A848" t="str">
            <v>31-05-2017</v>
          </cell>
          <cell r="B848">
            <v>69.844359999999995</v>
          </cell>
        </row>
        <row r="849">
          <cell r="A849">
            <v>42741</v>
          </cell>
          <cell r="B849">
            <v>70.919556</v>
          </cell>
        </row>
        <row r="850">
          <cell r="A850">
            <v>42772</v>
          </cell>
          <cell r="B850">
            <v>70.750725000000003</v>
          </cell>
        </row>
        <row r="851">
          <cell r="A851">
            <v>42861</v>
          </cell>
          <cell r="B851">
            <v>71.319434999999999</v>
          </cell>
        </row>
        <row r="852">
          <cell r="A852">
            <v>42892</v>
          </cell>
          <cell r="B852">
            <v>70.137603999999996</v>
          </cell>
        </row>
        <row r="853">
          <cell r="A853">
            <v>42922</v>
          </cell>
          <cell r="B853">
            <v>70.333083999999999</v>
          </cell>
        </row>
        <row r="854">
          <cell r="A854">
            <v>42953</v>
          </cell>
          <cell r="B854">
            <v>70.137603999999996</v>
          </cell>
        </row>
        <row r="855">
          <cell r="A855">
            <v>42984</v>
          </cell>
          <cell r="B855">
            <v>70.573013000000003</v>
          </cell>
        </row>
        <row r="856">
          <cell r="A856">
            <v>43075</v>
          </cell>
          <cell r="B856">
            <v>70.413055</v>
          </cell>
        </row>
        <row r="857">
          <cell r="A857" t="str">
            <v>13-06-2017</v>
          </cell>
          <cell r="B857">
            <v>70.661857999999995</v>
          </cell>
        </row>
        <row r="858">
          <cell r="A858" t="str">
            <v>14-06-2017</v>
          </cell>
          <cell r="B858">
            <v>70.999549999999999</v>
          </cell>
        </row>
        <row r="859">
          <cell r="A859" t="str">
            <v>15-06-2017</v>
          </cell>
          <cell r="B859">
            <v>70.119820000000004</v>
          </cell>
        </row>
        <row r="860">
          <cell r="A860" t="str">
            <v>16-06-2017</v>
          </cell>
          <cell r="B860">
            <v>66.858635000000007</v>
          </cell>
        </row>
        <row r="861">
          <cell r="A861" t="str">
            <v>19-06-2017</v>
          </cell>
          <cell r="B861">
            <v>67.089684000000005</v>
          </cell>
        </row>
        <row r="862">
          <cell r="A862" t="str">
            <v>20-06-2017</v>
          </cell>
          <cell r="B862">
            <v>67.125229000000004</v>
          </cell>
        </row>
        <row r="863">
          <cell r="A863" t="str">
            <v>21-06-2017</v>
          </cell>
          <cell r="B863">
            <v>67.747230999999999</v>
          </cell>
        </row>
        <row r="864">
          <cell r="A864" t="str">
            <v>22-06-2017</v>
          </cell>
          <cell r="B864">
            <v>67.107437000000004</v>
          </cell>
        </row>
        <row r="865">
          <cell r="A865" t="str">
            <v>23-06-2017</v>
          </cell>
          <cell r="B865">
            <v>66.503203999999997</v>
          </cell>
        </row>
        <row r="866">
          <cell r="A866" t="str">
            <v>26-06-2017</v>
          </cell>
          <cell r="B866">
            <v>67.089684000000005</v>
          </cell>
        </row>
        <row r="867">
          <cell r="A867" t="str">
            <v>27-06-2017</v>
          </cell>
          <cell r="B867">
            <v>67.542869999999994</v>
          </cell>
        </row>
        <row r="868">
          <cell r="A868" t="str">
            <v>28-06-2017</v>
          </cell>
          <cell r="B868">
            <v>67.987151999999995</v>
          </cell>
        </row>
        <row r="869">
          <cell r="A869" t="str">
            <v>29-06-2017</v>
          </cell>
          <cell r="B869">
            <v>67.471778999999998</v>
          </cell>
        </row>
        <row r="870">
          <cell r="A870" t="str">
            <v>30-06-2017</v>
          </cell>
          <cell r="B870">
            <v>67.249634</v>
          </cell>
        </row>
        <row r="871">
          <cell r="A871">
            <v>42801</v>
          </cell>
          <cell r="B871">
            <v>66.965271000000001</v>
          </cell>
        </row>
        <row r="872">
          <cell r="A872">
            <v>42862</v>
          </cell>
          <cell r="B872">
            <v>66.929732999999999</v>
          </cell>
        </row>
        <row r="873">
          <cell r="A873">
            <v>42893</v>
          </cell>
          <cell r="B873">
            <v>67.063025999999994</v>
          </cell>
        </row>
        <row r="874">
          <cell r="A874">
            <v>42923</v>
          </cell>
          <cell r="B874">
            <v>66.938629000000006</v>
          </cell>
        </row>
        <row r="875">
          <cell r="A875">
            <v>43015</v>
          </cell>
          <cell r="B875">
            <v>65.072547999999998</v>
          </cell>
        </row>
        <row r="876">
          <cell r="A876">
            <v>43046</v>
          </cell>
          <cell r="B876">
            <v>65.285812000000007</v>
          </cell>
        </row>
        <row r="877">
          <cell r="A877">
            <v>43076</v>
          </cell>
          <cell r="B877">
            <v>65.703461000000004</v>
          </cell>
        </row>
        <row r="878">
          <cell r="A878" t="str">
            <v>13-07-2017</v>
          </cell>
          <cell r="B878">
            <v>66.689812000000003</v>
          </cell>
        </row>
        <row r="879">
          <cell r="A879" t="str">
            <v>14-07-2017</v>
          </cell>
          <cell r="B879">
            <v>67.836112999999997</v>
          </cell>
        </row>
        <row r="880">
          <cell r="A880" t="str">
            <v>17-07-2017</v>
          </cell>
          <cell r="B880">
            <v>67.862762000000004</v>
          </cell>
        </row>
        <row r="881">
          <cell r="A881" t="str">
            <v>18-07-2017</v>
          </cell>
          <cell r="B881">
            <v>67.711708000000002</v>
          </cell>
        </row>
        <row r="882">
          <cell r="A882" t="str">
            <v>19-07-2017</v>
          </cell>
          <cell r="B882">
            <v>67.418471999999994</v>
          </cell>
        </row>
        <row r="883">
          <cell r="A883" t="str">
            <v>20-07-2017</v>
          </cell>
          <cell r="B883">
            <v>67.551758000000007</v>
          </cell>
        </row>
        <row r="884">
          <cell r="A884" t="str">
            <v>21-07-2017</v>
          </cell>
          <cell r="B884">
            <v>67.667266999999995</v>
          </cell>
        </row>
        <row r="885">
          <cell r="A885" t="str">
            <v>24-07-2017</v>
          </cell>
          <cell r="B885">
            <v>68.324843999999999</v>
          </cell>
        </row>
        <row r="886">
          <cell r="A886" t="str">
            <v>25-07-2017</v>
          </cell>
          <cell r="B886">
            <v>69.773253999999994</v>
          </cell>
        </row>
        <row r="887">
          <cell r="A887" t="str">
            <v>26-07-2017</v>
          </cell>
          <cell r="B887">
            <v>70.110939000000002</v>
          </cell>
        </row>
        <row r="888">
          <cell r="A888" t="str">
            <v>27-07-2017</v>
          </cell>
          <cell r="B888">
            <v>70.892905999999996</v>
          </cell>
        </row>
        <row r="889">
          <cell r="A889" t="str">
            <v>28-07-2017</v>
          </cell>
          <cell r="B889">
            <v>70.919556</v>
          </cell>
        </row>
        <row r="890">
          <cell r="A890" t="str">
            <v>31-07-2017</v>
          </cell>
          <cell r="B890">
            <v>71.079521</v>
          </cell>
        </row>
        <row r="891">
          <cell r="A891">
            <v>42743</v>
          </cell>
          <cell r="B891">
            <v>71.532700000000006</v>
          </cell>
        </row>
        <row r="892">
          <cell r="A892">
            <v>42774</v>
          </cell>
          <cell r="B892">
            <v>71.559364000000002</v>
          </cell>
        </row>
        <row r="893">
          <cell r="A893">
            <v>42802</v>
          </cell>
          <cell r="B893">
            <v>71.861496000000002</v>
          </cell>
        </row>
        <row r="894">
          <cell r="A894">
            <v>42833</v>
          </cell>
          <cell r="B894">
            <v>71.514954000000003</v>
          </cell>
        </row>
        <row r="895">
          <cell r="A895">
            <v>42924</v>
          </cell>
          <cell r="B895">
            <v>72.225807000000003</v>
          </cell>
        </row>
        <row r="896">
          <cell r="A896">
            <v>42955</v>
          </cell>
          <cell r="B896">
            <v>72.501273999999995</v>
          </cell>
        </row>
        <row r="897">
          <cell r="A897">
            <v>42986</v>
          </cell>
          <cell r="B897">
            <v>72.975211999999999</v>
          </cell>
        </row>
        <row r="898">
          <cell r="A898">
            <v>43016</v>
          </cell>
          <cell r="B898">
            <v>72.125702000000004</v>
          </cell>
        </row>
        <row r="899">
          <cell r="A899">
            <v>43047</v>
          </cell>
          <cell r="B899">
            <v>71.893234000000007</v>
          </cell>
        </row>
        <row r="900">
          <cell r="A900" t="str">
            <v>14-08-2017</v>
          </cell>
          <cell r="B900">
            <v>72.161484000000002</v>
          </cell>
        </row>
        <row r="901">
          <cell r="A901" t="str">
            <v>15-08-2017</v>
          </cell>
          <cell r="B901">
            <v>72.224068000000003</v>
          </cell>
        </row>
        <row r="902">
          <cell r="A902" t="str">
            <v>16-08-2017</v>
          </cell>
          <cell r="B902">
            <v>72.411873</v>
          </cell>
        </row>
        <row r="903">
          <cell r="A903" t="str">
            <v>17-08-2017</v>
          </cell>
          <cell r="B903">
            <v>71.267287999999994</v>
          </cell>
        </row>
        <row r="904">
          <cell r="A904" t="str">
            <v>18-08-2017</v>
          </cell>
          <cell r="B904">
            <v>70.918541000000005</v>
          </cell>
        </row>
        <row r="905">
          <cell r="A905" t="str">
            <v>21-08-2017</v>
          </cell>
          <cell r="B905">
            <v>71.276222000000004</v>
          </cell>
        </row>
        <row r="906">
          <cell r="A906" t="str">
            <v>22-08-2017</v>
          </cell>
          <cell r="B906">
            <v>71.553428999999994</v>
          </cell>
        </row>
        <row r="907">
          <cell r="A907" t="str">
            <v>23-08-2017</v>
          </cell>
          <cell r="B907">
            <v>71.499793999999994</v>
          </cell>
        </row>
        <row r="908">
          <cell r="A908" t="str">
            <v>24-08-2017</v>
          </cell>
          <cell r="B908">
            <v>70.051192999999998</v>
          </cell>
        </row>
        <row r="909">
          <cell r="A909" t="str">
            <v>25-08-2017</v>
          </cell>
          <cell r="B909">
            <v>70.310501000000002</v>
          </cell>
        </row>
        <row r="910">
          <cell r="A910" t="str">
            <v>28-08-2017</v>
          </cell>
          <cell r="B910">
            <v>69.773994000000002</v>
          </cell>
        </row>
        <row r="911">
          <cell r="A911" t="str">
            <v>29-08-2017</v>
          </cell>
          <cell r="B911">
            <v>70.435676999999998</v>
          </cell>
        </row>
        <row r="912">
          <cell r="A912" t="str">
            <v>30-08-2017</v>
          </cell>
          <cell r="B912">
            <v>70.230018999999999</v>
          </cell>
        </row>
        <row r="913">
          <cell r="A913" t="str">
            <v>31-08-2017</v>
          </cell>
          <cell r="B913">
            <v>69.809753000000001</v>
          </cell>
        </row>
        <row r="914">
          <cell r="A914">
            <v>42744</v>
          </cell>
          <cell r="B914">
            <v>70.078002999999995</v>
          </cell>
        </row>
        <row r="915">
          <cell r="A915">
            <v>42864</v>
          </cell>
          <cell r="B915">
            <v>71.356682000000006</v>
          </cell>
        </row>
        <row r="916">
          <cell r="A916">
            <v>42895</v>
          </cell>
          <cell r="B916">
            <v>71.607085999999995</v>
          </cell>
        </row>
        <row r="917">
          <cell r="A917">
            <v>42925</v>
          </cell>
          <cell r="B917">
            <v>71.642853000000002</v>
          </cell>
        </row>
        <row r="918">
          <cell r="A918">
            <v>42956</v>
          </cell>
          <cell r="B918">
            <v>70.534049999999993</v>
          </cell>
        </row>
        <row r="919">
          <cell r="A919">
            <v>43048</v>
          </cell>
          <cell r="B919">
            <v>70.712897999999996</v>
          </cell>
        </row>
        <row r="920">
          <cell r="A920">
            <v>43078</v>
          </cell>
          <cell r="B920">
            <v>71.186813000000001</v>
          </cell>
        </row>
        <row r="921">
          <cell r="A921" t="str">
            <v>13-09-2017</v>
          </cell>
          <cell r="B921">
            <v>71.41037</v>
          </cell>
        </row>
        <row r="922">
          <cell r="A922" t="str">
            <v>14-09-2017</v>
          </cell>
          <cell r="B922">
            <v>71.249413000000004</v>
          </cell>
        </row>
        <row r="923">
          <cell r="A923" t="str">
            <v>15-09-2017</v>
          </cell>
          <cell r="B923">
            <v>71.875336000000004</v>
          </cell>
        </row>
        <row r="924">
          <cell r="A924" t="str">
            <v>18-09-2017</v>
          </cell>
          <cell r="B924">
            <v>71.535552999999993</v>
          </cell>
        </row>
        <row r="925">
          <cell r="A925" t="str">
            <v>19-09-2017</v>
          </cell>
          <cell r="B925">
            <v>71.580253999999996</v>
          </cell>
        </row>
        <row r="926">
          <cell r="A926" t="str">
            <v>20-09-2017</v>
          </cell>
          <cell r="B926">
            <v>71.982651000000004</v>
          </cell>
        </row>
        <row r="927">
          <cell r="A927" t="str">
            <v>21-09-2017</v>
          </cell>
          <cell r="B927">
            <v>71.544501999999994</v>
          </cell>
        </row>
        <row r="928">
          <cell r="A928" t="str">
            <v>22-09-2017</v>
          </cell>
          <cell r="B928">
            <v>71.115273000000002</v>
          </cell>
        </row>
        <row r="929">
          <cell r="A929" t="str">
            <v>25-09-2017</v>
          </cell>
          <cell r="B929">
            <v>70.775490000000005</v>
          </cell>
        </row>
        <row r="930">
          <cell r="A930" t="str">
            <v>26-09-2017</v>
          </cell>
          <cell r="B930">
            <v>70.990088999999998</v>
          </cell>
        </row>
        <row r="931">
          <cell r="A931" t="str">
            <v>27-09-2017</v>
          </cell>
          <cell r="B931">
            <v>70.900672999999998</v>
          </cell>
        </row>
        <row r="932">
          <cell r="A932" t="str">
            <v>28-09-2017</v>
          </cell>
          <cell r="B932">
            <v>70.596656999999993</v>
          </cell>
        </row>
        <row r="933">
          <cell r="A933" t="str">
            <v>29-09-2017</v>
          </cell>
          <cell r="B933">
            <v>69.87236</v>
          </cell>
        </row>
        <row r="934">
          <cell r="A934">
            <v>42776</v>
          </cell>
          <cell r="B934">
            <v>70.149551000000002</v>
          </cell>
        </row>
        <row r="935">
          <cell r="A935">
            <v>42804</v>
          </cell>
          <cell r="B935">
            <v>70.838074000000006</v>
          </cell>
        </row>
        <row r="936">
          <cell r="A936">
            <v>42835</v>
          </cell>
          <cell r="B936">
            <v>70.721832000000006</v>
          </cell>
        </row>
        <row r="937">
          <cell r="A937">
            <v>42865</v>
          </cell>
          <cell r="B937">
            <v>71.007987999999997</v>
          </cell>
        </row>
        <row r="938">
          <cell r="A938">
            <v>42896</v>
          </cell>
          <cell r="B938">
            <v>70.641356999999999</v>
          </cell>
        </row>
        <row r="939">
          <cell r="A939">
            <v>42988</v>
          </cell>
          <cell r="B939">
            <v>72.009467999999998</v>
          </cell>
        </row>
        <row r="940">
          <cell r="A940">
            <v>43018</v>
          </cell>
          <cell r="B940">
            <v>75.228577000000001</v>
          </cell>
        </row>
        <row r="941">
          <cell r="A941">
            <v>43049</v>
          </cell>
          <cell r="B941">
            <v>76.659294000000003</v>
          </cell>
        </row>
        <row r="942">
          <cell r="A942">
            <v>43079</v>
          </cell>
          <cell r="B942">
            <v>76.990120000000005</v>
          </cell>
        </row>
        <row r="943">
          <cell r="A943" t="str">
            <v>13-10-2017</v>
          </cell>
          <cell r="B943">
            <v>77.455123999999998</v>
          </cell>
        </row>
        <row r="944">
          <cell r="A944" t="str">
            <v>16-10-2017</v>
          </cell>
          <cell r="B944">
            <v>76.668221000000003</v>
          </cell>
        </row>
        <row r="945">
          <cell r="A945" t="str">
            <v>17-10-2017</v>
          </cell>
          <cell r="B945">
            <v>76.882857999999999</v>
          </cell>
        </row>
        <row r="946">
          <cell r="A946" t="str">
            <v>18-10-2017</v>
          </cell>
          <cell r="B946">
            <v>77.097442999999998</v>
          </cell>
        </row>
        <row r="947">
          <cell r="A947" t="str">
            <v>19-10-2017</v>
          </cell>
          <cell r="B947">
            <v>77.258408000000003</v>
          </cell>
        </row>
        <row r="948">
          <cell r="A948" t="str">
            <v>20-10-2017</v>
          </cell>
          <cell r="B948">
            <v>78.188354000000004</v>
          </cell>
        </row>
        <row r="949">
          <cell r="A949" t="str">
            <v>23-10-2017</v>
          </cell>
          <cell r="B949">
            <v>79.270331999999996</v>
          </cell>
        </row>
        <row r="950">
          <cell r="A950" t="str">
            <v>24-10-2017</v>
          </cell>
          <cell r="B950">
            <v>78.671227000000002</v>
          </cell>
        </row>
        <row r="951">
          <cell r="A951" t="str">
            <v>25-10-2017</v>
          </cell>
          <cell r="B951">
            <v>79.118331999999995</v>
          </cell>
        </row>
        <row r="952">
          <cell r="A952" t="str">
            <v>26-10-2017</v>
          </cell>
          <cell r="B952">
            <v>79.243492000000003</v>
          </cell>
        </row>
        <row r="953">
          <cell r="A953" t="str">
            <v>27-10-2017</v>
          </cell>
          <cell r="B953">
            <v>78.841117999999994</v>
          </cell>
        </row>
        <row r="954">
          <cell r="A954" t="str">
            <v>30-10-2017</v>
          </cell>
          <cell r="B954">
            <v>77.750197999999997</v>
          </cell>
        </row>
        <row r="955">
          <cell r="A955" t="str">
            <v>31-10-2017</v>
          </cell>
          <cell r="B955">
            <v>78.072113000000002</v>
          </cell>
        </row>
        <row r="956">
          <cell r="A956">
            <v>42746</v>
          </cell>
          <cell r="B956">
            <v>78.635445000000004</v>
          </cell>
        </row>
        <row r="957">
          <cell r="A957">
            <v>42777</v>
          </cell>
          <cell r="B957">
            <v>79.404456999999994</v>
          </cell>
        </row>
        <row r="958">
          <cell r="A958">
            <v>42805</v>
          </cell>
          <cell r="B958">
            <v>80.191360000000003</v>
          </cell>
        </row>
        <row r="959">
          <cell r="A959">
            <v>42897</v>
          </cell>
          <cell r="B959">
            <v>79.315033</v>
          </cell>
        </row>
        <row r="960">
          <cell r="A960">
            <v>42927</v>
          </cell>
          <cell r="B960">
            <v>79.538582000000005</v>
          </cell>
        </row>
        <row r="961">
          <cell r="A961">
            <v>42958</v>
          </cell>
          <cell r="B961">
            <v>80.709991000000002</v>
          </cell>
        </row>
        <row r="962">
          <cell r="A962">
            <v>42989</v>
          </cell>
          <cell r="B962">
            <v>80.745750000000001</v>
          </cell>
        </row>
        <row r="963">
          <cell r="A963">
            <v>43019</v>
          </cell>
          <cell r="B963">
            <v>81.300147999999993</v>
          </cell>
        </row>
        <row r="964">
          <cell r="A964" t="str">
            <v>13-11-2017</v>
          </cell>
          <cell r="B964">
            <v>81.362740000000002</v>
          </cell>
        </row>
        <row r="965">
          <cell r="A965" t="str">
            <v>14-11-2017</v>
          </cell>
          <cell r="B965">
            <v>81.452140999999997</v>
          </cell>
        </row>
        <row r="966">
          <cell r="A966" t="str">
            <v>15-11-2017</v>
          </cell>
          <cell r="B966">
            <v>80.325485</v>
          </cell>
        </row>
        <row r="967">
          <cell r="A967" t="str">
            <v>16-11-2017</v>
          </cell>
          <cell r="B967">
            <v>89.079635999999994</v>
          </cell>
        </row>
        <row r="968">
          <cell r="A968" t="str">
            <v>17-11-2017</v>
          </cell>
          <cell r="B968">
            <v>87.157127000000003</v>
          </cell>
        </row>
        <row r="969">
          <cell r="A969" t="str">
            <v>20-11-2017</v>
          </cell>
          <cell r="B969">
            <v>87.1661</v>
          </cell>
        </row>
        <row r="970">
          <cell r="A970" t="str">
            <v>21-11-2017</v>
          </cell>
          <cell r="B970">
            <v>86.307648</v>
          </cell>
        </row>
        <row r="971">
          <cell r="A971" t="str">
            <v>22-11-2017</v>
          </cell>
          <cell r="B971">
            <v>86.209282000000002</v>
          </cell>
        </row>
        <row r="972">
          <cell r="A972" t="str">
            <v>24-11-2017</v>
          </cell>
          <cell r="B972">
            <v>86.397048999999996</v>
          </cell>
        </row>
        <row r="973">
          <cell r="A973" t="str">
            <v>27-11-2017</v>
          </cell>
          <cell r="B973">
            <v>86.397048999999996</v>
          </cell>
        </row>
        <row r="974">
          <cell r="A974" t="str">
            <v>28-11-2017</v>
          </cell>
          <cell r="B974">
            <v>86.531188999999998</v>
          </cell>
        </row>
        <row r="975">
          <cell r="A975" t="str">
            <v>29-11-2017</v>
          </cell>
          <cell r="B975">
            <v>87.237601999999995</v>
          </cell>
        </row>
        <row r="976">
          <cell r="A976" t="str">
            <v>30-11-2017</v>
          </cell>
          <cell r="B976">
            <v>86.942550999999995</v>
          </cell>
        </row>
        <row r="977">
          <cell r="A977">
            <v>42747</v>
          </cell>
          <cell r="B977">
            <v>87.049819999999997</v>
          </cell>
        </row>
        <row r="978">
          <cell r="A978">
            <v>42837</v>
          </cell>
          <cell r="B978">
            <v>86.745811000000003</v>
          </cell>
        </row>
        <row r="979">
          <cell r="A979">
            <v>42867</v>
          </cell>
          <cell r="B979">
            <v>87.479050000000001</v>
          </cell>
        </row>
        <row r="980">
          <cell r="A980">
            <v>42898</v>
          </cell>
          <cell r="B980">
            <v>86.987228000000002</v>
          </cell>
        </row>
        <row r="981">
          <cell r="A981">
            <v>42928</v>
          </cell>
          <cell r="B981">
            <v>86.996223000000001</v>
          </cell>
        </row>
        <row r="982">
          <cell r="A982">
            <v>42959</v>
          </cell>
          <cell r="B982">
            <v>86.789496999999997</v>
          </cell>
        </row>
        <row r="983">
          <cell r="A983">
            <v>43051</v>
          </cell>
          <cell r="B983">
            <v>87.131057999999996</v>
          </cell>
        </row>
        <row r="984">
          <cell r="A984">
            <v>43081</v>
          </cell>
          <cell r="B984">
            <v>86.924301</v>
          </cell>
        </row>
        <row r="985">
          <cell r="A985" t="str">
            <v>13-12-2017</v>
          </cell>
          <cell r="B985">
            <v>87.877159000000006</v>
          </cell>
        </row>
        <row r="986">
          <cell r="A986" t="str">
            <v>14-12-2017</v>
          </cell>
          <cell r="B986">
            <v>87.310828999999998</v>
          </cell>
        </row>
        <row r="987">
          <cell r="A987" t="str">
            <v>15-12-2017</v>
          </cell>
          <cell r="B987">
            <v>87.292854000000005</v>
          </cell>
        </row>
        <row r="988">
          <cell r="A988" t="str">
            <v>18-12-2017</v>
          </cell>
          <cell r="B988">
            <v>88.002998000000005</v>
          </cell>
        </row>
        <row r="989">
          <cell r="A989" t="str">
            <v>19-12-2017</v>
          </cell>
          <cell r="B989">
            <v>88.811988999999997</v>
          </cell>
        </row>
        <row r="990">
          <cell r="A990" t="str">
            <v>20-12-2017</v>
          </cell>
          <cell r="B990">
            <v>88.767066999999997</v>
          </cell>
        </row>
        <row r="991">
          <cell r="A991" t="str">
            <v>21-12-2017</v>
          </cell>
          <cell r="B991">
            <v>88.146820000000005</v>
          </cell>
        </row>
        <row r="992">
          <cell r="A992" t="str">
            <v>22-12-2017</v>
          </cell>
          <cell r="B992">
            <v>88.281677000000002</v>
          </cell>
        </row>
        <row r="993">
          <cell r="A993" t="str">
            <v>26-12-2017</v>
          </cell>
          <cell r="B993">
            <v>89.135620000000003</v>
          </cell>
        </row>
        <row r="994">
          <cell r="A994" t="str">
            <v>27-12-2017</v>
          </cell>
          <cell r="B994">
            <v>89.22551</v>
          </cell>
        </row>
        <row r="995">
          <cell r="A995" t="str">
            <v>28-12-2017</v>
          </cell>
          <cell r="B995">
            <v>89.351356999999993</v>
          </cell>
        </row>
        <row r="996">
          <cell r="A996" t="str">
            <v>29-12-2017</v>
          </cell>
          <cell r="B996">
            <v>88.767066999999997</v>
          </cell>
        </row>
        <row r="997">
          <cell r="A997">
            <v>43132</v>
          </cell>
          <cell r="B997">
            <v>88.623238000000001</v>
          </cell>
        </row>
        <row r="998">
          <cell r="A998">
            <v>43160</v>
          </cell>
          <cell r="B998">
            <v>89.396286000000003</v>
          </cell>
        </row>
        <row r="999">
          <cell r="A999">
            <v>43191</v>
          </cell>
          <cell r="B999">
            <v>89.477196000000006</v>
          </cell>
        </row>
        <row r="1000">
          <cell r="A1000">
            <v>43221</v>
          </cell>
          <cell r="B1000">
            <v>90.007568000000006</v>
          </cell>
        </row>
        <row r="1001">
          <cell r="A1001">
            <v>43313</v>
          </cell>
          <cell r="B1001">
            <v>91.337952000000001</v>
          </cell>
        </row>
        <row r="1002">
          <cell r="A1002">
            <v>43344</v>
          </cell>
          <cell r="B1002">
            <v>90.241257000000004</v>
          </cell>
        </row>
        <row r="1003">
          <cell r="A1003">
            <v>43374</v>
          </cell>
          <cell r="B1003">
            <v>89.594063000000006</v>
          </cell>
        </row>
        <row r="1004">
          <cell r="A1004">
            <v>43405</v>
          </cell>
          <cell r="B1004">
            <v>89.908676</v>
          </cell>
        </row>
        <row r="1005">
          <cell r="A1005">
            <v>43435</v>
          </cell>
          <cell r="B1005">
            <v>90.672736999999998</v>
          </cell>
        </row>
        <row r="1006">
          <cell r="A1006" t="str">
            <v>16-01-2018</v>
          </cell>
          <cell r="B1006">
            <v>90.510941000000003</v>
          </cell>
        </row>
        <row r="1007">
          <cell r="A1007" t="str">
            <v>17-01-2018</v>
          </cell>
          <cell r="B1007">
            <v>92.317734000000002</v>
          </cell>
        </row>
        <row r="1008">
          <cell r="A1008" t="str">
            <v>18-01-2018</v>
          </cell>
          <cell r="B1008">
            <v>93.755996999999994</v>
          </cell>
        </row>
        <row r="1009">
          <cell r="A1009" t="str">
            <v>19-01-2018</v>
          </cell>
          <cell r="B1009">
            <v>94.016677999999999</v>
          </cell>
        </row>
        <row r="1010">
          <cell r="A1010" t="str">
            <v>22-01-2018</v>
          </cell>
          <cell r="B1010">
            <v>94.789726000000002</v>
          </cell>
        </row>
        <row r="1011">
          <cell r="A1011" t="str">
            <v>23-01-2018</v>
          </cell>
          <cell r="B1011">
            <v>95.194243999999998</v>
          </cell>
        </row>
        <row r="1012">
          <cell r="A1012" t="str">
            <v>24-01-2018</v>
          </cell>
          <cell r="B1012">
            <v>95.095389999999995</v>
          </cell>
        </row>
        <row r="1013">
          <cell r="A1013" t="str">
            <v>25-01-2018</v>
          </cell>
          <cell r="B1013">
            <v>95.823493999999997</v>
          </cell>
        </row>
        <row r="1014">
          <cell r="A1014" t="str">
            <v>26-01-2018</v>
          </cell>
          <cell r="B1014">
            <v>97.432509999999994</v>
          </cell>
        </row>
        <row r="1015">
          <cell r="A1015" t="str">
            <v>29-01-2018</v>
          </cell>
          <cell r="B1015">
            <v>98.475280999999995</v>
          </cell>
        </row>
        <row r="1016">
          <cell r="A1016" t="str">
            <v>30-01-2018</v>
          </cell>
          <cell r="B1016">
            <v>96.839248999999995</v>
          </cell>
        </row>
        <row r="1017">
          <cell r="A1017" t="str">
            <v>31-01-2018</v>
          </cell>
          <cell r="B1017">
            <v>95.823493999999997</v>
          </cell>
        </row>
        <row r="1018">
          <cell r="A1018">
            <v>43102</v>
          </cell>
          <cell r="B1018">
            <v>94.852669000000006</v>
          </cell>
        </row>
        <row r="1019">
          <cell r="A1019">
            <v>43133</v>
          </cell>
          <cell r="B1019">
            <v>93.917800999999997</v>
          </cell>
        </row>
        <row r="1020">
          <cell r="A1020">
            <v>43222</v>
          </cell>
          <cell r="B1020">
            <v>89.971610999999996</v>
          </cell>
        </row>
        <row r="1021">
          <cell r="A1021">
            <v>43253</v>
          </cell>
          <cell r="B1021">
            <v>90.699691999999999</v>
          </cell>
        </row>
        <row r="1022">
          <cell r="A1022">
            <v>43283</v>
          </cell>
          <cell r="B1022">
            <v>92.452599000000006</v>
          </cell>
        </row>
        <row r="1023">
          <cell r="A1023">
            <v>43314</v>
          </cell>
          <cell r="B1023">
            <v>89.908676</v>
          </cell>
        </row>
        <row r="1024">
          <cell r="A1024">
            <v>43345</v>
          </cell>
          <cell r="B1024">
            <v>89.324402000000006</v>
          </cell>
        </row>
        <row r="1025">
          <cell r="A1025">
            <v>43436</v>
          </cell>
          <cell r="B1025">
            <v>89.486191000000005</v>
          </cell>
        </row>
        <row r="1026">
          <cell r="A1026" t="str">
            <v>13-02-2018</v>
          </cell>
          <cell r="B1026">
            <v>90.771621999999994</v>
          </cell>
        </row>
        <row r="1027">
          <cell r="A1027" t="str">
            <v>14-02-2018</v>
          </cell>
          <cell r="B1027">
            <v>91.418846000000002</v>
          </cell>
        </row>
        <row r="1028">
          <cell r="A1028" t="str">
            <v>15-02-2018</v>
          </cell>
          <cell r="B1028">
            <v>92.794158999999993</v>
          </cell>
        </row>
        <row r="1029">
          <cell r="A1029" t="str">
            <v>16-02-2018</v>
          </cell>
          <cell r="B1029">
            <v>94.187461999999996</v>
          </cell>
        </row>
        <row r="1030">
          <cell r="A1030" t="str">
            <v>20-02-2018</v>
          </cell>
          <cell r="B1030">
            <v>84.596123000000006</v>
          </cell>
        </row>
        <row r="1031">
          <cell r="A1031" t="str">
            <v>21-02-2018</v>
          </cell>
          <cell r="B1031">
            <v>82.267966999999999</v>
          </cell>
        </row>
        <row r="1032">
          <cell r="A1032" t="str">
            <v>22-02-2018</v>
          </cell>
          <cell r="B1032">
            <v>83.391586000000004</v>
          </cell>
        </row>
        <row r="1033">
          <cell r="A1033" t="str">
            <v>23-02-2018</v>
          </cell>
          <cell r="B1033">
            <v>83.499465999999998</v>
          </cell>
        </row>
        <row r="1034">
          <cell r="A1034" t="str">
            <v>26-02-2018</v>
          </cell>
          <cell r="B1034">
            <v>83.706222999999994</v>
          </cell>
        </row>
        <row r="1035">
          <cell r="A1035" t="str">
            <v>27-02-2018</v>
          </cell>
          <cell r="B1035">
            <v>82.267966999999999</v>
          </cell>
        </row>
        <row r="1036">
          <cell r="A1036" t="str">
            <v>28-02-2018</v>
          </cell>
          <cell r="B1036">
            <v>80.910636999999994</v>
          </cell>
        </row>
        <row r="1037">
          <cell r="A1037">
            <v>43103</v>
          </cell>
          <cell r="B1037">
            <v>80.074637999999993</v>
          </cell>
        </row>
        <row r="1038">
          <cell r="A1038">
            <v>43134</v>
          </cell>
          <cell r="B1038">
            <v>79.795967000000005</v>
          </cell>
        </row>
        <row r="1039">
          <cell r="A1039">
            <v>43223</v>
          </cell>
          <cell r="B1039">
            <v>80.883644000000004</v>
          </cell>
        </row>
        <row r="1040">
          <cell r="A1040">
            <v>43254</v>
          </cell>
          <cell r="B1040">
            <v>80.056647999999996</v>
          </cell>
        </row>
        <row r="1041">
          <cell r="A1041">
            <v>43284</v>
          </cell>
          <cell r="B1041">
            <v>78.870086999999998</v>
          </cell>
        </row>
        <row r="1042">
          <cell r="A1042">
            <v>43315</v>
          </cell>
          <cell r="B1042">
            <v>79.503082000000006</v>
          </cell>
        </row>
        <row r="1043">
          <cell r="A1043">
            <v>43346</v>
          </cell>
          <cell r="B1043">
            <v>80.226500999999999</v>
          </cell>
        </row>
        <row r="1044">
          <cell r="A1044">
            <v>43437</v>
          </cell>
          <cell r="B1044">
            <v>79.638748000000007</v>
          </cell>
        </row>
        <row r="1045">
          <cell r="A1045" t="str">
            <v>13-03-2018</v>
          </cell>
          <cell r="B1045">
            <v>79.846725000000006</v>
          </cell>
        </row>
        <row r="1046">
          <cell r="A1046" t="str">
            <v>14-03-2018</v>
          </cell>
          <cell r="B1046">
            <v>79.277023</v>
          </cell>
        </row>
        <row r="1047">
          <cell r="A1047" t="str">
            <v>15-03-2018</v>
          </cell>
          <cell r="B1047">
            <v>79.132323999999997</v>
          </cell>
        </row>
        <row r="1048">
          <cell r="A1048" t="str">
            <v>16-03-2018</v>
          </cell>
          <cell r="B1048">
            <v>80.633408000000003</v>
          </cell>
        </row>
        <row r="1049">
          <cell r="A1049" t="str">
            <v>19-03-2018</v>
          </cell>
          <cell r="B1049">
            <v>79.078086999999996</v>
          </cell>
        </row>
        <row r="1050">
          <cell r="A1050" t="str">
            <v>20-03-2018</v>
          </cell>
          <cell r="B1050">
            <v>79.530227999999994</v>
          </cell>
        </row>
        <row r="1051">
          <cell r="A1051" t="str">
            <v>21-03-2018</v>
          </cell>
          <cell r="B1051">
            <v>79.738204999999994</v>
          </cell>
        </row>
        <row r="1052">
          <cell r="A1052" t="str">
            <v>22-03-2018</v>
          </cell>
          <cell r="B1052">
            <v>78.797759999999997</v>
          </cell>
        </row>
        <row r="1053">
          <cell r="A1053" t="str">
            <v>23-03-2018</v>
          </cell>
          <cell r="B1053">
            <v>77.242408999999995</v>
          </cell>
        </row>
        <row r="1054">
          <cell r="A1054" t="str">
            <v>26-03-2018</v>
          </cell>
          <cell r="B1054">
            <v>79.123305999999999</v>
          </cell>
        </row>
        <row r="1055">
          <cell r="A1055" t="str">
            <v>27-03-2018</v>
          </cell>
          <cell r="B1055">
            <v>77.812118999999996</v>
          </cell>
        </row>
        <row r="1056">
          <cell r="A1056" t="str">
            <v>28-03-2018</v>
          </cell>
          <cell r="B1056">
            <v>79.367446999999999</v>
          </cell>
        </row>
        <row r="1057">
          <cell r="A1057" t="str">
            <v>29-03-2018</v>
          </cell>
          <cell r="B1057">
            <v>80.452560000000005</v>
          </cell>
        </row>
        <row r="1058">
          <cell r="A1058">
            <v>43135</v>
          </cell>
          <cell r="B1058">
            <v>77.359970000000004</v>
          </cell>
        </row>
        <row r="1059">
          <cell r="A1059">
            <v>43163</v>
          </cell>
          <cell r="B1059">
            <v>78.490311000000005</v>
          </cell>
        </row>
        <row r="1060">
          <cell r="A1060">
            <v>43194</v>
          </cell>
          <cell r="B1060">
            <v>78.870093999999995</v>
          </cell>
        </row>
        <row r="1061">
          <cell r="A1061">
            <v>43224</v>
          </cell>
          <cell r="B1061">
            <v>79.40361</v>
          </cell>
        </row>
        <row r="1062">
          <cell r="A1062">
            <v>43255</v>
          </cell>
          <cell r="B1062">
            <v>78.390831000000006</v>
          </cell>
        </row>
        <row r="1063">
          <cell r="A1063">
            <v>43347</v>
          </cell>
          <cell r="B1063">
            <v>78.020095999999995</v>
          </cell>
        </row>
        <row r="1064">
          <cell r="A1064">
            <v>43377</v>
          </cell>
          <cell r="B1064">
            <v>78.173820000000006</v>
          </cell>
        </row>
        <row r="1065">
          <cell r="A1065">
            <v>43408</v>
          </cell>
          <cell r="B1065">
            <v>77.685508999999996</v>
          </cell>
        </row>
        <row r="1066">
          <cell r="A1066">
            <v>43438</v>
          </cell>
          <cell r="B1066">
            <v>77.251480000000001</v>
          </cell>
        </row>
        <row r="1067">
          <cell r="A1067" t="str">
            <v>13-04-2018</v>
          </cell>
          <cell r="B1067">
            <v>77.784958000000003</v>
          </cell>
        </row>
        <row r="1068">
          <cell r="A1068" t="str">
            <v>16-04-2018</v>
          </cell>
          <cell r="B1068">
            <v>78.526482000000001</v>
          </cell>
        </row>
        <row r="1069">
          <cell r="A1069" t="str">
            <v>17-04-2018</v>
          </cell>
          <cell r="B1069">
            <v>79.484984999999995</v>
          </cell>
        </row>
        <row r="1070">
          <cell r="A1070" t="str">
            <v>18-04-2018</v>
          </cell>
          <cell r="B1070">
            <v>79.186583999999996</v>
          </cell>
        </row>
        <row r="1071">
          <cell r="A1071" t="str">
            <v>19-04-2018</v>
          </cell>
          <cell r="B1071">
            <v>79.475966999999997</v>
          </cell>
        </row>
        <row r="1072">
          <cell r="A1072" t="str">
            <v>20-04-2018</v>
          </cell>
          <cell r="B1072">
            <v>78.653069000000002</v>
          </cell>
        </row>
        <row r="1073">
          <cell r="A1073" t="str">
            <v>23-04-2018</v>
          </cell>
          <cell r="B1073">
            <v>77.857322999999994</v>
          </cell>
        </row>
        <row r="1074">
          <cell r="A1074" t="str">
            <v>24-04-2018</v>
          </cell>
          <cell r="B1074">
            <v>78.246132000000003</v>
          </cell>
        </row>
        <row r="1075">
          <cell r="A1075" t="str">
            <v>25-04-2018</v>
          </cell>
          <cell r="B1075">
            <v>78.824889999999996</v>
          </cell>
        </row>
        <row r="1076">
          <cell r="A1076" t="str">
            <v>26-04-2018</v>
          </cell>
          <cell r="B1076">
            <v>79.521193999999994</v>
          </cell>
        </row>
        <row r="1077">
          <cell r="A1077" t="str">
            <v>27-04-2018</v>
          </cell>
          <cell r="B1077">
            <v>78.933402999999998</v>
          </cell>
        </row>
        <row r="1078">
          <cell r="A1078" t="str">
            <v>30-04-2018</v>
          </cell>
          <cell r="B1078">
            <v>79.991386000000006</v>
          </cell>
        </row>
        <row r="1079">
          <cell r="A1079">
            <v>43105</v>
          </cell>
          <cell r="B1079">
            <v>79.041893000000002</v>
          </cell>
        </row>
        <row r="1080">
          <cell r="A1080">
            <v>43136</v>
          </cell>
          <cell r="B1080">
            <v>78.074332999999996</v>
          </cell>
        </row>
        <row r="1081">
          <cell r="A1081">
            <v>43164</v>
          </cell>
          <cell r="B1081">
            <v>77.974884000000003</v>
          </cell>
        </row>
        <row r="1082">
          <cell r="A1082">
            <v>43195</v>
          </cell>
          <cell r="B1082">
            <v>79.150429000000003</v>
          </cell>
        </row>
        <row r="1083">
          <cell r="A1083">
            <v>43286</v>
          </cell>
          <cell r="B1083">
            <v>77.287627999999998</v>
          </cell>
        </row>
        <row r="1084">
          <cell r="A1084">
            <v>43317</v>
          </cell>
          <cell r="B1084">
            <v>77.531784000000002</v>
          </cell>
        </row>
        <row r="1085">
          <cell r="A1085">
            <v>43348</v>
          </cell>
          <cell r="B1085">
            <v>75.108352999999994</v>
          </cell>
        </row>
        <row r="1086">
          <cell r="A1086">
            <v>43378</v>
          </cell>
          <cell r="B1086">
            <v>75.244857999999994</v>
          </cell>
        </row>
        <row r="1087">
          <cell r="A1087">
            <v>43409</v>
          </cell>
          <cell r="B1087">
            <v>75.872719000000004</v>
          </cell>
        </row>
        <row r="1088">
          <cell r="A1088" t="str">
            <v>14-05-2018</v>
          </cell>
          <cell r="B1088">
            <v>76.791779000000005</v>
          </cell>
        </row>
        <row r="1089">
          <cell r="A1089" t="str">
            <v>15-05-2018</v>
          </cell>
          <cell r="B1089">
            <v>76.910079999999994</v>
          </cell>
        </row>
        <row r="1090">
          <cell r="A1090" t="str">
            <v>16-05-2018</v>
          </cell>
          <cell r="B1090">
            <v>78.375113999999996</v>
          </cell>
        </row>
        <row r="1091">
          <cell r="A1091" t="str">
            <v>17-05-2018</v>
          </cell>
          <cell r="B1091">
            <v>76.882782000000006</v>
          </cell>
        </row>
        <row r="1092">
          <cell r="A1092" t="str">
            <v>18-05-2018</v>
          </cell>
          <cell r="B1092">
            <v>76.109298999999993</v>
          </cell>
        </row>
        <row r="1093">
          <cell r="A1093" t="str">
            <v>21-05-2018</v>
          </cell>
          <cell r="B1093">
            <v>76.900977999999995</v>
          </cell>
        </row>
        <row r="1094">
          <cell r="A1094" t="str">
            <v>22-05-2018</v>
          </cell>
          <cell r="B1094">
            <v>75.863617000000005</v>
          </cell>
        </row>
        <row r="1095">
          <cell r="A1095" t="str">
            <v>23-05-2018</v>
          </cell>
          <cell r="B1095">
            <v>75.536026000000007</v>
          </cell>
        </row>
        <row r="1096">
          <cell r="A1096" t="str">
            <v>24-05-2018</v>
          </cell>
          <cell r="B1096">
            <v>75.390450000000001</v>
          </cell>
        </row>
        <row r="1097">
          <cell r="A1097" t="str">
            <v>25-05-2018</v>
          </cell>
          <cell r="B1097">
            <v>75.035552999999993</v>
          </cell>
        </row>
        <row r="1098">
          <cell r="A1098" t="str">
            <v>29-05-2018</v>
          </cell>
          <cell r="B1098">
            <v>74.980964999999998</v>
          </cell>
        </row>
        <row r="1099">
          <cell r="A1099" t="str">
            <v>30-05-2018</v>
          </cell>
          <cell r="B1099">
            <v>76.546097000000003</v>
          </cell>
        </row>
        <row r="1100">
          <cell r="A1100" t="str">
            <v>31-05-2018</v>
          </cell>
          <cell r="B1100">
            <v>75.108352999999994</v>
          </cell>
        </row>
        <row r="1101">
          <cell r="A1101">
            <v>43106</v>
          </cell>
          <cell r="B1101">
            <v>75.517837999999998</v>
          </cell>
        </row>
        <row r="1102">
          <cell r="A1102">
            <v>43196</v>
          </cell>
          <cell r="B1102">
            <v>77.729056999999997</v>
          </cell>
        </row>
        <row r="1103">
          <cell r="A1103">
            <v>43226</v>
          </cell>
          <cell r="B1103">
            <v>77.001075999999998</v>
          </cell>
        </row>
        <row r="1104">
          <cell r="A1104">
            <v>43257</v>
          </cell>
          <cell r="B1104">
            <v>76.946465000000003</v>
          </cell>
        </row>
        <row r="1105">
          <cell r="A1105">
            <v>43287</v>
          </cell>
          <cell r="B1105">
            <v>77.301353000000006</v>
          </cell>
        </row>
        <row r="1106">
          <cell r="A1106">
            <v>43318</v>
          </cell>
          <cell r="B1106">
            <v>76.764481000000004</v>
          </cell>
        </row>
        <row r="1107">
          <cell r="A1107">
            <v>43410</v>
          </cell>
          <cell r="B1107">
            <v>76.709900000000005</v>
          </cell>
        </row>
        <row r="1108">
          <cell r="A1108">
            <v>43440</v>
          </cell>
          <cell r="B1108">
            <v>76.527893000000006</v>
          </cell>
        </row>
        <row r="1109">
          <cell r="A1109" t="str">
            <v>13-06-2018</v>
          </cell>
          <cell r="B1109">
            <v>76.518790999999993</v>
          </cell>
        </row>
        <row r="1110">
          <cell r="A1110" t="str">
            <v>14-06-2018</v>
          </cell>
          <cell r="B1110">
            <v>76.245811000000003</v>
          </cell>
        </row>
        <row r="1111">
          <cell r="A1111" t="str">
            <v>15-06-2018</v>
          </cell>
          <cell r="B1111">
            <v>76.163917999999995</v>
          </cell>
        </row>
        <row r="1112">
          <cell r="A1112" t="str">
            <v>18-06-2018</v>
          </cell>
          <cell r="B1112">
            <v>75.526932000000002</v>
          </cell>
        </row>
        <row r="1113">
          <cell r="A1113" t="str">
            <v>19-06-2018</v>
          </cell>
          <cell r="B1113">
            <v>76.082008000000002</v>
          </cell>
        </row>
        <row r="1114">
          <cell r="A1114" t="str">
            <v>20-06-2018</v>
          </cell>
          <cell r="B1114">
            <v>76.082008000000002</v>
          </cell>
        </row>
        <row r="1115">
          <cell r="A1115" t="str">
            <v>21-06-2018</v>
          </cell>
          <cell r="B1115">
            <v>76.627983</v>
          </cell>
        </row>
        <row r="1116">
          <cell r="A1116" t="str">
            <v>22-06-2018</v>
          </cell>
          <cell r="B1116">
            <v>77.183052000000004</v>
          </cell>
        </row>
        <row r="1117">
          <cell r="A1117" t="str">
            <v>25-06-2018</v>
          </cell>
          <cell r="B1117">
            <v>78.684517</v>
          </cell>
        </row>
        <row r="1118">
          <cell r="A1118" t="str">
            <v>26-06-2018</v>
          </cell>
          <cell r="B1118">
            <v>78.238624999999999</v>
          </cell>
        </row>
        <row r="1119">
          <cell r="A1119" t="str">
            <v>27-06-2018</v>
          </cell>
          <cell r="B1119">
            <v>79.066710999999998</v>
          </cell>
        </row>
        <row r="1120">
          <cell r="A1120" t="str">
            <v>28-06-2018</v>
          </cell>
          <cell r="B1120">
            <v>78.129424999999998</v>
          </cell>
        </row>
        <row r="1121">
          <cell r="A1121" t="str">
            <v>29-06-2018</v>
          </cell>
          <cell r="B1121">
            <v>77.938346999999993</v>
          </cell>
        </row>
        <row r="1122">
          <cell r="A1122">
            <v>43138</v>
          </cell>
          <cell r="B1122">
            <v>76.436904999999996</v>
          </cell>
        </row>
        <row r="1123">
          <cell r="A1123">
            <v>43166</v>
          </cell>
          <cell r="B1123">
            <v>76.837288000000001</v>
          </cell>
        </row>
        <row r="1124">
          <cell r="A1124">
            <v>43227</v>
          </cell>
          <cell r="B1124">
            <v>76.955566000000005</v>
          </cell>
        </row>
        <row r="1125">
          <cell r="A1125">
            <v>43258</v>
          </cell>
          <cell r="B1125">
            <v>76.900977999999995</v>
          </cell>
        </row>
        <row r="1126">
          <cell r="A1126">
            <v>43350</v>
          </cell>
          <cell r="B1126">
            <v>78.193129999999996</v>
          </cell>
        </row>
        <row r="1127">
          <cell r="A1127">
            <v>43380</v>
          </cell>
          <cell r="B1127">
            <v>79.357872</v>
          </cell>
        </row>
        <row r="1128">
          <cell r="A1128">
            <v>43411</v>
          </cell>
          <cell r="B1128">
            <v>78.739104999999995</v>
          </cell>
        </row>
        <row r="1129">
          <cell r="A1129">
            <v>43441</v>
          </cell>
          <cell r="B1129">
            <v>78.730002999999996</v>
          </cell>
        </row>
        <row r="1130">
          <cell r="A1130" t="str">
            <v>13-07-2018</v>
          </cell>
          <cell r="B1130">
            <v>79.803771999999995</v>
          </cell>
        </row>
        <row r="1131">
          <cell r="A1131" t="str">
            <v>16-07-2018</v>
          </cell>
          <cell r="B1131">
            <v>79.749161000000001</v>
          </cell>
        </row>
        <row r="1132">
          <cell r="A1132" t="str">
            <v>17-07-2018</v>
          </cell>
          <cell r="B1132">
            <v>80.249656999999999</v>
          </cell>
        </row>
        <row r="1133">
          <cell r="A1133" t="str">
            <v>18-07-2018</v>
          </cell>
          <cell r="B1133">
            <v>80.140441999999993</v>
          </cell>
        </row>
        <row r="1134">
          <cell r="A1134" t="str">
            <v>19-07-2018</v>
          </cell>
          <cell r="B1134">
            <v>79.821976000000006</v>
          </cell>
        </row>
        <row r="1135">
          <cell r="A1135" t="str">
            <v>20-07-2018</v>
          </cell>
          <cell r="B1135">
            <v>80.131332</v>
          </cell>
        </row>
        <row r="1136">
          <cell r="A1136" t="str">
            <v>23-07-2018</v>
          </cell>
          <cell r="B1136">
            <v>79.740059000000002</v>
          </cell>
        </row>
        <row r="1137">
          <cell r="A1137" t="str">
            <v>24-07-2018</v>
          </cell>
          <cell r="B1137">
            <v>80.040336999999994</v>
          </cell>
        </row>
        <row r="1138">
          <cell r="A1138" t="str">
            <v>25-07-2018</v>
          </cell>
          <cell r="B1138">
            <v>79.985748000000001</v>
          </cell>
        </row>
        <row r="1139">
          <cell r="A1139" t="str">
            <v>26-07-2018</v>
          </cell>
          <cell r="B1139">
            <v>80.286040999999997</v>
          </cell>
        </row>
        <row r="1140">
          <cell r="A1140" t="str">
            <v>27-07-2018</v>
          </cell>
          <cell r="B1140">
            <v>80.195037999999997</v>
          </cell>
        </row>
        <row r="1141">
          <cell r="A1141" t="str">
            <v>30-07-2018</v>
          </cell>
          <cell r="B1141">
            <v>80.877517999999995</v>
          </cell>
        </row>
        <row r="1142">
          <cell r="A1142" t="str">
            <v>31-07-2018</v>
          </cell>
          <cell r="B1142">
            <v>81.196006999999994</v>
          </cell>
        </row>
        <row r="1143">
          <cell r="A1143">
            <v>43108</v>
          </cell>
          <cell r="B1143">
            <v>80.295158000000001</v>
          </cell>
        </row>
        <row r="1144">
          <cell r="A1144">
            <v>43139</v>
          </cell>
          <cell r="B1144">
            <v>80.768332999999998</v>
          </cell>
        </row>
        <row r="1145">
          <cell r="A1145">
            <v>43167</v>
          </cell>
          <cell r="B1145">
            <v>81.532677000000007</v>
          </cell>
        </row>
        <row r="1146">
          <cell r="A1146">
            <v>43259</v>
          </cell>
          <cell r="B1146">
            <v>81.596382000000006</v>
          </cell>
        </row>
        <row r="1147">
          <cell r="A1147">
            <v>43289</v>
          </cell>
          <cell r="B1147">
            <v>81.687370000000001</v>
          </cell>
        </row>
        <row r="1148">
          <cell r="A1148">
            <v>43320</v>
          </cell>
          <cell r="B1148">
            <v>81.942161999999996</v>
          </cell>
        </row>
        <row r="1149">
          <cell r="A1149">
            <v>43351</v>
          </cell>
          <cell r="B1149">
            <v>81.466262999999998</v>
          </cell>
        </row>
        <row r="1150">
          <cell r="A1150">
            <v>43381</v>
          </cell>
          <cell r="B1150">
            <v>82.537070999999997</v>
          </cell>
        </row>
        <row r="1151">
          <cell r="A1151" t="str">
            <v>13-08-2018</v>
          </cell>
          <cell r="B1151">
            <v>82.042854000000005</v>
          </cell>
        </row>
        <row r="1152">
          <cell r="A1152" t="str">
            <v>14-08-2018</v>
          </cell>
          <cell r="B1152">
            <v>83.150299000000004</v>
          </cell>
        </row>
        <row r="1153">
          <cell r="A1153" t="str">
            <v>15-08-2018</v>
          </cell>
          <cell r="B1153">
            <v>82.573700000000002</v>
          </cell>
        </row>
        <row r="1154">
          <cell r="A1154" t="str">
            <v>16-08-2018</v>
          </cell>
          <cell r="B1154">
            <v>90.280083000000005</v>
          </cell>
        </row>
        <row r="1155">
          <cell r="A1155" t="str">
            <v>17-08-2018</v>
          </cell>
          <cell r="B1155">
            <v>89.557029999999997</v>
          </cell>
        </row>
        <row r="1156">
          <cell r="A1156" t="str">
            <v>20-08-2018</v>
          </cell>
          <cell r="B1156">
            <v>87.863845999999995</v>
          </cell>
        </row>
        <row r="1157">
          <cell r="A1157" t="str">
            <v>21-08-2018</v>
          </cell>
          <cell r="B1157">
            <v>87.937049999999999</v>
          </cell>
        </row>
        <row r="1158">
          <cell r="A1158" t="str">
            <v>22-08-2018</v>
          </cell>
          <cell r="B1158">
            <v>87.561783000000005</v>
          </cell>
        </row>
        <row r="1159">
          <cell r="A1159" t="str">
            <v>23-08-2018</v>
          </cell>
          <cell r="B1159">
            <v>87.113326999999998</v>
          </cell>
        </row>
        <row r="1160">
          <cell r="A1160" t="str">
            <v>24-08-2018</v>
          </cell>
          <cell r="B1160">
            <v>86.902809000000005</v>
          </cell>
        </row>
        <row r="1161">
          <cell r="A1161" t="str">
            <v>27-08-2018</v>
          </cell>
          <cell r="B1161">
            <v>86.527564999999996</v>
          </cell>
        </row>
        <row r="1162">
          <cell r="A1162" t="str">
            <v>28-08-2018</v>
          </cell>
          <cell r="B1162">
            <v>87.927902000000003</v>
          </cell>
        </row>
        <row r="1163">
          <cell r="A1163" t="str">
            <v>29-08-2018</v>
          </cell>
          <cell r="B1163">
            <v>87.53434</v>
          </cell>
        </row>
        <row r="1164">
          <cell r="A1164" t="str">
            <v>30-08-2018</v>
          </cell>
          <cell r="B1164">
            <v>87.955353000000002</v>
          </cell>
        </row>
        <row r="1165">
          <cell r="A1165" t="str">
            <v>31-08-2018</v>
          </cell>
          <cell r="B1165">
            <v>87.735703000000001</v>
          </cell>
        </row>
        <row r="1166">
          <cell r="A1166">
            <v>43199</v>
          </cell>
          <cell r="B1166">
            <v>87.278060999999994</v>
          </cell>
        </row>
        <row r="1167">
          <cell r="A1167">
            <v>43229</v>
          </cell>
          <cell r="B1167">
            <v>88.431281999999996</v>
          </cell>
        </row>
        <row r="1168">
          <cell r="A1168">
            <v>43260</v>
          </cell>
          <cell r="B1168">
            <v>88.275695999999996</v>
          </cell>
        </row>
        <row r="1169">
          <cell r="A1169">
            <v>43290</v>
          </cell>
          <cell r="B1169">
            <v>87.708243999999993</v>
          </cell>
        </row>
        <row r="1170">
          <cell r="A1170">
            <v>43382</v>
          </cell>
          <cell r="B1170">
            <v>88.687545999999998</v>
          </cell>
        </row>
        <row r="1171">
          <cell r="A1171">
            <v>43413</v>
          </cell>
          <cell r="B1171">
            <v>88.449584999999999</v>
          </cell>
        </row>
        <row r="1172">
          <cell r="A1172">
            <v>43443</v>
          </cell>
          <cell r="B1172">
            <v>87.836365000000001</v>
          </cell>
        </row>
        <row r="1173">
          <cell r="A1173" t="str">
            <v>13-09-2018</v>
          </cell>
          <cell r="B1173">
            <v>87.058395000000004</v>
          </cell>
        </row>
        <row r="1174">
          <cell r="A1174" t="str">
            <v>14-09-2018</v>
          </cell>
          <cell r="B1174">
            <v>86.573311000000004</v>
          </cell>
        </row>
        <row r="1175">
          <cell r="A1175" t="str">
            <v>17-09-2018</v>
          </cell>
          <cell r="B1175">
            <v>86.783828999999997</v>
          </cell>
        </row>
        <row r="1176">
          <cell r="A1176" t="str">
            <v>18-09-2018</v>
          </cell>
          <cell r="B1176">
            <v>87.342147999999995</v>
          </cell>
        </row>
        <row r="1177">
          <cell r="A1177" t="str">
            <v>19-09-2018</v>
          </cell>
          <cell r="B1177">
            <v>87.168243000000004</v>
          </cell>
        </row>
        <row r="1178">
          <cell r="A1178" t="str">
            <v>20-09-2018</v>
          </cell>
          <cell r="B1178">
            <v>87.635024999999999</v>
          </cell>
        </row>
        <row r="1179">
          <cell r="A1179" t="str">
            <v>21-09-2018</v>
          </cell>
          <cell r="B1179">
            <v>87.772307999999995</v>
          </cell>
        </row>
        <row r="1180">
          <cell r="A1180" t="str">
            <v>24-09-2018</v>
          </cell>
          <cell r="B1180">
            <v>86.875343000000001</v>
          </cell>
        </row>
        <row r="1181">
          <cell r="A1181" t="str">
            <v>25-09-2018</v>
          </cell>
          <cell r="B1181">
            <v>87.040099999999995</v>
          </cell>
        </row>
        <row r="1182">
          <cell r="A1182" t="str">
            <v>26-09-2018</v>
          </cell>
          <cell r="B1182">
            <v>86.573311000000004</v>
          </cell>
        </row>
        <row r="1183">
          <cell r="A1183" t="str">
            <v>27-09-2018</v>
          </cell>
          <cell r="B1183">
            <v>86.152313000000007</v>
          </cell>
        </row>
        <row r="1184">
          <cell r="A1184" t="str">
            <v>28-09-2018</v>
          </cell>
          <cell r="B1184">
            <v>85.950965999999994</v>
          </cell>
        </row>
        <row r="1185">
          <cell r="A1185">
            <v>43110</v>
          </cell>
          <cell r="B1185">
            <v>86.399422000000001</v>
          </cell>
        </row>
        <row r="1186">
          <cell r="A1186">
            <v>43141</v>
          </cell>
          <cell r="B1186">
            <v>87.085869000000002</v>
          </cell>
        </row>
        <row r="1187">
          <cell r="A1187">
            <v>43169</v>
          </cell>
          <cell r="B1187">
            <v>86.097389000000007</v>
          </cell>
        </row>
        <row r="1188">
          <cell r="A1188">
            <v>43200</v>
          </cell>
          <cell r="B1188">
            <v>86.225555</v>
          </cell>
        </row>
        <row r="1189">
          <cell r="A1189">
            <v>43230</v>
          </cell>
          <cell r="B1189">
            <v>85.401809999999998</v>
          </cell>
        </row>
        <row r="1190">
          <cell r="A1190">
            <v>43322</v>
          </cell>
          <cell r="B1190">
            <v>86.664856</v>
          </cell>
        </row>
        <row r="1191">
          <cell r="A1191">
            <v>43353</v>
          </cell>
          <cell r="B1191">
            <v>88.852287000000004</v>
          </cell>
        </row>
        <row r="1192">
          <cell r="A1192">
            <v>43383</v>
          </cell>
          <cell r="B1192">
            <v>87.644165000000001</v>
          </cell>
        </row>
        <row r="1193">
          <cell r="A1193">
            <v>43414</v>
          </cell>
          <cell r="B1193">
            <v>85.960114000000004</v>
          </cell>
        </row>
        <row r="1194">
          <cell r="A1194">
            <v>43444</v>
          </cell>
          <cell r="B1194">
            <v>86.774688999999995</v>
          </cell>
        </row>
        <row r="1195">
          <cell r="A1195" t="str">
            <v>15-10-2018</v>
          </cell>
          <cell r="B1195">
            <v>85.868576000000004</v>
          </cell>
        </row>
        <row r="1196">
          <cell r="A1196" t="str">
            <v>16-10-2018</v>
          </cell>
          <cell r="B1196">
            <v>87.689926</v>
          </cell>
        </row>
        <row r="1197">
          <cell r="A1197" t="str">
            <v>17-10-2018</v>
          </cell>
          <cell r="B1197">
            <v>88.376373000000001</v>
          </cell>
        </row>
        <row r="1198">
          <cell r="A1198" t="str">
            <v>18-10-2018</v>
          </cell>
          <cell r="B1198">
            <v>88.019417000000004</v>
          </cell>
        </row>
        <row r="1199">
          <cell r="A1199" t="str">
            <v>19-10-2018</v>
          </cell>
          <cell r="B1199">
            <v>88.916359</v>
          </cell>
        </row>
        <row r="1200">
          <cell r="A1200" t="str">
            <v>22-10-2018</v>
          </cell>
          <cell r="B1200">
            <v>88.907218999999998</v>
          </cell>
        </row>
        <row r="1201">
          <cell r="A1201" t="str">
            <v>23-10-2018</v>
          </cell>
          <cell r="B1201">
            <v>89.511284000000003</v>
          </cell>
        </row>
        <row r="1202">
          <cell r="A1202" t="str">
            <v>24-10-2018</v>
          </cell>
          <cell r="B1202">
            <v>89.291611000000003</v>
          </cell>
        </row>
        <row r="1203">
          <cell r="A1203" t="str">
            <v>25-10-2018</v>
          </cell>
          <cell r="B1203">
            <v>90.774315000000001</v>
          </cell>
        </row>
        <row r="1204">
          <cell r="A1204" t="str">
            <v>26-10-2018</v>
          </cell>
          <cell r="B1204">
            <v>90.554657000000006</v>
          </cell>
        </row>
        <row r="1205">
          <cell r="A1205" t="str">
            <v>29-10-2018</v>
          </cell>
          <cell r="B1205">
            <v>91.341781999999995</v>
          </cell>
        </row>
        <row r="1206">
          <cell r="A1206" t="str">
            <v>30-10-2018</v>
          </cell>
          <cell r="B1206">
            <v>93.739738000000003</v>
          </cell>
        </row>
        <row r="1207">
          <cell r="A1207" t="str">
            <v>31-10-2018</v>
          </cell>
          <cell r="B1207">
            <v>91.781104999999997</v>
          </cell>
        </row>
        <row r="1208">
          <cell r="A1208">
            <v>43111</v>
          </cell>
          <cell r="B1208">
            <v>92.055663999999993</v>
          </cell>
        </row>
        <row r="1209">
          <cell r="A1209">
            <v>43142</v>
          </cell>
          <cell r="B1209">
            <v>92.751250999999996</v>
          </cell>
        </row>
        <row r="1210">
          <cell r="A1210">
            <v>43231</v>
          </cell>
          <cell r="B1210">
            <v>94.188202000000004</v>
          </cell>
        </row>
        <row r="1211">
          <cell r="A1211">
            <v>43262</v>
          </cell>
          <cell r="B1211">
            <v>94.572577999999993</v>
          </cell>
        </row>
        <row r="1212">
          <cell r="A1212">
            <v>43292</v>
          </cell>
          <cell r="B1212">
            <v>95.478706000000003</v>
          </cell>
        </row>
        <row r="1213">
          <cell r="A1213">
            <v>43323</v>
          </cell>
          <cell r="B1213">
            <v>95.991241000000002</v>
          </cell>
        </row>
        <row r="1214">
          <cell r="A1214">
            <v>43354</v>
          </cell>
          <cell r="B1214">
            <v>96.613608999999997</v>
          </cell>
        </row>
        <row r="1215">
          <cell r="A1215">
            <v>43445</v>
          </cell>
          <cell r="B1215">
            <v>95.066849000000005</v>
          </cell>
        </row>
        <row r="1216">
          <cell r="A1216" t="str">
            <v>13-11-2018</v>
          </cell>
          <cell r="B1216">
            <v>94.215652000000006</v>
          </cell>
        </row>
        <row r="1217">
          <cell r="A1217" t="str">
            <v>14-11-2018</v>
          </cell>
          <cell r="B1217">
            <v>92.925171000000006</v>
          </cell>
        </row>
        <row r="1218">
          <cell r="A1218" t="str">
            <v>15-11-2018</v>
          </cell>
          <cell r="B1218">
            <v>91.103820999999996</v>
          </cell>
        </row>
        <row r="1219">
          <cell r="A1219" t="str">
            <v>16-11-2018</v>
          </cell>
          <cell r="B1219">
            <v>89.410622000000004</v>
          </cell>
        </row>
        <row r="1220">
          <cell r="A1220" t="str">
            <v>19-11-2018</v>
          </cell>
          <cell r="B1220">
            <v>88.577713000000003</v>
          </cell>
        </row>
        <row r="1221">
          <cell r="A1221" t="str">
            <v>20-11-2018</v>
          </cell>
          <cell r="B1221">
            <v>86.179778999999996</v>
          </cell>
        </row>
        <row r="1222">
          <cell r="A1222" t="str">
            <v>21-11-2018</v>
          </cell>
          <cell r="B1222">
            <v>86.188911000000004</v>
          </cell>
        </row>
        <row r="1223">
          <cell r="A1223" t="str">
            <v>23-11-2018</v>
          </cell>
          <cell r="B1223">
            <v>87.040099999999995</v>
          </cell>
        </row>
        <row r="1224">
          <cell r="A1224" t="str">
            <v>26-11-2018</v>
          </cell>
          <cell r="B1224">
            <v>87.085869000000002</v>
          </cell>
        </row>
        <row r="1225">
          <cell r="A1225" t="str">
            <v>27-11-2018</v>
          </cell>
          <cell r="B1225">
            <v>86.985184000000004</v>
          </cell>
        </row>
        <row r="1226">
          <cell r="A1226" t="str">
            <v>28-11-2018</v>
          </cell>
          <cell r="B1226">
            <v>89.200080999999997</v>
          </cell>
        </row>
        <row r="1227">
          <cell r="A1227" t="str">
            <v>29-11-2018</v>
          </cell>
          <cell r="B1227">
            <v>89.044494999999998</v>
          </cell>
        </row>
        <row r="1228">
          <cell r="A1228" t="str">
            <v>30-11-2018</v>
          </cell>
          <cell r="B1228">
            <v>89.373985000000005</v>
          </cell>
        </row>
        <row r="1229">
          <cell r="A1229">
            <v>43171</v>
          </cell>
          <cell r="B1229">
            <v>90.380759999999995</v>
          </cell>
        </row>
        <row r="1230">
          <cell r="A1230">
            <v>43202</v>
          </cell>
          <cell r="B1230">
            <v>87.689926</v>
          </cell>
        </row>
        <row r="1231">
          <cell r="A1231">
            <v>43263</v>
          </cell>
          <cell r="B1231">
            <v>87.211410999999998</v>
          </cell>
        </row>
        <row r="1232">
          <cell r="A1232">
            <v>43293</v>
          </cell>
          <cell r="B1232">
            <v>85.757430999999997</v>
          </cell>
        </row>
        <row r="1233">
          <cell r="A1233">
            <v>43385</v>
          </cell>
          <cell r="B1233">
            <v>86.447609</v>
          </cell>
        </row>
        <row r="1234">
          <cell r="A1234">
            <v>43416</v>
          </cell>
          <cell r="B1234">
            <v>86.364784</v>
          </cell>
        </row>
        <row r="1235">
          <cell r="A1235">
            <v>43446</v>
          </cell>
          <cell r="B1235">
            <v>85.683800000000005</v>
          </cell>
        </row>
        <row r="1236">
          <cell r="A1236" t="str">
            <v>13-12-2018</v>
          </cell>
          <cell r="B1236">
            <v>85.545776000000004</v>
          </cell>
        </row>
        <row r="1237">
          <cell r="A1237" t="str">
            <v>14-12-2018</v>
          </cell>
          <cell r="B1237">
            <v>84.524299999999997</v>
          </cell>
        </row>
        <row r="1238">
          <cell r="A1238" t="str">
            <v>17-12-2018</v>
          </cell>
          <cell r="B1238">
            <v>83.530440999999996</v>
          </cell>
        </row>
        <row r="1239">
          <cell r="A1239" t="str">
            <v>18-12-2018</v>
          </cell>
          <cell r="B1239">
            <v>83.815726999999995</v>
          </cell>
        </row>
        <row r="1240">
          <cell r="A1240" t="str">
            <v>19-12-2018</v>
          </cell>
          <cell r="B1240">
            <v>83.327988000000005</v>
          </cell>
        </row>
        <row r="1241">
          <cell r="A1241" t="str">
            <v>20-12-2018</v>
          </cell>
          <cell r="B1241">
            <v>80.318787</v>
          </cell>
        </row>
        <row r="1242">
          <cell r="A1242" t="str">
            <v>21-12-2018</v>
          </cell>
          <cell r="B1242">
            <v>80.180747999999994</v>
          </cell>
        </row>
        <row r="1243">
          <cell r="A1243" t="str">
            <v>24-12-2018</v>
          </cell>
          <cell r="B1243">
            <v>78.975234999999998</v>
          </cell>
        </row>
        <row r="1244">
          <cell r="A1244" t="str">
            <v>26-12-2018</v>
          </cell>
          <cell r="B1244">
            <v>83.199150000000003</v>
          </cell>
        </row>
        <row r="1245">
          <cell r="A1245" t="str">
            <v>27-12-2018</v>
          </cell>
          <cell r="B1245">
            <v>84.285019000000005</v>
          </cell>
        </row>
        <row r="1246">
          <cell r="A1246" t="str">
            <v>28-12-2018</v>
          </cell>
          <cell r="B1246">
            <v>84.781966999999995</v>
          </cell>
        </row>
        <row r="1247">
          <cell r="A1247" t="str">
            <v>31-12-2018</v>
          </cell>
          <cell r="B1247">
            <v>85.720618999999999</v>
          </cell>
        </row>
        <row r="1248">
          <cell r="A1248">
            <v>43497</v>
          </cell>
          <cell r="B1248">
            <v>85.895461999999995</v>
          </cell>
        </row>
        <row r="1249">
          <cell r="A1249">
            <v>43525</v>
          </cell>
          <cell r="B1249">
            <v>85.453734999999995</v>
          </cell>
        </row>
        <row r="1250">
          <cell r="A1250">
            <v>43556</v>
          </cell>
          <cell r="B1250">
            <v>85.987487999999999</v>
          </cell>
        </row>
        <row r="1251">
          <cell r="A1251">
            <v>43647</v>
          </cell>
          <cell r="B1251">
            <v>86.999756000000005</v>
          </cell>
        </row>
        <row r="1252">
          <cell r="A1252">
            <v>43678</v>
          </cell>
          <cell r="B1252">
            <v>87.607123999999999</v>
          </cell>
        </row>
        <row r="1253">
          <cell r="A1253">
            <v>43709</v>
          </cell>
          <cell r="B1253">
            <v>87.321854000000002</v>
          </cell>
        </row>
        <row r="1254">
          <cell r="A1254">
            <v>43739</v>
          </cell>
          <cell r="B1254">
            <v>87.386261000000005</v>
          </cell>
        </row>
        <row r="1255">
          <cell r="A1255">
            <v>43770</v>
          </cell>
          <cell r="B1255">
            <v>87.275841</v>
          </cell>
        </row>
        <row r="1256">
          <cell r="A1256" t="str">
            <v>14-01-2019</v>
          </cell>
          <cell r="B1256">
            <v>87.377037000000001</v>
          </cell>
        </row>
        <row r="1257">
          <cell r="A1257" t="str">
            <v>15-01-2019</v>
          </cell>
          <cell r="B1257">
            <v>88.573386999999997</v>
          </cell>
        </row>
        <row r="1258">
          <cell r="A1258" t="str">
            <v>16-01-2019</v>
          </cell>
          <cell r="B1258">
            <v>88.665390000000002</v>
          </cell>
        </row>
        <row r="1259">
          <cell r="A1259" t="str">
            <v>17-01-2019</v>
          </cell>
          <cell r="B1259">
            <v>89.024276999999998</v>
          </cell>
        </row>
        <row r="1260">
          <cell r="A1260" t="str">
            <v>18-01-2019</v>
          </cell>
          <cell r="B1260">
            <v>89.935340999999994</v>
          </cell>
        </row>
        <row r="1261">
          <cell r="A1261" t="str">
            <v>22-01-2019</v>
          </cell>
          <cell r="B1261">
            <v>89.714484999999996</v>
          </cell>
        </row>
        <row r="1262">
          <cell r="A1262" t="str">
            <v>23-01-2019</v>
          </cell>
          <cell r="B1262">
            <v>90.837173000000007</v>
          </cell>
        </row>
        <row r="1263">
          <cell r="A1263" t="str">
            <v>24-01-2019</v>
          </cell>
          <cell r="B1263">
            <v>90.515067999999999</v>
          </cell>
        </row>
        <row r="1264">
          <cell r="A1264" t="str">
            <v>25-01-2019</v>
          </cell>
          <cell r="B1264">
            <v>89.208327999999995</v>
          </cell>
        </row>
        <row r="1265">
          <cell r="A1265" t="str">
            <v>28-01-2019</v>
          </cell>
          <cell r="B1265">
            <v>89.318747999999999</v>
          </cell>
        </row>
        <row r="1266">
          <cell r="A1266" t="str">
            <v>29-01-2019</v>
          </cell>
          <cell r="B1266">
            <v>88.996673999999999</v>
          </cell>
        </row>
        <row r="1267">
          <cell r="A1267" t="str">
            <v>30-01-2019</v>
          </cell>
          <cell r="B1267">
            <v>87.239020999999994</v>
          </cell>
        </row>
        <row r="1268">
          <cell r="A1268" t="str">
            <v>31-01-2019</v>
          </cell>
          <cell r="B1268">
            <v>88.186858999999998</v>
          </cell>
        </row>
        <row r="1269">
          <cell r="A1269">
            <v>43467</v>
          </cell>
          <cell r="B1269">
            <v>86.373977999999994</v>
          </cell>
        </row>
        <row r="1270">
          <cell r="A1270">
            <v>43557</v>
          </cell>
          <cell r="B1270">
            <v>87.211410999999998</v>
          </cell>
        </row>
        <row r="1271">
          <cell r="A1271">
            <v>43587</v>
          </cell>
          <cell r="B1271">
            <v>87.975211999999999</v>
          </cell>
        </row>
        <row r="1272">
          <cell r="A1272">
            <v>43618</v>
          </cell>
          <cell r="B1272">
            <v>88.012016000000003</v>
          </cell>
        </row>
        <row r="1273">
          <cell r="A1273">
            <v>43648</v>
          </cell>
          <cell r="B1273">
            <v>89.015083000000004</v>
          </cell>
        </row>
        <row r="1274">
          <cell r="A1274">
            <v>43679</v>
          </cell>
          <cell r="B1274">
            <v>87.956801999999996</v>
          </cell>
        </row>
        <row r="1275">
          <cell r="A1275">
            <v>43771</v>
          </cell>
          <cell r="B1275">
            <v>88.527336000000005</v>
          </cell>
        </row>
        <row r="1276">
          <cell r="A1276">
            <v>43801</v>
          </cell>
          <cell r="B1276">
            <v>89.235954000000007</v>
          </cell>
        </row>
        <row r="1277">
          <cell r="A1277" t="str">
            <v>13-02-2019</v>
          </cell>
          <cell r="B1277">
            <v>90.128555000000006</v>
          </cell>
        </row>
        <row r="1278">
          <cell r="A1278" t="str">
            <v>14-02-2019</v>
          </cell>
          <cell r="B1278">
            <v>90.662315000000007</v>
          </cell>
        </row>
        <row r="1279">
          <cell r="A1279" t="str">
            <v>15-02-2019</v>
          </cell>
          <cell r="B1279">
            <v>92.015083000000004</v>
          </cell>
        </row>
        <row r="1280">
          <cell r="A1280" t="str">
            <v>19-02-2019</v>
          </cell>
          <cell r="B1280">
            <v>94.048812999999996</v>
          </cell>
        </row>
        <row r="1281">
          <cell r="A1281" t="str">
            <v>20-02-2019</v>
          </cell>
          <cell r="B1281">
            <v>91.913833999999994</v>
          </cell>
        </row>
        <row r="1282">
          <cell r="A1282" t="str">
            <v>21-02-2019</v>
          </cell>
          <cell r="B1282">
            <v>91.462920999999994</v>
          </cell>
        </row>
        <row r="1283">
          <cell r="A1283" t="str">
            <v>22-02-2019</v>
          </cell>
          <cell r="B1283">
            <v>91.610175999999996</v>
          </cell>
        </row>
        <row r="1284">
          <cell r="A1284" t="str">
            <v>25-02-2019</v>
          </cell>
          <cell r="B1284">
            <v>91.214470000000006</v>
          </cell>
        </row>
        <row r="1285">
          <cell r="A1285" t="str">
            <v>26-02-2019</v>
          </cell>
          <cell r="B1285">
            <v>90.818770999999998</v>
          </cell>
        </row>
        <row r="1286">
          <cell r="A1286" t="str">
            <v>27-02-2019</v>
          </cell>
          <cell r="B1286">
            <v>90.285019000000005</v>
          </cell>
        </row>
        <row r="1287">
          <cell r="A1287" t="str">
            <v>28-02-2019</v>
          </cell>
          <cell r="B1287">
            <v>91.094818000000004</v>
          </cell>
        </row>
        <row r="1288">
          <cell r="A1288">
            <v>43468</v>
          </cell>
          <cell r="B1288">
            <v>90.119392000000005</v>
          </cell>
        </row>
        <row r="1289">
          <cell r="A1289">
            <v>43558</v>
          </cell>
          <cell r="B1289">
            <v>90.045769000000007</v>
          </cell>
        </row>
        <row r="1290">
          <cell r="A1290">
            <v>43588</v>
          </cell>
          <cell r="B1290">
            <v>90.496657999999996</v>
          </cell>
        </row>
        <row r="1291">
          <cell r="A1291">
            <v>43619</v>
          </cell>
          <cell r="B1291">
            <v>90.423027000000005</v>
          </cell>
        </row>
        <row r="1292">
          <cell r="A1292">
            <v>43649</v>
          </cell>
          <cell r="B1292">
            <v>89.677643000000003</v>
          </cell>
        </row>
        <row r="1293">
          <cell r="A1293">
            <v>43680</v>
          </cell>
          <cell r="B1293">
            <v>89.806479999999993</v>
          </cell>
        </row>
        <row r="1294">
          <cell r="A1294">
            <v>43772</v>
          </cell>
          <cell r="B1294">
            <v>90.625525999999994</v>
          </cell>
        </row>
        <row r="1295">
          <cell r="A1295">
            <v>43802</v>
          </cell>
          <cell r="B1295">
            <v>90.524283999999994</v>
          </cell>
        </row>
        <row r="1296">
          <cell r="A1296" t="str">
            <v>13-03-2019</v>
          </cell>
          <cell r="B1296">
            <v>91.131630000000001</v>
          </cell>
        </row>
        <row r="1297">
          <cell r="A1297" t="str">
            <v>14-03-2019</v>
          </cell>
          <cell r="B1297">
            <v>90.872603999999995</v>
          </cell>
        </row>
        <row r="1298">
          <cell r="A1298" t="str">
            <v>15-03-2019</v>
          </cell>
          <cell r="B1298">
            <v>91.057625000000002</v>
          </cell>
        </row>
        <row r="1299">
          <cell r="A1299" t="str">
            <v>18-03-2019</v>
          </cell>
          <cell r="B1299">
            <v>92.204864999999998</v>
          </cell>
        </row>
        <row r="1300">
          <cell r="A1300" t="str">
            <v>19-03-2019</v>
          </cell>
          <cell r="B1300">
            <v>92.380652999999995</v>
          </cell>
        </row>
        <row r="1301">
          <cell r="A1301" t="str">
            <v>20-03-2019</v>
          </cell>
          <cell r="B1301">
            <v>91.261168999999995</v>
          </cell>
        </row>
        <row r="1302">
          <cell r="A1302" t="str">
            <v>21-03-2019</v>
          </cell>
          <cell r="B1302">
            <v>91.649742000000003</v>
          </cell>
        </row>
        <row r="1303">
          <cell r="A1303" t="str">
            <v>22-03-2019</v>
          </cell>
          <cell r="B1303">
            <v>90.928093000000004</v>
          </cell>
        </row>
        <row r="1304">
          <cell r="A1304" t="str">
            <v>25-03-2019</v>
          </cell>
          <cell r="B1304">
            <v>90.826317000000003</v>
          </cell>
        </row>
        <row r="1305">
          <cell r="A1305" t="str">
            <v>26-03-2019</v>
          </cell>
          <cell r="B1305">
            <v>90.965110999999993</v>
          </cell>
        </row>
        <row r="1306">
          <cell r="A1306" t="str">
            <v>27-03-2019</v>
          </cell>
          <cell r="B1306">
            <v>89.938141000000002</v>
          </cell>
        </row>
        <row r="1307">
          <cell r="A1307" t="str">
            <v>28-03-2019</v>
          </cell>
          <cell r="B1307">
            <v>89.864113000000003</v>
          </cell>
        </row>
        <row r="1308">
          <cell r="A1308" t="str">
            <v>29-03-2019</v>
          </cell>
          <cell r="B1308">
            <v>90.234215000000006</v>
          </cell>
        </row>
        <row r="1309">
          <cell r="A1309">
            <v>43469</v>
          </cell>
          <cell r="B1309">
            <v>90.502494999999996</v>
          </cell>
        </row>
        <row r="1310">
          <cell r="A1310">
            <v>43500</v>
          </cell>
          <cell r="B1310">
            <v>89.688323999999994</v>
          </cell>
        </row>
        <row r="1311">
          <cell r="A1311">
            <v>43528</v>
          </cell>
          <cell r="B1311">
            <v>89.919623999999999</v>
          </cell>
        </row>
        <row r="1312">
          <cell r="A1312">
            <v>43559</v>
          </cell>
          <cell r="B1312">
            <v>90.770820999999998</v>
          </cell>
        </row>
        <row r="1313">
          <cell r="A1313">
            <v>43589</v>
          </cell>
          <cell r="B1313">
            <v>91.436942999999999</v>
          </cell>
        </row>
        <row r="1314">
          <cell r="A1314">
            <v>43681</v>
          </cell>
          <cell r="B1314">
            <v>91.807060000000007</v>
          </cell>
        </row>
        <row r="1315">
          <cell r="A1315">
            <v>43712</v>
          </cell>
          <cell r="B1315">
            <v>91.307434000000001</v>
          </cell>
        </row>
        <row r="1316">
          <cell r="A1316">
            <v>43742</v>
          </cell>
          <cell r="B1316">
            <v>92.149338</v>
          </cell>
        </row>
        <row r="1317">
          <cell r="A1317">
            <v>43773</v>
          </cell>
          <cell r="B1317">
            <v>93.259574999999998</v>
          </cell>
        </row>
        <row r="1318">
          <cell r="A1318">
            <v>43803</v>
          </cell>
          <cell r="B1318">
            <v>93.962738000000002</v>
          </cell>
        </row>
        <row r="1319">
          <cell r="A1319" t="str">
            <v>15-04-2019</v>
          </cell>
          <cell r="B1319">
            <v>94.767639000000003</v>
          </cell>
        </row>
        <row r="1320">
          <cell r="A1320" t="str">
            <v>16-04-2019</v>
          </cell>
          <cell r="B1320">
            <v>95.230232000000001</v>
          </cell>
        </row>
        <row r="1321">
          <cell r="A1321" t="str">
            <v>17-04-2019</v>
          </cell>
          <cell r="B1321">
            <v>95.443038999999999</v>
          </cell>
        </row>
        <row r="1322">
          <cell r="A1322" t="str">
            <v>18-04-2019</v>
          </cell>
          <cell r="B1322">
            <v>95.461539999999999</v>
          </cell>
        </row>
        <row r="1323">
          <cell r="A1323" t="str">
            <v>22-04-2019</v>
          </cell>
          <cell r="B1323">
            <v>94.712142999999998</v>
          </cell>
        </row>
        <row r="1324">
          <cell r="A1324" t="str">
            <v>23-04-2019</v>
          </cell>
          <cell r="B1324">
            <v>95.359795000000005</v>
          </cell>
        </row>
        <row r="1325">
          <cell r="A1325" t="str">
            <v>24-04-2019</v>
          </cell>
          <cell r="B1325">
            <v>95.785362000000006</v>
          </cell>
        </row>
        <row r="1326">
          <cell r="A1326" t="str">
            <v>25-04-2019</v>
          </cell>
          <cell r="B1326">
            <v>95.776122999999998</v>
          </cell>
        </row>
        <row r="1327">
          <cell r="A1327" t="str">
            <v>26-04-2019</v>
          </cell>
          <cell r="B1327">
            <v>93.934989999999999</v>
          </cell>
        </row>
        <row r="1328">
          <cell r="A1328" t="str">
            <v>29-04-2019</v>
          </cell>
          <cell r="B1328">
            <v>93.962738000000002</v>
          </cell>
        </row>
        <row r="1329">
          <cell r="A1329" t="str">
            <v>30-04-2019</v>
          </cell>
          <cell r="B1329">
            <v>95.146979999999999</v>
          </cell>
        </row>
        <row r="1330">
          <cell r="A1330">
            <v>43470</v>
          </cell>
          <cell r="B1330">
            <v>93.777694999999994</v>
          </cell>
        </row>
        <row r="1331">
          <cell r="A1331">
            <v>43501</v>
          </cell>
          <cell r="B1331">
            <v>93.583397000000005</v>
          </cell>
        </row>
        <row r="1332">
          <cell r="A1332">
            <v>43529</v>
          </cell>
          <cell r="B1332">
            <v>94.443832</v>
          </cell>
        </row>
        <row r="1333">
          <cell r="A1333">
            <v>43621</v>
          </cell>
          <cell r="B1333">
            <v>94.795410000000004</v>
          </cell>
        </row>
        <row r="1334">
          <cell r="A1334">
            <v>43651</v>
          </cell>
          <cell r="B1334">
            <v>93.722198000000006</v>
          </cell>
        </row>
        <row r="1335">
          <cell r="A1335">
            <v>43682</v>
          </cell>
          <cell r="B1335">
            <v>92.796997000000005</v>
          </cell>
        </row>
        <row r="1336">
          <cell r="A1336">
            <v>43713</v>
          </cell>
          <cell r="B1336">
            <v>92.583068999999995</v>
          </cell>
        </row>
        <row r="1337">
          <cell r="A1337">
            <v>43743</v>
          </cell>
          <cell r="B1337">
            <v>94.787430000000001</v>
          </cell>
        </row>
        <row r="1338">
          <cell r="A1338" t="str">
            <v>13-05-2019</v>
          </cell>
          <cell r="B1338">
            <v>92.908591999999999</v>
          </cell>
        </row>
        <row r="1339">
          <cell r="A1339" t="str">
            <v>14-05-2019</v>
          </cell>
          <cell r="B1339">
            <v>93.280663000000004</v>
          </cell>
        </row>
        <row r="1340">
          <cell r="A1340" t="str">
            <v>15-05-2019</v>
          </cell>
          <cell r="B1340">
            <v>92.899299999999997</v>
          </cell>
        </row>
        <row r="1341">
          <cell r="A1341" t="str">
            <v>16-05-2019</v>
          </cell>
          <cell r="B1341">
            <v>94.229354999999998</v>
          </cell>
        </row>
        <row r="1342">
          <cell r="A1342" t="str">
            <v>17-05-2019</v>
          </cell>
          <cell r="B1342">
            <v>93.810805999999999</v>
          </cell>
        </row>
        <row r="1343">
          <cell r="A1343" t="str">
            <v>20-05-2019</v>
          </cell>
          <cell r="B1343">
            <v>94.424666999999999</v>
          </cell>
        </row>
        <row r="1344">
          <cell r="A1344" t="str">
            <v>21-05-2019</v>
          </cell>
          <cell r="B1344">
            <v>94.052627999999999</v>
          </cell>
        </row>
        <row r="1345">
          <cell r="A1345" t="str">
            <v>22-05-2019</v>
          </cell>
          <cell r="B1345">
            <v>95.085059999999999</v>
          </cell>
        </row>
        <row r="1346">
          <cell r="A1346" t="str">
            <v>23-05-2019</v>
          </cell>
          <cell r="B1346">
            <v>94.740921</v>
          </cell>
        </row>
        <row r="1347">
          <cell r="A1347" t="str">
            <v>24-05-2019</v>
          </cell>
          <cell r="B1347">
            <v>95.494308000000004</v>
          </cell>
        </row>
        <row r="1348">
          <cell r="A1348" t="str">
            <v>28-05-2019</v>
          </cell>
          <cell r="B1348">
            <v>95.261780000000002</v>
          </cell>
        </row>
        <row r="1349">
          <cell r="A1349" t="str">
            <v>29-05-2019</v>
          </cell>
          <cell r="B1349">
            <v>94.982758000000004</v>
          </cell>
        </row>
        <row r="1350">
          <cell r="A1350" t="str">
            <v>30-05-2019</v>
          </cell>
          <cell r="B1350">
            <v>95.047852000000006</v>
          </cell>
        </row>
        <row r="1351">
          <cell r="A1351" t="str">
            <v>31-05-2019</v>
          </cell>
          <cell r="B1351">
            <v>94.350280999999995</v>
          </cell>
        </row>
        <row r="1352">
          <cell r="A1352">
            <v>43530</v>
          </cell>
          <cell r="B1352">
            <v>94.833922999999999</v>
          </cell>
        </row>
        <row r="1353">
          <cell r="A1353">
            <v>43561</v>
          </cell>
          <cell r="B1353">
            <v>95.391991000000004</v>
          </cell>
        </row>
        <row r="1354">
          <cell r="A1354">
            <v>43591</v>
          </cell>
          <cell r="B1354">
            <v>97.121978999999996</v>
          </cell>
        </row>
        <row r="1355">
          <cell r="A1355">
            <v>43622</v>
          </cell>
          <cell r="B1355">
            <v>97.763779</v>
          </cell>
        </row>
        <row r="1356">
          <cell r="A1356">
            <v>43652</v>
          </cell>
          <cell r="B1356">
            <v>98.647368999999998</v>
          </cell>
        </row>
        <row r="1357">
          <cell r="A1357">
            <v>43744</v>
          </cell>
          <cell r="B1357">
            <v>100.005348</v>
          </cell>
        </row>
        <row r="1358">
          <cell r="A1358">
            <v>43775</v>
          </cell>
          <cell r="B1358">
            <v>100.395973</v>
          </cell>
        </row>
        <row r="1359">
          <cell r="A1359">
            <v>43805</v>
          </cell>
          <cell r="B1359">
            <v>101.214485</v>
          </cell>
        </row>
        <row r="1360">
          <cell r="A1360" t="str">
            <v>13-06-2019</v>
          </cell>
          <cell r="B1360">
            <v>101.056366</v>
          </cell>
        </row>
        <row r="1361">
          <cell r="A1361" t="str">
            <v>14-06-2019</v>
          </cell>
          <cell r="B1361">
            <v>101.447014</v>
          </cell>
        </row>
        <row r="1362">
          <cell r="A1362" t="str">
            <v>17-06-2019</v>
          </cell>
          <cell r="B1362">
            <v>101.530716</v>
          </cell>
        </row>
        <row r="1363">
          <cell r="A1363" t="str">
            <v>18-06-2019</v>
          </cell>
          <cell r="B1363">
            <v>101.986458</v>
          </cell>
        </row>
        <row r="1364">
          <cell r="A1364" t="str">
            <v>19-06-2019</v>
          </cell>
          <cell r="B1364">
            <v>101.95856499999999</v>
          </cell>
        </row>
        <row r="1365">
          <cell r="A1365" t="str">
            <v>20-06-2019</v>
          </cell>
          <cell r="B1365">
            <v>102.609634</v>
          </cell>
        </row>
        <row r="1366">
          <cell r="A1366" t="str">
            <v>21-06-2019</v>
          </cell>
          <cell r="B1366">
            <v>103.363029</v>
          </cell>
        </row>
        <row r="1367">
          <cell r="A1367" t="str">
            <v>24-06-2019</v>
          </cell>
          <cell r="B1367">
            <v>103.46534</v>
          </cell>
        </row>
        <row r="1368">
          <cell r="A1368" t="str">
            <v>25-06-2019</v>
          </cell>
          <cell r="B1368">
            <v>102.981674</v>
          </cell>
        </row>
        <row r="1369">
          <cell r="A1369" t="str">
            <v>26-06-2019</v>
          </cell>
          <cell r="B1369">
            <v>102.460823</v>
          </cell>
        </row>
        <row r="1370">
          <cell r="A1370" t="str">
            <v>27-06-2019</v>
          </cell>
          <cell r="B1370">
            <v>102.40501399999999</v>
          </cell>
        </row>
        <row r="1371">
          <cell r="A1371" t="str">
            <v>28-06-2019</v>
          </cell>
          <cell r="B1371">
            <v>102.767746</v>
          </cell>
        </row>
        <row r="1372">
          <cell r="A1372">
            <v>43472</v>
          </cell>
          <cell r="B1372">
            <v>102.88867999999999</v>
          </cell>
        </row>
        <row r="1373">
          <cell r="A1373">
            <v>43503</v>
          </cell>
          <cell r="B1373">
            <v>103.800186</v>
          </cell>
        </row>
        <row r="1374">
          <cell r="A1374">
            <v>43531</v>
          </cell>
          <cell r="B1374">
            <v>104.469864</v>
          </cell>
        </row>
        <row r="1375">
          <cell r="A1375">
            <v>43592</v>
          </cell>
          <cell r="B1375">
            <v>104.15361799999999</v>
          </cell>
        </row>
        <row r="1376">
          <cell r="A1376">
            <v>43684</v>
          </cell>
          <cell r="B1376">
            <v>104.841904</v>
          </cell>
        </row>
        <row r="1377">
          <cell r="A1377">
            <v>43715</v>
          </cell>
          <cell r="B1377">
            <v>104.9907</v>
          </cell>
        </row>
        <row r="1378">
          <cell r="A1378">
            <v>43745</v>
          </cell>
          <cell r="B1378">
            <v>105.083733</v>
          </cell>
        </row>
        <row r="1379">
          <cell r="A1379">
            <v>43776</v>
          </cell>
          <cell r="B1379">
            <v>105.958038</v>
          </cell>
        </row>
        <row r="1380">
          <cell r="A1380">
            <v>43806</v>
          </cell>
          <cell r="B1380">
            <v>106.59050000000001</v>
          </cell>
        </row>
        <row r="1381">
          <cell r="A1381" t="str">
            <v>15-07-2019</v>
          </cell>
          <cell r="B1381">
            <v>106.943962</v>
          </cell>
        </row>
        <row r="1382">
          <cell r="A1382" t="str">
            <v>16-07-2019</v>
          </cell>
          <cell r="B1382">
            <v>106.73931899999999</v>
          </cell>
        </row>
        <row r="1383">
          <cell r="A1383" t="str">
            <v>17-07-2019</v>
          </cell>
          <cell r="B1383">
            <v>106.59050000000001</v>
          </cell>
        </row>
        <row r="1384">
          <cell r="A1384" t="str">
            <v>18-07-2019</v>
          </cell>
          <cell r="B1384">
            <v>106.70212600000001</v>
          </cell>
        </row>
        <row r="1385">
          <cell r="A1385" t="str">
            <v>19-07-2019</v>
          </cell>
          <cell r="B1385">
            <v>105.93943</v>
          </cell>
        </row>
        <row r="1386">
          <cell r="A1386" t="str">
            <v>22-07-2019</v>
          </cell>
          <cell r="B1386">
            <v>104.93491400000001</v>
          </cell>
        </row>
        <row r="1387">
          <cell r="A1387" t="str">
            <v>23-07-2019</v>
          </cell>
          <cell r="B1387">
            <v>104.255928</v>
          </cell>
        </row>
        <row r="1388">
          <cell r="A1388" t="str">
            <v>24-07-2019</v>
          </cell>
          <cell r="B1388">
            <v>104.172218</v>
          </cell>
        </row>
        <row r="1389">
          <cell r="A1389" t="str">
            <v>25-07-2019</v>
          </cell>
          <cell r="B1389">
            <v>104.376846</v>
          </cell>
        </row>
        <row r="1390">
          <cell r="A1390" t="str">
            <v>26-07-2019</v>
          </cell>
          <cell r="B1390">
            <v>105.120926</v>
          </cell>
        </row>
        <row r="1391">
          <cell r="A1391" t="str">
            <v>29-07-2019</v>
          </cell>
          <cell r="B1391">
            <v>104.42334700000001</v>
          </cell>
        </row>
        <row r="1392">
          <cell r="A1392" t="str">
            <v>30-07-2019</v>
          </cell>
          <cell r="B1392">
            <v>104.228027</v>
          </cell>
        </row>
        <row r="1393">
          <cell r="A1393" t="str">
            <v>31-07-2019</v>
          </cell>
          <cell r="B1393">
            <v>102.665451</v>
          </cell>
        </row>
        <row r="1394">
          <cell r="A1394">
            <v>43473</v>
          </cell>
          <cell r="B1394">
            <v>101.73532899999999</v>
          </cell>
        </row>
        <row r="1395">
          <cell r="A1395">
            <v>43504</v>
          </cell>
          <cell r="B1395">
            <v>101.753944</v>
          </cell>
        </row>
        <row r="1396">
          <cell r="A1396">
            <v>43593</v>
          </cell>
          <cell r="B1396">
            <v>98.424155999999996</v>
          </cell>
        </row>
        <row r="1397">
          <cell r="A1397">
            <v>43624</v>
          </cell>
          <cell r="B1397">
            <v>99.772819999999996</v>
          </cell>
        </row>
        <row r="1398">
          <cell r="A1398">
            <v>43654</v>
          </cell>
          <cell r="B1398">
            <v>100.637817</v>
          </cell>
        </row>
        <row r="1399">
          <cell r="A1399">
            <v>43685</v>
          </cell>
          <cell r="B1399">
            <v>101.43229700000001</v>
          </cell>
        </row>
        <row r="1400">
          <cell r="A1400">
            <v>43716</v>
          </cell>
          <cell r="B1400">
            <v>100.27327699999999</v>
          </cell>
        </row>
        <row r="1401">
          <cell r="A1401">
            <v>43807</v>
          </cell>
          <cell r="B1401">
            <v>98.347808999999998</v>
          </cell>
        </row>
        <row r="1402">
          <cell r="A1402" t="str">
            <v>13-08-2019</v>
          </cell>
          <cell r="B1402">
            <v>100.394783</v>
          </cell>
        </row>
        <row r="1403">
          <cell r="A1403" t="str">
            <v>14-08-2019</v>
          </cell>
          <cell r="B1403">
            <v>99.263817000000003</v>
          </cell>
        </row>
        <row r="1404">
          <cell r="A1404" t="str">
            <v>15-08-2019</v>
          </cell>
          <cell r="B1404">
            <v>105.32994100000001</v>
          </cell>
        </row>
        <row r="1405">
          <cell r="A1405" t="str">
            <v>16-08-2019</v>
          </cell>
          <cell r="B1405">
            <v>105.61032899999999</v>
          </cell>
        </row>
        <row r="1406">
          <cell r="A1406" t="str">
            <v>19-08-2019</v>
          </cell>
          <cell r="B1406">
            <v>106.37679300000001</v>
          </cell>
        </row>
        <row r="1407">
          <cell r="A1407" t="str">
            <v>20-08-2019</v>
          </cell>
          <cell r="B1407">
            <v>104.73175000000001</v>
          </cell>
        </row>
        <row r="1408">
          <cell r="A1408" t="str">
            <v>21-08-2019</v>
          </cell>
          <cell r="B1408">
            <v>104.70368999999999</v>
          </cell>
        </row>
        <row r="1409">
          <cell r="A1409" t="str">
            <v>22-08-2019</v>
          </cell>
          <cell r="B1409">
            <v>104.60086800000001</v>
          </cell>
        </row>
        <row r="1410">
          <cell r="A1410" t="str">
            <v>23-08-2019</v>
          </cell>
          <cell r="B1410">
            <v>103.591431</v>
          </cell>
        </row>
        <row r="1411">
          <cell r="A1411" t="str">
            <v>26-08-2019</v>
          </cell>
          <cell r="B1411">
            <v>104.675652</v>
          </cell>
        </row>
        <row r="1412">
          <cell r="A1412" t="str">
            <v>27-08-2019</v>
          </cell>
          <cell r="B1412">
            <v>105.07757599999999</v>
          </cell>
        </row>
        <row r="1413">
          <cell r="A1413" t="str">
            <v>28-08-2019</v>
          </cell>
          <cell r="B1413">
            <v>105.357979</v>
          </cell>
        </row>
        <row r="1414">
          <cell r="A1414" t="str">
            <v>29-08-2019</v>
          </cell>
          <cell r="B1414">
            <v>106.629158</v>
          </cell>
        </row>
        <row r="1415">
          <cell r="A1415" t="str">
            <v>30-08-2019</v>
          </cell>
          <cell r="B1415">
            <v>106.797409</v>
          </cell>
        </row>
        <row r="1416">
          <cell r="A1416">
            <v>43533</v>
          </cell>
          <cell r="B1416">
            <v>107.15258</v>
          </cell>
        </row>
        <row r="1417">
          <cell r="A1417">
            <v>43564</v>
          </cell>
          <cell r="B1417">
            <v>108.33963799999999</v>
          </cell>
        </row>
        <row r="1418">
          <cell r="A1418">
            <v>43594</v>
          </cell>
          <cell r="B1418">
            <v>107.900322</v>
          </cell>
        </row>
        <row r="1419">
          <cell r="A1419">
            <v>43625</v>
          </cell>
          <cell r="B1419">
            <v>107.23670199999999</v>
          </cell>
        </row>
        <row r="1420">
          <cell r="A1420">
            <v>43717</v>
          </cell>
          <cell r="B1420">
            <v>108.73221599999999</v>
          </cell>
        </row>
        <row r="1421">
          <cell r="A1421">
            <v>43747</v>
          </cell>
          <cell r="B1421">
            <v>108.47049</v>
          </cell>
        </row>
        <row r="1422">
          <cell r="A1422">
            <v>43778</v>
          </cell>
          <cell r="B1422">
            <v>108.44244399999999</v>
          </cell>
        </row>
        <row r="1423">
          <cell r="A1423">
            <v>43808</v>
          </cell>
          <cell r="B1423">
            <v>109.283661</v>
          </cell>
        </row>
        <row r="1424">
          <cell r="A1424" t="str">
            <v>13-09-2019</v>
          </cell>
          <cell r="B1424">
            <v>109.76035299999999</v>
          </cell>
        </row>
        <row r="1425">
          <cell r="A1425" t="str">
            <v>16-09-2019</v>
          </cell>
          <cell r="B1425">
            <v>108.021828</v>
          </cell>
        </row>
        <row r="1426">
          <cell r="A1426" t="str">
            <v>17-09-2019</v>
          </cell>
          <cell r="B1426">
            <v>108.900429</v>
          </cell>
        </row>
        <row r="1427">
          <cell r="A1427" t="str">
            <v>18-09-2019</v>
          </cell>
          <cell r="B1427">
            <v>109.507988</v>
          </cell>
        </row>
        <row r="1428">
          <cell r="A1428" t="str">
            <v>19-09-2019</v>
          </cell>
          <cell r="B1428">
            <v>109.461258</v>
          </cell>
        </row>
        <row r="1429">
          <cell r="A1429" t="str">
            <v>20-09-2019</v>
          </cell>
          <cell r="B1429">
            <v>109.339737</v>
          </cell>
        </row>
        <row r="1430">
          <cell r="A1430" t="str">
            <v>23-09-2019</v>
          </cell>
          <cell r="B1430">
            <v>109.93795</v>
          </cell>
        </row>
        <row r="1431">
          <cell r="A1431" t="str">
            <v>24-09-2019</v>
          </cell>
          <cell r="B1431">
            <v>110.667023</v>
          </cell>
        </row>
        <row r="1432">
          <cell r="A1432" t="str">
            <v>25-09-2019</v>
          </cell>
          <cell r="B1432">
            <v>110.732437</v>
          </cell>
        </row>
        <row r="1433">
          <cell r="A1433" t="str">
            <v>26-09-2019</v>
          </cell>
          <cell r="B1433">
            <v>110.573517</v>
          </cell>
        </row>
        <row r="1434">
          <cell r="A1434" t="str">
            <v>27-09-2019</v>
          </cell>
          <cell r="B1434">
            <v>110.713753</v>
          </cell>
        </row>
        <row r="1435">
          <cell r="A1435" t="str">
            <v>30-09-2019</v>
          </cell>
          <cell r="B1435">
            <v>110.928703</v>
          </cell>
        </row>
        <row r="1436">
          <cell r="A1436">
            <v>43475</v>
          </cell>
          <cell r="B1436">
            <v>110.152931</v>
          </cell>
        </row>
        <row r="1437">
          <cell r="A1437">
            <v>43506</v>
          </cell>
          <cell r="B1437">
            <v>108.535912</v>
          </cell>
        </row>
        <row r="1438">
          <cell r="A1438">
            <v>43534</v>
          </cell>
          <cell r="B1438">
            <v>108.713509</v>
          </cell>
        </row>
        <row r="1439">
          <cell r="A1439">
            <v>43565</v>
          </cell>
          <cell r="B1439">
            <v>110.44268</v>
          </cell>
        </row>
        <row r="1440">
          <cell r="A1440">
            <v>43656</v>
          </cell>
          <cell r="B1440">
            <v>109.573418</v>
          </cell>
        </row>
        <row r="1441">
          <cell r="A1441">
            <v>43687</v>
          </cell>
          <cell r="B1441">
            <v>109.900558</v>
          </cell>
        </row>
        <row r="1442">
          <cell r="A1442">
            <v>43718</v>
          </cell>
          <cell r="B1442">
            <v>111.162384</v>
          </cell>
        </row>
        <row r="1443">
          <cell r="A1443">
            <v>43748</v>
          </cell>
          <cell r="B1443">
            <v>111.79795799999999</v>
          </cell>
        </row>
        <row r="1444">
          <cell r="A1444">
            <v>43779</v>
          </cell>
          <cell r="B1444">
            <v>112.386833</v>
          </cell>
        </row>
        <row r="1445">
          <cell r="A1445" t="str">
            <v>14-10-2019</v>
          </cell>
          <cell r="B1445">
            <v>111.386719</v>
          </cell>
        </row>
        <row r="1446">
          <cell r="A1446" t="str">
            <v>15-10-2019</v>
          </cell>
          <cell r="B1446">
            <v>111.72318300000001</v>
          </cell>
        </row>
        <row r="1447">
          <cell r="A1447" t="str">
            <v>16-10-2019</v>
          </cell>
          <cell r="B1447">
            <v>111.62039900000001</v>
          </cell>
        </row>
        <row r="1448">
          <cell r="A1448" t="str">
            <v>17-10-2019</v>
          </cell>
          <cell r="B1448">
            <v>112.012947</v>
          </cell>
        </row>
        <row r="1449">
          <cell r="A1449" t="str">
            <v>18-10-2019</v>
          </cell>
          <cell r="B1449">
            <v>111.35865</v>
          </cell>
        </row>
        <row r="1450">
          <cell r="A1450" t="str">
            <v>21-10-2019</v>
          </cell>
          <cell r="B1450">
            <v>111.919456</v>
          </cell>
        </row>
        <row r="1451">
          <cell r="A1451" t="str">
            <v>22-10-2019</v>
          </cell>
          <cell r="B1451">
            <v>111.769943</v>
          </cell>
        </row>
        <row r="1452">
          <cell r="A1452" t="str">
            <v>23-10-2019</v>
          </cell>
          <cell r="B1452">
            <v>111.554962</v>
          </cell>
        </row>
        <row r="1453">
          <cell r="A1453" t="str">
            <v>24-10-2019</v>
          </cell>
          <cell r="B1453">
            <v>111.321281</v>
          </cell>
        </row>
        <row r="1454">
          <cell r="A1454" t="str">
            <v>25-10-2019</v>
          </cell>
          <cell r="B1454">
            <v>111.265198</v>
          </cell>
        </row>
        <row r="1455">
          <cell r="A1455" t="str">
            <v>28-10-2019</v>
          </cell>
          <cell r="B1455">
            <v>111.433449</v>
          </cell>
        </row>
        <row r="1456">
          <cell r="A1456" t="str">
            <v>29-10-2019</v>
          </cell>
          <cell r="B1456">
            <v>109.498642</v>
          </cell>
        </row>
        <row r="1457">
          <cell r="A1457" t="str">
            <v>30-10-2019</v>
          </cell>
          <cell r="B1457">
            <v>110.38659699999999</v>
          </cell>
        </row>
        <row r="1458">
          <cell r="A1458" t="str">
            <v>31-10-2019</v>
          </cell>
          <cell r="B1458">
            <v>109.601471</v>
          </cell>
        </row>
        <row r="1459">
          <cell r="A1459">
            <v>43476</v>
          </cell>
          <cell r="B1459">
            <v>109.93795</v>
          </cell>
        </row>
        <row r="1460">
          <cell r="A1460">
            <v>43566</v>
          </cell>
          <cell r="B1460">
            <v>109.891212</v>
          </cell>
        </row>
        <row r="1461">
          <cell r="A1461">
            <v>43596</v>
          </cell>
          <cell r="B1461">
            <v>111.09697</v>
          </cell>
        </row>
        <row r="1462">
          <cell r="A1462">
            <v>43627</v>
          </cell>
          <cell r="B1462">
            <v>111.695168</v>
          </cell>
        </row>
        <row r="1463">
          <cell r="A1463">
            <v>43657</v>
          </cell>
          <cell r="B1463">
            <v>112.377487</v>
          </cell>
        </row>
        <row r="1464">
          <cell r="A1464">
            <v>43688</v>
          </cell>
          <cell r="B1464">
            <v>111.639061</v>
          </cell>
        </row>
        <row r="1465">
          <cell r="A1465">
            <v>43780</v>
          </cell>
          <cell r="B1465">
            <v>111.265198</v>
          </cell>
        </row>
        <row r="1466">
          <cell r="A1466">
            <v>43810</v>
          </cell>
          <cell r="B1466">
            <v>111.33998099999999</v>
          </cell>
        </row>
        <row r="1467">
          <cell r="A1467" t="str">
            <v>13-11-2019</v>
          </cell>
          <cell r="B1467">
            <v>113.078491</v>
          </cell>
        </row>
        <row r="1468">
          <cell r="A1468" t="str">
            <v>14-11-2019</v>
          </cell>
          <cell r="B1468">
            <v>112.77005</v>
          </cell>
        </row>
        <row r="1469">
          <cell r="A1469" t="str">
            <v>15-11-2019</v>
          </cell>
          <cell r="B1469">
            <v>111.106308</v>
          </cell>
        </row>
        <row r="1470">
          <cell r="A1470" t="str">
            <v>18-11-2019</v>
          </cell>
          <cell r="B1470">
            <v>112.396179</v>
          </cell>
        </row>
        <row r="1471">
          <cell r="A1471" t="str">
            <v>19-11-2019</v>
          </cell>
          <cell r="B1471">
            <v>112.059685</v>
          </cell>
        </row>
        <row r="1472">
          <cell r="A1472" t="str">
            <v>20-11-2019</v>
          </cell>
          <cell r="B1472">
            <v>111.349335</v>
          </cell>
        </row>
        <row r="1473">
          <cell r="A1473" t="str">
            <v>21-11-2019</v>
          </cell>
          <cell r="B1473">
            <v>112.031639</v>
          </cell>
        </row>
        <row r="1474">
          <cell r="A1474" t="str">
            <v>22-11-2019</v>
          </cell>
          <cell r="B1474">
            <v>111.564308</v>
          </cell>
        </row>
        <row r="1475">
          <cell r="A1475" t="str">
            <v>25-11-2019</v>
          </cell>
          <cell r="B1475">
            <v>111.153038</v>
          </cell>
        </row>
        <row r="1476">
          <cell r="A1476" t="str">
            <v>26-11-2019</v>
          </cell>
          <cell r="B1476">
            <v>111.405411</v>
          </cell>
        </row>
        <row r="1477">
          <cell r="A1477" t="str">
            <v>27-11-2019</v>
          </cell>
          <cell r="B1477">
            <v>111.003479</v>
          </cell>
        </row>
        <row r="1478">
          <cell r="A1478" t="str">
            <v>29-11-2019</v>
          </cell>
          <cell r="B1478">
            <v>111.311943</v>
          </cell>
        </row>
        <row r="1479">
          <cell r="A1479">
            <v>43508</v>
          </cell>
          <cell r="B1479">
            <v>111.489525</v>
          </cell>
        </row>
        <row r="1480">
          <cell r="A1480">
            <v>43536</v>
          </cell>
          <cell r="B1480">
            <v>110.919365</v>
          </cell>
        </row>
        <row r="1481">
          <cell r="A1481">
            <v>43567</v>
          </cell>
          <cell r="B1481">
            <v>110.93807200000001</v>
          </cell>
        </row>
        <row r="1482">
          <cell r="A1482">
            <v>43597</v>
          </cell>
          <cell r="B1482">
            <v>111.407494</v>
          </cell>
        </row>
        <row r="1483">
          <cell r="A1483">
            <v>43628</v>
          </cell>
          <cell r="B1483">
            <v>112.45903800000001</v>
          </cell>
        </row>
        <row r="1484">
          <cell r="A1484">
            <v>43720</v>
          </cell>
          <cell r="B1484">
            <v>112.06471999999999</v>
          </cell>
        </row>
        <row r="1485">
          <cell r="A1485">
            <v>43750</v>
          </cell>
          <cell r="B1485">
            <v>111.858147</v>
          </cell>
        </row>
        <row r="1486">
          <cell r="A1486">
            <v>43781</v>
          </cell>
          <cell r="B1486">
            <v>111.726715</v>
          </cell>
        </row>
        <row r="1487">
          <cell r="A1487">
            <v>43811</v>
          </cell>
          <cell r="B1487">
            <v>112.440269</v>
          </cell>
        </row>
        <row r="1488">
          <cell r="A1488" t="str">
            <v>13-12-2019</v>
          </cell>
          <cell r="B1488">
            <v>112.93787399999999</v>
          </cell>
        </row>
        <row r="1489">
          <cell r="A1489" t="str">
            <v>16-12-2019</v>
          </cell>
          <cell r="B1489">
            <v>113.172607</v>
          </cell>
        </row>
        <row r="1490">
          <cell r="A1490" t="str">
            <v>17-12-2019</v>
          </cell>
          <cell r="B1490">
            <v>113.867355</v>
          </cell>
        </row>
        <row r="1491">
          <cell r="A1491" t="str">
            <v>18-12-2019</v>
          </cell>
          <cell r="B1491">
            <v>112.534149</v>
          </cell>
        </row>
        <row r="1492">
          <cell r="A1492" t="str">
            <v>19-12-2019</v>
          </cell>
          <cell r="B1492">
            <v>112.740723</v>
          </cell>
        </row>
        <row r="1493">
          <cell r="A1493" t="str">
            <v>20-12-2019</v>
          </cell>
          <cell r="B1493">
            <v>112.93787399999999</v>
          </cell>
        </row>
        <row r="1494">
          <cell r="A1494" t="str">
            <v>23-12-2019</v>
          </cell>
          <cell r="B1494">
            <v>111.75489</v>
          </cell>
        </row>
        <row r="1495">
          <cell r="A1495" t="str">
            <v>24-12-2019</v>
          </cell>
          <cell r="B1495">
            <v>112.205544</v>
          </cell>
        </row>
        <row r="1496">
          <cell r="A1496" t="str">
            <v>26-12-2019</v>
          </cell>
          <cell r="B1496">
            <v>112.214928</v>
          </cell>
        </row>
        <row r="1497">
          <cell r="A1497" t="str">
            <v>27-12-2019</v>
          </cell>
          <cell r="B1497">
            <v>112.280663</v>
          </cell>
        </row>
        <row r="1498">
          <cell r="A1498" t="str">
            <v>30-12-2019</v>
          </cell>
          <cell r="B1498">
            <v>112.102272</v>
          </cell>
        </row>
        <row r="1499">
          <cell r="A1499" t="str">
            <v>31-12-2019</v>
          </cell>
          <cell r="B1499">
            <v>111.576508</v>
          </cell>
        </row>
        <row r="1500">
          <cell r="A1500">
            <v>43862</v>
          </cell>
          <cell r="B1500">
            <v>111.670372</v>
          </cell>
        </row>
        <row r="1501">
          <cell r="A1501">
            <v>43891</v>
          </cell>
          <cell r="B1501">
            <v>110.68456999999999</v>
          </cell>
        </row>
        <row r="1502">
          <cell r="A1502">
            <v>43983</v>
          </cell>
          <cell r="B1502">
            <v>110.459236</v>
          </cell>
        </row>
        <row r="1503">
          <cell r="A1503">
            <v>44013</v>
          </cell>
          <cell r="B1503">
            <v>109.43583700000001</v>
          </cell>
        </row>
        <row r="1504">
          <cell r="A1504">
            <v>44044</v>
          </cell>
          <cell r="B1504">
            <v>109.060303</v>
          </cell>
        </row>
        <row r="1505">
          <cell r="A1505">
            <v>44075</v>
          </cell>
          <cell r="B1505">
            <v>110.186966</v>
          </cell>
        </row>
        <row r="1506">
          <cell r="A1506">
            <v>44105</v>
          </cell>
          <cell r="B1506">
            <v>109.266869</v>
          </cell>
        </row>
        <row r="1507">
          <cell r="A1507" t="str">
            <v>13-01-2020</v>
          </cell>
          <cell r="B1507">
            <v>108.79742400000001</v>
          </cell>
        </row>
        <row r="1508">
          <cell r="A1508" t="str">
            <v>14-01-2020</v>
          </cell>
          <cell r="B1508">
            <v>109.07907899999999</v>
          </cell>
        </row>
        <row r="1509">
          <cell r="A1509" t="str">
            <v>15-01-2020</v>
          </cell>
          <cell r="B1509">
            <v>108.234077</v>
          </cell>
        </row>
        <row r="1510">
          <cell r="A1510" t="str">
            <v>16-01-2020</v>
          </cell>
          <cell r="B1510">
            <v>108.816185</v>
          </cell>
        </row>
        <row r="1511">
          <cell r="A1511" t="str">
            <v>17-01-2020</v>
          </cell>
          <cell r="B1511">
            <v>107.933655</v>
          </cell>
        </row>
        <row r="1512">
          <cell r="A1512" t="str">
            <v>21-01-2020</v>
          </cell>
          <cell r="B1512">
            <v>108.52514600000001</v>
          </cell>
        </row>
        <row r="1513">
          <cell r="A1513" t="str">
            <v>22-01-2020</v>
          </cell>
          <cell r="B1513">
            <v>109.003967</v>
          </cell>
        </row>
        <row r="1514">
          <cell r="A1514" t="str">
            <v>23-01-2020</v>
          </cell>
          <cell r="B1514">
            <v>108.731689</v>
          </cell>
        </row>
        <row r="1515">
          <cell r="A1515" t="str">
            <v>24-01-2020</v>
          </cell>
          <cell r="B1515">
            <v>107.379715</v>
          </cell>
        </row>
        <row r="1516">
          <cell r="A1516" t="str">
            <v>27-01-2020</v>
          </cell>
          <cell r="B1516">
            <v>108.77864099999999</v>
          </cell>
        </row>
        <row r="1517">
          <cell r="A1517" t="str">
            <v>28-01-2020</v>
          </cell>
          <cell r="B1517">
            <v>109.47341900000001</v>
          </cell>
        </row>
        <row r="1518">
          <cell r="A1518" t="str">
            <v>29-01-2020</v>
          </cell>
          <cell r="B1518">
            <v>108.806816</v>
          </cell>
        </row>
        <row r="1519">
          <cell r="A1519" t="str">
            <v>30-01-2020</v>
          </cell>
          <cell r="B1519">
            <v>109.45462000000001</v>
          </cell>
        </row>
        <row r="1520">
          <cell r="A1520" t="str">
            <v>31-01-2020</v>
          </cell>
          <cell r="B1520">
            <v>107.492355</v>
          </cell>
        </row>
        <row r="1521">
          <cell r="A1521">
            <v>43892</v>
          </cell>
          <cell r="B1521">
            <v>107.28582</v>
          </cell>
        </row>
        <row r="1522">
          <cell r="A1522">
            <v>43923</v>
          </cell>
          <cell r="B1522">
            <v>108.224693</v>
          </cell>
        </row>
        <row r="1523">
          <cell r="A1523">
            <v>43953</v>
          </cell>
          <cell r="B1523">
            <v>109.67057800000001</v>
          </cell>
        </row>
        <row r="1524">
          <cell r="A1524">
            <v>43984</v>
          </cell>
          <cell r="B1524">
            <v>109.201134</v>
          </cell>
        </row>
        <row r="1525">
          <cell r="A1525">
            <v>44014</v>
          </cell>
          <cell r="B1525">
            <v>109.33255800000001</v>
          </cell>
        </row>
        <row r="1526">
          <cell r="A1526">
            <v>44106</v>
          </cell>
          <cell r="B1526">
            <v>108.205917</v>
          </cell>
        </row>
        <row r="1527">
          <cell r="A1527">
            <v>44137</v>
          </cell>
          <cell r="B1527">
            <v>108.346756</v>
          </cell>
        </row>
        <row r="1528">
          <cell r="A1528">
            <v>44167</v>
          </cell>
          <cell r="B1528">
            <v>108.769249</v>
          </cell>
        </row>
        <row r="1529">
          <cell r="A1529" t="str">
            <v>13-02-2020</v>
          </cell>
          <cell r="B1529">
            <v>110.26207700000001</v>
          </cell>
        </row>
        <row r="1530">
          <cell r="A1530" t="str">
            <v>14-02-2020</v>
          </cell>
          <cell r="B1530">
            <v>110.68456999999999</v>
          </cell>
        </row>
        <row r="1531">
          <cell r="A1531" t="str">
            <v>18-02-2020</v>
          </cell>
          <cell r="B1531">
            <v>112.318214</v>
          </cell>
        </row>
        <row r="1532">
          <cell r="A1532" t="str">
            <v>19-02-2020</v>
          </cell>
          <cell r="B1532">
            <v>110.48741099999999</v>
          </cell>
        </row>
        <row r="1533">
          <cell r="A1533" t="str">
            <v>20-02-2020</v>
          </cell>
          <cell r="B1533">
            <v>110.496788</v>
          </cell>
        </row>
        <row r="1534">
          <cell r="A1534" t="str">
            <v>21-02-2020</v>
          </cell>
          <cell r="B1534">
            <v>111.332397</v>
          </cell>
        </row>
        <row r="1535">
          <cell r="A1535" t="str">
            <v>24-02-2020</v>
          </cell>
          <cell r="B1535">
            <v>109.21051</v>
          </cell>
        </row>
        <row r="1536">
          <cell r="A1536" t="str">
            <v>25-02-2020</v>
          </cell>
          <cell r="B1536">
            <v>107.398483</v>
          </cell>
        </row>
        <row r="1537">
          <cell r="A1537" t="str">
            <v>26-02-2020</v>
          </cell>
          <cell r="B1537">
            <v>106.82576</v>
          </cell>
        </row>
        <row r="1538">
          <cell r="A1538" t="str">
            <v>27-02-2020</v>
          </cell>
          <cell r="B1538">
            <v>103.652351</v>
          </cell>
        </row>
        <row r="1539">
          <cell r="A1539" t="str">
            <v>28-02-2020</v>
          </cell>
          <cell r="B1539">
            <v>101.098595</v>
          </cell>
        </row>
        <row r="1540">
          <cell r="A1540">
            <v>43864</v>
          </cell>
          <cell r="B1540">
            <v>108.79742400000001</v>
          </cell>
        </row>
        <row r="1541">
          <cell r="A1541">
            <v>43893</v>
          </cell>
          <cell r="B1541">
            <v>106.008942</v>
          </cell>
        </row>
        <row r="1542">
          <cell r="A1542">
            <v>43924</v>
          </cell>
          <cell r="B1542">
            <v>109.633026</v>
          </cell>
        </row>
        <row r="1543">
          <cell r="A1543">
            <v>43954</v>
          </cell>
          <cell r="B1543">
            <v>108.834976</v>
          </cell>
        </row>
        <row r="1544">
          <cell r="A1544">
            <v>43985</v>
          </cell>
          <cell r="B1544">
            <v>110.064903</v>
          </cell>
        </row>
        <row r="1545">
          <cell r="A1545">
            <v>44077</v>
          </cell>
          <cell r="B1545">
            <v>109.99917600000001</v>
          </cell>
        </row>
        <row r="1546">
          <cell r="A1546">
            <v>44107</v>
          </cell>
          <cell r="B1546">
            <v>112.46843</v>
          </cell>
        </row>
        <row r="1547">
          <cell r="A1547">
            <v>44138</v>
          </cell>
          <cell r="B1547">
            <v>107.436035</v>
          </cell>
        </row>
        <row r="1548">
          <cell r="A1548">
            <v>44168</v>
          </cell>
          <cell r="B1548">
            <v>97.690460000000002</v>
          </cell>
        </row>
        <row r="1549">
          <cell r="A1549" t="str">
            <v>13-03-2020</v>
          </cell>
          <cell r="B1549">
            <v>107.126205</v>
          </cell>
        </row>
        <row r="1550">
          <cell r="A1550" t="str">
            <v>16-03-2020</v>
          </cell>
          <cell r="B1550">
            <v>100.23483299999999</v>
          </cell>
        </row>
        <row r="1551">
          <cell r="A1551" t="str">
            <v>17-03-2020</v>
          </cell>
          <cell r="B1551">
            <v>111.970833</v>
          </cell>
        </row>
        <row r="1552">
          <cell r="A1552" t="str">
            <v>18-03-2020</v>
          </cell>
          <cell r="B1552">
            <v>115.087914</v>
          </cell>
        </row>
        <row r="1553">
          <cell r="A1553" t="str">
            <v>19-03-2020</v>
          </cell>
          <cell r="B1553">
            <v>112.645454</v>
          </cell>
        </row>
        <row r="1554">
          <cell r="A1554" t="str">
            <v>20-03-2020</v>
          </cell>
          <cell r="B1554">
            <v>107.47762299999999</v>
          </cell>
        </row>
        <row r="1555">
          <cell r="A1555" t="str">
            <v>23-03-2020</v>
          </cell>
          <cell r="B1555">
            <v>107.769958</v>
          </cell>
        </row>
        <row r="1556">
          <cell r="A1556" t="str">
            <v>24-03-2020</v>
          </cell>
          <cell r="B1556">
            <v>108.477234</v>
          </cell>
        </row>
        <row r="1557">
          <cell r="A1557" t="str">
            <v>25-03-2020</v>
          </cell>
          <cell r="B1557">
            <v>103.16796100000001</v>
          </cell>
        </row>
        <row r="1558">
          <cell r="A1558" t="str">
            <v>26-03-2020</v>
          </cell>
          <cell r="B1558">
            <v>103.564026</v>
          </cell>
        </row>
        <row r="1559">
          <cell r="A1559" t="str">
            <v>27-03-2020</v>
          </cell>
          <cell r="B1559">
            <v>103.33770800000001</v>
          </cell>
        </row>
        <row r="1560">
          <cell r="A1560" t="str">
            <v>30-03-2020</v>
          </cell>
          <cell r="B1560">
            <v>108.62812</v>
          </cell>
        </row>
        <row r="1561">
          <cell r="A1561" t="str">
            <v>31-03-2020</v>
          </cell>
          <cell r="B1561">
            <v>107.147552</v>
          </cell>
        </row>
        <row r="1562">
          <cell r="A1562">
            <v>43834</v>
          </cell>
          <cell r="B1562">
            <v>107.637939</v>
          </cell>
        </row>
        <row r="1563">
          <cell r="A1563">
            <v>43865</v>
          </cell>
          <cell r="B1563">
            <v>111.891014</v>
          </cell>
        </row>
        <row r="1564">
          <cell r="A1564">
            <v>43894</v>
          </cell>
          <cell r="B1564">
            <v>112.673737</v>
          </cell>
        </row>
        <row r="1565">
          <cell r="A1565">
            <v>43986</v>
          </cell>
          <cell r="B1565">
            <v>118.888351</v>
          </cell>
        </row>
        <row r="1566">
          <cell r="A1566">
            <v>44016</v>
          </cell>
          <cell r="B1566">
            <v>115.040764</v>
          </cell>
        </row>
        <row r="1567">
          <cell r="A1567">
            <v>44047</v>
          </cell>
          <cell r="B1567">
            <v>114.899292</v>
          </cell>
        </row>
        <row r="1568">
          <cell r="A1568">
            <v>44078</v>
          </cell>
          <cell r="B1568">
            <v>114.861565</v>
          </cell>
        </row>
        <row r="1569">
          <cell r="A1569" t="str">
            <v>13-04-2020</v>
          </cell>
          <cell r="B1569">
            <v>118.162209</v>
          </cell>
        </row>
        <row r="1570">
          <cell r="A1570" t="str">
            <v>14-04-2020</v>
          </cell>
          <cell r="B1570">
            <v>121.65141300000001</v>
          </cell>
        </row>
        <row r="1571">
          <cell r="A1571" t="str">
            <v>15-04-2020</v>
          </cell>
          <cell r="B1571">
            <v>121.425102</v>
          </cell>
        </row>
        <row r="1572">
          <cell r="A1572" t="str">
            <v>16-04-2020</v>
          </cell>
          <cell r="B1572">
            <v>124.791718</v>
          </cell>
        </row>
        <row r="1573">
          <cell r="A1573" t="str">
            <v>17-04-2020</v>
          </cell>
          <cell r="B1573">
            <v>124.59369700000001</v>
          </cell>
        </row>
        <row r="1574">
          <cell r="A1574" t="str">
            <v>20-04-2020</v>
          </cell>
          <cell r="B1574">
            <v>122.453011</v>
          </cell>
        </row>
        <row r="1575">
          <cell r="A1575" t="str">
            <v>21-04-2020</v>
          </cell>
          <cell r="B1575">
            <v>121.849457</v>
          </cell>
        </row>
        <row r="1576">
          <cell r="A1576" t="str">
            <v>22-04-2020</v>
          </cell>
          <cell r="B1576">
            <v>124.093872</v>
          </cell>
        </row>
        <row r="1577">
          <cell r="A1577" t="str">
            <v>23-04-2020</v>
          </cell>
          <cell r="B1577">
            <v>121.208214</v>
          </cell>
        </row>
        <row r="1578">
          <cell r="A1578" t="str">
            <v>24-04-2020</v>
          </cell>
          <cell r="B1578">
            <v>122.066368</v>
          </cell>
        </row>
        <row r="1579">
          <cell r="A1579" t="str">
            <v>27-04-2020</v>
          </cell>
          <cell r="B1579">
            <v>120.991302</v>
          </cell>
        </row>
        <row r="1580">
          <cell r="A1580" t="str">
            <v>28-04-2020</v>
          </cell>
          <cell r="B1580">
            <v>120.70837400000001</v>
          </cell>
        </row>
        <row r="1581">
          <cell r="A1581" t="str">
            <v>29-04-2020</v>
          </cell>
          <cell r="B1581">
            <v>116.559029</v>
          </cell>
        </row>
        <row r="1582">
          <cell r="A1582" t="str">
            <v>30-04-2020</v>
          </cell>
          <cell r="B1582">
            <v>114.625816</v>
          </cell>
        </row>
        <row r="1583">
          <cell r="A1583">
            <v>43835</v>
          </cell>
          <cell r="B1583">
            <v>115.917793</v>
          </cell>
        </row>
        <row r="1584">
          <cell r="A1584">
            <v>43926</v>
          </cell>
          <cell r="B1584">
            <v>116.653336</v>
          </cell>
        </row>
        <row r="1585">
          <cell r="A1585">
            <v>43956</v>
          </cell>
          <cell r="B1585">
            <v>117.62468</v>
          </cell>
        </row>
        <row r="1586">
          <cell r="A1586">
            <v>43987</v>
          </cell>
          <cell r="B1586">
            <v>116.276115</v>
          </cell>
        </row>
        <row r="1587">
          <cell r="A1587">
            <v>44017</v>
          </cell>
          <cell r="B1587">
            <v>115.45208</v>
          </cell>
        </row>
        <row r="1588">
          <cell r="A1588">
            <v>44048</v>
          </cell>
          <cell r="B1588">
            <v>116.446625</v>
          </cell>
        </row>
        <row r="1589">
          <cell r="A1589">
            <v>44140</v>
          </cell>
          <cell r="B1589">
            <v>117.13806200000001</v>
          </cell>
        </row>
        <row r="1590">
          <cell r="A1590">
            <v>44170</v>
          </cell>
          <cell r="B1590">
            <v>117.242271</v>
          </cell>
        </row>
        <row r="1591">
          <cell r="A1591" t="str">
            <v>13-05-2020</v>
          </cell>
          <cell r="B1591">
            <v>117.175949</v>
          </cell>
        </row>
        <row r="1592">
          <cell r="A1592" t="str">
            <v>14-05-2020</v>
          </cell>
          <cell r="B1592">
            <v>116.901276</v>
          </cell>
        </row>
        <row r="1593">
          <cell r="A1593" t="str">
            <v>15-05-2020</v>
          </cell>
          <cell r="B1593">
            <v>119.288177</v>
          </cell>
        </row>
        <row r="1594">
          <cell r="A1594" t="str">
            <v>18-05-2020</v>
          </cell>
          <cell r="B1594">
            <v>120.91733600000001</v>
          </cell>
        </row>
        <row r="1595">
          <cell r="A1595" t="str">
            <v>19-05-2020</v>
          </cell>
          <cell r="B1595">
            <v>118.350464</v>
          </cell>
        </row>
        <row r="1596">
          <cell r="A1596" t="str">
            <v>20-05-2020</v>
          </cell>
          <cell r="B1596">
            <v>118.82403600000001</v>
          </cell>
        </row>
        <row r="1597">
          <cell r="A1597" t="str">
            <v>21-05-2020</v>
          </cell>
          <cell r="B1597">
            <v>118.388351</v>
          </cell>
        </row>
        <row r="1598">
          <cell r="A1598" t="str">
            <v>22-05-2020</v>
          </cell>
          <cell r="B1598">
            <v>117.763199</v>
          </cell>
        </row>
        <row r="1599">
          <cell r="A1599" t="str">
            <v>26-05-2020</v>
          </cell>
          <cell r="B1599">
            <v>117.318031</v>
          </cell>
        </row>
        <row r="1600">
          <cell r="A1600" t="str">
            <v>27-05-2020</v>
          </cell>
          <cell r="B1600">
            <v>116.01091</v>
          </cell>
        </row>
        <row r="1601">
          <cell r="A1601" t="str">
            <v>28-05-2020</v>
          </cell>
          <cell r="B1601">
            <v>117.15701300000001</v>
          </cell>
        </row>
        <row r="1602">
          <cell r="A1602" t="str">
            <v>29-05-2020</v>
          </cell>
          <cell r="B1602">
            <v>117.507462</v>
          </cell>
        </row>
        <row r="1603">
          <cell r="A1603">
            <v>43836</v>
          </cell>
          <cell r="B1603">
            <v>117.41274300000001</v>
          </cell>
        </row>
        <row r="1604">
          <cell r="A1604">
            <v>43867</v>
          </cell>
          <cell r="B1604">
            <v>117.393822</v>
          </cell>
        </row>
        <row r="1605">
          <cell r="A1605">
            <v>43896</v>
          </cell>
          <cell r="B1605">
            <v>116.948624</v>
          </cell>
        </row>
        <row r="1606">
          <cell r="A1606">
            <v>43927</v>
          </cell>
          <cell r="B1606">
            <v>115.66046900000001</v>
          </cell>
        </row>
        <row r="1607">
          <cell r="A1607">
            <v>43957</v>
          </cell>
          <cell r="B1607">
            <v>115.139503</v>
          </cell>
        </row>
        <row r="1608">
          <cell r="A1608">
            <v>44049</v>
          </cell>
          <cell r="B1608">
            <v>114.836395</v>
          </cell>
        </row>
        <row r="1609">
          <cell r="A1609">
            <v>44080</v>
          </cell>
          <cell r="B1609">
            <v>114.94059799999999</v>
          </cell>
        </row>
        <row r="1610">
          <cell r="A1610">
            <v>44110</v>
          </cell>
          <cell r="B1610">
            <v>114.760651</v>
          </cell>
        </row>
        <row r="1611">
          <cell r="A1611">
            <v>44141</v>
          </cell>
          <cell r="B1611">
            <v>113.747147</v>
          </cell>
        </row>
        <row r="1612">
          <cell r="A1612">
            <v>44171</v>
          </cell>
          <cell r="B1612">
            <v>111.521286</v>
          </cell>
        </row>
        <row r="1613">
          <cell r="A1613" t="str">
            <v>15-06-2020</v>
          </cell>
          <cell r="B1613">
            <v>111.843338</v>
          </cell>
        </row>
        <row r="1614">
          <cell r="A1614" t="str">
            <v>16-06-2020</v>
          </cell>
          <cell r="B1614">
            <v>113.330406</v>
          </cell>
        </row>
        <row r="1615">
          <cell r="A1615" t="str">
            <v>17-06-2020</v>
          </cell>
          <cell r="B1615">
            <v>112.743134</v>
          </cell>
        </row>
        <row r="1616">
          <cell r="A1616" t="str">
            <v>18-06-2020</v>
          </cell>
          <cell r="B1616">
            <v>111.758072</v>
          </cell>
        </row>
        <row r="1617">
          <cell r="A1617" t="str">
            <v>19-06-2020</v>
          </cell>
          <cell r="B1617">
            <v>113.519836</v>
          </cell>
        </row>
        <row r="1618">
          <cell r="A1618" t="str">
            <v>22-06-2020</v>
          </cell>
          <cell r="B1618">
            <v>115.253181</v>
          </cell>
        </row>
        <row r="1619">
          <cell r="A1619" t="str">
            <v>23-06-2020</v>
          </cell>
          <cell r="B1619">
            <v>114.67540700000001</v>
          </cell>
        </row>
        <row r="1620">
          <cell r="A1620" t="str">
            <v>24-06-2020</v>
          </cell>
          <cell r="B1620">
            <v>113.94606</v>
          </cell>
        </row>
        <row r="1621">
          <cell r="A1621" t="str">
            <v>25-06-2020</v>
          </cell>
          <cell r="B1621">
            <v>113.38723</v>
          </cell>
        </row>
        <row r="1622">
          <cell r="A1622" t="str">
            <v>26-06-2020</v>
          </cell>
          <cell r="B1622">
            <v>112.07064099999999</v>
          </cell>
        </row>
        <row r="1623">
          <cell r="A1623" t="str">
            <v>29-06-2020</v>
          </cell>
          <cell r="B1623">
            <v>112.771553</v>
          </cell>
        </row>
        <row r="1624">
          <cell r="A1624" t="str">
            <v>30-06-2020</v>
          </cell>
          <cell r="B1624">
            <v>113.453529</v>
          </cell>
        </row>
        <row r="1625">
          <cell r="A1625">
            <v>43837</v>
          </cell>
          <cell r="B1625">
            <v>113.368286</v>
          </cell>
        </row>
        <row r="1626">
          <cell r="A1626">
            <v>43868</v>
          </cell>
          <cell r="B1626">
            <v>112.913635</v>
          </cell>
        </row>
        <row r="1627">
          <cell r="A1627">
            <v>43989</v>
          </cell>
          <cell r="B1627">
            <v>112.610542</v>
          </cell>
        </row>
        <row r="1628">
          <cell r="A1628">
            <v>44019</v>
          </cell>
          <cell r="B1628">
            <v>120.244812</v>
          </cell>
        </row>
        <row r="1629">
          <cell r="A1629">
            <v>44050</v>
          </cell>
          <cell r="B1629">
            <v>117.867401</v>
          </cell>
        </row>
        <row r="1630">
          <cell r="A1630">
            <v>44081</v>
          </cell>
          <cell r="B1630">
            <v>121.00256299999999</v>
          </cell>
        </row>
        <row r="1631">
          <cell r="A1631">
            <v>44111</v>
          </cell>
          <cell r="B1631">
            <v>123.77778600000001</v>
          </cell>
        </row>
        <row r="1632">
          <cell r="A1632" t="str">
            <v>13-07-2020</v>
          </cell>
          <cell r="B1632">
            <v>122.67910000000001</v>
          </cell>
        </row>
        <row r="1633">
          <cell r="A1633" t="str">
            <v>14-07-2020</v>
          </cell>
          <cell r="B1633">
            <v>125.03755200000001</v>
          </cell>
        </row>
        <row r="1634">
          <cell r="A1634" t="str">
            <v>15-07-2020</v>
          </cell>
          <cell r="B1634">
            <v>125.028091</v>
          </cell>
        </row>
        <row r="1635">
          <cell r="A1635" t="str">
            <v>16-07-2020</v>
          </cell>
          <cell r="B1635">
            <v>125.217522</v>
          </cell>
        </row>
        <row r="1636">
          <cell r="A1636" t="str">
            <v>17-07-2020</v>
          </cell>
          <cell r="B1636">
            <v>124.78183</v>
          </cell>
        </row>
        <row r="1637">
          <cell r="A1637" t="str">
            <v>20-07-2020</v>
          </cell>
          <cell r="B1637">
            <v>124.526093</v>
          </cell>
        </row>
        <row r="1638">
          <cell r="A1638" t="str">
            <v>21-07-2020</v>
          </cell>
          <cell r="B1638">
            <v>125.340675</v>
          </cell>
        </row>
        <row r="1639">
          <cell r="A1639" t="str">
            <v>22-07-2020</v>
          </cell>
          <cell r="B1639">
            <v>125.653267</v>
          </cell>
        </row>
        <row r="1640">
          <cell r="A1640" t="str">
            <v>23-07-2020</v>
          </cell>
          <cell r="B1640">
            <v>124.68710299999999</v>
          </cell>
        </row>
        <row r="1641">
          <cell r="A1641" t="str">
            <v>24-07-2020</v>
          </cell>
          <cell r="B1641">
            <v>124.308243</v>
          </cell>
        </row>
        <row r="1642">
          <cell r="A1642" t="str">
            <v>27-07-2020</v>
          </cell>
          <cell r="B1642">
            <v>124.279816</v>
          </cell>
        </row>
        <row r="1643">
          <cell r="A1643" t="str">
            <v>28-07-2020</v>
          </cell>
          <cell r="B1643">
            <v>124.800781</v>
          </cell>
        </row>
        <row r="1644">
          <cell r="A1644" t="str">
            <v>29-07-2020</v>
          </cell>
          <cell r="B1644">
            <v>123.7873</v>
          </cell>
        </row>
        <row r="1645">
          <cell r="A1645" t="str">
            <v>30-07-2020</v>
          </cell>
          <cell r="B1645">
            <v>123.24739099999999</v>
          </cell>
        </row>
        <row r="1646">
          <cell r="A1646" t="str">
            <v>31-07-2020</v>
          </cell>
          <cell r="B1646">
            <v>122.56540699999999</v>
          </cell>
        </row>
        <row r="1647">
          <cell r="A1647">
            <v>43898</v>
          </cell>
          <cell r="B1647">
            <v>122.47071800000001</v>
          </cell>
        </row>
        <row r="1648">
          <cell r="A1648">
            <v>43929</v>
          </cell>
          <cell r="B1648">
            <v>124.68710299999999</v>
          </cell>
        </row>
        <row r="1649">
          <cell r="A1649">
            <v>43959</v>
          </cell>
          <cell r="B1649">
            <v>122.953773</v>
          </cell>
        </row>
        <row r="1650">
          <cell r="A1650">
            <v>43990</v>
          </cell>
          <cell r="B1650">
            <v>122.518066</v>
          </cell>
        </row>
        <row r="1651">
          <cell r="A1651">
            <v>44020</v>
          </cell>
          <cell r="B1651">
            <v>123.105316</v>
          </cell>
        </row>
        <row r="1652">
          <cell r="A1652">
            <v>44112</v>
          </cell>
          <cell r="B1652">
            <v>124.914421</v>
          </cell>
        </row>
        <row r="1653">
          <cell r="A1653">
            <v>44143</v>
          </cell>
          <cell r="B1653">
            <v>123.32317399999999</v>
          </cell>
        </row>
        <row r="1654">
          <cell r="A1654">
            <v>44173</v>
          </cell>
          <cell r="B1654">
            <v>124.92392</v>
          </cell>
        </row>
        <row r="1655">
          <cell r="A1655" t="str">
            <v>13-08-2020</v>
          </cell>
          <cell r="B1655">
            <v>125.399452</v>
          </cell>
        </row>
        <row r="1656">
          <cell r="A1656" t="str">
            <v>14-08-2020</v>
          </cell>
          <cell r="B1656">
            <v>126.11277</v>
          </cell>
        </row>
        <row r="1657">
          <cell r="A1657" t="str">
            <v>17-08-2020</v>
          </cell>
          <cell r="B1657">
            <v>128.96601899999999</v>
          </cell>
        </row>
        <row r="1658">
          <cell r="A1658" t="str">
            <v>18-08-2020</v>
          </cell>
          <cell r="B1658">
            <v>128.11952199999999</v>
          </cell>
        </row>
        <row r="1659">
          <cell r="A1659" t="str">
            <v>19-08-2020</v>
          </cell>
          <cell r="B1659">
            <v>125.93206000000001</v>
          </cell>
        </row>
        <row r="1660">
          <cell r="A1660" t="str">
            <v>20-08-2020</v>
          </cell>
          <cell r="B1660">
            <v>124.182053</v>
          </cell>
        </row>
        <row r="1661">
          <cell r="A1661" t="str">
            <v>21-08-2020</v>
          </cell>
          <cell r="B1661">
            <v>125.190201</v>
          </cell>
        </row>
        <row r="1662">
          <cell r="A1662" t="str">
            <v>24-08-2020</v>
          </cell>
          <cell r="B1662">
            <v>124.90490699999999</v>
          </cell>
        </row>
        <row r="1663">
          <cell r="A1663" t="str">
            <v>25-08-2020</v>
          </cell>
          <cell r="B1663">
            <v>124.239136</v>
          </cell>
        </row>
        <row r="1664">
          <cell r="A1664" t="str">
            <v>26-08-2020</v>
          </cell>
          <cell r="B1664">
            <v>124.305725</v>
          </cell>
        </row>
        <row r="1665">
          <cell r="A1665" t="str">
            <v>27-08-2020</v>
          </cell>
          <cell r="B1665">
            <v>129.94560200000001</v>
          </cell>
        </row>
        <row r="1666">
          <cell r="A1666" t="str">
            <v>28-08-2020</v>
          </cell>
          <cell r="B1666">
            <v>133.436081</v>
          </cell>
        </row>
        <row r="1667">
          <cell r="A1667" t="str">
            <v>31-08-2020</v>
          </cell>
          <cell r="B1667">
            <v>132.05699200000001</v>
          </cell>
        </row>
        <row r="1668">
          <cell r="A1668">
            <v>43839</v>
          </cell>
          <cell r="B1668">
            <v>140.36938499999999</v>
          </cell>
        </row>
        <row r="1669">
          <cell r="A1669">
            <v>43870</v>
          </cell>
          <cell r="B1669">
            <v>140.45498699999999</v>
          </cell>
        </row>
        <row r="1670">
          <cell r="A1670">
            <v>43899</v>
          </cell>
          <cell r="B1670">
            <v>137.468613</v>
          </cell>
        </row>
        <row r="1671">
          <cell r="A1671">
            <v>43930</v>
          </cell>
          <cell r="B1671">
            <v>135.84225499999999</v>
          </cell>
        </row>
        <row r="1672">
          <cell r="A1672">
            <v>44052</v>
          </cell>
          <cell r="B1672">
            <v>131.67654400000001</v>
          </cell>
        </row>
        <row r="1673">
          <cell r="A1673">
            <v>44083</v>
          </cell>
          <cell r="B1673">
            <v>133.046097</v>
          </cell>
        </row>
        <row r="1674">
          <cell r="A1674">
            <v>44113</v>
          </cell>
          <cell r="B1674">
            <v>130.11679100000001</v>
          </cell>
        </row>
        <row r="1675">
          <cell r="A1675">
            <v>44144</v>
          </cell>
          <cell r="B1675">
            <v>130.01216099999999</v>
          </cell>
        </row>
        <row r="1676">
          <cell r="A1676" t="str">
            <v>14-09-2020</v>
          </cell>
          <cell r="B1676">
            <v>130.60185200000001</v>
          </cell>
        </row>
        <row r="1677">
          <cell r="A1677" t="str">
            <v>15-09-2020</v>
          </cell>
          <cell r="B1677">
            <v>130.63986199999999</v>
          </cell>
        </row>
        <row r="1678">
          <cell r="A1678" t="str">
            <v>16-09-2020</v>
          </cell>
          <cell r="B1678">
            <v>129.593658</v>
          </cell>
        </row>
        <row r="1679">
          <cell r="A1679" t="str">
            <v>17-09-2020</v>
          </cell>
          <cell r="B1679">
            <v>130.00266999999999</v>
          </cell>
        </row>
        <row r="1680">
          <cell r="A1680" t="str">
            <v>18-09-2020</v>
          </cell>
          <cell r="B1680">
            <v>128.67112700000001</v>
          </cell>
        </row>
        <row r="1681">
          <cell r="A1681" t="str">
            <v>21-09-2020</v>
          </cell>
          <cell r="B1681">
            <v>130.36407500000001</v>
          </cell>
        </row>
        <row r="1682">
          <cell r="A1682" t="str">
            <v>22-09-2020</v>
          </cell>
          <cell r="B1682">
            <v>131.54342700000001</v>
          </cell>
        </row>
        <row r="1683">
          <cell r="A1683" t="str">
            <v>23-09-2020</v>
          </cell>
          <cell r="B1683">
            <v>129.336929</v>
          </cell>
        </row>
        <row r="1684">
          <cell r="A1684" t="str">
            <v>24-09-2020</v>
          </cell>
          <cell r="B1684">
            <v>130.01216099999999</v>
          </cell>
        </row>
        <row r="1685">
          <cell r="A1685" t="str">
            <v>25-09-2020</v>
          </cell>
          <cell r="B1685">
            <v>130.55427599999999</v>
          </cell>
        </row>
        <row r="1686">
          <cell r="A1686" t="str">
            <v>28-09-2020</v>
          </cell>
          <cell r="B1686">
            <v>130.53526299999999</v>
          </cell>
        </row>
        <row r="1687">
          <cell r="A1687" t="str">
            <v>29-09-2020</v>
          </cell>
          <cell r="B1687">
            <v>130.43061800000001</v>
          </cell>
        </row>
        <row r="1688">
          <cell r="A1688" t="str">
            <v>30-09-2020</v>
          </cell>
          <cell r="B1688">
            <v>133.065155</v>
          </cell>
        </row>
        <row r="1689">
          <cell r="A1689">
            <v>43840</v>
          </cell>
          <cell r="B1689">
            <v>136.08003199999999</v>
          </cell>
        </row>
        <row r="1690">
          <cell r="A1690">
            <v>43871</v>
          </cell>
          <cell r="B1690">
            <v>133.626251</v>
          </cell>
        </row>
        <row r="1691">
          <cell r="A1691">
            <v>43961</v>
          </cell>
          <cell r="B1691">
            <v>134.86265599999999</v>
          </cell>
        </row>
        <row r="1692">
          <cell r="A1692">
            <v>43992</v>
          </cell>
          <cell r="B1692">
            <v>133.74989299999999</v>
          </cell>
        </row>
        <row r="1693">
          <cell r="A1693">
            <v>44022</v>
          </cell>
          <cell r="B1693">
            <v>133.997162</v>
          </cell>
        </row>
        <row r="1694">
          <cell r="A1694">
            <v>44053</v>
          </cell>
          <cell r="B1694">
            <v>134.444153</v>
          </cell>
        </row>
        <row r="1695">
          <cell r="A1695">
            <v>44084</v>
          </cell>
          <cell r="B1695">
            <v>135.794693</v>
          </cell>
        </row>
        <row r="1696">
          <cell r="A1696">
            <v>44175</v>
          </cell>
          <cell r="B1696">
            <v>137.19276400000001</v>
          </cell>
        </row>
        <row r="1697">
          <cell r="A1697" t="str">
            <v>13-10-2020</v>
          </cell>
          <cell r="B1697">
            <v>139.075928</v>
          </cell>
        </row>
        <row r="1698">
          <cell r="A1698" t="str">
            <v>14-10-2020</v>
          </cell>
          <cell r="B1698">
            <v>136.89794900000001</v>
          </cell>
        </row>
        <row r="1699">
          <cell r="A1699" t="str">
            <v>15-10-2020</v>
          </cell>
          <cell r="B1699">
            <v>137.45910599999999</v>
          </cell>
        </row>
        <row r="1700">
          <cell r="A1700" t="str">
            <v>16-10-2020</v>
          </cell>
          <cell r="B1700">
            <v>137.63028</v>
          </cell>
        </row>
        <row r="1701">
          <cell r="A1701" t="str">
            <v>19-10-2020</v>
          </cell>
          <cell r="B1701">
            <v>135.95640599999999</v>
          </cell>
        </row>
        <row r="1702">
          <cell r="A1702" t="str">
            <v>20-10-2020</v>
          </cell>
          <cell r="B1702">
            <v>136.85990899999999</v>
          </cell>
        </row>
        <row r="1703">
          <cell r="A1703" t="str">
            <v>21-10-2020</v>
          </cell>
          <cell r="B1703">
            <v>137.335464</v>
          </cell>
        </row>
        <row r="1704">
          <cell r="A1704" t="str">
            <v>22-10-2020</v>
          </cell>
          <cell r="B1704">
            <v>136.52705399999999</v>
          </cell>
        </row>
        <row r="1705">
          <cell r="A1705" t="str">
            <v>23-10-2020</v>
          </cell>
          <cell r="B1705">
            <v>136.812378</v>
          </cell>
        </row>
        <row r="1706">
          <cell r="A1706" t="str">
            <v>26-10-2020</v>
          </cell>
          <cell r="B1706">
            <v>135.20504800000001</v>
          </cell>
        </row>
        <row r="1707">
          <cell r="A1707" t="str">
            <v>27-10-2020</v>
          </cell>
          <cell r="B1707">
            <v>135.88031000000001</v>
          </cell>
        </row>
        <row r="1708">
          <cell r="A1708" t="str">
            <v>28-10-2020</v>
          </cell>
          <cell r="B1708">
            <v>133.188751</v>
          </cell>
        </row>
        <row r="1709">
          <cell r="A1709" t="str">
            <v>29-10-2020</v>
          </cell>
          <cell r="B1709">
            <v>133.0746</v>
          </cell>
        </row>
        <row r="1710">
          <cell r="A1710" t="str">
            <v>30-10-2020</v>
          </cell>
          <cell r="B1710">
            <v>131.96186800000001</v>
          </cell>
        </row>
        <row r="1711">
          <cell r="A1711">
            <v>43872</v>
          </cell>
          <cell r="B1711">
            <v>133.531128</v>
          </cell>
        </row>
        <row r="1712">
          <cell r="A1712">
            <v>43901</v>
          </cell>
          <cell r="B1712">
            <v>135.794693</v>
          </cell>
        </row>
        <row r="1713">
          <cell r="A1713">
            <v>43932</v>
          </cell>
          <cell r="B1713">
            <v>135.01480100000001</v>
          </cell>
        </row>
        <row r="1714">
          <cell r="A1714">
            <v>43962</v>
          </cell>
          <cell r="B1714">
            <v>136.45095800000001</v>
          </cell>
        </row>
        <row r="1715">
          <cell r="A1715">
            <v>43993</v>
          </cell>
          <cell r="B1715">
            <v>138.638443</v>
          </cell>
        </row>
        <row r="1716">
          <cell r="A1716">
            <v>44085</v>
          </cell>
          <cell r="B1716">
            <v>136.51754800000001</v>
          </cell>
        </row>
        <row r="1717">
          <cell r="A1717">
            <v>44115</v>
          </cell>
          <cell r="B1717">
            <v>138.43869000000001</v>
          </cell>
        </row>
        <row r="1718">
          <cell r="A1718">
            <v>44146</v>
          </cell>
          <cell r="B1718">
            <v>140.74031099999999</v>
          </cell>
        </row>
        <row r="1719">
          <cell r="A1719">
            <v>44176</v>
          </cell>
          <cell r="B1719">
            <v>140.97807299999999</v>
          </cell>
        </row>
        <row r="1720">
          <cell r="A1720" t="str">
            <v>13-11-2020</v>
          </cell>
          <cell r="B1720">
            <v>143.175049</v>
          </cell>
        </row>
        <row r="1721">
          <cell r="A1721" t="str">
            <v>16-11-2020</v>
          </cell>
          <cell r="B1721">
            <v>144.982101</v>
          </cell>
        </row>
        <row r="1722">
          <cell r="A1722" t="str">
            <v>17-11-2020</v>
          </cell>
          <cell r="B1722">
            <v>142.062286</v>
          </cell>
        </row>
        <row r="1723">
          <cell r="A1723" t="str">
            <v>18-11-2020</v>
          </cell>
          <cell r="B1723">
            <v>141.79600500000001</v>
          </cell>
        </row>
        <row r="1724">
          <cell r="A1724" t="str">
            <v>19-11-2020</v>
          </cell>
          <cell r="B1724">
            <v>144.67775</v>
          </cell>
        </row>
        <row r="1725">
          <cell r="A1725" t="str">
            <v>20-11-2020</v>
          </cell>
          <cell r="B1725">
            <v>142.88973999999999</v>
          </cell>
        </row>
        <row r="1726">
          <cell r="A1726" t="str">
            <v>23-11-2020</v>
          </cell>
          <cell r="B1726">
            <v>143.545975</v>
          </cell>
        </row>
        <row r="1727">
          <cell r="A1727" t="str">
            <v>24-11-2020</v>
          </cell>
          <cell r="B1727">
            <v>143.954926</v>
          </cell>
        </row>
        <row r="1728">
          <cell r="A1728" t="str">
            <v>25-11-2020</v>
          </cell>
          <cell r="B1728">
            <v>144.401962</v>
          </cell>
        </row>
        <row r="1729">
          <cell r="A1729" t="str">
            <v>27-11-2020</v>
          </cell>
          <cell r="B1729">
            <v>144.18319700000001</v>
          </cell>
        </row>
        <row r="1730">
          <cell r="A1730" t="str">
            <v>30-11-2020</v>
          </cell>
          <cell r="B1730">
            <v>145.31497200000001</v>
          </cell>
        </row>
        <row r="1731">
          <cell r="A1731">
            <v>43842</v>
          </cell>
          <cell r="B1731">
            <v>145.172302</v>
          </cell>
        </row>
        <row r="1732">
          <cell r="A1732">
            <v>43873</v>
          </cell>
          <cell r="B1732">
            <v>143.156036</v>
          </cell>
        </row>
        <row r="1733">
          <cell r="A1733">
            <v>43902</v>
          </cell>
          <cell r="B1733">
            <v>141.995743</v>
          </cell>
        </row>
        <row r="1734">
          <cell r="A1734">
            <v>43933</v>
          </cell>
          <cell r="B1734">
            <v>141.62480199999999</v>
          </cell>
        </row>
        <row r="1735">
          <cell r="A1735">
            <v>44024</v>
          </cell>
          <cell r="B1735">
            <v>140.863922</v>
          </cell>
        </row>
        <row r="1736">
          <cell r="A1736">
            <v>44055</v>
          </cell>
          <cell r="B1736">
            <v>142.13836699999999</v>
          </cell>
        </row>
        <row r="1737">
          <cell r="A1737">
            <v>44086</v>
          </cell>
          <cell r="B1737">
            <v>141.016098</v>
          </cell>
        </row>
        <row r="1738">
          <cell r="A1738">
            <v>44116</v>
          </cell>
          <cell r="B1738">
            <v>140.35746800000001</v>
          </cell>
        </row>
        <row r="1739">
          <cell r="A1739">
            <v>44147</v>
          </cell>
          <cell r="B1739">
            <v>140.31929</v>
          </cell>
        </row>
        <row r="1740">
          <cell r="A1740" t="str">
            <v>14-12-2020</v>
          </cell>
          <cell r="B1740">
            <v>139.030655</v>
          </cell>
        </row>
        <row r="1741">
          <cell r="A1741" t="str">
            <v>15-12-2020</v>
          </cell>
          <cell r="B1741">
            <v>138.96383700000001</v>
          </cell>
        </row>
        <row r="1742">
          <cell r="A1742" t="str">
            <v>16-12-2020</v>
          </cell>
          <cell r="B1742">
            <v>138.82067900000001</v>
          </cell>
        </row>
        <row r="1743">
          <cell r="A1743" t="str">
            <v>17-12-2020</v>
          </cell>
          <cell r="B1743">
            <v>139.46017499999999</v>
          </cell>
        </row>
        <row r="1744">
          <cell r="A1744" t="str">
            <v>18-12-2020</v>
          </cell>
          <cell r="B1744">
            <v>139.317047</v>
          </cell>
        </row>
        <row r="1745">
          <cell r="A1745" t="str">
            <v>21-12-2020</v>
          </cell>
          <cell r="B1745">
            <v>139.336105</v>
          </cell>
        </row>
        <row r="1746">
          <cell r="A1746" t="str">
            <v>22-12-2020</v>
          </cell>
          <cell r="B1746">
            <v>137.64656099999999</v>
          </cell>
        </row>
        <row r="1747">
          <cell r="A1747" t="str">
            <v>23-12-2020</v>
          </cell>
          <cell r="B1747">
            <v>136.711105</v>
          </cell>
        </row>
        <row r="1748">
          <cell r="A1748" t="str">
            <v>24-12-2020</v>
          </cell>
          <cell r="B1748">
            <v>136.97837799999999</v>
          </cell>
        </row>
        <row r="1749">
          <cell r="A1749" t="str">
            <v>28-12-2020</v>
          </cell>
          <cell r="B1749">
            <v>138.62020899999999</v>
          </cell>
        </row>
        <row r="1750">
          <cell r="A1750" t="str">
            <v>29-12-2020</v>
          </cell>
          <cell r="B1750">
            <v>137.74200400000001</v>
          </cell>
        </row>
        <row r="1751">
          <cell r="A1751" t="str">
            <v>30-12-2020</v>
          </cell>
          <cell r="B1751">
            <v>137.62747200000001</v>
          </cell>
        </row>
        <row r="1752">
          <cell r="A1752" t="str">
            <v>31-12-2020</v>
          </cell>
          <cell r="B1752">
            <v>137.59880100000001</v>
          </cell>
        </row>
        <row r="1753">
          <cell r="A1753">
            <v>44287</v>
          </cell>
          <cell r="B1753">
            <v>139.870667</v>
          </cell>
        </row>
        <row r="1754">
          <cell r="A1754">
            <v>44317</v>
          </cell>
          <cell r="B1754">
            <v>139.126114</v>
          </cell>
        </row>
        <row r="1755">
          <cell r="A1755">
            <v>44348</v>
          </cell>
          <cell r="B1755">
            <v>139.99473599999999</v>
          </cell>
        </row>
        <row r="1756">
          <cell r="A1756">
            <v>44378</v>
          </cell>
          <cell r="B1756">
            <v>139.985229</v>
          </cell>
        </row>
        <row r="1757">
          <cell r="A1757">
            <v>44409</v>
          </cell>
          <cell r="B1757">
            <v>139.96612500000001</v>
          </cell>
        </row>
        <row r="1758">
          <cell r="A1758">
            <v>44501</v>
          </cell>
          <cell r="B1758">
            <v>140.59610000000001</v>
          </cell>
        </row>
        <row r="1759">
          <cell r="A1759">
            <v>44531</v>
          </cell>
          <cell r="B1759">
            <v>142.199738</v>
          </cell>
        </row>
        <row r="1760">
          <cell r="A1760" t="str">
            <v>13-01-2021</v>
          </cell>
          <cell r="B1760">
            <v>140.74885599999999</v>
          </cell>
        </row>
        <row r="1761">
          <cell r="A1761" t="str">
            <v>14-01-2021</v>
          </cell>
          <cell r="B1761">
            <v>140.29066499999999</v>
          </cell>
        </row>
        <row r="1762">
          <cell r="A1762" t="str">
            <v>15-01-2021</v>
          </cell>
          <cell r="B1762">
            <v>138.066574</v>
          </cell>
        </row>
        <row r="1763">
          <cell r="A1763" t="str">
            <v>19-01-2021</v>
          </cell>
          <cell r="B1763">
            <v>136.873367</v>
          </cell>
        </row>
        <row r="1764">
          <cell r="A1764" t="str">
            <v>20-01-2021</v>
          </cell>
          <cell r="B1764">
            <v>138.897018</v>
          </cell>
        </row>
        <row r="1765">
          <cell r="A1765" t="str">
            <v>21-01-2021</v>
          </cell>
          <cell r="B1765">
            <v>138.26701399999999</v>
          </cell>
        </row>
        <row r="1766">
          <cell r="A1766" t="str">
            <v>22-01-2021</v>
          </cell>
          <cell r="B1766">
            <v>139.67976400000001</v>
          </cell>
        </row>
        <row r="1767">
          <cell r="A1767" t="str">
            <v>25-01-2021</v>
          </cell>
          <cell r="B1767">
            <v>139.55564899999999</v>
          </cell>
        </row>
        <row r="1768">
          <cell r="A1768" t="str">
            <v>26-01-2021</v>
          </cell>
          <cell r="B1768">
            <v>140.806107</v>
          </cell>
        </row>
        <row r="1769">
          <cell r="A1769" t="str">
            <v>27-01-2021</v>
          </cell>
          <cell r="B1769">
            <v>137.30290199999999</v>
          </cell>
        </row>
        <row r="1770">
          <cell r="A1770" t="str">
            <v>28-01-2021</v>
          </cell>
          <cell r="B1770">
            <v>137.216995</v>
          </cell>
        </row>
        <row r="1771">
          <cell r="A1771" t="str">
            <v>29-01-2021</v>
          </cell>
          <cell r="B1771">
            <v>134.105164</v>
          </cell>
        </row>
        <row r="1772">
          <cell r="A1772">
            <v>44198</v>
          </cell>
          <cell r="B1772">
            <v>132.94061300000001</v>
          </cell>
        </row>
        <row r="1773">
          <cell r="A1773">
            <v>44229</v>
          </cell>
          <cell r="B1773">
            <v>134.37243699999999</v>
          </cell>
        </row>
        <row r="1774">
          <cell r="A1774">
            <v>44257</v>
          </cell>
          <cell r="B1774">
            <v>134.78289799999999</v>
          </cell>
        </row>
        <row r="1775">
          <cell r="A1775">
            <v>44288</v>
          </cell>
          <cell r="B1775">
            <v>136.05244400000001</v>
          </cell>
        </row>
        <row r="1776">
          <cell r="A1776">
            <v>44318</v>
          </cell>
          <cell r="B1776">
            <v>137.79925499999999</v>
          </cell>
        </row>
        <row r="1777">
          <cell r="A1777">
            <v>44410</v>
          </cell>
          <cell r="B1777">
            <v>138.43884299999999</v>
          </cell>
        </row>
        <row r="1778">
          <cell r="A1778">
            <v>44441</v>
          </cell>
          <cell r="B1778">
            <v>139.20245399999999</v>
          </cell>
        </row>
        <row r="1779">
          <cell r="A1779">
            <v>44471</v>
          </cell>
          <cell r="B1779">
            <v>137.57972699999999</v>
          </cell>
        </row>
        <row r="1780">
          <cell r="A1780">
            <v>44502</v>
          </cell>
          <cell r="B1780">
            <v>137.47473099999999</v>
          </cell>
        </row>
        <row r="1781">
          <cell r="A1781">
            <v>44532</v>
          </cell>
          <cell r="B1781">
            <v>137.90428199999999</v>
          </cell>
        </row>
        <row r="1782">
          <cell r="A1782" t="str">
            <v>16-02-2021</v>
          </cell>
          <cell r="B1782">
            <v>139.04020700000001</v>
          </cell>
        </row>
        <row r="1783">
          <cell r="A1783" t="str">
            <v>17-02-2021</v>
          </cell>
          <cell r="B1783">
            <v>140.51020800000001</v>
          </cell>
        </row>
        <row r="1784">
          <cell r="A1784" t="str">
            <v>18-02-2021</v>
          </cell>
          <cell r="B1784">
            <v>131.40377799999999</v>
          </cell>
        </row>
        <row r="1785">
          <cell r="A1785" t="str">
            <v>19-02-2021</v>
          </cell>
          <cell r="B1785">
            <v>132.052887</v>
          </cell>
        </row>
        <row r="1786">
          <cell r="A1786" t="str">
            <v>22-02-2021</v>
          </cell>
          <cell r="B1786">
            <v>131.432388</v>
          </cell>
        </row>
        <row r="1787">
          <cell r="A1787" t="str">
            <v>23-02-2021</v>
          </cell>
          <cell r="B1787">
            <v>129.31333900000001</v>
          </cell>
        </row>
        <row r="1788">
          <cell r="A1788" t="str">
            <v>24-02-2021</v>
          </cell>
          <cell r="B1788">
            <v>127.156006</v>
          </cell>
        </row>
        <row r="1789">
          <cell r="A1789" t="str">
            <v>25-02-2021</v>
          </cell>
          <cell r="B1789">
            <v>125.953278</v>
          </cell>
        </row>
        <row r="1790">
          <cell r="A1790" t="str">
            <v>26-02-2021</v>
          </cell>
          <cell r="B1790">
            <v>124.015511</v>
          </cell>
        </row>
        <row r="1791">
          <cell r="A1791">
            <v>44199</v>
          </cell>
          <cell r="B1791">
            <v>125.39962800000001</v>
          </cell>
        </row>
        <row r="1792">
          <cell r="A1792">
            <v>44230</v>
          </cell>
          <cell r="B1792">
            <v>124.196884</v>
          </cell>
        </row>
        <row r="1793">
          <cell r="A1793">
            <v>44258</v>
          </cell>
          <cell r="B1793">
            <v>121.79141199999999</v>
          </cell>
        </row>
        <row r="1794">
          <cell r="A1794">
            <v>44289</v>
          </cell>
          <cell r="B1794">
            <v>121.734146</v>
          </cell>
        </row>
        <row r="1795">
          <cell r="A1795">
            <v>44319</v>
          </cell>
          <cell r="B1795">
            <v>123.251892</v>
          </cell>
        </row>
        <row r="1796">
          <cell r="A1796">
            <v>44411</v>
          </cell>
          <cell r="B1796">
            <v>122.068253</v>
          </cell>
        </row>
        <row r="1797">
          <cell r="A1797">
            <v>44442</v>
          </cell>
          <cell r="B1797">
            <v>123.032341</v>
          </cell>
        </row>
        <row r="1798">
          <cell r="A1798">
            <v>44472</v>
          </cell>
          <cell r="B1798">
            <v>126.172821</v>
          </cell>
        </row>
        <row r="1799">
          <cell r="A1799">
            <v>44503</v>
          </cell>
          <cell r="B1799">
            <v>126.12509900000001</v>
          </cell>
        </row>
        <row r="1800">
          <cell r="A1800">
            <v>44533</v>
          </cell>
          <cell r="B1800">
            <v>128.02465799999999</v>
          </cell>
        </row>
        <row r="1801">
          <cell r="A1801" t="str">
            <v>15-03-2021</v>
          </cell>
          <cell r="B1801">
            <v>127.366013</v>
          </cell>
        </row>
        <row r="1802">
          <cell r="A1802" t="str">
            <v>16-03-2021</v>
          </cell>
          <cell r="B1802">
            <v>127.32785</v>
          </cell>
        </row>
        <row r="1803">
          <cell r="A1803" t="str">
            <v>17-03-2021</v>
          </cell>
          <cell r="B1803">
            <v>126.26828</v>
          </cell>
        </row>
        <row r="1804">
          <cell r="A1804" t="str">
            <v>18-03-2021</v>
          </cell>
          <cell r="B1804">
            <v>124.61958300000001</v>
          </cell>
        </row>
        <row r="1805">
          <cell r="A1805" t="str">
            <v>19-03-2021</v>
          </cell>
          <cell r="B1805">
            <v>126.277855</v>
          </cell>
        </row>
        <row r="1806">
          <cell r="A1806" t="str">
            <v>22-03-2021</v>
          </cell>
          <cell r="B1806">
            <v>126.881737</v>
          </cell>
        </row>
        <row r="1807">
          <cell r="A1807" t="str">
            <v>23-03-2021</v>
          </cell>
          <cell r="B1807">
            <v>128.38664199999999</v>
          </cell>
        </row>
        <row r="1808">
          <cell r="A1808" t="str">
            <v>24-03-2021</v>
          </cell>
          <cell r="B1808">
            <v>127.591064</v>
          </cell>
        </row>
        <row r="1809">
          <cell r="A1809" t="str">
            <v>25-03-2021</v>
          </cell>
          <cell r="B1809">
            <v>128.45372</v>
          </cell>
        </row>
        <row r="1810">
          <cell r="A1810" t="str">
            <v>26-03-2021</v>
          </cell>
          <cell r="B1810">
            <v>129.527344</v>
          </cell>
        </row>
        <row r="1811">
          <cell r="A1811" t="str">
            <v>29-03-2021</v>
          </cell>
          <cell r="B1811">
            <v>131.00344799999999</v>
          </cell>
        </row>
        <row r="1812">
          <cell r="A1812" t="str">
            <v>30-03-2021</v>
          </cell>
          <cell r="B1812">
            <v>130.11203</v>
          </cell>
        </row>
        <row r="1813">
          <cell r="A1813" t="str">
            <v>31-03-2021</v>
          </cell>
          <cell r="B1813">
            <v>130.198273</v>
          </cell>
        </row>
        <row r="1814">
          <cell r="A1814">
            <v>44200</v>
          </cell>
          <cell r="B1814">
            <v>129.99696399999999</v>
          </cell>
        </row>
        <row r="1815">
          <cell r="A1815">
            <v>44320</v>
          </cell>
          <cell r="B1815">
            <v>133.64904799999999</v>
          </cell>
        </row>
        <row r="1816">
          <cell r="A1816">
            <v>44351</v>
          </cell>
          <cell r="B1816">
            <v>134.29125999999999</v>
          </cell>
        </row>
        <row r="1817">
          <cell r="A1817">
            <v>44381</v>
          </cell>
          <cell r="B1817">
            <v>134.00367700000001</v>
          </cell>
        </row>
        <row r="1818">
          <cell r="A1818">
            <v>44412</v>
          </cell>
          <cell r="B1818">
            <v>133.91743500000001</v>
          </cell>
        </row>
        <row r="1819">
          <cell r="A1819">
            <v>44443</v>
          </cell>
          <cell r="B1819">
            <v>133.984512</v>
          </cell>
        </row>
        <row r="1820">
          <cell r="A1820">
            <v>44534</v>
          </cell>
          <cell r="B1820">
            <v>134.00367700000001</v>
          </cell>
        </row>
        <row r="1821">
          <cell r="A1821" t="str">
            <v>13-04-2021</v>
          </cell>
          <cell r="B1821">
            <v>133.59153699999999</v>
          </cell>
        </row>
        <row r="1822">
          <cell r="A1822" t="str">
            <v>14-04-2021</v>
          </cell>
          <cell r="B1822">
            <v>133.54359400000001</v>
          </cell>
        </row>
        <row r="1823">
          <cell r="A1823" t="str">
            <v>15-04-2021</v>
          </cell>
          <cell r="B1823">
            <v>134.34877</v>
          </cell>
        </row>
        <row r="1824">
          <cell r="A1824" t="str">
            <v>16-04-2021</v>
          </cell>
          <cell r="B1824">
            <v>134.78009</v>
          </cell>
        </row>
        <row r="1825">
          <cell r="A1825" t="str">
            <v>19-04-2021</v>
          </cell>
          <cell r="B1825">
            <v>133.91743500000001</v>
          </cell>
        </row>
        <row r="1826">
          <cell r="A1826" t="str">
            <v>20-04-2021</v>
          </cell>
          <cell r="B1826">
            <v>134.95263700000001</v>
          </cell>
        </row>
        <row r="1827">
          <cell r="A1827" t="str">
            <v>21-04-2021</v>
          </cell>
          <cell r="B1827">
            <v>135.34562700000001</v>
          </cell>
        </row>
        <row r="1828">
          <cell r="A1828" t="str">
            <v>22-04-2021</v>
          </cell>
          <cell r="B1828">
            <v>133.87905900000001</v>
          </cell>
        </row>
        <row r="1829">
          <cell r="A1829" t="str">
            <v>23-04-2021</v>
          </cell>
          <cell r="B1829">
            <v>134.09951799999999</v>
          </cell>
        </row>
        <row r="1830">
          <cell r="A1830" t="str">
            <v>26-04-2021</v>
          </cell>
          <cell r="B1830">
            <v>132.192047</v>
          </cell>
        </row>
        <row r="1831">
          <cell r="A1831" t="str">
            <v>27-04-2021</v>
          </cell>
          <cell r="B1831">
            <v>132.642563</v>
          </cell>
        </row>
        <row r="1832">
          <cell r="A1832" t="str">
            <v>28-04-2021</v>
          </cell>
          <cell r="B1832">
            <v>132.17288199999999</v>
          </cell>
        </row>
        <row r="1833">
          <cell r="A1833" t="str">
            <v>29-04-2021</v>
          </cell>
          <cell r="B1833">
            <v>133.84072900000001</v>
          </cell>
        </row>
        <row r="1834">
          <cell r="A1834" t="str">
            <v>30-04-2021</v>
          </cell>
          <cell r="B1834">
            <v>134.10913099999999</v>
          </cell>
        </row>
        <row r="1835">
          <cell r="A1835">
            <v>44260</v>
          </cell>
          <cell r="B1835">
            <v>136.227509</v>
          </cell>
        </row>
        <row r="1836">
          <cell r="A1836">
            <v>44291</v>
          </cell>
          <cell r="B1836">
            <v>134.88554400000001</v>
          </cell>
        </row>
        <row r="1837">
          <cell r="A1837">
            <v>44321</v>
          </cell>
          <cell r="B1837">
            <v>134.770523</v>
          </cell>
        </row>
        <row r="1838">
          <cell r="A1838">
            <v>44352</v>
          </cell>
          <cell r="B1838">
            <v>135.73281900000001</v>
          </cell>
        </row>
        <row r="1839">
          <cell r="A1839">
            <v>44382</v>
          </cell>
          <cell r="B1839">
            <v>134.914886</v>
          </cell>
        </row>
        <row r="1840">
          <cell r="A1840">
            <v>44474</v>
          </cell>
          <cell r="B1840">
            <v>135.511505</v>
          </cell>
        </row>
        <row r="1841">
          <cell r="A1841">
            <v>44505</v>
          </cell>
          <cell r="B1841">
            <v>134.289368</v>
          </cell>
        </row>
        <row r="1842">
          <cell r="A1842">
            <v>44535</v>
          </cell>
          <cell r="B1842">
            <v>130.81546</v>
          </cell>
        </row>
        <row r="1843">
          <cell r="A1843" t="str">
            <v>13-05-2021</v>
          </cell>
          <cell r="B1843">
            <v>133.02874800000001</v>
          </cell>
        </row>
        <row r="1844">
          <cell r="A1844" t="str">
            <v>14-05-2021</v>
          </cell>
          <cell r="B1844">
            <v>134.26048299999999</v>
          </cell>
        </row>
        <row r="1845">
          <cell r="A1845" t="str">
            <v>17-05-2021</v>
          </cell>
          <cell r="B1845">
            <v>133.65425099999999</v>
          </cell>
        </row>
        <row r="1846">
          <cell r="A1846" t="str">
            <v>18-05-2021</v>
          </cell>
          <cell r="B1846">
            <v>136.56037900000001</v>
          </cell>
        </row>
        <row r="1847">
          <cell r="A1847" t="str">
            <v>19-05-2021</v>
          </cell>
          <cell r="B1847">
            <v>136.57002299999999</v>
          </cell>
        </row>
        <row r="1848">
          <cell r="A1848" t="str">
            <v>20-05-2021</v>
          </cell>
          <cell r="B1848">
            <v>137.05117799999999</v>
          </cell>
        </row>
        <row r="1849">
          <cell r="A1849" t="str">
            <v>21-05-2021</v>
          </cell>
          <cell r="B1849">
            <v>136.406418</v>
          </cell>
        </row>
        <row r="1850">
          <cell r="A1850" t="str">
            <v>24-05-2021</v>
          </cell>
          <cell r="B1850">
            <v>136.41604599999999</v>
          </cell>
        </row>
        <row r="1851">
          <cell r="A1851" t="str">
            <v>25-05-2021</v>
          </cell>
          <cell r="B1851">
            <v>136.97418200000001</v>
          </cell>
        </row>
        <row r="1852">
          <cell r="A1852" t="str">
            <v>26-05-2021</v>
          </cell>
          <cell r="B1852">
            <v>136.81059300000001</v>
          </cell>
        </row>
        <row r="1853">
          <cell r="A1853" t="str">
            <v>27-05-2021</v>
          </cell>
          <cell r="B1853">
            <v>136.34869399999999</v>
          </cell>
        </row>
        <row r="1854">
          <cell r="A1854" t="str">
            <v>28-05-2021</v>
          </cell>
          <cell r="B1854">
            <v>136.675873</v>
          </cell>
        </row>
        <row r="1855">
          <cell r="A1855">
            <v>44202</v>
          </cell>
          <cell r="B1855">
            <v>136.319839</v>
          </cell>
        </row>
        <row r="1856">
          <cell r="A1856">
            <v>44233</v>
          </cell>
          <cell r="B1856">
            <v>136.02151499999999</v>
          </cell>
        </row>
        <row r="1857">
          <cell r="A1857">
            <v>44261</v>
          </cell>
          <cell r="B1857">
            <v>136.2621</v>
          </cell>
        </row>
        <row r="1858">
          <cell r="A1858">
            <v>44292</v>
          </cell>
          <cell r="B1858">
            <v>136.50268600000001</v>
          </cell>
        </row>
        <row r="1859">
          <cell r="A1859">
            <v>44383</v>
          </cell>
          <cell r="B1859">
            <v>135.58845500000001</v>
          </cell>
        </row>
        <row r="1860">
          <cell r="A1860">
            <v>44414</v>
          </cell>
          <cell r="B1860">
            <v>134.558807</v>
          </cell>
        </row>
        <row r="1861">
          <cell r="A1861">
            <v>44445</v>
          </cell>
          <cell r="B1861">
            <v>133.837097</v>
          </cell>
        </row>
        <row r="1862">
          <cell r="A1862">
            <v>44475</v>
          </cell>
          <cell r="B1862">
            <v>134.60691800000001</v>
          </cell>
        </row>
        <row r="1863">
          <cell r="A1863">
            <v>44506</v>
          </cell>
          <cell r="B1863">
            <v>135.444107</v>
          </cell>
        </row>
        <row r="1864">
          <cell r="A1864" t="str">
            <v>14-06-2021</v>
          </cell>
          <cell r="B1864">
            <v>135.26127600000001</v>
          </cell>
        </row>
        <row r="1865">
          <cell r="A1865" t="str">
            <v>15-06-2021</v>
          </cell>
          <cell r="B1865">
            <v>134.722397</v>
          </cell>
        </row>
        <row r="1866">
          <cell r="A1866" t="str">
            <v>16-06-2021</v>
          </cell>
          <cell r="B1866">
            <v>131.979828</v>
          </cell>
        </row>
        <row r="1867">
          <cell r="A1867" t="str">
            <v>17-06-2021</v>
          </cell>
          <cell r="B1867">
            <v>132.528336</v>
          </cell>
        </row>
        <row r="1868">
          <cell r="A1868" t="str">
            <v>18-06-2021</v>
          </cell>
          <cell r="B1868">
            <v>130.07446300000001</v>
          </cell>
        </row>
        <row r="1869">
          <cell r="A1869" t="str">
            <v>21-06-2021</v>
          </cell>
          <cell r="B1869">
            <v>131.25810200000001</v>
          </cell>
        </row>
        <row r="1870">
          <cell r="A1870" t="str">
            <v>22-06-2021</v>
          </cell>
          <cell r="B1870">
            <v>131.86438000000001</v>
          </cell>
        </row>
        <row r="1871">
          <cell r="A1871" t="str">
            <v>23-06-2021</v>
          </cell>
          <cell r="B1871">
            <v>130.83470199999999</v>
          </cell>
        </row>
        <row r="1872">
          <cell r="A1872" t="str">
            <v>24-06-2021</v>
          </cell>
          <cell r="B1872">
            <v>131.748886</v>
          </cell>
        </row>
        <row r="1873">
          <cell r="A1873" t="str">
            <v>25-06-2021</v>
          </cell>
          <cell r="B1873">
            <v>133.307816</v>
          </cell>
        </row>
        <row r="1874">
          <cell r="A1874" t="str">
            <v>28-06-2021</v>
          </cell>
          <cell r="B1874">
            <v>132.89404300000001</v>
          </cell>
        </row>
        <row r="1875">
          <cell r="A1875" t="str">
            <v>29-06-2021</v>
          </cell>
          <cell r="B1875">
            <v>132.124191</v>
          </cell>
        </row>
        <row r="1876">
          <cell r="A1876" t="str">
            <v>30-06-2021</v>
          </cell>
          <cell r="B1876">
            <v>135.70394899999999</v>
          </cell>
        </row>
        <row r="1877">
          <cell r="A1877">
            <v>44203</v>
          </cell>
          <cell r="B1877">
            <v>134.068039</v>
          </cell>
        </row>
        <row r="1878">
          <cell r="A1878">
            <v>44234</v>
          </cell>
          <cell r="B1878">
            <v>134.828247</v>
          </cell>
        </row>
        <row r="1879">
          <cell r="A1879">
            <v>44354</v>
          </cell>
          <cell r="B1879">
            <v>134.664658</v>
          </cell>
        </row>
        <row r="1880">
          <cell r="A1880">
            <v>44384</v>
          </cell>
          <cell r="B1880">
            <v>134.443344</v>
          </cell>
        </row>
        <row r="1881">
          <cell r="A1881">
            <v>44415</v>
          </cell>
          <cell r="B1881">
            <v>134.32785000000001</v>
          </cell>
        </row>
        <row r="1882">
          <cell r="A1882">
            <v>44446</v>
          </cell>
          <cell r="B1882">
            <v>135.011078</v>
          </cell>
        </row>
        <row r="1883">
          <cell r="A1883">
            <v>44537</v>
          </cell>
          <cell r="B1883">
            <v>134.77050800000001</v>
          </cell>
        </row>
        <row r="1884">
          <cell r="A1884" t="str">
            <v>13-07-2021</v>
          </cell>
          <cell r="B1884">
            <v>135.28054800000001</v>
          </cell>
        </row>
        <row r="1885">
          <cell r="A1885" t="str">
            <v>14-07-2021</v>
          </cell>
          <cell r="B1885">
            <v>136.21397400000001</v>
          </cell>
        </row>
        <row r="1886">
          <cell r="A1886" t="str">
            <v>15-07-2021</v>
          </cell>
          <cell r="B1886">
            <v>136.319839</v>
          </cell>
        </row>
        <row r="1887">
          <cell r="A1887" t="str">
            <v>16-07-2021</v>
          </cell>
          <cell r="B1887">
            <v>136.22358700000001</v>
          </cell>
        </row>
        <row r="1888">
          <cell r="A1888" t="str">
            <v>19-07-2021</v>
          </cell>
          <cell r="B1888">
            <v>135.90602100000001</v>
          </cell>
        </row>
        <row r="1889">
          <cell r="A1889" t="str">
            <v>20-07-2021</v>
          </cell>
          <cell r="B1889">
            <v>136.52188100000001</v>
          </cell>
        </row>
        <row r="1890">
          <cell r="A1890" t="str">
            <v>21-07-2021</v>
          </cell>
          <cell r="B1890">
            <v>135.848297</v>
          </cell>
        </row>
        <row r="1891">
          <cell r="A1891" t="str">
            <v>22-07-2021</v>
          </cell>
          <cell r="B1891">
            <v>135.944534</v>
          </cell>
        </row>
        <row r="1892">
          <cell r="A1892" t="str">
            <v>23-07-2021</v>
          </cell>
          <cell r="B1892">
            <v>137.060776</v>
          </cell>
        </row>
        <row r="1893">
          <cell r="A1893" t="str">
            <v>26-07-2021</v>
          </cell>
          <cell r="B1893">
            <v>137.25325000000001</v>
          </cell>
        </row>
        <row r="1894">
          <cell r="A1894" t="str">
            <v>27-07-2021</v>
          </cell>
          <cell r="B1894">
            <v>137.26286300000001</v>
          </cell>
        </row>
        <row r="1895">
          <cell r="A1895" t="str">
            <v>28-07-2021</v>
          </cell>
          <cell r="B1895">
            <v>136.70474200000001</v>
          </cell>
        </row>
        <row r="1896">
          <cell r="A1896" t="str">
            <v>29-07-2021</v>
          </cell>
          <cell r="B1896">
            <v>136.87794500000001</v>
          </cell>
        </row>
        <row r="1897">
          <cell r="A1897" t="str">
            <v>30-07-2021</v>
          </cell>
          <cell r="B1897">
            <v>137.17628500000001</v>
          </cell>
        </row>
        <row r="1898">
          <cell r="A1898">
            <v>44235</v>
          </cell>
          <cell r="B1898">
            <v>136.85871900000001</v>
          </cell>
        </row>
        <row r="1899">
          <cell r="A1899">
            <v>44263</v>
          </cell>
          <cell r="B1899">
            <v>138.39840699999999</v>
          </cell>
        </row>
        <row r="1900">
          <cell r="A1900">
            <v>44294</v>
          </cell>
          <cell r="B1900">
            <v>137.45533800000001</v>
          </cell>
        </row>
        <row r="1901">
          <cell r="A1901">
            <v>44324</v>
          </cell>
          <cell r="B1901">
            <v>140.00543200000001</v>
          </cell>
        </row>
        <row r="1902">
          <cell r="A1902">
            <v>44355</v>
          </cell>
          <cell r="B1902">
            <v>139.75526400000001</v>
          </cell>
        </row>
        <row r="1903">
          <cell r="A1903">
            <v>44447</v>
          </cell>
          <cell r="B1903">
            <v>140.09204099999999</v>
          </cell>
        </row>
        <row r="1904">
          <cell r="A1904">
            <v>44477</v>
          </cell>
          <cell r="B1904">
            <v>143.07517999999999</v>
          </cell>
        </row>
        <row r="1905">
          <cell r="A1905">
            <v>44508</v>
          </cell>
          <cell r="B1905">
            <v>144.355042</v>
          </cell>
        </row>
        <row r="1906">
          <cell r="A1906">
            <v>44538</v>
          </cell>
          <cell r="B1906">
            <v>143.968704</v>
          </cell>
        </row>
        <row r="1907">
          <cell r="A1907" t="str">
            <v>13-08-2021</v>
          </cell>
          <cell r="B1907">
            <v>144.422684</v>
          </cell>
        </row>
        <row r="1908">
          <cell r="A1908" t="str">
            <v>16-08-2021</v>
          </cell>
          <cell r="B1908">
            <v>145.60098300000001</v>
          </cell>
        </row>
        <row r="1909">
          <cell r="A1909" t="str">
            <v>17-08-2021</v>
          </cell>
          <cell r="B1909">
            <v>145.55270400000001</v>
          </cell>
        </row>
        <row r="1910">
          <cell r="A1910" t="str">
            <v>18-08-2021</v>
          </cell>
          <cell r="B1910">
            <v>144.00735499999999</v>
          </cell>
        </row>
        <row r="1911">
          <cell r="A1911" t="str">
            <v>19-08-2021</v>
          </cell>
          <cell r="B1911">
            <v>144.98284899999999</v>
          </cell>
        </row>
        <row r="1912">
          <cell r="A1912" t="str">
            <v>20-08-2021</v>
          </cell>
          <cell r="B1912">
            <v>146.277084</v>
          </cell>
        </row>
        <row r="1913">
          <cell r="A1913" t="str">
            <v>23-08-2021</v>
          </cell>
          <cell r="B1913">
            <v>145.31123400000001</v>
          </cell>
        </row>
        <row r="1914">
          <cell r="A1914" t="str">
            <v>24-08-2021</v>
          </cell>
          <cell r="B1914">
            <v>143.81416300000001</v>
          </cell>
        </row>
        <row r="1915">
          <cell r="A1915" t="str">
            <v>25-08-2021</v>
          </cell>
          <cell r="B1915">
            <v>143.87211600000001</v>
          </cell>
        </row>
        <row r="1916">
          <cell r="A1916" t="str">
            <v>26-08-2021</v>
          </cell>
          <cell r="B1916">
            <v>142.31710799999999</v>
          </cell>
        </row>
        <row r="1917">
          <cell r="A1917" t="str">
            <v>27-08-2021</v>
          </cell>
          <cell r="B1917">
            <v>141.51547199999999</v>
          </cell>
        </row>
        <row r="1918">
          <cell r="A1918" t="str">
            <v>30-08-2021</v>
          </cell>
          <cell r="B1918">
            <v>142.65516700000001</v>
          </cell>
        </row>
        <row r="1919">
          <cell r="A1919" t="str">
            <v>31-08-2021</v>
          </cell>
          <cell r="B1919">
            <v>143.04151899999999</v>
          </cell>
        </row>
        <row r="1920">
          <cell r="A1920">
            <v>44205</v>
          </cell>
          <cell r="B1920">
            <v>142.73240699999999</v>
          </cell>
        </row>
        <row r="1921">
          <cell r="A1921">
            <v>44236</v>
          </cell>
          <cell r="B1921">
            <v>143.48576399999999</v>
          </cell>
        </row>
        <row r="1922">
          <cell r="A1922">
            <v>44264</v>
          </cell>
          <cell r="B1922">
            <v>144.15220600000001</v>
          </cell>
        </row>
        <row r="1923">
          <cell r="A1923">
            <v>44386</v>
          </cell>
          <cell r="B1923">
            <v>142.23983799999999</v>
          </cell>
        </row>
        <row r="1924">
          <cell r="A1924">
            <v>44417</v>
          </cell>
          <cell r="B1924">
            <v>142.42335499999999</v>
          </cell>
        </row>
        <row r="1925">
          <cell r="A1925">
            <v>44448</v>
          </cell>
          <cell r="B1925">
            <v>141.41888399999999</v>
          </cell>
        </row>
        <row r="1926">
          <cell r="A1926">
            <v>44478</v>
          </cell>
          <cell r="B1926">
            <v>140.90696700000001</v>
          </cell>
        </row>
        <row r="1927">
          <cell r="A1927" t="str">
            <v>13-09-2021</v>
          </cell>
          <cell r="B1927">
            <v>140.10533100000001</v>
          </cell>
        </row>
        <row r="1928">
          <cell r="A1928" t="str">
            <v>14-09-2021</v>
          </cell>
          <cell r="B1928">
            <v>139.37129200000001</v>
          </cell>
        </row>
        <row r="1929">
          <cell r="A1929" t="str">
            <v>15-09-2021</v>
          </cell>
          <cell r="B1929">
            <v>139.61274700000001</v>
          </cell>
        </row>
        <row r="1930">
          <cell r="A1930" t="str">
            <v>16-09-2021</v>
          </cell>
          <cell r="B1930">
            <v>140.07635500000001</v>
          </cell>
        </row>
        <row r="1931">
          <cell r="A1931" t="str">
            <v>17-09-2021</v>
          </cell>
          <cell r="B1931">
            <v>139.78660600000001</v>
          </cell>
        </row>
        <row r="1932">
          <cell r="A1932" t="str">
            <v>20-09-2021</v>
          </cell>
          <cell r="B1932">
            <v>137.86457799999999</v>
          </cell>
        </row>
        <row r="1933">
          <cell r="A1933" t="str">
            <v>21-09-2021</v>
          </cell>
          <cell r="B1933">
            <v>138.13500999999999</v>
          </cell>
        </row>
        <row r="1934">
          <cell r="A1934" t="str">
            <v>22-09-2021</v>
          </cell>
          <cell r="B1934">
            <v>137.816284</v>
          </cell>
        </row>
        <row r="1935">
          <cell r="A1935" t="str">
            <v>23-09-2021</v>
          </cell>
          <cell r="B1935">
            <v>137.89355499999999</v>
          </cell>
        </row>
        <row r="1936">
          <cell r="A1936" t="str">
            <v>24-09-2021</v>
          </cell>
          <cell r="B1936">
            <v>138.279877</v>
          </cell>
        </row>
        <row r="1937">
          <cell r="A1937" t="str">
            <v>27-09-2021</v>
          </cell>
          <cell r="B1937">
            <v>137.391312</v>
          </cell>
        </row>
        <row r="1938">
          <cell r="A1938" t="str">
            <v>28-09-2021</v>
          </cell>
          <cell r="B1938">
            <v>135.701065</v>
          </cell>
        </row>
        <row r="1939">
          <cell r="A1939" t="str">
            <v>29-09-2021</v>
          </cell>
          <cell r="B1939">
            <v>135.64312699999999</v>
          </cell>
        </row>
        <row r="1940">
          <cell r="A1940" t="str">
            <v>30-09-2021</v>
          </cell>
          <cell r="B1940">
            <v>134.61935399999999</v>
          </cell>
        </row>
        <row r="1941">
          <cell r="A1941">
            <v>44206</v>
          </cell>
          <cell r="B1941">
            <v>132.368942</v>
          </cell>
        </row>
        <row r="1942">
          <cell r="A1942">
            <v>44296</v>
          </cell>
          <cell r="B1942">
            <v>131.09397899999999</v>
          </cell>
        </row>
        <row r="1943">
          <cell r="A1943">
            <v>44326</v>
          </cell>
          <cell r="B1943">
            <v>131.95361299999999</v>
          </cell>
        </row>
        <row r="1944">
          <cell r="A1944">
            <v>44357</v>
          </cell>
          <cell r="B1944">
            <v>132.919479</v>
          </cell>
        </row>
        <row r="1945">
          <cell r="A1945">
            <v>44387</v>
          </cell>
          <cell r="B1945">
            <v>134.484116</v>
          </cell>
        </row>
        <row r="1946">
          <cell r="A1946">
            <v>44418</v>
          </cell>
          <cell r="B1946">
            <v>134.889771</v>
          </cell>
        </row>
        <row r="1947">
          <cell r="A1947">
            <v>44510</v>
          </cell>
          <cell r="B1947">
            <v>134.764206</v>
          </cell>
        </row>
        <row r="1948">
          <cell r="A1948">
            <v>44540</v>
          </cell>
          <cell r="B1948">
            <v>134.61935399999999</v>
          </cell>
        </row>
        <row r="1949">
          <cell r="A1949" t="str">
            <v>13-10-2021</v>
          </cell>
          <cell r="B1949">
            <v>133.64382900000001</v>
          </cell>
        </row>
        <row r="1950">
          <cell r="A1950" t="str">
            <v>14-10-2021</v>
          </cell>
          <cell r="B1950">
            <v>135.09262100000001</v>
          </cell>
        </row>
        <row r="1951">
          <cell r="A1951" t="str">
            <v>15-10-2021</v>
          </cell>
          <cell r="B1951">
            <v>135.74939000000001</v>
          </cell>
        </row>
        <row r="1952">
          <cell r="A1952" t="str">
            <v>18-10-2021</v>
          </cell>
          <cell r="B1952">
            <v>136.84079</v>
          </cell>
        </row>
        <row r="1953">
          <cell r="A1953" t="str">
            <v>19-10-2021</v>
          </cell>
          <cell r="B1953">
            <v>139.74797100000001</v>
          </cell>
        </row>
        <row r="1954">
          <cell r="A1954" t="str">
            <v>20-10-2021</v>
          </cell>
          <cell r="B1954">
            <v>141.01319899999999</v>
          </cell>
        </row>
        <row r="1955">
          <cell r="A1955" t="str">
            <v>21-10-2021</v>
          </cell>
          <cell r="B1955">
            <v>141.79556299999999</v>
          </cell>
        </row>
        <row r="1956">
          <cell r="A1956" t="str">
            <v>22-10-2021</v>
          </cell>
          <cell r="B1956">
            <v>143.27330000000001</v>
          </cell>
        </row>
        <row r="1957">
          <cell r="A1957" t="str">
            <v>25-10-2021</v>
          </cell>
          <cell r="B1957">
            <v>144.93454</v>
          </cell>
        </row>
        <row r="1958">
          <cell r="A1958" t="str">
            <v>26-10-2021</v>
          </cell>
          <cell r="B1958">
            <v>143.669296</v>
          </cell>
        </row>
        <row r="1959">
          <cell r="A1959" t="str">
            <v>27-10-2021</v>
          </cell>
          <cell r="B1959">
            <v>142.49096700000001</v>
          </cell>
        </row>
        <row r="1960">
          <cell r="A1960" t="str">
            <v>28-10-2021</v>
          </cell>
          <cell r="B1960">
            <v>143.379547</v>
          </cell>
        </row>
        <row r="1961">
          <cell r="A1961" t="str">
            <v>29-10-2021</v>
          </cell>
          <cell r="B1961">
            <v>144.31643700000001</v>
          </cell>
        </row>
        <row r="1962">
          <cell r="A1962">
            <v>44207</v>
          </cell>
          <cell r="B1962">
            <v>144.67373699999999</v>
          </cell>
        </row>
        <row r="1963">
          <cell r="A1963">
            <v>44238</v>
          </cell>
          <cell r="B1963">
            <v>144.60617099999999</v>
          </cell>
        </row>
        <row r="1964">
          <cell r="A1964">
            <v>44266</v>
          </cell>
          <cell r="B1964">
            <v>145.05046100000001</v>
          </cell>
        </row>
        <row r="1965">
          <cell r="A1965">
            <v>44297</v>
          </cell>
          <cell r="B1965">
            <v>146.11286899999999</v>
          </cell>
        </row>
        <row r="1966">
          <cell r="A1966">
            <v>44327</v>
          </cell>
          <cell r="B1966">
            <v>145.09873999999999</v>
          </cell>
        </row>
        <row r="1967">
          <cell r="A1967">
            <v>44419</v>
          </cell>
          <cell r="B1967">
            <v>144.17152400000001</v>
          </cell>
        </row>
        <row r="1968">
          <cell r="A1968">
            <v>44450</v>
          </cell>
          <cell r="B1968">
            <v>144.67373699999999</v>
          </cell>
        </row>
        <row r="1969">
          <cell r="A1969">
            <v>44480</v>
          </cell>
          <cell r="B1969">
            <v>143.369888</v>
          </cell>
        </row>
        <row r="1970">
          <cell r="A1970">
            <v>44511</v>
          </cell>
          <cell r="B1970">
            <v>143.42782600000001</v>
          </cell>
        </row>
        <row r="1971">
          <cell r="A1971">
            <v>44541</v>
          </cell>
          <cell r="B1971">
            <v>142.71312</v>
          </cell>
        </row>
        <row r="1972">
          <cell r="A1972" t="str">
            <v>15-11-2021</v>
          </cell>
          <cell r="B1972">
            <v>141.892166</v>
          </cell>
        </row>
        <row r="1973">
          <cell r="A1973" t="str">
            <v>16-11-2021</v>
          </cell>
          <cell r="B1973">
            <v>138.279877</v>
          </cell>
        </row>
        <row r="1974">
          <cell r="A1974" t="str">
            <v>17-11-2021</v>
          </cell>
          <cell r="B1974">
            <v>137.091904</v>
          </cell>
        </row>
        <row r="1975">
          <cell r="A1975" t="str">
            <v>18-11-2021</v>
          </cell>
          <cell r="B1975">
            <v>138.270218</v>
          </cell>
        </row>
        <row r="1976">
          <cell r="A1976" t="str">
            <v>19-11-2021</v>
          </cell>
          <cell r="B1976">
            <v>137.52654999999999</v>
          </cell>
        </row>
        <row r="1977">
          <cell r="A1977" t="str">
            <v>22-11-2021</v>
          </cell>
          <cell r="B1977">
            <v>139.8349</v>
          </cell>
        </row>
        <row r="1978">
          <cell r="A1978" t="str">
            <v>23-11-2021</v>
          </cell>
          <cell r="B1978">
            <v>140.82968099999999</v>
          </cell>
        </row>
        <row r="1979">
          <cell r="A1979" t="str">
            <v>24-11-2021</v>
          </cell>
          <cell r="B1979">
            <v>141.534775</v>
          </cell>
        </row>
        <row r="1980">
          <cell r="A1980" t="str">
            <v>26-11-2021</v>
          </cell>
          <cell r="B1980">
            <v>139.95079000000001</v>
          </cell>
        </row>
        <row r="1981">
          <cell r="A1981" t="str">
            <v>29-11-2021</v>
          </cell>
          <cell r="B1981">
            <v>137.758331</v>
          </cell>
        </row>
        <row r="1982">
          <cell r="A1982" t="str">
            <v>30-11-2021</v>
          </cell>
          <cell r="B1982">
            <v>135.82666</v>
          </cell>
        </row>
        <row r="1983">
          <cell r="A1983">
            <v>44208</v>
          </cell>
          <cell r="B1983">
            <v>132.455872</v>
          </cell>
        </row>
        <row r="1984">
          <cell r="A1984">
            <v>44239</v>
          </cell>
          <cell r="B1984">
            <v>130.84288000000001</v>
          </cell>
        </row>
        <row r="1985">
          <cell r="A1985">
            <v>44267</v>
          </cell>
          <cell r="B1985">
            <v>132.81320199999999</v>
          </cell>
        </row>
        <row r="1986">
          <cell r="A1986">
            <v>44359</v>
          </cell>
          <cell r="B1986">
            <v>134.252319</v>
          </cell>
        </row>
        <row r="1987">
          <cell r="A1987">
            <v>44389</v>
          </cell>
          <cell r="B1987">
            <v>133.81770299999999</v>
          </cell>
        </row>
        <row r="1988">
          <cell r="A1988">
            <v>44420</v>
          </cell>
          <cell r="B1988">
            <v>132.46549999999999</v>
          </cell>
        </row>
        <row r="1989">
          <cell r="A1989">
            <v>44451</v>
          </cell>
          <cell r="B1989">
            <v>134.307999</v>
          </cell>
        </row>
        <row r="1990">
          <cell r="A1990">
            <v>44481</v>
          </cell>
          <cell r="B1990">
            <v>136.761414</v>
          </cell>
        </row>
        <row r="1991">
          <cell r="A1991" t="str">
            <v>13-12-2021</v>
          </cell>
          <cell r="B1991">
            <v>139.224548</v>
          </cell>
        </row>
        <row r="1992">
          <cell r="A1992" t="str">
            <v>14-12-2021</v>
          </cell>
          <cell r="B1992">
            <v>140.55306999999999</v>
          </cell>
        </row>
        <row r="1993">
          <cell r="A1993" t="str">
            <v>15-12-2021</v>
          </cell>
          <cell r="B1993">
            <v>141.35797099999999</v>
          </cell>
        </row>
        <row r="1994">
          <cell r="A1994" t="str">
            <v>16-12-2021</v>
          </cell>
          <cell r="B1994">
            <v>139.00151099999999</v>
          </cell>
        </row>
        <row r="1995">
          <cell r="A1995" t="str">
            <v>17-12-2021</v>
          </cell>
          <cell r="B1995">
            <v>134.55043000000001</v>
          </cell>
        </row>
        <row r="1996">
          <cell r="A1996" t="str">
            <v>20-12-2021</v>
          </cell>
          <cell r="B1996">
            <v>134.98683199999999</v>
          </cell>
        </row>
        <row r="1997">
          <cell r="A1997" t="str">
            <v>21-12-2021</v>
          </cell>
          <cell r="B1997">
            <v>135.394104</v>
          </cell>
        </row>
        <row r="1998">
          <cell r="A1998" t="str">
            <v>22-12-2021</v>
          </cell>
          <cell r="B1998">
            <v>135.568634</v>
          </cell>
        </row>
        <row r="1999">
          <cell r="A1999" t="str">
            <v>23-12-2021</v>
          </cell>
          <cell r="B1999">
            <v>135.26805100000001</v>
          </cell>
        </row>
        <row r="2000">
          <cell r="A2000" t="str">
            <v>27-12-2021</v>
          </cell>
          <cell r="B2000">
            <v>136.499573</v>
          </cell>
        </row>
        <row r="2001">
          <cell r="A2001" t="str">
            <v>28-12-2021</v>
          </cell>
          <cell r="B2001">
            <v>138.45846599999999</v>
          </cell>
        </row>
        <row r="2002">
          <cell r="A2002" t="str">
            <v>29-12-2021</v>
          </cell>
          <cell r="B2002">
            <v>138.39056400000001</v>
          </cell>
        </row>
        <row r="2003">
          <cell r="A2003" t="str">
            <v>30-12-2021</v>
          </cell>
          <cell r="B2003">
            <v>138.83663899999999</v>
          </cell>
        </row>
        <row r="2004">
          <cell r="A2004" t="str">
            <v>31-12-2021</v>
          </cell>
          <cell r="B2004">
            <v>140.31063800000001</v>
          </cell>
        </row>
        <row r="2005">
          <cell r="A2005">
            <v>44621</v>
          </cell>
          <cell r="B2005">
            <v>140.271851</v>
          </cell>
        </row>
        <row r="2006">
          <cell r="A2006">
            <v>44652</v>
          </cell>
          <cell r="B2006">
            <v>137.702057</v>
          </cell>
        </row>
        <row r="2007">
          <cell r="A2007">
            <v>44682</v>
          </cell>
          <cell r="B2007">
            <v>139.56393399999999</v>
          </cell>
        </row>
        <row r="2008">
          <cell r="A2008">
            <v>44713</v>
          </cell>
          <cell r="B2008">
            <v>139.17607100000001</v>
          </cell>
        </row>
        <row r="2009">
          <cell r="A2009">
            <v>44743</v>
          </cell>
          <cell r="B2009">
            <v>140.504593</v>
          </cell>
        </row>
        <row r="2010">
          <cell r="A2010">
            <v>44835</v>
          </cell>
          <cell r="B2010">
            <v>140.23307800000001</v>
          </cell>
        </row>
        <row r="2011">
          <cell r="A2011">
            <v>44866</v>
          </cell>
          <cell r="B2011">
            <v>139.83549500000001</v>
          </cell>
        </row>
        <row r="2012">
          <cell r="A2012">
            <v>44896</v>
          </cell>
          <cell r="B2012">
            <v>139.09848</v>
          </cell>
        </row>
        <row r="2013">
          <cell r="A2013" t="str">
            <v>13-01-2022</v>
          </cell>
          <cell r="B2013">
            <v>141.067047</v>
          </cell>
        </row>
        <row r="2014">
          <cell r="A2014" t="str">
            <v>14-01-2022</v>
          </cell>
          <cell r="B2014">
            <v>140.66944899999999</v>
          </cell>
        </row>
        <row r="2015">
          <cell r="A2015" t="str">
            <v>18-01-2022</v>
          </cell>
          <cell r="B2015">
            <v>138.20631399999999</v>
          </cell>
        </row>
        <row r="2016">
          <cell r="A2016" t="str">
            <v>19-01-2022</v>
          </cell>
          <cell r="B2016">
            <v>139.58332799999999</v>
          </cell>
        </row>
        <row r="2017">
          <cell r="A2017" t="str">
            <v>20-01-2022</v>
          </cell>
          <cell r="B2017">
            <v>136.94567900000001</v>
          </cell>
        </row>
        <row r="2018">
          <cell r="A2018" t="str">
            <v>21-01-2022</v>
          </cell>
          <cell r="B2018">
            <v>135.94683800000001</v>
          </cell>
        </row>
        <row r="2019">
          <cell r="A2019" t="str">
            <v>24-01-2022</v>
          </cell>
          <cell r="B2019">
            <v>135.95657299999999</v>
          </cell>
        </row>
        <row r="2020">
          <cell r="A2020" t="str">
            <v>25-01-2022</v>
          </cell>
          <cell r="B2020">
            <v>132.99884</v>
          </cell>
        </row>
        <row r="2021">
          <cell r="A2021" t="str">
            <v>26-01-2022</v>
          </cell>
          <cell r="B2021">
            <v>131.64125100000001</v>
          </cell>
        </row>
        <row r="2022">
          <cell r="A2022" t="str">
            <v>27-01-2022</v>
          </cell>
          <cell r="B2022">
            <v>131.7285</v>
          </cell>
        </row>
        <row r="2023">
          <cell r="A2023" t="str">
            <v>28-01-2022</v>
          </cell>
          <cell r="B2023">
            <v>133.357651</v>
          </cell>
        </row>
        <row r="2024">
          <cell r="A2024" t="str">
            <v>31-01-2022</v>
          </cell>
          <cell r="B2024">
            <v>135.578339</v>
          </cell>
        </row>
        <row r="2025">
          <cell r="A2025">
            <v>44563</v>
          </cell>
          <cell r="B2025">
            <v>136.64506499999999</v>
          </cell>
        </row>
        <row r="2026">
          <cell r="A2026">
            <v>44594</v>
          </cell>
          <cell r="B2026">
            <v>136.58689899999999</v>
          </cell>
        </row>
        <row r="2027">
          <cell r="A2027">
            <v>44622</v>
          </cell>
          <cell r="B2027">
            <v>136.722656</v>
          </cell>
        </row>
        <row r="2028">
          <cell r="A2028">
            <v>44653</v>
          </cell>
          <cell r="B2028">
            <v>135.1129</v>
          </cell>
        </row>
        <row r="2029">
          <cell r="A2029">
            <v>44744</v>
          </cell>
          <cell r="B2029">
            <v>133.78431699999999</v>
          </cell>
        </row>
        <row r="2030">
          <cell r="A2030">
            <v>44775</v>
          </cell>
          <cell r="B2030">
            <v>133.813446</v>
          </cell>
        </row>
        <row r="2031">
          <cell r="A2031">
            <v>44806</v>
          </cell>
          <cell r="B2031">
            <v>133.52250699999999</v>
          </cell>
        </row>
        <row r="2032">
          <cell r="A2032">
            <v>44836</v>
          </cell>
          <cell r="B2032">
            <v>131.96125799999999</v>
          </cell>
        </row>
        <row r="2033">
          <cell r="A2033">
            <v>44867</v>
          </cell>
          <cell r="B2033">
            <v>131.233948</v>
          </cell>
        </row>
        <row r="2034">
          <cell r="A2034" t="str">
            <v>14-02-2022</v>
          </cell>
          <cell r="B2034">
            <v>129.89572100000001</v>
          </cell>
        </row>
        <row r="2035">
          <cell r="A2035" t="str">
            <v>15-02-2022</v>
          </cell>
          <cell r="B2035">
            <v>130.303009</v>
          </cell>
        </row>
        <row r="2036">
          <cell r="A2036" t="str">
            <v>16-02-2022</v>
          </cell>
          <cell r="B2036">
            <v>129.48841899999999</v>
          </cell>
        </row>
        <row r="2037">
          <cell r="A2037" t="str">
            <v>17-02-2022</v>
          </cell>
          <cell r="B2037">
            <v>134.67649800000001</v>
          </cell>
        </row>
        <row r="2038">
          <cell r="A2038" t="str">
            <v>18-02-2022</v>
          </cell>
          <cell r="B2038">
            <v>133.813446</v>
          </cell>
        </row>
        <row r="2039">
          <cell r="A2039" t="str">
            <v>22-02-2022</v>
          </cell>
          <cell r="B2039">
            <v>132.32002299999999</v>
          </cell>
        </row>
        <row r="2040">
          <cell r="A2040" t="str">
            <v>23-02-2022</v>
          </cell>
          <cell r="B2040">
            <v>130.96241800000001</v>
          </cell>
        </row>
        <row r="2041">
          <cell r="A2041" t="str">
            <v>24-02-2022</v>
          </cell>
          <cell r="B2041">
            <v>130.458145</v>
          </cell>
        </row>
        <row r="2042">
          <cell r="A2042" t="str">
            <v>25-02-2022</v>
          </cell>
          <cell r="B2042">
            <v>132.25216699999999</v>
          </cell>
        </row>
        <row r="2043">
          <cell r="A2043" t="str">
            <v>28-02-2022</v>
          </cell>
          <cell r="B2043">
            <v>131.069107</v>
          </cell>
        </row>
        <row r="2044">
          <cell r="A2044">
            <v>44564</v>
          </cell>
          <cell r="B2044">
            <v>131.87397799999999</v>
          </cell>
        </row>
        <row r="2045">
          <cell r="A2045">
            <v>44595</v>
          </cell>
          <cell r="B2045">
            <v>132.03883400000001</v>
          </cell>
        </row>
        <row r="2046">
          <cell r="A2046">
            <v>44623</v>
          </cell>
          <cell r="B2046">
            <v>135.07406599999999</v>
          </cell>
        </row>
        <row r="2047">
          <cell r="A2047">
            <v>44654</v>
          </cell>
          <cell r="B2047">
            <v>138.497253</v>
          </cell>
        </row>
        <row r="2048">
          <cell r="A2048">
            <v>44745</v>
          </cell>
          <cell r="B2048">
            <v>137.382034</v>
          </cell>
        </row>
        <row r="2049">
          <cell r="A2049">
            <v>44776</v>
          </cell>
          <cell r="B2049">
            <v>134.54075599999999</v>
          </cell>
        </row>
        <row r="2050">
          <cell r="A2050">
            <v>44807</v>
          </cell>
          <cell r="B2050">
            <v>135.23895300000001</v>
          </cell>
        </row>
        <row r="2051">
          <cell r="A2051">
            <v>44837</v>
          </cell>
          <cell r="B2051">
            <v>138.31298799999999</v>
          </cell>
        </row>
        <row r="2052">
          <cell r="A2052">
            <v>44868</v>
          </cell>
          <cell r="B2052">
            <v>137.769958</v>
          </cell>
        </row>
        <row r="2053">
          <cell r="A2053" t="str">
            <v>14-03-2022</v>
          </cell>
          <cell r="B2053">
            <v>139.69000199999999</v>
          </cell>
        </row>
        <row r="2054">
          <cell r="A2054" t="str">
            <v>15-03-2022</v>
          </cell>
          <cell r="B2054">
            <v>141.36762999999999</v>
          </cell>
        </row>
        <row r="2055">
          <cell r="A2055" t="str">
            <v>16-03-2022</v>
          </cell>
          <cell r="B2055">
            <v>140.95066800000001</v>
          </cell>
        </row>
        <row r="2056">
          <cell r="A2056" t="str">
            <v>17-03-2022</v>
          </cell>
          <cell r="B2056">
            <v>141.164841</v>
          </cell>
        </row>
        <row r="2057">
          <cell r="A2057" t="str">
            <v>18-03-2022</v>
          </cell>
          <cell r="B2057">
            <v>141.58343500000001</v>
          </cell>
        </row>
        <row r="2058">
          <cell r="A2058" t="str">
            <v>21-03-2022</v>
          </cell>
          <cell r="B2058">
            <v>140.405518</v>
          </cell>
        </row>
        <row r="2059">
          <cell r="A2059" t="str">
            <v>22-03-2022</v>
          </cell>
          <cell r="B2059">
            <v>139.98692299999999</v>
          </cell>
        </row>
        <row r="2060">
          <cell r="A2060" t="str">
            <v>23-03-2022</v>
          </cell>
          <cell r="B2060">
            <v>138.18598900000001</v>
          </cell>
        </row>
        <row r="2061">
          <cell r="A2061" t="str">
            <v>24-03-2022</v>
          </cell>
          <cell r="B2061">
            <v>139.042633</v>
          </cell>
        </row>
        <row r="2062">
          <cell r="A2062" t="str">
            <v>25-03-2022</v>
          </cell>
          <cell r="B2062">
            <v>139.64619400000001</v>
          </cell>
        </row>
        <row r="2063">
          <cell r="A2063" t="str">
            <v>28-03-2022</v>
          </cell>
          <cell r="B2063">
            <v>142.12855500000001</v>
          </cell>
        </row>
        <row r="2064">
          <cell r="A2064" t="str">
            <v>29-03-2022</v>
          </cell>
          <cell r="B2064">
            <v>143.325943</v>
          </cell>
        </row>
        <row r="2065">
          <cell r="A2065" t="str">
            <v>30-03-2022</v>
          </cell>
          <cell r="B2065">
            <v>145.89595</v>
          </cell>
        </row>
        <row r="2066">
          <cell r="A2066" t="str">
            <v>31-03-2022</v>
          </cell>
          <cell r="B2066">
            <v>144.971161</v>
          </cell>
        </row>
        <row r="2067">
          <cell r="A2067">
            <v>44565</v>
          </cell>
          <cell r="B2067">
            <v>147.005753</v>
          </cell>
        </row>
        <row r="2068">
          <cell r="A2068">
            <v>44655</v>
          </cell>
          <cell r="B2068">
            <v>147.034943</v>
          </cell>
        </row>
        <row r="2069">
          <cell r="A2069">
            <v>44685</v>
          </cell>
          <cell r="B2069">
            <v>147.45353700000001</v>
          </cell>
        </row>
        <row r="2070">
          <cell r="A2070">
            <v>44716</v>
          </cell>
          <cell r="B2070">
            <v>150.88020299999999</v>
          </cell>
        </row>
        <row r="2071">
          <cell r="A2071">
            <v>44746</v>
          </cell>
          <cell r="B2071">
            <v>152.38909899999999</v>
          </cell>
        </row>
        <row r="2072">
          <cell r="A2072">
            <v>44777</v>
          </cell>
          <cell r="B2072">
            <v>153.23603800000001</v>
          </cell>
        </row>
        <row r="2073">
          <cell r="A2073">
            <v>44869</v>
          </cell>
          <cell r="B2073">
            <v>150.198746</v>
          </cell>
        </row>
        <row r="2074">
          <cell r="A2074">
            <v>44899</v>
          </cell>
          <cell r="B2074">
            <v>149.16686999999999</v>
          </cell>
        </row>
        <row r="2075">
          <cell r="A2075" t="str">
            <v>13-04-2022</v>
          </cell>
          <cell r="B2075">
            <v>153.05107100000001</v>
          </cell>
        </row>
        <row r="2076">
          <cell r="A2076" t="str">
            <v>14-04-2022</v>
          </cell>
          <cell r="B2076">
            <v>152.91478000000001</v>
          </cell>
        </row>
        <row r="2077">
          <cell r="A2077" t="str">
            <v>18-04-2022</v>
          </cell>
          <cell r="B2077">
            <v>151.74659700000001</v>
          </cell>
        </row>
        <row r="2078">
          <cell r="A2078" t="str">
            <v>19-04-2022</v>
          </cell>
          <cell r="B2078">
            <v>153.46966599999999</v>
          </cell>
        </row>
        <row r="2079">
          <cell r="A2079" t="str">
            <v>20-04-2022</v>
          </cell>
          <cell r="B2079">
            <v>155.39717099999999</v>
          </cell>
        </row>
        <row r="2080">
          <cell r="A2080" t="str">
            <v>21-04-2022</v>
          </cell>
          <cell r="B2080">
            <v>155.630798</v>
          </cell>
        </row>
        <row r="2081">
          <cell r="A2081" t="str">
            <v>22-04-2022</v>
          </cell>
          <cell r="B2081">
            <v>152.70062300000001</v>
          </cell>
        </row>
        <row r="2082">
          <cell r="A2082" t="str">
            <v>25-04-2022</v>
          </cell>
          <cell r="B2082">
            <v>152.77848800000001</v>
          </cell>
        </row>
        <row r="2083">
          <cell r="A2083" t="str">
            <v>26-04-2022</v>
          </cell>
          <cell r="B2083">
            <v>151.18197599999999</v>
          </cell>
        </row>
        <row r="2084">
          <cell r="A2084" t="str">
            <v>27-04-2022</v>
          </cell>
          <cell r="B2084">
            <v>150.15010100000001</v>
          </cell>
        </row>
        <row r="2085">
          <cell r="A2085" t="str">
            <v>28-04-2022</v>
          </cell>
          <cell r="B2085">
            <v>152.06785600000001</v>
          </cell>
        </row>
        <row r="2086">
          <cell r="A2086" t="str">
            <v>29-04-2022</v>
          </cell>
          <cell r="B2086">
            <v>148.933243</v>
          </cell>
        </row>
        <row r="2087">
          <cell r="A2087">
            <v>44597</v>
          </cell>
          <cell r="B2087">
            <v>147.949997</v>
          </cell>
        </row>
        <row r="2088">
          <cell r="A2088">
            <v>44625</v>
          </cell>
          <cell r="B2088">
            <v>148.465958</v>
          </cell>
        </row>
        <row r="2089">
          <cell r="A2089">
            <v>44656</v>
          </cell>
          <cell r="B2089">
            <v>150.520004</v>
          </cell>
        </row>
        <row r="2090">
          <cell r="A2090">
            <v>44686</v>
          </cell>
          <cell r="B2090">
            <v>149.23034699999999</v>
          </cell>
        </row>
        <row r="2091">
          <cell r="A2091">
            <v>44717</v>
          </cell>
          <cell r="B2091">
            <v>146.12339800000001</v>
          </cell>
        </row>
        <row r="2092">
          <cell r="A2092">
            <v>44809</v>
          </cell>
          <cell r="B2092">
            <v>147.833191</v>
          </cell>
        </row>
        <row r="2093">
          <cell r="A2093">
            <v>44839</v>
          </cell>
          <cell r="B2093">
            <v>145.75213600000001</v>
          </cell>
        </row>
        <row r="2094">
          <cell r="A2094">
            <v>44870</v>
          </cell>
          <cell r="B2094">
            <v>144.227982</v>
          </cell>
        </row>
        <row r="2095">
          <cell r="A2095">
            <v>44900</v>
          </cell>
          <cell r="B2095">
            <v>144.09120200000001</v>
          </cell>
        </row>
        <row r="2096">
          <cell r="A2096" t="str">
            <v>13-05-2022</v>
          </cell>
          <cell r="B2096">
            <v>144.64810199999999</v>
          </cell>
        </row>
        <row r="2097">
          <cell r="A2097" t="str">
            <v>16-05-2022</v>
          </cell>
          <cell r="B2097">
            <v>144.80444299999999</v>
          </cell>
        </row>
        <row r="2098">
          <cell r="A2098" t="str">
            <v>17-05-2022</v>
          </cell>
          <cell r="B2098">
            <v>128.33184800000001</v>
          </cell>
        </row>
        <row r="2099">
          <cell r="A2099" t="str">
            <v>18-05-2022</v>
          </cell>
          <cell r="B2099">
            <v>119.616798</v>
          </cell>
        </row>
        <row r="2100">
          <cell r="A2100" t="str">
            <v>19-05-2022</v>
          </cell>
          <cell r="B2100">
            <v>116.334007</v>
          </cell>
        </row>
        <row r="2101">
          <cell r="A2101" t="str">
            <v>20-05-2022</v>
          </cell>
          <cell r="B2101">
            <v>116.461021</v>
          </cell>
        </row>
        <row r="2102">
          <cell r="A2102" t="str">
            <v>23-05-2022</v>
          </cell>
          <cell r="B2102">
            <v>119.782906</v>
          </cell>
        </row>
        <row r="2103">
          <cell r="A2103" t="str">
            <v>24-05-2022</v>
          </cell>
          <cell r="B2103">
            <v>121.277748</v>
          </cell>
        </row>
        <row r="2104">
          <cell r="A2104" t="str">
            <v>25-05-2022</v>
          </cell>
          <cell r="B2104">
            <v>120.535202</v>
          </cell>
        </row>
        <row r="2105">
          <cell r="A2105" t="str">
            <v>26-05-2022</v>
          </cell>
          <cell r="B2105">
            <v>123.104767</v>
          </cell>
        </row>
        <row r="2106">
          <cell r="A2106" t="str">
            <v>27-05-2022</v>
          </cell>
          <cell r="B2106">
            <v>125.527779</v>
          </cell>
        </row>
        <row r="2107">
          <cell r="A2107" t="str">
            <v>31-05-2022</v>
          </cell>
          <cell r="B2107">
            <v>125.674347</v>
          </cell>
        </row>
        <row r="2108">
          <cell r="A2108">
            <v>44567</v>
          </cell>
          <cell r="B2108">
            <v>122.56740600000001</v>
          </cell>
        </row>
        <row r="2109">
          <cell r="A2109">
            <v>44598</v>
          </cell>
          <cell r="B2109">
            <v>124.580078</v>
          </cell>
        </row>
        <row r="2110">
          <cell r="A2110">
            <v>44626</v>
          </cell>
          <cell r="B2110">
            <v>122.440392</v>
          </cell>
        </row>
        <row r="2111">
          <cell r="A2111">
            <v>44718</v>
          </cell>
          <cell r="B2111">
            <v>122.000748</v>
          </cell>
        </row>
        <row r="2112">
          <cell r="A2112">
            <v>44748</v>
          </cell>
          <cell r="B2112">
            <v>120.535202</v>
          </cell>
        </row>
        <row r="2113">
          <cell r="A2113">
            <v>44779</v>
          </cell>
          <cell r="B2113">
            <v>119.48979199999999</v>
          </cell>
        </row>
        <row r="2114">
          <cell r="A2114">
            <v>44810</v>
          </cell>
          <cell r="B2114">
            <v>118.239197</v>
          </cell>
        </row>
        <row r="2115">
          <cell r="A2115">
            <v>44840</v>
          </cell>
          <cell r="B2115">
            <v>118.903572</v>
          </cell>
        </row>
        <row r="2116">
          <cell r="A2116" t="str">
            <v>13-06-2022</v>
          </cell>
          <cell r="B2116">
            <v>116.666206</v>
          </cell>
        </row>
        <row r="2117">
          <cell r="A2117" t="str">
            <v>14-06-2022</v>
          </cell>
          <cell r="B2117">
            <v>116.71505000000001</v>
          </cell>
        </row>
        <row r="2118">
          <cell r="A2118" t="str">
            <v>15-06-2022</v>
          </cell>
          <cell r="B2118">
            <v>116.636887</v>
          </cell>
        </row>
        <row r="2119">
          <cell r="A2119" t="str">
            <v>16-06-2022</v>
          </cell>
          <cell r="B2119">
            <v>117.848389</v>
          </cell>
        </row>
        <row r="2120">
          <cell r="A2120" t="str">
            <v>17-06-2022</v>
          </cell>
          <cell r="B2120">
            <v>115.57192999999999</v>
          </cell>
        </row>
        <row r="2121">
          <cell r="A2121" t="str">
            <v>21-06-2022</v>
          </cell>
          <cell r="B2121">
            <v>119.36277800000001</v>
          </cell>
        </row>
        <row r="2122">
          <cell r="A2122" t="str">
            <v>22-06-2022</v>
          </cell>
          <cell r="B2122">
            <v>117.91677900000001</v>
          </cell>
        </row>
        <row r="2123">
          <cell r="A2123" t="str">
            <v>23-06-2022</v>
          </cell>
          <cell r="B2123">
            <v>120.77945699999999</v>
          </cell>
        </row>
        <row r="2124">
          <cell r="A2124" t="str">
            <v>24-06-2022</v>
          </cell>
          <cell r="B2124">
            <v>120.87715900000001</v>
          </cell>
        </row>
        <row r="2125">
          <cell r="A2125" t="str">
            <v>27-06-2022</v>
          </cell>
          <cell r="B2125">
            <v>121.267982</v>
          </cell>
        </row>
        <row r="2126">
          <cell r="A2126" t="str">
            <v>28-06-2022</v>
          </cell>
          <cell r="B2126">
            <v>119.558182</v>
          </cell>
        </row>
        <row r="2127">
          <cell r="A2127" t="str">
            <v>29-06-2022</v>
          </cell>
          <cell r="B2127">
            <v>119.118523</v>
          </cell>
        </row>
        <row r="2128">
          <cell r="A2128" t="str">
            <v>30-06-2022</v>
          </cell>
          <cell r="B2128">
            <v>118.786331</v>
          </cell>
        </row>
        <row r="2129">
          <cell r="A2129">
            <v>44568</v>
          </cell>
          <cell r="B2129">
            <v>119.81220999999999</v>
          </cell>
        </row>
        <row r="2130">
          <cell r="A2130">
            <v>44688</v>
          </cell>
          <cell r="B2130">
            <v>121.394981</v>
          </cell>
        </row>
        <row r="2131">
          <cell r="A2131">
            <v>44719</v>
          </cell>
          <cell r="B2131">
            <v>122.25475299999999</v>
          </cell>
        </row>
        <row r="2132">
          <cell r="A2132">
            <v>44749</v>
          </cell>
          <cell r="B2132">
            <v>122.440392</v>
          </cell>
        </row>
        <row r="2133">
          <cell r="A2133">
            <v>44780</v>
          </cell>
          <cell r="B2133">
            <v>122.518562</v>
          </cell>
        </row>
        <row r="2134">
          <cell r="A2134">
            <v>44872</v>
          </cell>
          <cell r="B2134">
            <v>122.56740600000001</v>
          </cell>
        </row>
        <row r="2135">
          <cell r="A2135">
            <v>44902</v>
          </cell>
          <cell r="B2135">
            <v>122.196144</v>
          </cell>
        </row>
        <row r="2136">
          <cell r="A2136" t="str">
            <v>13-07-2022</v>
          </cell>
          <cell r="B2136">
            <v>122.48925800000001</v>
          </cell>
        </row>
        <row r="2137">
          <cell r="A2137" t="str">
            <v>14-07-2022</v>
          </cell>
          <cell r="B2137">
            <v>124.88294999999999</v>
          </cell>
        </row>
        <row r="2138">
          <cell r="A2138" t="str">
            <v>15-07-2022</v>
          </cell>
          <cell r="B2138">
            <v>126.10423299999999</v>
          </cell>
        </row>
        <row r="2139">
          <cell r="A2139" t="str">
            <v>18-07-2022</v>
          </cell>
          <cell r="B2139">
            <v>125.811127</v>
          </cell>
        </row>
        <row r="2140">
          <cell r="A2140" t="str">
            <v>19-07-2022</v>
          </cell>
          <cell r="B2140">
            <v>126.58297</v>
          </cell>
        </row>
        <row r="2141">
          <cell r="A2141" t="str">
            <v>20-07-2022</v>
          </cell>
          <cell r="B2141">
            <v>127.63814499999999</v>
          </cell>
        </row>
        <row r="2142">
          <cell r="A2142" t="str">
            <v>21-07-2022</v>
          </cell>
          <cell r="B2142">
            <v>129.504257</v>
          </cell>
        </row>
        <row r="2143">
          <cell r="A2143" t="str">
            <v>22-07-2022</v>
          </cell>
          <cell r="B2143">
            <v>129.172089</v>
          </cell>
        </row>
        <row r="2144">
          <cell r="A2144" t="str">
            <v>25-07-2022</v>
          </cell>
          <cell r="B2144">
            <v>128.986435</v>
          </cell>
        </row>
        <row r="2145">
          <cell r="A2145" t="str">
            <v>26-07-2022</v>
          </cell>
          <cell r="B2145">
            <v>119.17714700000001</v>
          </cell>
        </row>
        <row r="2146">
          <cell r="A2146" t="str">
            <v>27-07-2022</v>
          </cell>
          <cell r="B2146">
            <v>123.681206</v>
          </cell>
        </row>
        <row r="2147">
          <cell r="A2147" t="str">
            <v>28-07-2022</v>
          </cell>
          <cell r="B2147">
            <v>126.76860000000001</v>
          </cell>
        </row>
        <row r="2148">
          <cell r="A2148" t="str">
            <v>29-07-2022</v>
          </cell>
          <cell r="B2148">
            <v>129.015762</v>
          </cell>
        </row>
        <row r="2149">
          <cell r="A2149">
            <v>44569</v>
          </cell>
          <cell r="B2149">
            <v>129.49449200000001</v>
          </cell>
        </row>
        <row r="2150">
          <cell r="A2150">
            <v>44600</v>
          </cell>
          <cell r="B2150">
            <v>129.631271</v>
          </cell>
        </row>
        <row r="2151">
          <cell r="A2151">
            <v>44628</v>
          </cell>
          <cell r="B2151">
            <v>127.501373</v>
          </cell>
        </row>
        <row r="2152">
          <cell r="A2152">
            <v>44659</v>
          </cell>
          <cell r="B2152">
            <v>122.684647</v>
          </cell>
        </row>
        <row r="2153">
          <cell r="A2153">
            <v>44689</v>
          </cell>
          <cell r="B2153">
            <v>123.671448</v>
          </cell>
        </row>
        <row r="2154">
          <cell r="A2154">
            <v>44781</v>
          </cell>
          <cell r="B2154">
            <v>124.677773</v>
          </cell>
        </row>
        <row r="2155">
          <cell r="A2155">
            <v>44812</v>
          </cell>
          <cell r="B2155">
            <v>125.908821</v>
          </cell>
        </row>
        <row r="2156">
          <cell r="A2156">
            <v>44842</v>
          </cell>
          <cell r="B2156">
            <v>126.172623</v>
          </cell>
        </row>
        <row r="2157">
          <cell r="A2157">
            <v>44873</v>
          </cell>
          <cell r="B2157">
            <v>127.389404</v>
          </cell>
        </row>
        <row r="2158">
          <cell r="A2158">
            <v>44903</v>
          </cell>
          <cell r="B2158">
            <v>129.744461</v>
          </cell>
        </row>
        <row r="2159">
          <cell r="A2159" t="str">
            <v>15-08-2022</v>
          </cell>
          <cell r="B2159">
            <v>130.11737099999999</v>
          </cell>
        </row>
        <row r="2160">
          <cell r="A2160" t="str">
            <v>16-08-2022</v>
          </cell>
          <cell r="B2160">
            <v>136.760605</v>
          </cell>
        </row>
        <row r="2161">
          <cell r="A2161" t="str">
            <v>17-08-2022</v>
          </cell>
          <cell r="B2161">
            <v>136.907791</v>
          </cell>
        </row>
        <row r="2162">
          <cell r="A2162" t="str">
            <v>18-08-2022</v>
          </cell>
          <cell r="B2162">
            <v>136.466217</v>
          </cell>
        </row>
        <row r="2163">
          <cell r="A2163" t="str">
            <v>19-08-2022</v>
          </cell>
          <cell r="B2163">
            <v>134.45459</v>
          </cell>
        </row>
        <row r="2164">
          <cell r="A2164" t="str">
            <v>22-08-2022</v>
          </cell>
          <cell r="B2164">
            <v>132.05046100000001</v>
          </cell>
        </row>
        <row r="2165">
          <cell r="A2165" t="str">
            <v>23-08-2022</v>
          </cell>
          <cell r="B2165">
            <v>131.49113500000001</v>
          </cell>
        </row>
        <row r="2166">
          <cell r="A2166" t="str">
            <v>24-08-2022</v>
          </cell>
          <cell r="B2166">
            <v>132.442993</v>
          </cell>
        </row>
        <row r="2167">
          <cell r="A2167" t="str">
            <v>25-08-2022</v>
          </cell>
          <cell r="B2167">
            <v>133.32614100000001</v>
          </cell>
        </row>
        <row r="2168">
          <cell r="A2168" t="str">
            <v>26-08-2022</v>
          </cell>
          <cell r="B2168">
            <v>129.13609299999999</v>
          </cell>
        </row>
        <row r="2169">
          <cell r="A2169" t="str">
            <v>29-08-2022</v>
          </cell>
          <cell r="B2169">
            <v>130.39212000000001</v>
          </cell>
        </row>
        <row r="2170">
          <cell r="A2170" t="str">
            <v>30-08-2022</v>
          </cell>
          <cell r="B2170">
            <v>129.99960300000001</v>
          </cell>
        </row>
        <row r="2171">
          <cell r="A2171" t="str">
            <v>31-08-2022</v>
          </cell>
          <cell r="B2171">
            <v>130.068298</v>
          </cell>
        </row>
        <row r="2172">
          <cell r="A2172">
            <v>44570</v>
          </cell>
          <cell r="B2172">
            <v>131.962143</v>
          </cell>
        </row>
        <row r="2173">
          <cell r="A2173">
            <v>44601</v>
          </cell>
          <cell r="B2173">
            <v>130.50985700000001</v>
          </cell>
        </row>
        <row r="2174">
          <cell r="A2174">
            <v>44721</v>
          </cell>
          <cell r="B2174">
            <v>129.862213</v>
          </cell>
        </row>
        <row r="2175">
          <cell r="A2175">
            <v>44751</v>
          </cell>
          <cell r="B2175">
            <v>133.19856300000001</v>
          </cell>
        </row>
        <row r="2176">
          <cell r="A2176">
            <v>44782</v>
          </cell>
          <cell r="B2176">
            <v>133.87562600000001</v>
          </cell>
        </row>
        <row r="2177">
          <cell r="A2177">
            <v>44813</v>
          </cell>
          <cell r="B2177">
            <v>134.27795399999999</v>
          </cell>
        </row>
        <row r="2178">
          <cell r="A2178">
            <v>44904</v>
          </cell>
          <cell r="B2178">
            <v>135.48493999999999</v>
          </cell>
        </row>
        <row r="2179">
          <cell r="A2179" t="str">
            <v>13-09-2022</v>
          </cell>
          <cell r="B2179">
            <v>132.688309</v>
          </cell>
        </row>
        <row r="2180">
          <cell r="A2180" t="str">
            <v>14-09-2022</v>
          </cell>
          <cell r="B2180">
            <v>132.39392100000001</v>
          </cell>
        </row>
        <row r="2181">
          <cell r="A2181" t="str">
            <v>15-09-2022</v>
          </cell>
          <cell r="B2181">
            <v>130.97105400000001</v>
          </cell>
        </row>
        <row r="2182">
          <cell r="A2182" t="str">
            <v>16-09-2022</v>
          </cell>
          <cell r="B2182">
            <v>130.696304</v>
          </cell>
        </row>
        <row r="2183">
          <cell r="A2183" t="str">
            <v>19-09-2022</v>
          </cell>
          <cell r="B2183">
            <v>131.81497200000001</v>
          </cell>
        </row>
        <row r="2184">
          <cell r="A2184" t="str">
            <v>20-09-2022</v>
          </cell>
          <cell r="B2184">
            <v>131.049576</v>
          </cell>
        </row>
        <row r="2185">
          <cell r="A2185" t="str">
            <v>21-09-2022</v>
          </cell>
          <cell r="B2185">
            <v>132.246735</v>
          </cell>
        </row>
        <row r="2186">
          <cell r="A2186" t="str">
            <v>22-09-2022</v>
          </cell>
          <cell r="B2186">
            <v>130.89257799999999</v>
          </cell>
        </row>
        <row r="2187">
          <cell r="A2187" t="str">
            <v>23-09-2022</v>
          </cell>
          <cell r="B2187">
            <v>127.624916</v>
          </cell>
        </row>
        <row r="2188">
          <cell r="A2188" t="str">
            <v>26-09-2022</v>
          </cell>
          <cell r="B2188">
            <v>128.851517</v>
          </cell>
        </row>
        <row r="2189">
          <cell r="A2189" t="str">
            <v>27-09-2022</v>
          </cell>
          <cell r="B2189">
            <v>128.498245</v>
          </cell>
        </row>
        <row r="2190">
          <cell r="A2190" t="str">
            <v>28-09-2022</v>
          </cell>
          <cell r="B2190">
            <v>130.61779799999999</v>
          </cell>
        </row>
        <row r="2191">
          <cell r="A2191" t="str">
            <v>29-09-2022</v>
          </cell>
          <cell r="B2191">
            <v>129.77387999999999</v>
          </cell>
        </row>
        <row r="2192">
          <cell r="A2192" t="str">
            <v>30-09-2022</v>
          </cell>
          <cell r="B2192">
            <v>127.271652</v>
          </cell>
        </row>
        <row r="2193">
          <cell r="A2193">
            <v>44630</v>
          </cell>
          <cell r="B2193">
            <v>130.048676</v>
          </cell>
        </row>
        <row r="2194">
          <cell r="A2194">
            <v>44661</v>
          </cell>
          <cell r="B2194">
            <v>131.73644999999999</v>
          </cell>
        </row>
        <row r="2195">
          <cell r="A2195">
            <v>44691</v>
          </cell>
          <cell r="B2195">
            <v>130.43135100000001</v>
          </cell>
        </row>
        <row r="2196">
          <cell r="A2196">
            <v>44722</v>
          </cell>
          <cell r="B2196">
            <v>129.21456900000001</v>
          </cell>
        </row>
        <row r="2197">
          <cell r="A2197">
            <v>44752</v>
          </cell>
          <cell r="B2197">
            <v>126.15300000000001</v>
          </cell>
        </row>
        <row r="2198">
          <cell r="A2198">
            <v>44844</v>
          </cell>
          <cell r="B2198">
            <v>126.89876599999999</v>
          </cell>
        </row>
        <row r="2199">
          <cell r="A2199">
            <v>44875</v>
          </cell>
          <cell r="B2199">
            <v>130.186035</v>
          </cell>
        </row>
        <row r="2200">
          <cell r="A2200">
            <v>44905</v>
          </cell>
          <cell r="B2200">
            <v>128.714111</v>
          </cell>
        </row>
        <row r="2201">
          <cell r="A2201" t="str">
            <v>13-10-2022</v>
          </cell>
          <cell r="B2201">
            <v>129.80332899999999</v>
          </cell>
        </row>
        <row r="2202">
          <cell r="A2202" t="str">
            <v>14-10-2022</v>
          </cell>
          <cell r="B2202">
            <v>127.987961</v>
          </cell>
        </row>
        <row r="2203">
          <cell r="A2203" t="str">
            <v>17-10-2022</v>
          </cell>
          <cell r="B2203">
            <v>128.91038499999999</v>
          </cell>
        </row>
        <row r="2204">
          <cell r="A2204" t="str">
            <v>18-10-2022</v>
          </cell>
          <cell r="B2204">
            <v>131.628525</v>
          </cell>
        </row>
        <row r="2205">
          <cell r="A2205" t="str">
            <v>19-10-2022</v>
          </cell>
          <cell r="B2205">
            <v>131.25563</v>
          </cell>
        </row>
        <row r="2206">
          <cell r="A2206" t="str">
            <v>20-10-2022</v>
          </cell>
          <cell r="B2206">
            <v>131.579453</v>
          </cell>
        </row>
        <row r="2207">
          <cell r="A2207" t="str">
            <v>21-10-2022</v>
          </cell>
          <cell r="B2207">
            <v>134.23872399999999</v>
          </cell>
        </row>
        <row r="2208">
          <cell r="A2208" t="str">
            <v>24-10-2022</v>
          </cell>
          <cell r="B2208">
            <v>136.79984999999999</v>
          </cell>
        </row>
        <row r="2209">
          <cell r="A2209" t="str">
            <v>25-10-2022</v>
          </cell>
          <cell r="B2209">
            <v>137.447495</v>
          </cell>
        </row>
        <row r="2210">
          <cell r="A2210" t="str">
            <v>26-10-2022</v>
          </cell>
          <cell r="B2210">
            <v>138.49745200000001</v>
          </cell>
        </row>
        <row r="2211">
          <cell r="A2211" t="str">
            <v>27-10-2022</v>
          </cell>
          <cell r="B2211">
            <v>138.095123</v>
          </cell>
        </row>
        <row r="2212">
          <cell r="A2212" t="str">
            <v>28-10-2022</v>
          </cell>
          <cell r="B2212">
            <v>139.841812</v>
          </cell>
        </row>
        <row r="2213">
          <cell r="A2213" t="str">
            <v>31-10-2022</v>
          </cell>
          <cell r="B2213">
            <v>139.665176</v>
          </cell>
        </row>
        <row r="2214">
          <cell r="A2214">
            <v>44572</v>
          </cell>
          <cell r="B2214">
            <v>139.03717</v>
          </cell>
        </row>
        <row r="2215">
          <cell r="A2215">
            <v>44603</v>
          </cell>
          <cell r="B2215">
            <v>138.114746</v>
          </cell>
        </row>
        <row r="2216">
          <cell r="A2216">
            <v>44631</v>
          </cell>
          <cell r="B2216">
            <v>138.08532700000001</v>
          </cell>
        </row>
        <row r="2217">
          <cell r="A2217">
            <v>44662</v>
          </cell>
          <cell r="B2217">
            <v>138.330658</v>
          </cell>
        </row>
        <row r="2218">
          <cell r="A2218">
            <v>44753</v>
          </cell>
          <cell r="B2218">
            <v>139.782928</v>
          </cell>
        </row>
        <row r="2219">
          <cell r="A2219">
            <v>44784</v>
          </cell>
          <cell r="B2219">
            <v>140.11656199999999</v>
          </cell>
        </row>
        <row r="2220">
          <cell r="A2220">
            <v>44815</v>
          </cell>
          <cell r="B2220">
            <v>136.858734</v>
          </cell>
        </row>
        <row r="2221">
          <cell r="A2221">
            <v>44845</v>
          </cell>
          <cell r="B2221">
            <v>139.69461100000001</v>
          </cell>
        </row>
        <row r="2222">
          <cell r="A2222">
            <v>44876</v>
          </cell>
          <cell r="B2222">
            <v>139.910492</v>
          </cell>
        </row>
        <row r="2223">
          <cell r="A2223" t="str">
            <v>14-11-2022</v>
          </cell>
          <cell r="B2223">
            <v>135.79894999999999</v>
          </cell>
        </row>
        <row r="2224">
          <cell r="A2224" t="str">
            <v>15-11-2022</v>
          </cell>
          <cell r="B2224">
            <v>144.67950400000001</v>
          </cell>
        </row>
        <row r="2225">
          <cell r="A2225" t="str">
            <v>16-11-2022</v>
          </cell>
          <cell r="B2225">
            <v>145.71965</v>
          </cell>
        </row>
        <row r="2226">
          <cell r="A2226" t="str">
            <v>17-11-2022</v>
          </cell>
          <cell r="B2226">
            <v>145.22901899999999</v>
          </cell>
        </row>
        <row r="2227">
          <cell r="A2227" t="str">
            <v>18-11-2022</v>
          </cell>
          <cell r="B2227">
            <v>147.41726700000001</v>
          </cell>
        </row>
        <row r="2228">
          <cell r="A2228" t="str">
            <v>21-11-2022</v>
          </cell>
          <cell r="B2228">
            <v>148.32003800000001</v>
          </cell>
        </row>
        <row r="2229">
          <cell r="A2229" t="str">
            <v>22-11-2022</v>
          </cell>
          <cell r="B2229">
            <v>148.84993</v>
          </cell>
        </row>
        <row r="2230">
          <cell r="A2230" t="str">
            <v>23-11-2022</v>
          </cell>
          <cell r="B2230">
            <v>149.56626900000001</v>
          </cell>
        </row>
        <row r="2231">
          <cell r="A2231" t="str">
            <v>25-11-2022</v>
          </cell>
          <cell r="B2231">
            <v>150.204117</v>
          </cell>
        </row>
        <row r="2232">
          <cell r="A2232" t="str">
            <v>28-11-2022</v>
          </cell>
          <cell r="B2232">
            <v>150.635864</v>
          </cell>
        </row>
        <row r="2233">
          <cell r="A2233" t="str">
            <v>29-11-2022</v>
          </cell>
          <cell r="B2233">
            <v>150.105988</v>
          </cell>
        </row>
        <row r="2234">
          <cell r="A2234" t="str">
            <v>30-11-2022</v>
          </cell>
          <cell r="B2234">
            <v>149.56626900000001</v>
          </cell>
        </row>
        <row r="2235">
          <cell r="A2235">
            <v>44573</v>
          </cell>
          <cell r="B2235">
            <v>150.49847399999999</v>
          </cell>
        </row>
        <row r="2236">
          <cell r="A2236">
            <v>44604</v>
          </cell>
          <cell r="B2236">
            <v>150.35128800000001</v>
          </cell>
        </row>
        <row r="2237">
          <cell r="A2237">
            <v>44693</v>
          </cell>
          <cell r="B2237">
            <v>148.81068400000001</v>
          </cell>
        </row>
        <row r="2238">
          <cell r="A2238">
            <v>44724</v>
          </cell>
          <cell r="B2238">
            <v>147.08363299999999</v>
          </cell>
        </row>
        <row r="2239">
          <cell r="A2239">
            <v>44754</v>
          </cell>
          <cell r="B2239">
            <v>146.31823700000001</v>
          </cell>
        </row>
        <row r="2240">
          <cell r="A2240">
            <v>44785</v>
          </cell>
          <cell r="B2240">
            <v>146.54478499999999</v>
          </cell>
        </row>
        <row r="2241">
          <cell r="A2241">
            <v>44816</v>
          </cell>
          <cell r="B2241">
            <v>143.12690699999999</v>
          </cell>
        </row>
        <row r="2242">
          <cell r="A2242">
            <v>44907</v>
          </cell>
          <cell r="B2242">
            <v>145.79621900000001</v>
          </cell>
        </row>
        <row r="2243">
          <cell r="A2243" t="str">
            <v>13-12-2022</v>
          </cell>
          <cell r="B2243">
            <v>145.27418499999999</v>
          </cell>
        </row>
        <row r="2244">
          <cell r="A2244" t="str">
            <v>14-12-2022</v>
          </cell>
          <cell r="B2244">
            <v>144.46649199999999</v>
          </cell>
        </row>
        <row r="2245">
          <cell r="A2245" t="str">
            <v>15-12-2022</v>
          </cell>
          <cell r="B2245">
            <v>143.176163</v>
          </cell>
        </row>
        <row r="2246">
          <cell r="A2246" t="str">
            <v>16-12-2022</v>
          </cell>
          <cell r="B2246">
            <v>140.60536200000001</v>
          </cell>
        </row>
        <row r="2247">
          <cell r="A2247" t="str">
            <v>19-12-2022</v>
          </cell>
          <cell r="B2247">
            <v>140.65463299999999</v>
          </cell>
        </row>
        <row r="2248">
          <cell r="A2248" t="str">
            <v>20-12-2022</v>
          </cell>
          <cell r="B2248">
            <v>141.88584900000001</v>
          </cell>
        </row>
        <row r="2249">
          <cell r="A2249" t="str">
            <v>21-12-2022</v>
          </cell>
          <cell r="B2249">
            <v>142.99887100000001</v>
          </cell>
        </row>
        <row r="2250">
          <cell r="A2250" t="str">
            <v>22-12-2022</v>
          </cell>
          <cell r="B2250">
            <v>141.32440199999999</v>
          </cell>
        </row>
        <row r="2251">
          <cell r="A2251" t="str">
            <v>23-12-2022</v>
          </cell>
          <cell r="B2251">
            <v>141.61003099999999</v>
          </cell>
        </row>
        <row r="2252">
          <cell r="A2252" t="str">
            <v>27-12-2022</v>
          </cell>
          <cell r="B2252">
            <v>141.64944499999999</v>
          </cell>
        </row>
        <row r="2253">
          <cell r="A2253" t="str">
            <v>28-12-2022</v>
          </cell>
          <cell r="B2253">
            <v>139.16729699999999</v>
          </cell>
        </row>
        <row r="2254">
          <cell r="A2254" t="str">
            <v>29-12-2022</v>
          </cell>
          <cell r="B2254">
            <v>140.01438899999999</v>
          </cell>
        </row>
        <row r="2255">
          <cell r="A2255" t="str">
            <v>30-12-2022</v>
          </cell>
          <cell r="B2255">
            <v>139.65978999999999</v>
          </cell>
        </row>
        <row r="2256">
          <cell r="A2256">
            <v>44986</v>
          </cell>
          <cell r="B2256">
            <v>141.44262699999999</v>
          </cell>
        </row>
        <row r="2257">
          <cell r="A2257">
            <v>45017</v>
          </cell>
          <cell r="B2257">
            <v>141.60020399999999</v>
          </cell>
        </row>
        <row r="2258">
          <cell r="A2258">
            <v>45047</v>
          </cell>
          <cell r="B2258">
            <v>141.117569</v>
          </cell>
        </row>
        <row r="2259">
          <cell r="A2259">
            <v>45078</v>
          </cell>
          <cell r="B2259">
            <v>144.57482899999999</v>
          </cell>
        </row>
        <row r="2260">
          <cell r="A2260">
            <v>45170</v>
          </cell>
          <cell r="B2260">
            <v>142.77233899999999</v>
          </cell>
        </row>
        <row r="2261">
          <cell r="A2261">
            <v>45200</v>
          </cell>
          <cell r="B2261">
            <v>142.68367000000001</v>
          </cell>
        </row>
        <row r="2262">
          <cell r="A2262">
            <v>45231</v>
          </cell>
          <cell r="B2262">
            <v>143.93460099999999</v>
          </cell>
        </row>
        <row r="2263">
          <cell r="A2263">
            <v>45261</v>
          </cell>
          <cell r="B2263">
            <v>142.63441499999999</v>
          </cell>
        </row>
        <row r="2264">
          <cell r="A2264" t="str">
            <v>13-01-2023</v>
          </cell>
          <cell r="B2264">
            <v>143.107193</v>
          </cell>
        </row>
        <row r="2265">
          <cell r="A2265" t="str">
            <v>17-01-2023</v>
          </cell>
          <cell r="B2265">
            <v>142.24044799999999</v>
          </cell>
        </row>
        <row r="2266">
          <cell r="A2266" t="str">
            <v>18-01-2023</v>
          </cell>
          <cell r="B2266">
            <v>138.72406000000001</v>
          </cell>
        </row>
        <row r="2267">
          <cell r="A2267" t="str">
            <v>19-01-2023</v>
          </cell>
          <cell r="B2267">
            <v>136.74427800000001</v>
          </cell>
        </row>
        <row r="2268">
          <cell r="A2268" t="str">
            <v>20-01-2023</v>
          </cell>
          <cell r="B2268">
            <v>138.42855800000001</v>
          </cell>
        </row>
        <row r="2269">
          <cell r="A2269" t="str">
            <v>23-01-2023</v>
          </cell>
          <cell r="B2269">
            <v>140.49704</v>
          </cell>
        </row>
        <row r="2270">
          <cell r="A2270" t="str">
            <v>24-01-2023</v>
          </cell>
          <cell r="B2270">
            <v>140.871307</v>
          </cell>
        </row>
        <row r="2271">
          <cell r="A2271" t="str">
            <v>25-01-2023</v>
          </cell>
          <cell r="B2271">
            <v>140.20152300000001</v>
          </cell>
        </row>
        <row r="2272">
          <cell r="A2272" t="str">
            <v>26-01-2023</v>
          </cell>
          <cell r="B2272">
            <v>140.073486</v>
          </cell>
        </row>
        <row r="2273">
          <cell r="A2273" t="str">
            <v>27-01-2023</v>
          </cell>
          <cell r="B2273">
            <v>141.14712499999999</v>
          </cell>
        </row>
        <row r="2274">
          <cell r="A2274" t="str">
            <v>30-01-2023</v>
          </cell>
          <cell r="B2274">
            <v>140.01438899999999</v>
          </cell>
        </row>
        <row r="2275">
          <cell r="A2275" t="str">
            <v>31-01-2023</v>
          </cell>
          <cell r="B2275">
            <v>141.70854199999999</v>
          </cell>
        </row>
        <row r="2276">
          <cell r="A2276">
            <v>44928</v>
          </cell>
          <cell r="B2276">
            <v>142.49653599999999</v>
          </cell>
        </row>
        <row r="2277">
          <cell r="A2277">
            <v>44959</v>
          </cell>
          <cell r="B2277">
            <v>141.46229600000001</v>
          </cell>
        </row>
        <row r="2278">
          <cell r="A2278">
            <v>44987</v>
          </cell>
          <cell r="B2278">
            <v>139.580994</v>
          </cell>
        </row>
        <row r="2279">
          <cell r="A2279">
            <v>45079</v>
          </cell>
          <cell r="B2279">
            <v>138.56646699999999</v>
          </cell>
        </row>
        <row r="2280">
          <cell r="A2280">
            <v>45109</v>
          </cell>
          <cell r="B2280">
            <v>138.861954</v>
          </cell>
        </row>
        <row r="2281">
          <cell r="A2281">
            <v>45140</v>
          </cell>
          <cell r="B2281">
            <v>138.11338799999999</v>
          </cell>
        </row>
        <row r="2282">
          <cell r="A2282">
            <v>45171</v>
          </cell>
          <cell r="B2282">
            <v>139.39385999999999</v>
          </cell>
        </row>
        <row r="2283">
          <cell r="A2283">
            <v>45201</v>
          </cell>
          <cell r="B2283">
            <v>141.56080600000001</v>
          </cell>
        </row>
        <row r="2284">
          <cell r="A2284" t="str">
            <v>13-02-2023</v>
          </cell>
          <cell r="B2284">
            <v>143.71791099999999</v>
          </cell>
        </row>
        <row r="2285">
          <cell r="A2285" t="str">
            <v>14-02-2023</v>
          </cell>
          <cell r="B2285">
            <v>143.304214</v>
          </cell>
        </row>
        <row r="2286">
          <cell r="A2286" t="str">
            <v>15-02-2023</v>
          </cell>
          <cell r="B2286">
            <v>144.36799600000001</v>
          </cell>
        </row>
        <row r="2287">
          <cell r="A2287" t="str">
            <v>16-02-2023</v>
          </cell>
          <cell r="B2287">
            <v>142.10253900000001</v>
          </cell>
        </row>
        <row r="2288">
          <cell r="A2288" t="str">
            <v>17-02-2023</v>
          </cell>
          <cell r="B2288">
            <v>144.23994400000001</v>
          </cell>
        </row>
        <row r="2289">
          <cell r="A2289" t="str">
            <v>21-02-2023</v>
          </cell>
          <cell r="B2289">
            <v>145.11657700000001</v>
          </cell>
        </row>
        <row r="2290">
          <cell r="A2290" t="str">
            <v>22-02-2023</v>
          </cell>
          <cell r="B2290">
            <v>142.07299800000001</v>
          </cell>
        </row>
        <row r="2291">
          <cell r="A2291" t="str">
            <v>23-02-2023</v>
          </cell>
          <cell r="B2291">
            <v>139.955276</v>
          </cell>
        </row>
        <row r="2292">
          <cell r="A2292" t="str">
            <v>24-02-2023</v>
          </cell>
          <cell r="B2292">
            <v>140.32959</v>
          </cell>
        </row>
        <row r="2293">
          <cell r="A2293" t="str">
            <v>27-02-2023</v>
          </cell>
          <cell r="B2293">
            <v>139.31504799999999</v>
          </cell>
        </row>
        <row r="2294">
          <cell r="A2294" t="str">
            <v>28-02-2023</v>
          </cell>
          <cell r="B2294">
            <v>139.99468999999999</v>
          </cell>
        </row>
        <row r="2295">
          <cell r="A2295">
            <v>44929</v>
          </cell>
          <cell r="B2295">
            <v>138.04441800000001</v>
          </cell>
        </row>
        <row r="2296">
          <cell r="A2296">
            <v>44960</v>
          </cell>
          <cell r="B2296">
            <v>138.38917499999999</v>
          </cell>
        </row>
        <row r="2297">
          <cell r="A2297">
            <v>44988</v>
          </cell>
          <cell r="B2297">
            <v>138.55664100000001</v>
          </cell>
        </row>
        <row r="2298">
          <cell r="A2298">
            <v>45080</v>
          </cell>
          <cell r="B2298">
            <v>138.536911</v>
          </cell>
        </row>
        <row r="2299">
          <cell r="A2299">
            <v>45110</v>
          </cell>
          <cell r="B2299">
            <v>137.15795900000001</v>
          </cell>
        </row>
        <row r="2300">
          <cell r="A2300">
            <v>45141</v>
          </cell>
          <cell r="B2300">
            <v>136.025238</v>
          </cell>
        </row>
        <row r="2301">
          <cell r="A2301">
            <v>45172</v>
          </cell>
          <cell r="B2301">
            <v>135.109207</v>
          </cell>
        </row>
        <row r="2302">
          <cell r="A2302">
            <v>45202</v>
          </cell>
          <cell r="B2302">
            <v>134.91223099999999</v>
          </cell>
        </row>
        <row r="2303">
          <cell r="A2303" t="str">
            <v>13-03-2023</v>
          </cell>
          <cell r="B2303">
            <v>135.30621300000001</v>
          </cell>
        </row>
        <row r="2304">
          <cell r="A2304" t="str">
            <v>14-03-2023</v>
          </cell>
          <cell r="B2304">
            <v>136.025238</v>
          </cell>
        </row>
        <row r="2305">
          <cell r="A2305" t="str">
            <v>15-03-2023</v>
          </cell>
          <cell r="B2305">
            <v>137.542114</v>
          </cell>
        </row>
        <row r="2306">
          <cell r="A2306" t="str">
            <v>16-03-2023</v>
          </cell>
          <cell r="B2306">
            <v>136.760773</v>
          </cell>
        </row>
        <row r="2307">
          <cell r="A2307" t="str">
            <v>17-03-2023</v>
          </cell>
          <cell r="B2307">
            <v>137.86845400000001</v>
          </cell>
        </row>
        <row r="2308">
          <cell r="A2308" t="str">
            <v>20-03-2023</v>
          </cell>
          <cell r="B2308">
            <v>139.35199</v>
          </cell>
        </row>
        <row r="2309">
          <cell r="A2309" t="str">
            <v>21-03-2023</v>
          </cell>
          <cell r="B2309">
            <v>138.877274</v>
          </cell>
        </row>
        <row r="2310">
          <cell r="A2310" t="str">
            <v>22-03-2023</v>
          </cell>
          <cell r="B2310">
            <v>137.98715200000001</v>
          </cell>
        </row>
        <row r="2311">
          <cell r="A2311" t="str">
            <v>23-03-2023</v>
          </cell>
          <cell r="B2311">
            <v>139.10472100000001</v>
          </cell>
        </row>
        <row r="2312">
          <cell r="A2312" t="str">
            <v>24-03-2023</v>
          </cell>
          <cell r="B2312">
            <v>140.242096</v>
          </cell>
        </row>
        <row r="2313">
          <cell r="A2313" t="str">
            <v>27-03-2023</v>
          </cell>
          <cell r="B2313">
            <v>142.58606</v>
          </cell>
        </row>
        <row r="2314">
          <cell r="A2314" t="str">
            <v>28-03-2023</v>
          </cell>
          <cell r="B2314">
            <v>142.03222700000001</v>
          </cell>
        </row>
        <row r="2315">
          <cell r="A2315" t="str">
            <v>29-03-2023</v>
          </cell>
          <cell r="B2315">
            <v>142.645386</v>
          </cell>
        </row>
        <row r="2316">
          <cell r="A2316" t="str">
            <v>30-03-2023</v>
          </cell>
          <cell r="B2316">
            <v>144.06958</v>
          </cell>
        </row>
        <row r="2317">
          <cell r="A2317" t="str">
            <v>31-03-2023</v>
          </cell>
          <cell r="B2317">
            <v>145.83003199999999</v>
          </cell>
        </row>
        <row r="2318">
          <cell r="A2318">
            <v>44989</v>
          </cell>
          <cell r="B2318">
            <v>147.05641199999999</v>
          </cell>
        </row>
        <row r="2319">
          <cell r="A2319">
            <v>45020</v>
          </cell>
          <cell r="B2319">
            <v>145.61244199999999</v>
          </cell>
        </row>
        <row r="2320">
          <cell r="A2320">
            <v>45050</v>
          </cell>
          <cell r="B2320">
            <v>148.02563499999999</v>
          </cell>
        </row>
        <row r="2321">
          <cell r="A2321">
            <v>45081</v>
          </cell>
          <cell r="B2321">
            <v>149.14323400000001</v>
          </cell>
        </row>
        <row r="2322">
          <cell r="A2322">
            <v>45203</v>
          </cell>
          <cell r="B2322">
            <v>148.856415</v>
          </cell>
        </row>
        <row r="2323">
          <cell r="A2323">
            <v>45234</v>
          </cell>
          <cell r="B2323">
            <v>148.42126500000001</v>
          </cell>
        </row>
        <row r="2324">
          <cell r="A2324">
            <v>45264</v>
          </cell>
          <cell r="B2324">
            <v>147.699265</v>
          </cell>
        </row>
        <row r="2325">
          <cell r="A2325" t="str">
            <v>13-04-2023</v>
          </cell>
          <cell r="B2325">
            <v>147.84762599999999</v>
          </cell>
        </row>
        <row r="2326">
          <cell r="A2326" t="str">
            <v>14-04-2023</v>
          </cell>
          <cell r="B2326">
            <v>146.84869399999999</v>
          </cell>
        </row>
        <row r="2327">
          <cell r="A2327" t="str">
            <v>17-04-2023</v>
          </cell>
          <cell r="B2327">
            <v>147.87728899999999</v>
          </cell>
        </row>
        <row r="2328">
          <cell r="A2328" t="str">
            <v>18-04-2023</v>
          </cell>
          <cell r="B2328">
            <v>148.20367400000001</v>
          </cell>
        </row>
        <row r="2329">
          <cell r="A2329" t="str">
            <v>19-04-2023</v>
          </cell>
          <cell r="B2329">
            <v>148.361908</v>
          </cell>
        </row>
        <row r="2330">
          <cell r="A2330" t="str">
            <v>20-04-2023</v>
          </cell>
          <cell r="B2330">
            <v>149.31137100000001</v>
          </cell>
        </row>
        <row r="2331">
          <cell r="A2331" t="str">
            <v>21-04-2023</v>
          </cell>
          <cell r="B2331">
            <v>150.06300400000001</v>
          </cell>
        </row>
        <row r="2332">
          <cell r="A2332" t="str">
            <v>24-04-2023</v>
          </cell>
          <cell r="B2332">
            <v>151.08169599999999</v>
          </cell>
        </row>
        <row r="2333">
          <cell r="A2333" t="str">
            <v>25-04-2023</v>
          </cell>
          <cell r="B2333">
            <v>149.90477000000001</v>
          </cell>
        </row>
        <row r="2334">
          <cell r="A2334" t="str">
            <v>26-04-2023</v>
          </cell>
          <cell r="B2334">
            <v>149.252014</v>
          </cell>
        </row>
        <row r="2335">
          <cell r="A2335" t="str">
            <v>27-04-2023</v>
          </cell>
          <cell r="B2335">
            <v>149.716858</v>
          </cell>
        </row>
        <row r="2336">
          <cell r="A2336" t="str">
            <v>28-04-2023</v>
          </cell>
          <cell r="B2336">
            <v>149.31137100000001</v>
          </cell>
        </row>
        <row r="2337">
          <cell r="A2337">
            <v>44931</v>
          </cell>
          <cell r="B2337">
            <v>149.92454499999999</v>
          </cell>
        </row>
        <row r="2338">
          <cell r="A2338">
            <v>44962</v>
          </cell>
          <cell r="B2338">
            <v>149.51904300000001</v>
          </cell>
        </row>
        <row r="2339">
          <cell r="A2339">
            <v>44990</v>
          </cell>
          <cell r="B2339">
            <v>148.96519499999999</v>
          </cell>
        </row>
        <row r="2340">
          <cell r="A2340">
            <v>45021</v>
          </cell>
          <cell r="B2340">
            <v>149.382172</v>
          </cell>
        </row>
        <row r="2341">
          <cell r="A2341">
            <v>45051</v>
          </cell>
          <cell r="B2341">
            <v>150.672775</v>
          </cell>
        </row>
        <row r="2342">
          <cell r="A2342">
            <v>45143</v>
          </cell>
          <cell r="B2342">
            <v>151.615906</v>
          </cell>
        </row>
        <row r="2343">
          <cell r="A2343">
            <v>45174</v>
          </cell>
          <cell r="B2343">
            <v>151.874008</v>
          </cell>
        </row>
        <row r="2344">
          <cell r="A2344">
            <v>45204</v>
          </cell>
          <cell r="B2344">
            <v>151.44712799999999</v>
          </cell>
        </row>
        <row r="2345">
          <cell r="A2345">
            <v>45235</v>
          </cell>
          <cell r="B2345">
            <v>152.01300000000001</v>
          </cell>
        </row>
        <row r="2346">
          <cell r="A2346">
            <v>45265</v>
          </cell>
          <cell r="B2346">
            <v>151.96336400000001</v>
          </cell>
        </row>
        <row r="2347">
          <cell r="A2347" t="str">
            <v>15-05-2023</v>
          </cell>
          <cell r="B2347">
            <v>150.781982</v>
          </cell>
        </row>
        <row r="2348">
          <cell r="A2348" t="str">
            <v>16-05-2023</v>
          </cell>
          <cell r="B2348">
            <v>148.69714400000001</v>
          </cell>
        </row>
        <row r="2349">
          <cell r="A2349" t="str">
            <v>17-05-2023</v>
          </cell>
          <cell r="B2349">
            <v>148.448959</v>
          </cell>
        </row>
        <row r="2350">
          <cell r="A2350" t="str">
            <v>18-05-2023</v>
          </cell>
          <cell r="B2350">
            <v>150.37493900000001</v>
          </cell>
        </row>
        <row r="2351">
          <cell r="A2351" t="str">
            <v>19-05-2023</v>
          </cell>
          <cell r="B2351">
            <v>148.82621800000001</v>
          </cell>
        </row>
        <row r="2352">
          <cell r="A2352" t="str">
            <v>22-05-2023</v>
          </cell>
          <cell r="B2352">
            <v>147.515747</v>
          </cell>
        </row>
        <row r="2353">
          <cell r="A2353" t="str">
            <v>23-05-2023</v>
          </cell>
          <cell r="B2353">
            <v>147.23777799999999</v>
          </cell>
        </row>
        <row r="2354">
          <cell r="A2354" t="str">
            <v>24-05-2023</v>
          </cell>
          <cell r="B2354">
            <v>146.56269800000001</v>
          </cell>
        </row>
        <row r="2355">
          <cell r="A2355" t="str">
            <v>25-05-2023</v>
          </cell>
          <cell r="B2355">
            <v>145.10333299999999</v>
          </cell>
        </row>
        <row r="2356">
          <cell r="A2356" t="str">
            <v>26-05-2023</v>
          </cell>
          <cell r="B2356">
            <v>145.361435</v>
          </cell>
        </row>
        <row r="2357">
          <cell r="A2357" t="str">
            <v>30-05-2023</v>
          </cell>
          <cell r="B2357">
            <v>145.00404399999999</v>
          </cell>
        </row>
        <row r="2358">
          <cell r="A2358" t="str">
            <v>31-05-2023</v>
          </cell>
          <cell r="B2358">
            <v>145.80819700000001</v>
          </cell>
        </row>
        <row r="2359">
          <cell r="A2359">
            <v>44932</v>
          </cell>
          <cell r="B2359">
            <v>146.34428399999999</v>
          </cell>
        </row>
        <row r="2360">
          <cell r="A2360">
            <v>44963</v>
          </cell>
          <cell r="B2360">
            <v>147.74409499999999</v>
          </cell>
        </row>
        <row r="2361">
          <cell r="A2361">
            <v>45052</v>
          </cell>
          <cell r="B2361">
            <v>148.717026</v>
          </cell>
        </row>
        <row r="2362">
          <cell r="A2362">
            <v>45083</v>
          </cell>
          <cell r="B2362">
            <v>148.69714400000001</v>
          </cell>
        </row>
        <row r="2363">
          <cell r="A2363">
            <v>45113</v>
          </cell>
          <cell r="B2363">
            <v>148.915558</v>
          </cell>
        </row>
        <row r="2364">
          <cell r="A2364">
            <v>45144</v>
          </cell>
          <cell r="B2364">
            <v>151.06987000000001</v>
          </cell>
        </row>
        <row r="2365">
          <cell r="A2365">
            <v>45175</v>
          </cell>
          <cell r="B2365">
            <v>151.98323099999999</v>
          </cell>
        </row>
        <row r="2366">
          <cell r="A2366">
            <v>45266</v>
          </cell>
          <cell r="B2366">
            <v>152.98593099999999</v>
          </cell>
        </row>
        <row r="2367">
          <cell r="A2367" t="str">
            <v>13-06-2023</v>
          </cell>
          <cell r="B2367">
            <v>154.17726099999999</v>
          </cell>
        </row>
        <row r="2368">
          <cell r="A2368" t="str">
            <v>14-06-2023</v>
          </cell>
          <cell r="B2368">
            <v>155.73588599999999</v>
          </cell>
        </row>
        <row r="2369">
          <cell r="A2369" t="str">
            <v>15-06-2023</v>
          </cell>
          <cell r="B2369">
            <v>156.589676</v>
          </cell>
        </row>
        <row r="2370">
          <cell r="A2370" t="str">
            <v>16-06-2023</v>
          </cell>
          <cell r="B2370">
            <v>154.40557899999999</v>
          </cell>
        </row>
        <row r="2371">
          <cell r="A2371" t="str">
            <v>20-06-2023</v>
          </cell>
          <cell r="B2371">
            <v>153.04548600000001</v>
          </cell>
        </row>
        <row r="2372">
          <cell r="A2372" t="str">
            <v>21-06-2023</v>
          </cell>
          <cell r="B2372">
            <v>153.34333799999999</v>
          </cell>
        </row>
        <row r="2373">
          <cell r="A2373" t="str">
            <v>22-06-2023</v>
          </cell>
          <cell r="B2373">
            <v>154.62399300000001</v>
          </cell>
        </row>
        <row r="2374">
          <cell r="A2374" t="str">
            <v>23-06-2023</v>
          </cell>
          <cell r="B2374">
            <v>154.336105</v>
          </cell>
        </row>
        <row r="2375">
          <cell r="A2375" t="str">
            <v>26-06-2023</v>
          </cell>
          <cell r="B2375">
            <v>153.92906199999999</v>
          </cell>
        </row>
        <row r="2376">
          <cell r="A2376" t="str">
            <v>27-06-2023</v>
          </cell>
          <cell r="B2376">
            <v>153.373108</v>
          </cell>
        </row>
        <row r="2377">
          <cell r="A2377" t="str">
            <v>28-06-2023</v>
          </cell>
          <cell r="B2377">
            <v>154.207031</v>
          </cell>
        </row>
        <row r="2378">
          <cell r="A2378" t="str">
            <v>29-06-2023</v>
          </cell>
          <cell r="B2378">
            <v>153.164627</v>
          </cell>
        </row>
        <row r="2379">
          <cell r="A2379" t="str">
            <v>30-06-2023</v>
          </cell>
          <cell r="B2379">
            <v>156.04364000000001</v>
          </cell>
        </row>
        <row r="2380">
          <cell r="A2380">
            <v>44992</v>
          </cell>
          <cell r="B2380">
            <v>157.056274</v>
          </cell>
        </row>
        <row r="2381">
          <cell r="A2381">
            <v>45053</v>
          </cell>
          <cell r="B2381">
            <v>156.96693400000001</v>
          </cell>
        </row>
        <row r="2382">
          <cell r="A2382">
            <v>45084</v>
          </cell>
          <cell r="B2382">
            <v>155.97416699999999</v>
          </cell>
        </row>
        <row r="2383">
          <cell r="A2383">
            <v>45114</v>
          </cell>
          <cell r="B2383">
            <v>152.38034099999999</v>
          </cell>
        </row>
        <row r="2384">
          <cell r="A2384">
            <v>45206</v>
          </cell>
          <cell r="B2384">
            <v>153.76028400000001</v>
          </cell>
        </row>
        <row r="2385">
          <cell r="A2385">
            <v>45237</v>
          </cell>
          <cell r="B2385">
            <v>153.53195199999999</v>
          </cell>
        </row>
        <row r="2386">
          <cell r="A2386">
            <v>45267</v>
          </cell>
          <cell r="B2386">
            <v>153.91911300000001</v>
          </cell>
        </row>
        <row r="2387">
          <cell r="A2387" t="str">
            <v>13-07-2023</v>
          </cell>
          <cell r="B2387">
            <v>153.01570100000001</v>
          </cell>
        </row>
        <row r="2388">
          <cell r="A2388" t="str">
            <v>14-07-2023</v>
          </cell>
          <cell r="B2388">
            <v>153.54186999999999</v>
          </cell>
        </row>
        <row r="2389">
          <cell r="A2389" t="str">
            <v>17-07-2023</v>
          </cell>
          <cell r="B2389">
            <v>153.73049900000001</v>
          </cell>
        </row>
        <row r="2390">
          <cell r="A2390" t="str">
            <v>18-07-2023</v>
          </cell>
          <cell r="B2390">
            <v>153.45253</v>
          </cell>
        </row>
        <row r="2391">
          <cell r="A2391" t="str">
            <v>19-07-2023</v>
          </cell>
          <cell r="B2391">
            <v>153.50216699999999</v>
          </cell>
        </row>
        <row r="2392">
          <cell r="A2392" t="str">
            <v>20-07-2023</v>
          </cell>
          <cell r="B2392">
            <v>156.34149199999999</v>
          </cell>
        </row>
        <row r="2393">
          <cell r="A2393" t="str">
            <v>21-07-2023</v>
          </cell>
          <cell r="B2393">
            <v>157.22505200000001</v>
          </cell>
        </row>
        <row r="2394">
          <cell r="A2394" t="str">
            <v>24-07-2023</v>
          </cell>
          <cell r="B2394">
            <v>158.14833100000001</v>
          </cell>
        </row>
        <row r="2395">
          <cell r="A2395" t="str">
            <v>25-07-2023</v>
          </cell>
          <cell r="B2395">
            <v>158.01925700000001</v>
          </cell>
        </row>
        <row r="2396">
          <cell r="A2396" t="str">
            <v>26-07-2023</v>
          </cell>
          <cell r="B2396">
            <v>158.585159</v>
          </cell>
        </row>
        <row r="2397">
          <cell r="A2397" t="str">
            <v>27-07-2023</v>
          </cell>
          <cell r="B2397">
            <v>158.009354</v>
          </cell>
        </row>
        <row r="2398">
          <cell r="A2398" t="str">
            <v>28-07-2023</v>
          </cell>
          <cell r="B2398">
            <v>158.75393700000001</v>
          </cell>
        </row>
        <row r="2399">
          <cell r="A2399" t="str">
            <v>31-07-2023</v>
          </cell>
          <cell r="B2399">
            <v>158.704285</v>
          </cell>
        </row>
        <row r="2400">
          <cell r="A2400">
            <v>44934</v>
          </cell>
          <cell r="B2400">
            <v>157.95970199999999</v>
          </cell>
        </row>
        <row r="2401">
          <cell r="A2401">
            <v>44965</v>
          </cell>
          <cell r="B2401">
            <v>158.06890899999999</v>
          </cell>
        </row>
        <row r="2402">
          <cell r="A2402">
            <v>44993</v>
          </cell>
          <cell r="B2402">
            <v>158.10861199999999</v>
          </cell>
        </row>
        <row r="2403">
          <cell r="A2403">
            <v>45024</v>
          </cell>
          <cell r="B2403">
            <v>157.195267</v>
          </cell>
        </row>
        <row r="2404">
          <cell r="A2404">
            <v>45115</v>
          </cell>
          <cell r="B2404">
            <v>159.32972699999999</v>
          </cell>
        </row>
        <row r="2405">
          <cell r="A2405">
            <v>45146</v>
          </cell>
          <cell r="B2405">
            <v>159.48857100000001</v>
          </cell>
        </row>
        <row r="2406">
          <cell r="A2406">
            <v>45177</v>
          </cell>
          <cell r="B2406">
            <v>159.746689</v>
          </cell>
        </row>
        <row r="2407">
          <cell r="A2407">
            <v>45207</v>
          </cell>
          <cell r="B2407">
            <v>159.666977</v>
          </cell>
        </row>
        <row r="2408">
          <cell r="A2408">
            <v>45238</v>
          </cell>
          <cell r="B2408">
            <v>160.6035</v>
          </cell>
        </row>
        <row r="2409">
          <cell r="A2409" t="str">
            <v>14-08-2023</v>
          </cell>
          <cell r="B2409">
            <v>159.40794399999999</v>
          </cell>
        </row>
        <row r="2410">
          <cell r="A2410" t="str">
            <v>15-08-2023</v>
          </cell>
          <cell r="B2410">
            <v>158.59097299999999</v>
          </cell>
        </row>
        <row r="2411">
          <cell r="A2411" t="str">
            <v>16-08-2023</v>
          </cell>
          <cell r="B2411">
            <v>158.67068499999999</v>
          </cell>
        </row>
        <row r="2412">
          <cell r="A2412" t="str">
            <v>17-08-2023</v>
          </cell>
          <cell r="B2412">
            <v>155.11390700000001</v>
          </cell>
        </row>
        <row r="2413">
          <cell r="A2413" t="str">
            <v>18-08-2023</v>
          </cell>
          <cell r="B2413">
            <v>157.345596</v>
          </cell>
        </row>
        <row r="2414">
          <cell r="A2414" t="str">
            <v>21-08-2023</v>
          </cell>
          <cell r="B2414">
            <v>156.927155</v>
          </cell>
        </row>
        <row r="2415">
          <cell r="A2415" t="str">
            <v>22-08-2023</v>
          </cell>
          <cell r="B2415">
            <v>156.429001</v>
          </cell>
        </row>
        <row r="2416">
          <cell r="A2416" t="str">
            <v>23-08-2023</v>
          </cell>
          <cell r="B2416">
            <v>157.514984</v>
          </cell>
        </row>
        <row r="2417">
          <cell r="A2417" t="str">
            <v>24-08-2023</v>
          </cell>
          <cell r="B2417">
            <v>156.30946399999999</v>
          </cell>
        </row>
        <row r="2418">
          <cell r="A2418" t="str">
            <v>25-08-2023</v>
          </cell>
          <cell r="B2418">
            <v>157.23602299999999</v>
          </cell>
        </row>
        <row r="2419">
          <cell r="A2419" t="str">
            <v>28-08-2023</v>
          </cell>
          <cell r="B2419">
            <v>158.13269</v>
          </cell>
        </row>
        <row r="2420">
          <cell r="A2420" t="str">
            <v>29-08-2023</v>
          </cell>
          <cell r="B2420">
            <v>159.457764</v>
          </cell>
        </row>
        <row r="2421">
          <cell r="A2421" t="str">
            <v>30-08-2023</v>
          </cell>
          <cell r="B2421">
            <v>160.6035</v>
          </cell>
        </row>
        <row r="2422">
          <cell r="A2422" t="str">
            <v>31-08-2023</v>
          </cell>
          <cell r="B2422">
            <v>162.008286</v>
          </cell>
        </row>
        <row r="2423">
          <cell r="A2423">
            <v>44935</v>
          </cell>
          <cell r="B2423">
            <v>160.97215299999999</v>
          </cell>
        </row>
        <row r="2424">
          <cell r="A2424">
            <v>45055</v>
          </cell>
          <cell r="B2424">
            <v>159.67695599999999</v>
          </cell>
        </row>
        <row r="2425">
          <cell r="A2425">
            <v>45086</v>
          </cell>
          <cell r="B2425">
            <v>160.872513</v>
          </cell>
        </row>
        <row r="2426">
          <cell r="A2426">
            <v>45116</v>
          </cell>
          <cell r="B2426">
            <v>162.86511200000001</v>
          </cell>
        </row>
        <row r="2427">
          <cell r="A2427">
            <v>45147</v>
          </cell>
          <cell r="B2427">
            <v>163.16400100000001</v>
          </cell>
        </row>
        <row r="2428">
          <cell r="A2428">
            <v>45239</v>
          </cell>
          <cell r="B2428">
            <v>163.731888</v>
          </cell>
        </row>
        <row r="2429">
          <cell r="A2429">
            <v>45269</v>
          </cell>
          <cell r="B2429">
            <v>163.911224</v>
          </cell>
        </row>
        <row r="2430">
          <cell r="A2430" t="str">
            <v>13-09-2023</v>
          </cell>
          <cell r="B2430">
            <v>163.95107999999999</v>
          </cell>
        </row>
        <row r="2431">
          <cell r="A2431" t="str">
            <v>14-09-2023</v>
          </cell>
          <cell r="B2431">
            <v>164.638519</v>
          </cell>
        </row>
        <row r="2432">
          <cell r="A2432" t="str">
            <v>15-09-2023</v>
          </cell>
          <cell r="B2432">
            <v>164.030777</v>
          </cell>
        </row>
        <row r="2433">
          <cell r="A2433" t="str">
            <v>18-09-2023</v>
          </cell>
          <cell r="B2433">
            <v>162.815292</v>
          </cell>
        </row>
        <row r="2434">
          <cell r="A2434" t="str">
            <v>19-09-2023</v>
          </cell>
          <cell r="B2434">
            <v>162.775452</v>
          </cell>
        </row>
        <row r="2435">
          <cell r="A2435" t="str">
            <v>20-09-2023</v>
          </cell>
          <cell r="B2435">
            <v>163.303482</v>
          </cell>
        </row>
        <row r="2436">
          <cell r="A2436" t="str">
            <v>21-09-2023</v>
          </cell>
          <cell r="B2436">
            <v>161.32084699999999</v>
          </cell>
        </row>
        <row r="2437">
          <cell r="A2437" t="str">
            <v>22-09-2023</v>
          </cell>
          <cell r="B2437">
            <v>161.74925200000001</v>
          </cell>
        </row>
        <row r="2438">
          <cell r="A2438" t="str">
            <v>25-09-2023</v>
          </cell>
          <cell r="B2438">
            <v>162.466599</v>
          </cell>
        </row>
        <row r="2439">
          <cell r="A2439" t="str">
            <v>26-09-2023</v>
          </cell>
          <cell r="B2439">
            <v>161.898697</v>
          </cell>
        </row>
        <row r="2440">
          <cell r="A2440" t="str">
            <v>27-09-2023</v>
          </cell>
          <cell r="B2440">
            <v>161.12158199999999</v>
          </cell>
        </row>
        <row r="2441">
          <cell r="A2441" t="str">
            <v>28-09-2023</v>
          </cell>
          <cell r="B2441">
            <v>161.93853799999999</v>
          </cell>
        </row>
        <row r="2442">
          <cell r="A2442" t="str">
            <v>29-09-2023</v>
          </cell>
          <cell r="B2442">
            <v>159.33819600000001</v>
          </cell>
        </row>
        <row r="2443">
          <cell r="A2443">
            <v>44967</v>
          </cell>
          <cell r="B2443">
            <v>159.50758400000001</v>
          </cell>
        </row>
        <row r="2444">
          <cell r="A2444">
            <v>44995</v>
          </cell>
          <cell r="B2444">
            <v>158.50131200000001</v>
          </cell>
        </row>
        <row r="2445">
          <cell r="A2445">
            <v>45026</v>
          </cell>
          <cell r="B2445">
            <v>160.40425099999999</v>
          </cell>
        </row>
        <row r="2446">
          <cell r="A2446">
            <v>45056</v>
          </cell>
          <cell r="B2446">
            <v>158.49134799999999</v>
          </cell>
        </row>
        <row r="2447">
          <cell r="A2447">
            <v>45087</v>
          </cell>
          <cell r="B2447">
            <v>155.83123800000001</v>
          </cell>
        </row>
        <row r="2448">
          <cell r="A2448">
            <v>45179</v>
          </cell>
          <cell r="B2448">
            <v>155.26333600000001</v>
          </cell>
        </row>
        <row r="2449">
          <cell r="A2449">
            <v>45209</v>
          </cell>
          <cell r="B2449">
            <v>157.01683</v>
          </cell>
        </row>
        <row r="2450">
          <cell r="A2450">
            <v>45240</v>
          </cell>
          <cell r="B2450">
            <v>157.64450099999999</v>
          </cell>
        </row>
        <row r="2451">
          <cell r="A2451">
            <v>45270</v>
          </cell>
          <cell r="B2451">
            <v>158.36183199999999</v>
          </cell>
        </row>
        <row r="2452">
          <cell r="A2452" t="str">
            <v>13-10-2023</v>
          </cell>
          <cell r="B2452">
            <v>159.238586</v>
          </cell>
        </row>
        <row r="2453">
          <cell r="A2453" t="str">
            <v>16-10-2023</v>
          </cell>
          <cell r="B2453">
            <v>160.61348000000001</v>
          </cell>
        </row>
        <row r="2454">
          <cell r="A2454" t="str">
            <v>17-10-2023</v>
          </cell>
          <cell r="B2454">
            <v>160.82269299999999</v>
          </cell>
        </row>
        <row r="2455">
          <cell r="A2455" t="str">
            <v>18-10-2023</v>
          </cell>
          <cell r="B2455">
            <v>160.94224500000001</v>
          </cell>
        </row>
        <row r="2456">
          <cell r="A2456" t="str">
            <v>19-10-2023</v>
          </cell>
          <cell r="B2456">
            <v>160.17510999999999</v>
          </cell>
        </row>
        <row r="2457">
          <cell r="A2457" t="str">
            <v>20-10-2023</v>
          </cell>
          <cell r="B2457">
            <v>158.17253099999999</v>
          </cell>
        </row>
        <row r="2458">
          <cell r="A2458" t="str">
            <v>23-10-2023</v>
          </cell>
          <cell r="B2458">
            <v>160.41419999999999</v>
          </cell>
        </row>
        <row r="2459">
          <cell r="A2459" t="str">
            <v>24-10-2023</v>
          </cell>
          <cell r="B2459">
            <v>162.64591999999999</v>
          </cell>
        </row>
        <row r="2460">
          <cell r="A2460" t="str">
            <v>25-10-2023</v>
          </cell>
          <cell r="B2460">
            <v>162.15772999999999</v>
          </cell>
        </row>
        <row r="2461">
          <cell r="A2461" t="str">
            <v>26-10-2023</v>
          </cell>
          <cell r="B2461">
            <v>161.171402</v>
          </cell>
        </row>
        <row r="2462">
          <cell r="A2462" t="str">
            <v>27-10-2023</v>
          </cell>
          <cell r="B2462">
            <v>160.573624</v>
          </cell>
        </row>
        <row r="2463">
          <cell r="A2463" t="str">
            <v>30-10-2023</v>
          </cell>
          <cell r="B2463">
            <v>162.41677899999999</v>
          </cell>
        </row>
        <row r="2464">
          <cell r="A2464" t="str">
            <v>31-10-2023</v>
          </cell>
          <cell r="B2464">
            <v>162.805328</v>
          </cell>
        </row>
        <row r="2465">
          <cell r="A2465">
            <v>44937</v>
          </cell>
          <cell r="B2465">
            <v>164.259918</v>
          </cell>
        </row>
        <row r="2466">
          <cell r="A2466">
            <v>44968</v>
          </cell>
          <cell r="B2466">
            <v>164.907532</v>
          </cell>
        </row>
        <row r="2467">
          <cell r="A2467">
            <v>44996</v>
          </cell>
          <cell r="B2467">
            <v>164.05070499999999</v>
          </cell>
        </row>
        <row r="2468">
          <cell r="A2468">
            <v>45088</v>
          </cell>
          <cell r="B2468">
            <v>164.26989699999999</v>
          </cell>
        </row>
        <row r="2469">
          <cell r="A2469">
            <v>45118</v>
          </cell>
          <cell r="B2469">
            <v>165.03703300000001</v>
          </cell>
        </row>
        <row r="2470">
          <cell r="A2470">
            <v>45149</v>
          </cell>
          <cell r="B2470">
            <v>163.692047</v>
          </cell>
        </row>
        <row r="2471">
          <cell r="A2471">
            <v>45180</v>
          </cell>
          <cell r="B2471">
            <v>163.313446</v>
          </cell>
        </row>
        <row r="2472">
          <cell r="A2472">
            <v>45210</v>
          </cell>
          <cell r="B2472">
            <v>165.57504299999999</v>
          </cell>
        </row>
        <row r="2473">
          <cell r="A2473" t="str">
            <v>13-11-2023</v>
          </cell>
          <cell r="B2473">
            <v>167.05952500000001</v>
          </cell>
        </row>
        <row r="2474">
          <cell r="A2474" t="str">
            <v>14-11-2023</v>
          </cell>
          <cell r="B2474">
            <v>167.02963299999999</v>
          </cell>
        </row>
        <row r="2475">
          <cell r="A2475" t="str">
            <v>15-11-2023</v>
          </cell>
          <cell r="B2475">
            <v>169.15176400000001</v>
          </cell>
        </row>
        <row r="2476">
          <cell r="A2476" t="str">
            <v>16-11-2023</v>
          </cell>
          <cell r="B2476">
            <v>155.46260100000001</v>
          </cell>
        </row>
        <row r="2477">
          <cell r="A2477" t="str">
            <v>17-11-2023</v>
          </cell>
          <cell r="B2477">
            <v>154.77516199999999</v>
          </cell>
        </row>
        <row r="2478">
          <cell r="A2478" t="str">
            <v>20-11-2023</v>
          </cell>
          <cell r="B2478">
            <v>154.72534200000001</v>
          </cell>
        </row>
        <row r="2479">
          <cell r="A2479" t="str">
            <v>21-11-2023</v>
          </cell>
          <cell r="B2479">
            <v>155.283264</v>
          </cell>
        </row>
        <row r="2480">
          <cell r="A2480" t="str">
            <v>22-11-2023</v>
          </cell>
          <cell r="B2480">
            <v>154.09767199999999</v>
          </cell>
        </row>
        <row r="2481">
          <cell r="A2481" t="str">
            <v>24-11-2023</v>
          </cell>
          <cell r="B2481">
            <v>155.482529</v>
          </cell>
        </row>
        <row r="2482">
          <cell r="A2482" t="str">
            <v>27-11-2023</v>
          </cell>
          <cell r="B2482">
            <v>156.189911</v>
          </cell>
        </row>
        <row r="2483">
          <cell r="A2483" t="str">
            <v>28-11-2023</v>
          </cell>
          <cell r="B2483">
            <v>158.05297899999999</v>
          </cell>
        </row>
        <row r="2484">
          <cell r="A2484" t="str">
            <v>29-11-2023</v>
          </cell>
          <cell r="B2484">
            <v>155.50245699999999</v>
          </cell>
        </row>
        <row r="2485">
          <cell r="A2485" t="str">
            <v>30-11-2023</v>
          </cell>
          <cell r="B2485">
            <v>155.11390700000001</v>
          </cell>
        </row>
        <row r="2486">
          <cell r="A2486">
            <v>44938</v>
          </cell>
          <cell r="B2486">
            <v>153.76889</v>
          </cell>
        </row>
        <row r="2487">
          <cell r="A2487">
            <v>45028</v>
          </cell>
          <cell r="B2487">
            <v>153.72905</v>
          </cell>
        </row>
        <row r="2488">
          <cell r="A2488">
            <v>45058</v>
          </cell>
          <cell r="B2488">
            <v>155.15374800000001</v>
          </cell>
        </row>
        <row r="2489">
          <cell r="A2489">
            <v>45089</v>
          </cell>
          <cell r="B2489">
            <v>153.470001</v>
          </cell>
        </row>
        <row r="2490">
          <cell r="A2490">
            <v>45119</v>
          </cell>
          <cell r="B2490">
            <v>152.46000699999999</v>
          </cell>
        </row>
        <row r="2491">
          <cell r="A2491">
            <v>45150</v>
          </cell>
          <cell r="B2491">
            <v>150.86000100000001</v>
          </cell>
        </row>
        <row r="2492">
          <cell r="A2492">
            <v>45242</v>
          </cell>
          <cell r="B2492">
            <v>151.240005</v>
          </cell>
        </row>
        <row r="2493">
          <cell r="A2493">
            <v>45272</v>
          </cell>
          <cell r="B2493">
            <v>151.36000100000001</v>
          </cell>
        </row>
        <row r="2494">
          <cell r="A2494" t="str">
            <v>13-12-2023</v>
          </cell>
          <cell r="B2494">
            <v>154.050003</v>
          </cell>
        </row>
        <row r="2495">
          <cell r="A2495" t="str">
            <v>14-12-2023</v>
          </cell>
          <cell r="B2495">
            <v>152.16999799999999</v>
          </cell>
        </row>
        <row r="2496">
          <cell r="A2496" t="str">
            <v>15-12-2023</v>
          </cell>
          <cell r="B2496">
            <v>152.740005</v>
          </cell>
        </row>
        <row r="2497">
          <cell r="A2497" t="str">
            <v>18-12-2023</v>
          </cell>
          <cell r="B2497">
            <v>154.970001</v>
          </cell>
        </row>
        <row r="2498">
          <cell r="A2498" t="str">
            <v>19-12-2023</v>
          </cell>
          <cell r="B2498">
            <v>155.529999</v>
          </cell>
        </row>
        <row r="2499">
          <cell r="A2499" t="str">
            <v>20-12-2023</v>
          </cell>
          <cell r="B2499">
            <v>153.71000699999999</v>
          </cell>
        </row>
        <row r="2500">
          <cell r="A2500" t="str">
            <v>21-12-2023</v>
          </cell>
          <cell r="B2500">
            <v>154.800003</v>
          </cell>
        </row>
        <row r="2501">
          <cell r="A2501" t="str">
            <v>22-12-2023</v>
          </cell>
          <cell r="B2501">
            <v>156.64999399999999</v>
          </cell>
        </row>
        <row r="2502">
          <cell r="A2502" t="str">
            <v>26-12-2023</v>
          </cell>
          <cell r="B2502">
            <v>156.41000399999999</v>
          </cell>
        </row>
        <row r="2503">
          <cell r="A2503" t="str">
            <v>27-12-2023</v>
          </cell>
          <cell r="B2503">
            <v>157.88000500000001</v>
          </cell>
        </row>
        <row r="2504">
          <cell r="A2504" t="str">
            <v>28-12-2023</v>
          </cell>
          <cell r="B2504">
            <v>157.570007</v>
          </cell>
        </row>
        <row r="2505">
          <cell r="A2505" t="str">
            <v>29-12-2023</v>
          </cell>
          <cell r="B2505">
            <v>157.64999399999999</v>
          </cell>
        </row>
        <row r="2506">
          <cell r="A2506">
            <v>45323</v>
          </cell>
          <cell r="B2506">
            <v>159.28999300000001</v>
          </cell>
        </row>
        <row r="2507">
          <cell r="A2507">
            <v>45352</v>
          </cell>
          <cell r="B2507">
            <v>159.300003</v>
          </cell>
        </row>
        <row r="2508">
          <cell r="A2508">
            <v>45383</v>
          </cell>
          <cell r="B2508">
            <v>157.759995</v>
          </cell>
        </row>
        <row r="2509">
          <cell r="A2509">
            <v>45413</v>
          </cell>
          <cell r="B2509">
            <v>156.71000699999999</v>
          </cell>
        </row>
        <row r="2510">
          <cell r="A2510">
            <v>45505</v>
          </cell>
          <cell r="B2510">
            <v>158.25</v>
          </cell>
        </row>
        <row r="2511">
          <cell r="A2511">
            <v>45536</v>
          </cell>
          <cell r="B2511">
            <v>159.30999800000001</v>
          </cell>
        </row>
        <row r="2512">
          <cell r="A2512">
            <v>45566</v>
          </cell>
          <cell r="B2512">
            <v>161.28999300000001</v>
          </cell>
        </row>
        <row r="2513">
          <cell r="A2513">
            <v>45597</v>
          </cell>
          <cell r="B2513">
            <v>161.11000100000001</v>
          </cell>
        </row>
        <row r="2514">
          <cell r="A2514">
            <v>45627</v>
          </cell>
          <cell r="B2514">
            <v>161.320007</v>
          </cell>
        </row>
        <row r="2515">
          <cell r="A2515" t="str">
            <v>16-01-2024</v>
          </cell>
          <cell r="B2515">
            <v>161.83000200000001</v>
          </cell>
        </row>
        <row r="2516">
          <cell r="A2516" t="str">
            <v>17-01-2024</v>
          </cell>
          <cell r="B2516">
            <v>161.070007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"/>
      <sheetName val="balance sheet"/>
      <sheetName val="financial ratio"/>
    </sheetNames>
    <sheetDataSet>
      <sheetData sheetId="0">
        <row r="36">
          <cell r="B36">
            <v>2058000</v>
          </cell>
          <cell r="C36">
            <v>2377000</v>
          </cell>
          <cell r="D36">
            <v>2350000</v>
          </cell>
          <cell r="E36">
            <v>2679000</v>
          </cell>
          <cell r="F36">
            <v>3134000</v>
          </cell>
          <cell r="G36">
            <v>3659000</v>
          </cell>
          <cell r="H36">
            <v>4002000</v>
          </cell>
          <cell r="I36">
            <v>5007000</v>
          </cell>
          <cell r="J36">
            <v>5844000</v>
          </cell>
          <cell r="K36">
            <v>6292000</v>
          </cell>
        </row>
      </sheetData>
      <sheetData sheetId="1">
        <row r="30">
          <cell r="B30">
            <v>8491000</v>
          </cell>
          <cell r="C30">
            <v>9011000</v>
          </cell>
          <cell r="D30">
            <v>7612000</v>
          </cell>
          <cell r="E30">
            <v>9608000</v>
          </cell>
          <cell r="F30">
            <v>11237000</v>
          </cell>
          <cell r="G30">
            <v>11679000</v>
          </cell>
          <cell r="H30">
            <v>14172000</v>
          </cell>
          <cell r="I30">
            <v>16278000</v>
          </cell>
          <cell r="J30">
            <v>17848000</v>
          </cell>
          <cell r="K30">
            <v>17483000</v>
          </cell>
        </row>
      </sheetData>
      <sheetData sheetId="2">
        <row r="17">
          <cell r="C17">
            <v>1.6842233601560594</v>
          </cell>
          <cell r="D17">
            <v>2.149665630592446</v>
          </cell>
          <cell r="E17">
            <v>1.7455087341667357</v>
          </cell>
          <cell r="F17">
            <v>2.3723325292262016</v>
          </cell>
          <cell r="G17">
            <v>2.1900929760137511</v>
          </cell>
          <cell r="H17">
            <v>1.9784163222462769</v>
          </cell>
          <cell r="I17">
            <v>2.0385036097134108</v>
          </cell>
          <cell r="J17">
            <v>2.3744021862901388</v>
          </cell>
          <cell r="K17">
            <v>2.1085166166069178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ment "/>
      <sheetName val="balance sheet "/>
      <sheetName val="Financial ratios"/>
    </sheetNames>
    <sheetDataSet>
      <sheetData sheetId="0">
        <row r="37">
          <cell r="B37">
            <v>-241000</v>
          </cell>
          <cell r="C37">
            <v>596000</v>
          </cell>
          <cell r="D37">
            <v>2371000</v>
          </cell>
          <cell r="E37">
            <v>3033000</v>
          </cell>
          <cell r="F37">
            <v>10073000</v>
          </cell>
          <cell r="G37">
            <v>11588000</v>
          </cell>
          <cell r="H37">
            <v>21331000</v>
          </cell>
          <cell r="I37">
            <v>33364000</v>
          </cell>
          <cell r="J37">
            <v>-2722000</v>
          </cell>
        </row>
      </sheetData>
      <sheetData sheetId="1">
        <row r="29">
          <cell r="B29">
            <v>16459000</v>
          </cell>
          <cell r="C29">
            <v>20397000</v>
          </cell>
          <cell r="D29">
            <v>25309000</v>
          </cell>
          <cell r="E29">
            <v>34616000</v>
          </cell>
          <cell r="F29">
            <v>38192000</v>
          </cell>
          <cell r="G29">
            <v>47183000</v>
          </cell>
          <cell r="H29">
            <v>72539000</v>
          </cell>
          <cell r="I29">
            <v>78664000</v>
          </cell>
          <cell r="J29">
            <v>79600000</v>
          </cell>
        </row>
      </sheetData>
      <sheetData sheetId="2">
        <row r="18">
          <cell r="C18">
            <v>4.0744809608043946</v>
          </cell>
          <cell r="D18">
            <v>3.8897190675433353</v>
          </cell>
          <cell r="E18">
            <v>3.3247083225304639</v>
          </cell>
          <cell r="F18">
            <v>3.7388935003067596</v>
          </cell>
          <cell r="G18">
            <v>2.734827435762015</v>
          </cell>
          <cell r="H18">
            <v>2.6295198195294875</v>
          </cell>
          <cell r="I18">
            <v>2.4387713588283155</v>
          </cell>
          <cell r="J18">
            <v>2.0420557705522802</v>
          </cell>
          <cell r="K18">
            <v>2.1680737864875415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U78"/>
  <sheetViews>
    <sheetView topLeftCell="A10" zoomScale="75" zoomScaleNormal="98" workbookViewId="0">
      <selection activeCell="A34" sqref="A34"/>
    </sheetView>
  </sheetViews>
  <sheetFormatPr baseColWidth="10" defaultColWidth="8.83203125" defaultRowHeight="13" x14ac:dyDescent="0.15"/>
  <cols>
    <col min="1" max="1" width="50" customWidth="1"/>
    <col min="2" max="2" width="23.83203125" bestFit="1" customWidth="1"/>
    <col min="3" max="4" width="23.5" bestFit="1" customWidth="1"/>
    <col min="5" max="6" width="23.83203125" bestFit="1" customWidth="1"/>
    <col min="7" max="7" width="23.5" bestFit="1" customWidth="1"/>
    <col min="8" max="8" width="23.83203125" bestFit="1" customWidth="1"/>
    <col min="9" max="9" width="23.1640625" bestFit="1" customWidth="1"/>
    <col min="10" max="10" width="23.83203125" bestFit="1" customWidth="1"/>
    <col min="11" max="11" width="23.1640625" bestFit="1" customWidth="1"/>
    <col min="12" max="200" width="12" customWidth="1"/>
  </cols>
  <sheetData>
    <row r="4" spans="1:21" x14ac:dyDescent="0.15">
      <c r="A4" s="1" t="s">
        <v>0</v>
      </c>
    </row>
    <row r="5" spans="1:21" ht="20" x14ac:dyDescent="0.2">
      <c r="A5" s="2" t="s">
        <v>1</v>
      </c>
    </row>
    <row r="6" spans="1:21" x14ac:dyDescent="0.15">
      <c r="E6" s="16">
        <f>(E15/D15)-1</f>
        <v>3.000932857139893E-2</v>
      </c>
      <c r="F6" s="16">
        <f t="shared" ref="F6:K6" si="0">(F15/E15)-1</f>
        <v>2.9385127107618425E-2</v>
      </c>
      <c r="G6" s="16">
        <f t="shared" si="0"/>
        <v>1.8805515657546401E-2</v>
      </c>
      <c r="H6" s="16">
        <f t="shared" si="0"/>
        <v>6.7907740716948162E-2</v>
      </c>
      <c r="I6" s="16">
        <f t="shared" si="0"/>
        <v>2.2565301414001038E-2</v>
      </c>
      <c r="J6" s="16">
        <f t="shared" si="0"/>
        <v>6.7139047699564358E-2</v>
      </c>
      <c r="K6" s="16">
        <f t="shared" si="0"/>
        <v>6.0665378184824981E-2</v>
      </c>
      <c r="L6" s="17">
        <f>AVERAGE(E6:K6)</f>
        <v>4.2353919907414612E-2</v>
      </c>
    </row>
    <row r="7" spans="1:21" ht="14" x14ac:dyDescent="0.15">
      <c r="A7" s="3" t="s">
        <v>2</v>
      </c>
      <c r="E7" s="16">
        <f>(E16/D16)-1</f>
        <v>5.7067603160667613E-3</v>
      </c>
      <c r="F7" s="16">
        <f t="shared" ref="F7:K7" si="1">(F16/E16)-1</f>
        <v>-0.11043212570929728</v>
      </c>
      <c r="G7" s="16">
        <f t="shared" si="1"/>
        <v>-9.322865554465154E-3</v>
      </c>
      <c r="H7" s="16">
        <f t="shared" si="1"/>
        <v>-2.9717682020802383E-2</v>
      </c>
      <c r="I7" s="16">
        <f t="shared" si="1"/>
        <v>0.27411944869831539</v>
      </c>
      <c r="J7" s="16">
        <f t="shared" si="1"/>
        <v>8.3333333333333259E-2</v>
      </c>
      <c r="K7" s="16">
        <f t="shared" si="1"/>
        <v>1.4792899408283988E-2</v>
      </c>
      <c r="L7" s="17">
        <f>AVERAGE(E7:K7)</f>
        <v>3.2639966924490657E-2</v>
      </c>
    </row>
    <row r="9" spans="1:21" ht="14" x14ac:dyDescent="0.15">
      <c r="A9" s="15" t="s">
        <v>38</v>
      </c>
      <c r="C9" s="16">
        <f>C17/B17-1</f>
        <v>-7.2500622875274479E-3</v>
      </c>
      <c r="D9" s="16">
        <f t="shared" ref="D9:K9" si="2">D17/C17-1</f>
        <v>7.7634662850267766E-3</v>
      </c>
      <c r="E9" s="16">
        <f t="shared" si="2"/>
        <v>2.9781444945489843E-2</v>
      </c>
      <c r="F9" s="16">
        <f t="shared" si="2"/>
        <v>2.8104720161968855E-2</v>
      </c>
      <c r="G9" s="16">
        <f t="shared" si="2"/>
        <v>1.85826343056541E-2</v>
      </c>
      <c r="H9" s="16">
        <f t="shared" si="2"/>
        <v>6.7155377086975498E-2</v>
      </c>
      <c r="I9" s="16">
        <f t="shared" si="2"/>
        <v>2.4327954345069625E-2</v>
      </c>
      <c r="J9" s="16">
        <f t="shared" si="2"/>
        <v>6.7280193590965709E-2</v>
      </c>
      <c r="K9" s="16">
        <f t="shared" si="2"/>
        <v>6.02595499019285E-2</v>
      </c>
      <c r="L9" s="17">
        <f>AVERAGE(C9:K9)</f>
        <v>3.288947537061683E-2</v>
      </c>
    </row>
    <row r="12" spans="1:21" ht="14" x14ac:dyDescent="0.15">
      <c r="A12" s="4" t="s">
        <v>3</v>
      </c>
    </row>
    <row r="13" spans="1:21" ht="14" x14ac:dyDescent="0.15">
      <c r="A13" s="5" t="s">
        <v>4</v>
      </c>
      <c r="B13" s="22" t="s">
        <v>13</v>
      </c>
      <c r="C13" s="22" t="s">
        <v>12</v>
      </c>
      <c r="D13" s="22" t="s">
        <v>11</v>
      </c>
      <c r="E13" s="22" t="s">
        <v>10</v>
      </c>
      <c r="F13" s="22" t="s">
        <v>9</v>
      </c>
      <c r="G13" s="22" t="s">
        <v>8</v>
      </c>
      <c r="H13" s="22" t="s">
        <v>7</v>
      </c>
      <c r="I13" s="22" t="s">
        <v>6</v>
      </c>
      <c r="J13" s="22" t="s">
        <v>5</v>
      </c>
      <c r="K13" s="69" t="s">
        <v>212</v>
      </c>
      <c r="L13" s="5">
        <v>2025</v>
      </c>
      <c r="M13" s="5">
        <f>L13+1</f>
        <v>2026</v>
      </c>
      <c r="N13" s="5">
        <f t="shared" ref="N13:R13" si="3">M13+1</f>
        <v>2027</v>
      </c>
      <c r="O13" s="5">
        <f t="shared" si="3"/>
        <v>2028</v>
      </c>
      <c r="P13" s="5">
        <f t="shared" si="3"/>
        <v>2029</v>
      </c>
      <c r="Q13" s="5">
        <f t="shared" si="3"/>
        <v>2030</v>
      </c>
      <c r="R13" s="5">
        <f t="shared" si="3"/>
        <v>2031</v>
      </c>
      <c r="S13" s="5"/>
      <c r="T13" s="5"/>
      <c r="U13" s="5"/>
    </row>
    <row r="14" spans="1:21" x14ac:dyDescent="0.15">
      <c r="A14" s="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15">
      <c r="A15" s="6" t="s">
        <v>14</v>
      </c>
      <c r="B15" s="12">
        <v>482229000</v>
      </c>
      <c r="C15" s="12">
        <v>478614000</v>
      </c>
      <c r="D15" s="12">
        <v>481317000</v>
      </c>
      <c r="E15" s="12">
        <v>495761000</v>
      </c>
      <c r="F15" s="12">
        <v>510329000</v>
      </c>
      <c r="G15" s="12">
        <v>519926000</v>
      </c>
      <c r="H15" s="12">
        <v>555233000</v>
      </c>
      <c r="I15" s="12">
        <v>567762000</v>
      </c>
      <c r="J15" s="12">
        <v>605881000</v>
      </c>
      <c r="K15" s="70">
        <v>642637000</v>
      </c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15">
      <c r="A16" s="6" t="s">
        <v>15</v>
      </c>
      <c r="B16" s="12">
        <v>3422000</v>
      </c>
      <c r="C16" s="12">
        <v>3516000</v>
      </c>
      <c r="D16" s="12">
        <v>4556000</v>
      </c>
      <c r="E16" s="12">
        <v>4582000</v>
      </c>
      <c r="F16" s="12">
        <v>4076000</v>
      </c>
      <c r="G16" s="12">
        <v>4038000</v>
      </c>
      <c r="H16" s="12">
        <v>3918000</v>
      </c>
      <c r="I16" s="12">
        <v>4992000</v>
      </c>
      <c r="J16" s="12">
        <v>5408000</v>
      </c>
      <c r="K16" s="70">
        <v>5488000</v>
      </c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s="8" customFormat="1" ht="16" x14ac:dyDescent="0.2">
      <c r="A17" s="7" t="s">
        <v>16</v>
      </c>
      <c r="B17" s="13">
        <v>485651000</v>
      </c>
      <c r="C17" s="13">
        <v>482130000</v>
      </c>
      <c r="D17" s="13">
        <v>485873000</v>
      </c>
      <c r="E17" s="13">
        <v>500343000</v>
      </c>
      <c r="F17" s="13">
        <v>514405000</v>
      </c>
      <c r="G17" s="13">
        <v>523964000</v>
      </c>
      <c r="H17" s="13">
        <v>559151000</v>
      </c>
      <c r="I17" s="13">
        <v>572754000</v>
      </c>
      <c r="J17" s="13">
        <v>611289000</v>
      </c>
      <c r="K17" s="71">
        <v>648125000</v>
      </c>
      <c r="L17" s="7">
        <f>'projected IS '!E22</f>
        <v>651664638.44999993</v>
      </c>
      <c r="M17" s="7">
        <f>'projected IS '!F22</f>
        <v>674472900.7957499</v>
      </c>
      <c r="N17" s="7">
        <f>'projected IS '!G22</f>
        <v>701451816.82757998</v>
      </c>
      <c r="O17" s="7">
        <f>'projected IS '!H22</f>
        <v>729509889.50068319</v>
      </c>
      <c r="P17" s="7">
        <f>'projected IS '!I22</f>
        <v>762337834.52821386</v>
      </c>
      <c r="Q17" s="7">
        <f>'projected IS '!J22</f>
        <v>796643037.08198345</v>
      </c>
      <c r="R17" s="7">
        <f>'projected IS '!K22</f>
        <v>828508758.56526279</v>
      </c>
      <c r="S17" s="7"/>
      <c r="T17" s="7"/>
      <c r="U17" s="7"/>
    </row>
    <row r="18" spans="1:21" x14ac:dyDescent="0.15">
      <c r="A18" s="6" t="s">
        <v>17</v>
      </c>
      <c r="B18" s="12">
        <v>365086000</v>
      </c>
      <c r="C18" s="12">
        <v>360984000</v>
      </c>
      <c r="D18" s="12">
        <v>361256000</v>
      </c>
      <c r="E18" s="12">
        <v>373396000</v>
      </c>
      <c r="F18" s="12">
        <v>385301000</v>
      </c>
      <c r="G18" s="12">
        <v>394605000</v>
      </c>
      <c r="H18" s="12">
        <v>420315000</v>
      </c>
      <c r="I18" s="12">
        <v>429000000</v>
      </c>
      <c r="J18" s="12">
        <v>463721000</v>
      </c>
      <c r="K18" s="70">
        <v>490142000</v>
      </c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s="10" customFormat="1" x14ac:dyDescent="0.15">
      <c r="A19" s="9" t="s">
        <v>18</v>
      </c>
      <c r="B19" s="14">
        <v>120565000</v>
      </c>
      <c r="C19" s="14">
        <v>121146000</v>
      </c>
      <c r="D19" s="14">
        <v>124617000</v>
      </c>
      <c r="E19" s="14">
        <v>126947000</v>
      </c>
      <c r="F19" s="14">
        <v>129104000</v>
      </c>
      <c r="G19" s="14">
        <v>129359000</v>
      </c>
      <c r="H19" s="14">
        <v>138836000</v>
      </c>
      <c r="I19" s="14">
        <v>143754000</v>
      </c>
      <c r="J19" s="14">
        <v>147568000</v>
      </c>
      <c r="K19" s="72">
        <v>157983000</v>
      </c>
      <c r="L19" s="9">
        <f>'projected IS '!E24</f>
        <v>162916159.61249995</v>
      </c>
      <c r="M19" s="9">
        <f>'projected IS '!F24</f>
        <v>168618225.19893748</v>
      </c>
      <c r="N19" s="9">
        <f>'projected IS '!G24</f>
        <v>168348436.03861916</v>
      </c>
      <c r="O19" s="9">
        <f>'projected IS '!H24</f>
        <v>189672571.2701776</v>
      </c>
      <c r="P19" s="9">
        <f>'projected IS '!I24</f>
        <v>205831215.32261777</v>
      </c>
      <c r="Q19" s="9">
        <f>'projected IS '!J24</f>
        <v>223060050.38295543</v>
      </c>
      <c r="R19" s="9">
        <f>'projected IS '!K24</f>
        <v>248552627.56957889</v>
      </c>
      <c r="S19" s="9"/>
      <c r="T19" s="9"/>
      <c r="U19" s="9"/>
    </row>
    <row r="20" spans="1:21" x14ac:dyDescent="0.15">
      <c r="A20" s="6" t="s">
        <v>19</v>
      </c>
      <c r="B20" s="12">
        <v>93418000</v>
      </c>
      <c r="C20" s="12">
        <v>97041000</v>
      </c>
      <c r="D20" s="12">
        <v>101853000</v>
      </c>
      <c r="E20" s="12">
        <v>106510000</v>
      </c>
      <c r="F20" s="12">
        <v>107147000</v>
      </c>
      <c r="G20" s="12">
        <v>108791000</v>
      </c>
      <c r="H20" s="12">
        <v>116288000</v>
      </c>
      <c r="I20" s="12">
        <v>117812000</v>
      </c>
      <c r="J20" s="12">
        <v>127140000</v>
      </c>
      <c r="K20" s="70">
        <v>130971000</v>
      </c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15">
      <c r="A21" s="6" t="s">
        <v>20</v>
      </c>
      <c r="B21" s="12">
        <v>93418000</v>
      </c>
      <c r="C21" s="12">
        <v>97041000</v>
      </c>
      <c r="D21" s="12">
        <v>101853000</v>
      </c>
      <c r="E21" s="12">
        <v>106510000</v>
      </c>
      <c r="F21" s="12">
        <v>107147000</v>
      </c>
      <c r="G21" s="12">
        <v>108791000</v>
      </c>
      <c r="H21" s="12">
        <v>116288000</v>
      </c>
      <c r="I21" s="12">
        <v>117812000</v>
      </c>
      <c r="J21" s="12">
        <v>127140000</v>
      </c>
      <c r="K21" s="70">
        <v>130971000</v>
      </c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15">
      <c r="A22" s="6" t="s">
        <v>21</v>
      </c>
      <c r="B22" s="12">
        <v>27147000</v>
      </c>
      <c r="C22" s="12">
        <v>24105000</v>
      </c>
      <c r="D22" s="12">
        <v>22764000</v>
      </c>
      <c r="E22" s="12">
        <v>20437000</v>
      </c>
      <c r="F22" s="12">
        <v>21957000</v>
      </c>
      <c r="G22" s="12">
        <v>20568000</v>
      </c>
      <c r="H22" s="12">
        <v>22548000</v>
      </c>
      <c r="I22" s="12">
        <v>25942000</v>
      </c>
      <c r="J22" s="12">
        <v>20428000</v>
      </c>
      <c r="K22" s="70">
        <v>27012000</v>
      </c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15">
      <c r="A23" s="6" t="s">
        <v>22</v>
      </c>
      <c r="B23" s="12">
        <v>-2348000</v>
      </c>
      <c r="C23" s="12">
        <v>-2467000</v>
      </c>
      <c r="D23" s="12">
        <v>-2267000</v>
      </c>
      <c r="E23" s="12">
        <v>-2178000</v>
      </c>
      <c r="F23" s="12">
        <v>-2129000</v>
      </c>
      <c r="G23" s="12">
        <v>-2410000</v>
      </c>
      <c r="H23" s="12">
        <v>-2194000</v>
      </c>
      <c r="I23" s="12">
        <v>-1836000</v>
      </c>
      <c r="J23" s="12">
        <v>-1874000</v>
      </c>
      <c r="K23" s="70">
        <v>-2137000</v>
      </c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15">
      <c r="A24" s="6" t="s">
        <v>23</v>
      </c>
      <c r="B24" s="12">
        <v>0</v>
      </c>
      <c r="C24" s="12">
        <v>0</v>
      </c>
      <c r="D24" s="12">
        <v>0</v>
      </c>
      <c r="E24" s="12">
        <v>-3136000</v>
      </c>
      <c r="F24" s="12">
        <v>-8368000</v>
      </c>
      <c r="G24" s="12">
        <v>1958000</v>
      </c>
      <c r="H24" s="12">
        <v>210000</v>
      </c>
      <c r="I24" s="12">
        <v>-5410000</v>
      </c>
      <c r="J24" s="12">
        <v>-1538000</v>
      </c>
      <c r="K24" s="70">
        <v>-3027000</v>
      </c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15">
      <c r="A25" s="6" t="s">
        <v>24</v>
      </c>
      <c r="B25" s="12">
        <v>-2348000</v>
      </c>
      <c r="C25" s="12">
        <v>-2467000</v>
      </c>
      <c r="D25" s="12">
        <v>-2267000</v>
      </c>
      <c r="E25" s="12">
        <v>-5314000</v>
      </c>
      <c r="F25" s="12">
        <v>-10497000</v>
      </c>
      <c r="G25" s="12">
        <v>-452000</v>
      </c>
      <c r="H25" s="12">
        <v>-1984000</v>
      </c>
      <c r="I25" s="12">
        <v>-7246000</v>
      </c>
      <c r="J25" s="12">
        <v>-3412000</v>
      </c>
      <c r="K25" s="70">
        <v>-5164000</v>
      </c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15">
      <c r="A26" s="6" t="s">
        <v>25</v>
      </c>
      <c r="B26" s="12">
        <v>24799000</v>
      </c>
      <c r="C26" s="12">
        <v>21638000</v>
      </c>
      <c r="D26" s="12">
        <v>20497000</v>
      </c>
      <c r="E26" s="12">
        <v>15123000</v>
      </c>
      <c r="F26" s="12">
        <v>11460000</v>
      </c>
      <c r="G26" s="12">
        <v>20116000</v>
      </c>
      <c r="H26" s="12">
        <v>20564000</v>
      </c>
      <c r="I26" s="12">
        <v>18696000</v>
      </c>
      <c r="J26" s="12">
        <v>17016000</v>
      </c>
      <c r="K26" s="70">
        <v>21848000</v>
      </c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15">
      <c r="A27" s="6" t="s">
        <v>26</v>
      </c>
      <c r="B27" s="12">
        <v>7985000</v>
      </c>
      <c r="C27" s="12">
        <v>6558000</v>
      </c>
      <c r="D27" s="12">
        <v>6204000</v>
      </c>
      <c r="E27" s="12">
        <v>4600000</v>
      </c>
      <c r="F27" s="12">
        <v>4281000</v>
      </c>
      <c r="G27" s="12">
        <v>4915000</v>
      </c>
      <c r="H27" s="12">
        <v>6858000</v>
      </c>
      <c r="I27" s="12">
        <v>4756000</v>
      </c>
      <c r="J27" s="12">
        <v>5724000</v>
      </c>
      <c r="K27" s="70">
        <v>5578000</v>
      </c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15">
      <c r="A28" s="6" t="s">
        <v>27</v>
      </c>
      <c r="B28" s="12">
        <v>736000</v>
      </c>
      <c r="C28" s="12">
        <v>386000</v>
      </c>
      <c r="D28" s="12">
        <v>650000</v>
      </c>
      <c r="E28" s="12">
        <v>661000</v>
      </c>
      <c r="F28" s="12">
        <v>509000</v>
      </c>
      <c r="G28" s="12">
        <v>320000</v>
      </c>
      <c r="H28" s="12">
        <v>196000</v>
      </c>
      <c r="I28" s="12">
        <v>267000</v>
      </c>
      <c r="J28" s="12">
        <v>-388000</v>
      </c>
      <c r="K28" s="70">
        <v>759000</v>
      </c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s="8" customFormat="1" ht="16" x14ac:dyDescent="0.2">
      <c r="A29" s="7" t="s">
        <v>28</v>
      </c>
      <c r="B29" s="13">
        <v>16363000</v>
      </c>
      <c r="C29" s="13">
        <v>14694000</v>
      </c>
      <c r="D29" s="13">
        <v>13643000</v>
      </c>
      <c r="E29" s="13">
        <v>9862000</v>
      </c>
      <c r="F29" s="13">
        <v>6670000</v>
      </c>
      <c r="G29" s="13">
        <v>14881000</v>
      </c>
      <c r="H29" s="13">
        <v>13510000</v>
      </c>
      <c r="I29" s="13">
        <v>13673000</v>
      </c>
      <c r="J29" s="13">
        <v>11680000</v>
      </c>
      <c r="K29" s="71">
        <v>15511000</v>
      </c>
      <c r="L29" s="7">
        <f>'projected IS '!E33</f>
        <v>15239711.058063719</v>
      </c>
      <c r="M29" s="7">
        <f>'projected IS '!F33</f>
        <v>15445044.695610009</v>
      </c>
      <c r="N29" s="7">
        <f>'projected IS '!G33</f>
        <v>11286684.178367581</v>
      </c>
      <c r="O29" s="7">
        <f>'projected IS '!H33</f>
        <v>22383078.485789351</v>
      </c>
      <c r="P29" s="7">
        <f>'projected IS '!I33</f>
        <v>30198631.832388125</v>
      </c>
      <c r="Q29" s="7">
        <f>'projected IS '!J33</f>
        <v>37038836.350299567</v>
      </c>
      <c r="R29" s="7">
        <f>'projected IS '!K33</f>
        <v>50846402.014696807</v>
      </c>
      <c r="S29" s="7"/>
      <c r="T29" s="7"/>
      <c r="U29" s="7"/>
    </row>
    <row r="30" spans="1:21" s="8" customFormat="1" ht="16" x14ac:dyDescent="0.2">
      <c r="A30" s="7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s="8" customFormat="1" ht="16" x14ac:dyDescent="0.2">
      <c r="A31" s="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15">
      <c r="A32" s="6" t="s">
        <v>29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70"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15">
      <c r="A33" s="6" t="s">
        <v>30</v>
      </c>
      <c r="B33" s="12">
        <v>16363000</v>
      </c>
      <c r="C33" s="12">
        <v>14694000</v>
      </c>
      <c r="D33" s="12">
        <v>13643000</v>
      </c>
      <c r="E33" s="12">
        <v>9862000</v>
      </c>
      <c r="F33" s="12">
        <v>6670000</v>
      </c>
      <c r="G33" s="12">
        <v>14881000</v>
      </c>
      <c r="H33" s="12">
        <v>13510000</v>
      </c>
      <c r="I33" s="12">
        <v>13673000</v>
      </c>
      <c r="J33" s="12">
        <v>11680000</v>
      </c>
      <c r="K33" s="70">
        <v>15511000</v>
      </c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15">
      <c r="A34" s="6" t="s">
        <v>31</v>
      </c>
      <c r="B34" s="12">
        <v>3230000</v>
      </c>
      <c r="C34" s="12">
        <v>3207000</v>
      </c>
      <c r="D34" s="12">
        <v>3101000</v>
      </c>
      <c r="E34" s="12">
        <v>2995000</v>
      </c>
      <c r="F34" s="12">
        <v>2929000</v>
      </c>
      <c r="G34" s="12">
        <v>2850000</v>
      </c>
      <c r="H34" s="12">
        <v>2831000</v>
      </c>
      <c r="I34" s="12">
        <v>2792000</v>
      </c>
      <c r="J34" s="12">
        <v>2724000</v>
      </c>
      <c r="K34" s="70">
        <v>8077000</v>
      </c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15">
      <c r="A35" s="6" t="s">
        <v>32</v>
      </c>
      <c r="B35" s="12">
        <v>5.07</v>
      </c>
      <c r="C35" s="12">
        <v>4.58</v>
      </c>
      <c r="D35" s="12">
        <v>4.4000000000000004</v>
      </c>
      <c r="E35" s="12">
        <v>3.29</v>
      </c>
      <c r="F35" s="12">
        <v>2.2799999999999998</v>
      </c>
      <c r="G35" s="12">
        <v>5.22</v>
      </c>
      <c r="H35" s="12">
        <v>4.7699999999999996</v>
      </c>
      <c r="I35" s="12">
        <v>4.9000000000000004</v>
      </c>
      <c r="J35" s="12">
        <v>4.29</v>
      </c>
      <c r="K35" s="70">
        <v>1.92</v>
      </c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15">
      <c r="A36" s="6" t="s">
        <v>33</v>
      </c>
      <c r="B36" s="12">
        <v>5.01</v>
      </c>
      <c r="C36" s="12">
        <v>4.58</v>
      </c>
      <c r="D36" s="12">
        <v>4.4000000000000004</v>
      </c>
      <c r="E36" s="12">
        <v>3.29</v>
      </c>
      <c r="F36" s="12">
        <v>2.2799999999999998</v>
      </c>
      <c r="G36" s="12">
        <v>5.22</v>
      </c>
      <c r="H36" s="12">
        <v>4.7699999999999996</v>
      </c>
      <c r="I36" s="12">
        <v>4.9000000000000004</v>
      </c>
      <c r="J36" s="12">
        <v>4.29</v>
      </c>
      <c r="K36" s="70">
        <v>1.92</v>
      </c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15">
      <c r="A37" s="6" t="s">
        <v>34</v>
      </c>
      <c r="B37" s="12">
        <v>3243000</v>
      </c>
      <c r="C37" s="12">
        <v>3217000</v>
      </c>
      <c r="D37" s="12">
        <v>3112000</v>
      </c>
      <c r="E37" s="12">
        <v>3010000</v>
      </c>
      <c r="F37" s="12">
        <v>2945000</v>
      </c>
      <c r="G37" s="12">
        <v>2868000</v>
      </c>
      <c r="H37" s="12">
        <v>2847000</v>
      </c>
      <c r="I37" s="12">
        <v>2805000</v>
      </c>
      <c r="J37" s="12">
        <v>2734000</v>
      </c>
      <c r="K37" s="70">
        <v>8108000</v>
      </c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15">
      <c r="A38" s="6" t="s">
        <v>35</v>
      </c>
      <c r="B38" s="12">
        <v>5.05</v>
      </c>
      <c r="C38" s="12">
        <v>4.57</v>
      </c>
      <c r="D38" s="12">
        <v>4.38</v>
      </c>
      <c r="E38" s="12">
        <v>3.28</v>
      </c>
      <c r="F38" s="12">
        <v>2.2599999999999998</v>
      </c>
      <c r="G38" s="12">
        <v>5.19</v>
      </c>
      <c r="H38" s="12">
        <v>4.75</v>
      </c>
      <c r="I38" s="12">
        <v>4.87</v>
      </c>
      <c r="J38" s="12">
        <v>4.2699999999999996</v>
      </c>
      <c r="K38" s="70">
        <v>1.91</v>
      </c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15">
      <c r="A39" s="6" t="s">
        <v>36</v>
      </c>
      <c r="B39" s="12">
        <v>4.99</v>
      </c>
      <c r="C39" s="12">
        <v>4.57</v>
      </c>
      <c r="D39" s="12">
        <v>4.38</v>
      </c>
      <c r="E39" s="12">
        <v>3.28</v>
      </c>
      <c r="F39" s="12">
        <v>2.2599999999999998</v>
      </c>
      <c r="G39" s="12">
        <v>5.19</v>
      </c>
      <c r="H39" s="12">
        <v>4.75</v>
      </c>
      <c r="I39" s="12">
        <v>4.87</v>
      </c>
      <c r="J39" s="12">
        <v>4.2699999999999996</v>
      </c>
      <c r="K39" s="70">
        <v>1.91</v>
      </c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15">
      <c r="A40" s="6" t="s">
        <v>37</v>
      </c>
      <c r="B40" s="12">
        <v>3228000</v>
      </c>
      <c r="C40" s="12">
        <v>3162000</v>
      </c>
      <c r="D40" s="12">
        <v>3048000</v>
      </c>
      <c r="E40" s="12">
        <v>2952000</v>
      </c>
      <c r="F40" s="12">
        <v>2878000</v>
      </c>
      <c r="G40" s="12">
        <v>2832000</v>
      </c>
      <c r="H40" s="12">
        <v>2821000</v>
      </c>
      <c r="I40" s="12">
        <v>2761000</v>
      </c>
      <c r="J40" s="12">
        <v>2693000</v>
      </c>
      <c r="K40" s="70">
        <v>8054000</v>
      </c>
      <c r="L40" s="6"/>
      <c r="M40" s="6"/>
      <c r="N40" s="6"/>
      <c r="O40" s="6"/>
      <c r="P40" s="6"/>
      <c r="Q40" s="6"/>
      <c r="R40" s="6"/>
      <c r="S40" s="6"/>
      <c r="T40" s="6"/>
      <c r="U40" s="6"/>
    </row>
    <row r="47" spans="1:21" s="8" customFormat="1" ht="16" x14ac:dyDescent="0.2">
      <c r="A47" s="7" t="s">
        <v>16</v>
      </c>
      <c r="B47" s="13">
        <v>476294000</v>
      </c>
      <c r="C47" s="13">
        <v>485651000</v>
      </c>
      <c r="D47" s="13">
        <v>482130000</v>
      </c>
      <c r="E47" s="13">
        <v>485873000</v>
      </c>
      <c r="F47" s="13">
        <v>500343000</v>
      </c>
      <c r="G47" s="13">
        <v>514405000</v>
      </c>
      <c r="H47" s="13">
        <v>523964000</v>
      </c>
      <c r="I47" s="13">
        <v>559151000</v>
      </c>
      <c r="J47" s="13">
        <v>572754000</v>
      </c>
      <c r="K47" s="13">
        <v>611289000</v>
      </c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s="8" customFormat="1" ht="16" x14ac:dyDescent="0.2">
      <c r="A48" s="7" t="s">
        <v>28</v>
      </c>
      <c r="B48" s="13">
        <v>16022000</v>
      </c>
      <c r="C48" s="13">
        <v>16363000</v>
      </c>
      <c r="D48" s="13">
        <v>14694000</v>
      </c>
      <c r="E48" s="13">
        <v>13643000</v>
      </c>
      <c r="F48" s="13">
        <v>9862000</v>
      </c>
      <c r="G48" s="13">
        <v>6670000</v>
      </c>
      <c r="H48" s="13">
        <v>14881000</v>
      </c>
      <c r="I48" s="13">
        <v>13510000</v>
      </c>
      <c r="J48" s="13">
        <v>13673000</v>
      </c>
      <c r="K48" s="13">
        <v>11680000</v>
      </c>
      <c r="L48" s="7"/>
      <c r="M48" s="7"/>
      <c r="N48" s="7"/>
      <c r="O48" s="7"/>
      <c r="P48" s="7"/>
      <c r="Q48" s="7"/>
      <c r="R48" s="7"/>
      <c r="S48" s="7"/>
      <c r="T48" s="7"/>
      <c r="U48" s="7"/>
    </row>
    <row r="51" spans="1:12" x14ac:dyDescent="0.15">
      <c r="A51" t="str">
        <f t="shared" ref="A51:K51" si="4">A13</f>
        <v>Report Date</v>
      </c>
      <c r="B51" t="str">
        <f t="shared" si="4"/>
        <v>01/31/2015</v>
      </c>
      <c r="C51" t="str">
        <f t="shared" si="4"/>
        <v>01/31/2016</v>
      </c>
      <c r="D51" t="str">
        <f t="shared" si="4"/>
        <v>01/31/2017</v>
      </c>
      <c r="E51" t="str">
        <f t="shared" si="4"/>
        <v>01/31/2018</v>
      </c>
      <c r="F51" t="str">
        <f t="shared" si="4"/>
        <v>01/31/2019</v>
      </c>
      <c r="G51" t="str">
        <f t="shared" si="4"/>
        <v>01/31/2020</v>
      </c>
      <c r="H51" t="str">
        <f t="shared" si="4"/>
        <v>01/31/2021</v>
      </c>
      <c r="I51" t="str">
        <f t="shared" si="4"/>
        <v>01/31/2022</v>
      </c>
      <c r="J51" t="str">
        <f t="shared" si="4"/>
        <v>01/31/2023</v>
      </c>
      <c r="K51" t="str">
        <f t="shared" si="4"/>
        <v>01/31/2024</v>
      </c>
      <c r="L51" t="s">
        <v>105</v>
      </c>
    </row>
    <row r="52" spans="1:12" x14ac:dyDescent="0.15">
      <c r="A52" t="str">
        <f t="shared" ref="A52:A65" si="5">A15</f>
        <v>Sales Revenue</v>
      </c>
      <c r="C52" s="16">
        <f t="shared" ref="C52:K52" si="6">C15/B15-1</f>
        <v>-7.4964384141144036E-3</v>
      </c>
      <c r="D52" s="16">
        <f t="shared" si="6"/>
        <v>5.6475573217666941E-3</v>
      </c>
      <c r="E52" s="16">
        <f t="shared" si="6"/>
        <v>3.000932857139893E-2</v>
      </c>
      <c r="F52" s="16">
        <f t="shared" si="6"/>
        <v>2.9385127107618425E-2</v>
      </c>
      <c r="G52" s="16">
        <f t="shared" si="6"/>
        <v>1.8805515657546401E-2</v>
      </c>
      <c r="H52" s="16">
        <f t="shared" si="6"/>
        <v>6.7907740716948162E-2</v>
      </c>
      <c r="I52" s="16">
        <f t="shared" si="6"/>
        <v>2.2565301414001038E-2</v>
      </c>
      <c r="J52" s="16">
        <f t="shared" si="6"/>
        <v>6.7139047699564358E-2</v>
      </c>
      <c r="K52" s="16">
        <f t="shared" si="6"/>
        <v>6.0665378184824981E-2</v>
      </c>
      <c r="L52" s="31">
        <f>AVERAGE(C52:K52)</f>
        <v>3.2736506473283841E-2</v>
      </c>
    </row>
    <row r="53" spans="1:12" x14ac:dyDescent="0.15">
      <c r="A53" t="str">
        <f t="shared" si="5"/>
        <v>Other Revenue</v>
      </c>
      <c r="C53" s="16">
        <f t="shared" ref="C53:K53" si="7">C16/B16-1</f>
        <v>2.746931618936288E-2</v>
      </c>
      <c r="D53" s="16">
        <f t="shared" si="7"/>
        <v>0.29579067121729241</v>
      </c>
      <c r="E53" s="16">
        <f t="shared" si="7"/>
        <v>5.7067603160667613E-3</v>
      </c>
      <c r="F53" s="16">
        <f t="shared" si="7"/>
        <v>-0.11043212570929728</v>
      </c>
      <c r="G53" s="16">
        <f t="shared" si="7"/>
        <v>-9.322865554465154E-3</v>
      </c>
      <c r="H53" s="16">
        <f t="shared" si="7"/>
        <v>-2.9717682020802383E-2</v>
      </c>
      <c r="I53" s="16">
        <f t="shared" si="7"/>
        <v>0.27411944869831539</v>
      </c>
      <c r="J53" s="16">
        <f t="shared" si="7"/>
        <v>8.3333333333333259E-2</v>
      </c>
      <c r="K53" s="16">
        <f t="shared" si="7"/>
        <v>1.4792899408283988E-2</v>
      </c>
      <c r="L53" s="31">
        <f t="shared" ref="L53:L67" si="8">AVERAGE(C53:K53)</f>
        <v>6.1304417319787766E-2</v>
      </c>
    </row>
    <row r="54" spans="1:12" x14ac:dyDescent="0.15">
      <c r="A54" t="str">
        <f t="shared" si="5"/>
        <v>Total Revenue</v>
      </c>
      <c r="C54" s="16">
        <f t="shared" ref="C54:K54" si="9">C17/B17-1</f>
        <v>-7.2500622875274479E-3</v>
      </c>
      <c r="D54" s="16">
        <f t="shared" si="9"/>
        <v>7.7634662850267766E-3</v>
      </c>
      <c r="E54" s="16">
        <f t="shared" si="9"/>
        <v>2.9781444945489843E-2</v>
      </c>
      <c r="F54" s="16">
        <f t="shared" si="9"/>
        <v>2.8104720161968855E-2</v>
      </c>
      <c r="G54" s="16">
        <f t="shared" si="9"/>
        <v>1.85826343056541E-2</v>
      </c>
      <c r="H54" s="16">
        <f t="shared" si="9"/>
        <v>6.7155377086975498E-2</v>
      </c>
      <c r="I54" s="16">
        <f t="shared" si="9"/>
        <v>2.4327954345069625E-2</v>
      </c>
      <c r="J54" s="16">
        <f t="shared" si="9"/>
        <v>6.7280193590965709E-2</v>
      </c>
      <c r="K54" s="16">
        <f t="shared" si="9"/>
        <v>6.02595499019285E-2</v>
      </c>
      <c r="L54" s="31">
        <f t="shared" si="8"/>
        <v>3.288947537061683E-2</v>
      </c>
    </row>
    <row r="55" spans="1:12" x14ac:dyDescent="0.15">
      <c r="A55" t="str">
        <f t="shared" si="5"/>
        <v>Direct Costs</v>
      </c>
      <c r="C55" s="16">
        <f t="shared" ref="C55:K55" si="10">C18/B18-1</f>
        <v>-1.1235708846682679E-2</v>
      </c>
      <c r="D55" s="16">
        <f t="shared" si="10"/>
        <v>7.5349599982277304E-4</v>
      </c>
      <c r="E55" s="16">
        <f t="shared" si="10"/>
        <v>3.3604978187213419E-2</v>
      </c>
      <c r="F55" s="16">
        <f t="shared" si="10"/>
        <v>3.1883041060964734E-2</v>
      </c>
      <c r="G55" s="16">
        <f t="shared" si="10"/>
        <v>2.4147354925110553E-2</v>
      </c>
      <c r="H55" s="16">
        <f t="shared" si="10"/>
        <v>6.5153761356292916E-2</v>
      </c>
      <c r="I55" s="16">
        <f t="shared" si="10"/>
        <v>2.0663074122979186E-2</v>
      </c>
      <c r="J55" s="16">
        <f t="shared" si="10"/>
        <v>8.0934731934731996E-2</v>
      </c>
      <c r="K55" s="16">
        <f t="shared" si="10"/>
        <v>5.6976069662577178E-2</v>
      </c>
      <c r="L55" s="31">
        <f t="shared" si="8"/>
        <v>3.3653422044778898E-2</v>
      </c>
    </row>
    <row r="56" spans="1:12" x14ac:dyDescent="0.15">
      <c r="A56" t="str">
        <f t="shared" si="5"/>
        <v>Gross Profit</v>
      </c>
      <c r="C56" s="16">
        <f t="shared" ref="C56:K56" si="11">C19/B19-1</f>
        <v>4.8189773151412485E-3</v>
      </c>
      <c r="D56" s="16">
        <f t="shared" si="11"/>
        <v>2.865137932742301E-2</v>
      </c>
      <c r="E56" s="16">
        <f t="shared" si="11"/>
        <v>1.8697288491939412E-2</v>
      </c>
      <c r="F56" s="16">
        <f t="shared" si="11"/>
        <v>1.6991342843863944E-2</v>
      </c>
      <c r="G56" s="16">
        <f t="shared" si="11"/>
        <v>1.9751518155906034E-3</v>
      </c>
      <c r="H56" s="16">
        <f t="shared" si="11"/>
        <v>7.3261234239596851E-2</v>
      </c>
      <c r="I56" s="16">
        <f t="shared" si="11"/>
        <v>3.5423089112333939E-2</v>
      </c>
      <c r="J56" s="16">
        <f t="shared" si="11"/>
        <v>2.6531435647008106E-2</v>
      </c>
      <c r="K56" s="16">
        <f t="shared" si="11"/>
        <v>7.0577632006939117E-2</v>
      </c>
      <c r="L56" s="31">
        <f t="shared" si="8"/>
        <v>3.0769725644426246E-2</v>
      </c>
    </row>
    <row r="57" spans="1:12" x14ac:dyDescent="0.15">
      <c r="A57" t="str">
        <f t="shared" si="5"/>
        <v>Selling General &amp; Admin</v>
      </c>
      <c r="C57" s="16">
        <f t="shared" ref="C57:K57" si="12">C20/B20-1</f>
        <v>3.8782675715600901E-2</v>
      </c>
      <c r="D57" s="16">
        <f t="shared" si="12"/>
        <v>4.9587287847404626E-2</v>
      </c>
      <c r="E57" s="16">
        <f t="shared" si="12"/>
        <v>4.5722757307099515E-2</v>
      </c>
      <c r="F57" s="16">
        <f t="shared" si="12"/>
        <v>5.980659093042906E-3</v>
      </c>
      <c r="G57" s="16">
        <f t="shared" si="12"/>
        <v>1.5343406721606723E-2</v>
      </c>
      <c r="H57" s="16">
        <f t="shared" si="12"/>
        <v>6.8911950437076541E-2</v>
      </c>
      <c r="I57" s="16">
        <f t="shared" si="12"/>
        <v>1.3105393505778773E-2</v>
      </c>
      <c r="J57" s="16">
        <f t="shared" si="12"/>
        <v>7.9176993854615851E-2</v>
      </c>
      <c r="K57" s="16">
        <f t="shared" si="12"/>
        <v>3.0132137800849446E-2</v>
      </c>
      <c r="L57" s="31">
        <f t="shared" si="8"/>
        <v>3.8527029142563923E-2</v>
      </c>
    </row>
    <row r="58" spans="1:12" x14ac:dyDescent="0.15">
      <c r="A58" t="str">
        <f t="shared" si="5"/>
        <v>Total Indirect Operating Costs</v>
      </c>
      <c r="C58" s="16">
        <f t="shared" ref="C58:K58" si="13">C21/B21-1</f>
        <v>3.8782675715600901E-2</v>
      </c>
      <c r="D58" s="16">
        <f t="shared" si="13"/>
        <v>4.9587287847404626E-2</v>
      </c>
      <c r="E58" s="16">
        <f t="shared" si="13"/>
        <v>4.5722757307099515E-2</v>
      </c>
      <c r="F58" s="16">
        <f t="shared" si="13"/>
        <v>5.980659093042906E-3</v>
      </c>
      <c r="G58" s="16">
        <f t="shared" si="13"/>
        <v>1.5343406721606723E-2</v>
      </c>
      <c r="H58" s="16">
        <f t="shared" si="13"/>
        <v>6.8911950437076541E-2</v>
      </c>
      <c r="I58" s="16">
        <f t="shared" si="13"/>
        <v>1.3105393505778773E-2</v>
      </c>
      <c r="J58" s="16">
        <f t="shared" si="13"/>
        <v>7.9176993854615851E-2</v>
      </c>
      <c r="K58" s="16">
        <f t="shared" si="13"/>
        <v>3.0132137800849446E-2</v>
      </c>
      <c r="L58" s="31">
        <f t="shared" si="8"/>
        <v>3.8527029142563923E-2</v>
      </c>
    </row>
    <row r="59" spans="1:12" x14ac:dyDescent="0.15">
      <c r="A59" t="str">
        <f t="shared" si="5"/>
        <v>Operating Income</v>
      </c>
      <c r="C59" s="16">
        <f t="shared" ref="C59:K59" si="14">C22/B22-1</f>
        <v>-0.11205658083766157</v>
      </c>
      <c r="D59" s="16">
        <f t="shared" si="14"/>
        <v>-5.5631611698817696E-2</v>
      </c>
      <c r="E59" s="16">
        <f t="shared" si="14"/>
        <v>-0.10222280794236516</v>
      </c>
      <c r="F59" s="16">
        <f t="shared" si="14"/>
        <v>7.4374908254636107E-2</v>
      </c>
      <c r="G59" s="16">
        <f t="shared" si="14"/>
        <v>-6.3260008197841278E-2</v>
      </c>
      <c r="H59" s="16">
        <f t="shared" si="14"/>
        <v>9.62660443407235E-2</v>
      </c>
      <c r="I59" s="16">
        <f t="shared" si="14"/>
        <v>0.1505233280113536</v>
      </c>
      <c r="J59" s="16">
        <f t="shared" si="14"/>
        <v>-0.212551075476062</v>
      </c>
      <c r="K59" s="16">
        <f t="shared" si="14"/>
        <v>0.32230272175445474</v>
      </c>
      <c r="L59" s="31">
        <f t="shared" si="8"/>
        <v>1.0860546467602249E-2</v>
      </c>
    </row>
    <row r="60" spans="1:12" x14ac:dyDescent="0.15">
      <c r="A60" t="str">
        <f t="shared" si="5"/>
        <v>Interest Income</v>
      </c>
      <c r="C60" s="16">
        <f t="shared" ref="C60:K60" si="15">C23/B23-1</f>
        <v>5.0681431005110689E-2</v>
      </c>
      <c r="D60" s="16">
        <f t="shared" si="15"/>
        <v>-8.1070125658694758E-2</v>
      </c>
      <c r="E60" s="16">
        <f t="shared" si="15"/>
        <v>-3.925893250992496E-2</v>
      </c>
      <c r="F60" s="16">
        <f t="shared" si="15"/>
        <v>-2.2497704315886158E-2</v>
      </c>
      <c r="G60" s="16">
        <f t="shared" si="15"/>
        <v>0.13198684828558016</v>
      </c>
      <c r="H60" s="16">
        <f t="shared" si="15"/>
        <v>-8.9626556016597525E-2</v>
      </c>
      <c r="I60" s="16">
        <f t="shared" si="15"/>
        <v>-0.16317228805834094</v>
      </c>
      <c r="J60" s="16">
        <f t="shared" si="15"/>
        <v>2.0697167755991286E-2</v>
      </c>
      <c r="K60" s="16">
        <f t="shared" si="15"/>
        <v>0.14034151547491991</v>
      </c>
      <c r="L60" s="31">
        <f t="shared" si="8"/>
        <v>-5.7687382264269222E-3</v>
      </c>
    </row>
    <row r="61" spans="1:12" x14ac:dyDescent="0.15">
      <c r="A61" t="str">
        <f t="shared" si="5"/>
        <v>Other Non-Operating Income</v>
      </c>
      <c r="C61" s="16" t="s">
        <v>106</v>
      </c>
      <c r="D61" s="16" t="e">
        <f t="shared" ref="D61:K61" si="16">D24/C24-1</f>
        <v>#DIV/0!</v>
      </c>
      <c r="E61" s="16" t="e">
        <f t="shared" si="16"/>
        <v>#DIV/0!</v>
      </c>
      <c r="F61" s="16">
        <f t="shared" si="16"/>
        <v>1.6683673469387754</v>
      </c>
      <c r="G61" s="16">
        <f t="shared" si="16"/>
        <v>-1.2339866156787762</v>
      </c>
      <c r="H61" s="16">
        <f t="shared" si="16"/>
        <v>-0.89274770173646578</v>
      </c>
      <c r="I61" s="16">
        <f t="shared" si="16"/>
        <v>-26.761904761904763</v>
      </c>
      <c r="J61" s="16">
        <f t="shared" si="16"/>
        <v>-0.71571164510166363</v>
      </c>
      <c r="K61" s="16">
        <f t="shared" si="16"/>
        <v>0.96814044213263983</v>
      </c>
      <c r="L61" s="31" t="s">
        <v>106</v>
      </c>
    </row>
    <row r="62" spans="1:12" x14ac:dyDescent="0.15">
      <c r="A62" t="str">
        <f t="shared" si="5"/>
        <v>Total Non-Operating Income</v>
      </c>
      <c r="C62" s="16">
        <f t="shared" ref="C62:K62" si="17">C25/B25-1</f>
        <v>5.0681431005110689E-2</v>
      </c>
      <c r="D62" s="16">
        <f t="shared" si="17"/>
        <v>-8.1070125658694758E-2</v>
      </c>
      <c r="E62" s="16">
        <f t="shared" si="17"/>
        <v>1.3440670489633879</v>
      </c>
      <c r="F62" s="16">
        <f t="shared" si="17"/>
        <v>0.97534813699661282</v>
      </c>
      <c r="G62" s="16">
        <f t="shared" si="17"/>
        <v>-0.95694007811755744</v>
      </c>
      <c r="H62" s="16">
        <f t="shared" si="17"/>
        <v>3.389380530973451</v>
      </c>
      <c r="I62" s="16">
        <f t="shared" si="17"/>
        <v>2.652217741935484</v>
      </c>
      <c r="J62" s="16">
        <f t="shared" si="17"/>
        <v>-0.52911951421473913</v>
      </c>
      <c r="K62" s="16">
        <f t="shared" si="17"/>
        <v>0.51348182883939031</v>
      </c>
      <c r="L62" s="31">
        <f t="shared" si="8"/>
        <v>0.81756077785804959</v>
      </c>
    </row>
    <row r="63" spans="1:12" x14ac:dyDescent="0.15">
      <c r="A63" t="str">
        <f t="shared" si="5"/>
        <v>Earnings Before Tax</v>
      </c>
      <c r="C63" s="16">
        <f t="shared" ref="C63:K63" si="18">C26/B26-1</f>
        <v>-0.12746481712972302</v>
      </c>
      <c r="D63" s="16">
        <f t="shared" si="18"/>
        <v>-5.2731306035677994E-2</v>
      </c>
      <c r="E63" s="16">
        <f t="shared" si="18"/>
        <v>-0.26218470995755472</v>
      </c>
      <c r="F63" s="16">
        <f t="shared" si="18"/>
        <v>-0.24221384645903588</v>
      </c>
      <c r="G63" s="16">
        <f t="shared" si="18"/>
        <v>0.75532286212914479</v>
      </c>
      <c r="H63" s="16">
        <f t="shared" si="18"/>
        <v>2.2270829190693897E-2</v>
      </c>
      <c r="I63" s="16">
        <f t="shared" si="18"/>
        <v>-9.0838358296051358E-2</v>
      </c>
      <c r="J63" s="16">
        <f t="shared" si="18"/>
        <v>-8.985879332477531E-2</v>
      </c>
      <c r="K63" s="16">
        <f t="shared" si="18"/>
        <v>0.28396803008932769</v>
      </c>
      <c r="L63" s="31">
        <f t="shared" si="8"/>
        <v>2.1807765578483122E-2</v>
      </c>
    </row>
    <row r="64" spans="1:12" x14ac:dyDescent="0.15">
      <c r="A64" t="str">
        <f t="shared" si="5"/>
        <v>Taxation</v>
      </c>
      <c r="C64" s="16">
        <f t="shared" ref="C64:K64" si="19">C27/B27-1</f>
        <v>-0.17871008140262989</v>
      </c>
      <c r="D64" s="16">
        <f t="shared" si="19"/>
        <v>-5.3979871912168353E-2</v>
      </c>
      <c r="E64" s="16">
        <f t="shared" si="19"/>
        <v>-0.25854287556415212</v>
      </c>
      <c r="F64" s="16">
        <f t="shared" si="19"/>
        <v>-6.9347826086956554E-2</v>
      </c>
      <c r="G64" s="16">
        <f t="shared" si="19"/>
        <v>0.14809623919644932</v>
      </c>
      <c r="H64" s="16">
        <f t="shared" si="19"/>
        <v>0.39532044760935903</v>
      </c>
      <c r="I64" s="16">
        <f t="shared" si="19"/>
        <v>-0.30650335374744819</v>
      </c>
      <c r="J64" s="16">
        <f t="shared" si="19"/>
        <v>0.20353238015138775</v>
      </c>
      <c r="K64" s="16">
        <f t="shared" si="19"/>
        <v>-2.5506638714185903E-2</v>
      </c>
      <c r="L64" s="31">
        <f t="shared" si="8"/>
        <v>-1.6182397830038324E-2</v>
      </c>
    </row>
    <row r="65" spans="1:12" x14ac:dyDescent="0.15">
      <c r="A65" t="str">
        <f t="shared" si="5"/>
        <v>Minority Interests</v>
      </c>
      <c r="C65" s="16">
        <f t="shared" ref="C65:K65" si="20">C28/B28-1</f>
        <v>-0.47554347826086951</v>
      </c>
      <c r="D65" s="16">
        <f t="shared" si="20"/>
        <v>0.68393782383419688</v>
      </c>
      <c r="E65" s="16">
        <f t="shared" si="20"/>
        <v>1.6923076923076819E-2</v>
      </c>
      <c r="F65" s="16">
        <f t="shared" si="20"/>
        <v>-0.22995461422087748</v>
      </c>
      <c r="G65" s="16">
        <f t="shared" si="20"/>
        <v>-0.37131630648330061</v>
      </c>
      <c r="H65" s="16">
        <f t="shared" si="20"/>
        <v>-0.38749999999999996</v>
      </c>
      <c r="I65" s="16">
        <f t="shared" si="20"/>
        <v>0.36224489795918369</v>
      </c>
      <c r="J65" s="16">
        <f t="shared" si="20"/>
        <v>-2.4531835205992509</v>
      </c>
      <c r="K65" s="16">
        <f t="shared" si="20"/>
        <v>-2.9561855670103094</v>
      </c>
      <c r="L65" s="31">
        <f t="shared" si="8"/>
        <v>-0.64561974309535008</v>
      </c>
    </row>
    <row r="66" spans="1:12" x14ac:dyDescent="0.15">
      <c r="A66" t="e">
        <f>#REF!</f>
        <v>#REF!</v>
      </c>
      <c r="C66" s="16" t="e">
        <f>#REF!/#REF!-1</f>
        <v>#REF!</v>
      </c>
      <c r="D66" s="16" t="e">
        <f>#REF!/#REF!-1</f>
        <v>#REF!</v>
      </c>
      <c r="E66" s="16" t="e">
        <f>#REF!/#REF!-1</f>
        <v>#REF!</v>
      </c>
      <c r="F66" s="16" t="e">
        <f>#REF!/#REF!-1</f>
        <v>#REF!</v>
      </c>
      <c r="G66" s="16" t="e">
        <f>#REF!/#REF!-1</f>
        <v>#REF!</v>
      </c>
      <c r="H66" s="16" t="e">
        <f>#REF!/#REF!-1</f>
        <v>#REF!</v>
      </c>
      <c r="I66" s="16" t="e">
        <f>#REF!/#REF!-1</f>
        <v>#REF!</v>
      </c>
      <c r="J66" s="16" t="e">
        <f>#REF!/#REF!-1</f>
        <v>#REF!</v>
      </c>
      <c r="K66" s="16" t="e">
        <f>#REF!/#REF!-1</f>
        <v>#REF!</v>
      </c>
      <c r="L66" s="31" t="s">
        <v>106</v>
      </c>
    </row>
    <row r="67" spans="1:12" x14ac:dyDescent="0.15">
      <c r="A67" t="str">
        <f t="shared" ref="A67:A74" si="21">A29</f>
        <v>Net Income</v>
      </c>
      <c r="C67" s="16">
        <f t="shared" ref="C67:K67" si="22">C29/B29-1</f>
        <v>-0.10199841104931862</v>
      </c>
      <c r="D67" s="16">
        <f t="shared" si="22"/>
        <v>-7.1525792840615221E-2</v>
      </c>
      <c r="E67" s="16">
        <f t="shared" si="22"/>
        <v>-0.27713845928314884</v>
      </c>
      <c r="F67" s="16">
        <f t="shared" si="22"/>
        <v>-0.32366659906712636</v>
      </c>
      <c r="G67" s="16">
        <f t="shared" si="22"/>
        <v>1.2310344827586208</v>
      </c>
      <c r="H67" s="16">
        <f t="shared" si="22"/>
        <v>-9.2130905181103451E-2</v>
      </c>
      <c r="I67" s="16">
        <f t="shared" si="22"/>
        <v>1.2065136935603293E-2</v>
      </c>
      <c r="J67" s="16">
        <f t="shared" si="22"/>
        <v>-0.1457617201784539</v>
      </c>
      <c r="K67" s="16">
        <f t="shared" si="22"/>
        <v>0.32799657534246585</v>
      </c>
      <c r="L67" s="31">
        <f t="shared" si="8"/>
        <v>6.2097145270769288E-2</v>
      </c>
    </row>
    <row r="70" spans="1:12" x14ac:dyDescent="0.15">
      <c r="A70" t="str">
        <f>A32</f>
        <v>Preference Dividends &amp; Similar</v>
      </c>
    </row>
    <row r="71" spans="1:12" x14ac:dyDescent="0.15">
      <c r="A71" t="str">
        <f t="shared" si="21"/>
        <v>Net Income to Common</v>
      </c>
    </row>
    <row r="72" spans="1:12" x14ac:dyDescent="0.15">
      <c r="A72" t="str">
        <f t="shared" si="21"/>
        <v>Average Shares Basic</v>
      </c>
    </row>
    <row r="73" spans="1:12" x14ac:dyDescent="0.15">
      <c r="A73" t="str">
        <f>A35</f>
        <v>EPS Net Basic</v>
      </c>
    </row>
    <row r="74" spans="1:12" x14ac:dyDescent="0.15">
      <c r="A74" t="str">
        <f t="shared" si="21"/>
        <v>EPS Continuing Basic</v>
      </c>
    </row>
    <row r="75" spans="1:12" x14ac:dyDescent="0.15">
      <c r="A75" t="str">
        <f>A37</f>
        <v>Average Shares Diluted</v>
      </c>
    </row>
    <row r="76" spans="1:12" x14ac:dyDescent="0.15">
      <c r="A76" t="str">
        <f>A38</f>
        <v>EPS Net Diluted</v>
      </c>
    </row>
    <row r="77" spans="1:12" x14ac:dyDescent="0.15">
      <c r="A77" t="str">
        <f>A39</f>
        <v>EPS Continuing Diluted</v>
      </c>
    </row>
    <row r="78" spans="1:12" x14ac:dyDescent="0.15">
      <c r="A78" t="str">
        <f>A40</f>
        <v>Shares Outstanding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13:T40">
    <sortCondition ref="B13:T13"/>
  </sortState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FDD3-B4DC-4CDE-AB0B-2A08DCFFF81E}">
  <dimension ref="B6:M22"/>
  <sheetViews>
    <sheetView workbookViewId="0">
      <selection activeCell="W9" sqref="W9"/>
    </sheetView>
  </sheetViews>
  <sheetFormatPr baseColWidth="10" defaultColWidth="8.83203125" defaultRowHeight="13" x14ac:dyDescent="0.15"/>
  <cols>
    <col min="2" max="2" width="25.5" bestFit="1" customWidth="1"/>
    <col min="3" max="12" width="10.1640625" bestFit="1" customWidth="1"/>
  </cols>
  <sheetData>
    <row r="6" spans="2:13" x14ac:dyDescent="0.15">
      <c r="C6" t="str">
        <f>standardized!B13</f>
        <v>01/31/2015</v>
      </c>
      <c r="D6" t="str">
        <f>standardized!C13</f>
        <v>01/31/2016</v>
      </c>
      <c r="E6" t="str">
        <f>standardized!D13</f>
        <v>01/31/2017</v>
      </c>
      <c r="F6" t="str">
        <f>standardized!E13</f>
        <v>01/31/2018</v>
      </c>
      <c r="G6" t="str">
        <f>standardized!F13</f>
        <v>01/31/2019</v>
      </c>
      <c r="H6" t="str">
        <f>standardized!G13</f>
        <v>01/31/2020</v>
      </c>
      <c r="I6" t="str">
        <f>standardized!H13</f>
        <v>01/31/2021</v>
      </c>
      <c r="J6" t="str">
        <f>standardized!I13</f>
        <v>01/31/2022</v>
      </c>
      <c r="K6" t="str">
        <f>standardized!J13</f>
        <v>01/31/2023</v>
      </c>
      <c r="L6" t="str">
        <f>standardized!K13</f>
        <v>01/31/2024</v>
      </c>
    </row>
    <row r="8" spans="2:13" x14ac:dyDescent="0.15">
      <c r="B8" t="str">
        <f>standardized!A15</f>
        <v>Sales Revenue</v>
      </c>
      <c r="C8" s="16">
        <f>standardized!B15/standardized!B$17</f>
        <v>0.99295378780235188</v>
      </c>
      <c r="D8" s="16">
        <f>standardized!C15/standardized!C$17</f>
        <v>0.99270736108518454</v>
      </c>
      <c r="E8" s="16">
        <f>standardized!D15/standardized!D$17</f>
        <v>0.99062306405171718</v>
      </c>
      <c r="F8" s="16">
        <f>standardized!E15/standardized!E$17</f>
        <v>0.99084228219441461</v>
      </c>
      <c r="G8" s="16">
        <f>standardized!F15/standardized!F$17</f>
        <v>0.99207628230674272</v>
      </c>
      <c r="H8" s="16">
        <f>standardized!G15/standardized!G$17</f>
        <v>0.99229336366620613</v>
      </c>
      <c r="I8" s="16">
        <f>standardized!H15/standardized!H$17</f>
        <v>0.99299294823759587</v>
      </c>
      <c r="J8" s="16">
        <f>standardized!I15/standardized!I$17</f>
        <v>0.99128421626038399</v>
      </c>
      <c r="K8" s="16">
        <f>standardized!J15/standardized!J$17</f>
        <v>0.99115312070068329</v>
      </c>
      <c r="L8" s="16">
        <f>standardized!K15/standardized!K$17</f>
        <v>0.99153249758919959</v>
      </c>
      <c r="M8" s="17">
        <f>AVERAGE(C8:L8)</f>
        <v>0.99184589238944798</v>
      </c>
    </row>
    <row r="9" spans="2:13" x14ac:dyDescent="0.15">
      <c r="B9" t="str">
        <f>standardized!A16</f>
        <v>Other Revenue</v>
      </c>
      <c r="C9" s="16">
        <f>standardized!B16/standardized!B$17</f>
        <v>7.046212197648105E-3</v>
      </c>
      <c r="D9" s="16">
        <f>standardized!C16/standardized!C$17</f>
        <v>7.2926389148155061E-3</v>
      </c>
      <c r="E9" s="16">
        <f>standardized!D16/standardized!D$17</f>
        <v>9.3769359482827816E-3</v>
      </c>
      <c r="F9" s="16">
        <f>standardized!E16/standardized!E$17</f>
        <v>9.1577178055853685E-3</v>
      </c>
      <c r="G9" s="16">
        <f>standardized!F16/standardized!F$17</f>
        <v>7.9237176932572592E-3</v>
      </c>
      <c r="H9" s="16">
        <f>standardized!G16/standardized!G$17</f>
        <v>7.706636333793925E-3</v>
      </c>
      <c r="I9" s="16">
        <f>standardized!H16/standardized!H$17</f>
        <v>7.0070517624040733E-3</v>
      </c>
      <c r="J9" s="16">
        <f>standardized!I16/standardized!I$17</f>
        <v>8.71578373961596E-3</v>
      </c>
      <c r="K9" s="16">
        <f>standardized!J16/standardized!J$17</f>
        <v>8.8468792993166897E-3</v>
      </c>
      <c r="L9" s="16">
        <f>standardized!K16/standardized!K$17</f>
        <v>8.467502410800385E-3</v>
      </c>
      <c r="M9" s="17">
        <f t="shared" ref="M9:M22" si="0">AVERAGE(C9:L9)</f>
        <v>8.1541076105520038E-3</v>
      </c>
    </row>
    <row r="10" spans="2:13" x14ac:dyDescent="0.15">
      <c r="B10" t="str">
        <f>standardized!A17</f>
        <v>Total Revenue</v>
      </c>
      <c r="C10" s="16">
        <f>standardized!B17/standardized!B$17</f>
        <v>1</v>
      </c>
      <c r="D10" s="16">
        <f>standardized!C17/standardized!C$17</f>
        <v>1</v>
      </c>
      <c r="E10" s="16">
        <f>standardized!D17/standardized!D$17</f>
        <v>1</v>
      </c>
      <c r="F10" s="16">
        <f>standardized!E17/standardized!E$17</f>
        <v>1</v>
      </c>
      <c r="G10" s="16">
        <f>standardized!F17/standardized!F$17</f>
        <v>1</v>
      </c>
      <c r="H10" s="16">
        <f>standardized!G17/standardized!G$17</f>
        <v>1</v>
      </c>
      <c r="I10" s="16">
        <f>standardized!H17/standardized!H$17</f>
        <v>1</v>
      </c>
      <c r="J10" s="16">
        <f>standardized!I17/standardized!I$17</f>
        <v>1</v>
      </c>
      <c r="K10" s="16">
        <f>standardized!J17/standardized!J$17</f>
        <v>1</v>
      </c>
      <c r="L10" s="16">
        <f>standardized!K17/standardized!K$17</f>
        <v>1</v>
      </c>
      <c r="M10" s="17">
        <f t="shared" si="0"/>
        <v>1</v>
      </c>
    </row>
    <row r="11" spans="2:13" x14ac:dyDescent="0.15">
      <c r="B11" t="str">
        <f>standardized!A18</f>
        <v>Direct Costs</v>
      </c>
      <c r="C11" s="16">
        <f>standardized!B18/standardized!B$17</f>
        <v>0.75174559508783056</v>
      </c>
      <c r="D11" s="16">
        <f>standardized!C18/standardized!C$17</f>
        <v>0.74872752162279888</v>
      </c>
      <c r="E11" s="16">
        <f>standardized!D18/standardized!D$17</f>
        <v>0.74351939704408354</v>
      </c>
      <c r="F11" s="16">
        <f>standardized!E18/standardized!E$17</f>
        <v>0.74628005188440727</v>
      </c>
      <c r="G11" s="16">
        <f>standardized!F18/standardized!F$17</f>
        <v>0.7490226572447779</v>
      </c>
      <c r="H11" s="16">
        <f>standardized!G18/standardized!G$17</f>
        <v>0.75311471780504002</v>
      </c>
      <c r="I11" s="16">
        <f>standardized!H18/standardized!H$17</f>
        <v>0.75170213412834819</v>
      </c>
      <c r="J11" s="16">
        <f>standardized!I18/standardized!I$17</f>
        <v>0.7490126651232466</v>
      </c>
      <c r="K11" s="16">
        <f>standardized!J18/standardized!J$17</f>
        <v>0.75859536160474017</v>
      </c>
      <c r="L11" s="16">
        <f>standardized!K18/standardized!K$17</f>
        <v>0.7562460945033751</v>
      </c>
      <c r="M11" s="19">
        <f t="shared" si="0"/>
        <v>0.75079661960486488</v>
      </c>
    </row>
    <row r="12" spans="2:13" x14ac:dyDescent="0.15">
      <c r="B12" t="str">
        <f>standardized!A19</f>
        <v>Gross Profit</v>
      </c>
      <c r="C12" s="16">
        <f>standardized!B19/standardized!B$17</f>
        <v>0.24825440491216944</v>
      </c>
      <c r="D12" s="16">
        <f>standardized!C19/standardized!C$17</f>
        <v>0.25127247837720118</v>
      </c>
      <c r="E12" s="16">
        <f>standardized!D19/standardized!D$17</f>
        <v>0.25648060295591646</v>
      </c>
      <c r="F12" s="16">
        <f>standardized!E19/standardized!E$17</f>
        <v>0.25371994811559273</v>
      </c>
      <c r="G12" s="16">
        <f>standardized!F19/standardized!F$17</f>
        <v>0.25097734275522204</v>
      </c>
      <c r="H12" s="16">
        <f>standardized!G19/standardized!G$17</f>
        <v>0.24688528219495995</v>
      </c>
      <c r="I12" s="16">
        <f>standardized!H19/standardized!H$17</f>
        <v>0.24829786587165184</v>
      </c>
      <c r="J12" s="16">
        <f>standardized!I19/standardized!I$17</f>
        <v>0.25098733487675334</v>
      </c>
      <c r="K12" s="16">
        <f>standardized!J19/standardized!J$17</f>
        <v>0.24140463839525986</v>
      </c>
      <c r="L12" s="16">
        <f>standardized!K19/standardized!K$17</f>
        <v>0.24375390549662487</v>
      </c>
      <c r="M12" s="17">
        <f t="shared" si="0"/>
        <v>0.24920338039513515</v>
      </c>
    </row>
    <row r="13" spans="2:13" x14ac:dyDescent="0.15">
      <c r="B13" t="str">
        <f>standardized!A20</f>
        <v>Selling General &amp; Admin</v>
      </c>
      <c r="C13" s="16">
        <f>standardized!B20/standardized!B$17</f>
        <v>0.19235623935706916</v>
      </c>
      <c r="D13" s="16">
        <f>standardized!C20/standardized!C$17</f>
        <v>0.20127558957127745</v>
      </c>
      <c r="E13" s="16">
        <f>standardized!D20/standardized!D$17</f>
        <v>0.20962885363047545</v>
      </c>
      <c r="F13" s="16">
        <f>standardized!E20/standardized!E$17</f>
        <v>0.21287396845763806</v>
      </c>
      <c r="G13" s="16">
        <f>standardized!F20/standardized!F$17</f>
        <v>0.20829307646698614</v>
      </c>
      <c r="H13" s="16">
        <f>standardized!G20/standardized!G$17</f>
        <v>0.20763067691673473</v>
      </c>
      <c r="I13" s="16">
        <f>standardized!H20/standardized!H$17</f>
        <v>0.20797244393732642</v>
      </c>
      <c r="J13" s="16">
        <f>standardized!I20/standardized!I$17</f>
        <v>0.20569389301515137</v>
      </c>
      <c r="K13" s="16">
        <f>standardized!J20/standardized!J$17</f>
        <v>0.20798672968105103</v>
      </c>
      <c r="L13" s="16">
        <f>standardized!K20/standardized!K$17</f>
        <v>0.20207675988428159</v>
      </c>
      <c r="M13" s="17">
        <f t="shared" si="0"/>
        <v>0.20557882309179912</v>
      </c>
    </row>
    <row r="14" spans="2:13" x14ac:dyDescent="0.15">
      <c r="B14" t="str">
        <f>standardized!A21</f>
        <v>Total Indirect Operating Costs</v>
      </c>
      <c r="C14" s="16">
        <f>standardized!B21/standardized!B$17</f>
        <v>0.19235623935706916</v>
      </c>
      <c r="D14" s="16">
        <f>standardized!C21/standardized!C$17</f>
        <v>0.20127558957127745</v>
      </c>
      <c r="E14" s="16">
        <f>standardized!D21/standardized!D$17</f>
        <v>0.20962885363047545</v>
      </c>
      <c r="F14" s="16">
        <f>standardized!E21/standardized!E$17</f>
        <v>0.21287396845763806</v>
      </c>
      <c r="G14" s="16">
        <f>standardized!F21/standardized!F$17</f>
        <v>0.20829307646698614</v>
      </c>
      <c r="H14" s="16">
        <f>standardized!G21/standardized!G$17</f>
        <v>0.20763067691673473</v>
      </c>
      <c r="I14" s="16">
        <f>standardized!H21/standardized!H$17</f>
        <v>0.20797244393732642</v>
      </c>
      <c r="J14" s="16">
        <f>standardized!I21/standardized!I$17</f>
        <v>0.20569389301515137</v>
      </c>
      <c r="K14" s="16">
        <f>standardized!J21/standardized!J$17</f>
        <v>0.20798672968105103</v>
      </c>
      <c r="L14" s="16">
        <f>standardized!K21/standardized!K$17</f>
        <v>0.20207675988428159</v>
      </c>
      <c r="M14" s="17">
        <f t="shared" si="0"/>
        <v>0.20557882309179912</v>
      </c>
    </row>
    <row r="15" spans="2:13" x14ac:dyDescent="0.15">
      <c r="B15" t="str">
        <f>standardized!A22</f>
        <v>Operating Income</v>
      </c>
      <c r="C15" s="16">
        <f>standardized!B22/standardized!B$17</f>
        <v>5.5898165555100264E-2</v>
      </c>
      <c r="D15" s="16">
        <f>standardized!C22/standardized!C$17</f>
        <v>4.9996888805923713E-2</v>
      </c>
      <c r="E15" s="16">
        <f>standardized!D22/standardized!D$17</f>
        <v>4.6851749325441013E-2</v>
      </c>
      <c r="F15" s="16">
        <f>standardized!E22/standardized!E$17</f>
        <v>4.084597965795464E-2</v>
      </c>
      <c r="G15" s="16">
        <f>standardized!F22/standardized!F$17</f>
        <v>4.268426628823592E-2</v>
      </c>
      <c r="H15" s="16">
        <f>standardized!G22/standardized!G$17</f>
        <v>3.9254605278225219E-2</v>
      </c>
      <c r="I15" s="16">
        <f>standardized!H22/standardized!H$17</f>
        <v>4.032542193432543E-2</v>
      </c>
      <c r="J15" s="16">
        <f>standardized!I22/standardized!I$17</f>
        <v>4.5293441861602016E-2</v>
      </c>
      <c r="K15" s="16">
        <f>standardized!J22/standardized!J$17</f>
        <v>3.3417908714208827E-2</v>
      </c>
      <c r="L15" s="16">
        <f>standardized!K22/standardized!K$17</f>
        <v>4.16771456123433E-2</v>
      </c>
      <c r="M15" s="17">
        <f t="shared" si="0"/>
        <v>4.3624557303336038E-2</v>
      </c>
    </row>
    <row r="16" spans="2:13" x14ac:dyDescent="0.15">
      <c r="B16" t="str">
        <f>standardized!A23</f>
        <v>Interest Income</v>
      </c>
      <c r="C16" s="16">
        <f>standardized!B23/standardized!B$17</f>
        <v>-4.8347475862296173E-3</v>
      </c>
      <c r="D16" s="16">
        <f>standardized!C23/standardized!C$17</f>
        <v>-5.1168771907991618E-3</v>
      </c>
      <c r="E16" s="16">
        <f>standardized!D23/standardized!D$17</f>
        <v>-4.6658283131600234E-3</v>
      </c>
      <c r="F16" s="16">
        <f>standardized!E23/standardized!E$17</f>
        <v>-4.3530138325108972E-3</v>
      </c>
      <c r="G16" s="16">
        <f>standardized!F23/standardized!F$17</f>
        <v>-4.1387622593092987E-3</v>
      </c>
      <c r="H16" s="16">
        <f>standardized!G23/standardized!G$17</f>
        <v>-4.5995526410211388E-3</v>
      </c>
      <c r="I16" s="16">
        <f>standardized!H23/standardized!H$17</f>
        <v>-3.9238059128929399E-3</v>
      </c>
      <c r="J16" s="16">
        <f>standardized!I23/standardized!I$17</f>
        <v>-3.2055646926952932E-3</v>
      </c>
      <c r="K16" s="16">
        <f>standardized!J23/standardized!J$17</f>
        <v>-3.0656530708061164E-3</v>
      </c>
      <c r="L16" s="16">
        <f>standardized!K23/standardized!K$17</f>
        <v>-3.2972034715525555E-3</v>
      </c>
      <c r="M16" s="17">
        <f t="shared" si="0"/>
        <v>-4.1201008970977041E-3</v>
      </c>
    </row>
    <row r="17" spans="2:13" x14ac:dyDescent="0.15">
      <c r="B17" t="str">
        <f>standardized!A24</f>
        <v>Other Non-Operating Income</v>
      </c>
      <c r="C17" s="16">
        <f>standardized!B24/standardized!B$17</f>
        <v>0</v>
      </c>
      <c r="D17" s="16">
        <f>standardized!C24/standardized!C$17</f>
        <v>0</v>
      </c>
      <c r="E17" s="16">
        <f>standardized!D24/standardized!D$17</f>
        <v>0</v>
      </c>
      <c r="F17" s="16">
        <f>standardized!E24/standardized!E$17</f>
        <v>-6.2677003575547178E-3</v>
      </c>
      <c r="G17" s="16">
        <f>standardized!F24/standardized!F$17</f>
        <v>-1.6267337992437864E-2</v>
      </c>
      <c r="H17" s="16">
        <f>standardized!G24/standardized!G$17</f>
        <v>3.7368979548213234E-3</v>
      </c>
      <c r="I17" s="16">
        <f>standardized!H24/standardized!H$17</f>
        <v>3.7556939002165784E-4</v>
      </c>
      <c r="J17" s="16">
        <f>standardized!I24/standardized!I$17</f>
        <v>-9.4455909517873297E-3</v>
      </c>
      <c r="K17" s="16">
        <f>standardized!J24/standardized!J$17</f>
        <v>-2.5159948894876239E-3</v>
      </c>
      <c r="L17" s="16">
        <f>standardized!K24/standardized!K$17</f>
        <v>-4.6703953712632596E-3</v>
      </c>
      <c r="M17" s="17">
        <f t="shared" si="0"/>
        <v>-3.5054552217687815E-3</v>
      </c>
    </row>
    <row r="18" spans="2:13" x14ac:dyDescent="0.15">
      <c r="B18" t="str">
        <f>standardized!A25</f>
        <v>Total Non-Operating Income</v>
      </c>
      <c r="C18" s="16">
        <f>standardized!B25/standardized!B$17</f>
        <v>-4.8347475862296173E-3</v>
      </c>
      <c r="D18" s="16">
        <f>standardized!C25/standardized!C$17</f>
        <v>-5.1168771907991618E-3</v>
      </c>
      <c r="E18" s="16">
        <f>standardized!D25/standardized!D$17</f>
        <v>-4.6658283131600234E-3</v>
      </c>
      <c r="F18" s="16">
        <f>standardized!E25/standardized!E$17</f>
        <v>-1.0620714190065614E-2</v>
      </c>
      <c r="G18" s="16">
        <f>standardized!F25/standardized!F$17</f>
        <v>-2.0406100251747165E-2</v>
      </c>
      <c r="H18" s="16">
        <f>standardized!G25/standardized!G$17</f>
        <v>-8.626546861998152E-4</v>
      </c>
      <c r="I18" s="16">
        <f>standardized!H25/standardized!H$17</f>
        <v>-3.5482365228712816E-3</v>
      </c>
      <c r="J18" s="16">
        <f>standardized!I25/standardized!I$17</f>
        <v>-1.2651155644482623E-2</v>
      </c>
      <c r="K18" s="16">
        <f>standardized!J25/standardized!J$17</f>
        <v>-5.5816479602937398E-3</v>
      </c>
      <c r="L18" s="16">
        <f>standardized!K25/standardized!K$17</f>
        <v>-7.9675988428158147E-3</v>
      </c>
      <c r="M18" s="17">
        <f t="shared" si="0"/>
        <v>-7.6255561188664864E-3</v>
      </c>
    </row>
    <row r="19" spans="2:13" x14ac:dyDescent="0.15">
      <c r="B19" t="str">
        <f>standardized!A26</f>
        <v>Earnings Before Tax</v>
      </c>
      <c r="C19" s="16">
        <f>standardized!B26/standardized!B$17</f>
        <v>5.106341796887065E-2</v>
      </c>
      <c r="D19" s="16">
        <f>standardized!C26/standardized!C$17</f>
        <v>4.4880011615124553E-2</v>
      </c>
      <c r="E19" s="16">
        <f>standardized!D26/standardized!D$17</f>
        <v>4.218592101228099E-2</v>
      </c>
      <c r="F19" s="16">
        <f>standardized!E26/standardized!E$17</f>
        <v>3.0225265467889027E-2</v>
      </c>
      <c r="G19" s="16">
        <f>standardized!F26/standardized!F$17</f>
        <v>2.2278166036488758E-2</v>
      </c>
      <c r="H19" s="16">
        <f>standardized!G26/standardized!G$17</f>
        <v>3.8391950592025409E-2</v>
      </c>
      <c r="I19" s="16">
        <f>standardized!H26/standardized!H$17</f>
        <v>3.6777185411454152E-2</v>
      </c>
      <c r="J19" s="16">
        <f>standardized!I26/standardized!I$17</f>
        <v>3.2642286217119391E-2</v>
      </c>
      <c r="K19" s="16">
        <f>standardized!J26/standardized!J$17</f>
        <v>2.7836260753915088E-2</v>
      </c>
      <c r="L19" s="16">
        <f>standardized!K26/standardized!K$17</f>
        <v>3.3709546769527483E-2</v>
      </c>
      <c r="M19" s="17">
        <f t="shared" si="0"/>
        <v>3.5999001184469553E-2</v>
      </c>
    </row>
    <row r="20" spans="2:13" x14ac:dyDescent="0.15">
      <c r="B20" t="str">
        <f>standardized!A27</f>
        <v>Taxation</v>
      </c>
      <c r="C20" s="16">
        <f>standardized!B27/standardized!B$17</f>
        <v>1.6441848158451233E-2</v>
      </c>
      <c r="D20" s="16">
        <f>standardized!C27/standardized!C$17</f>
        <v>1.3602140501524486E-2</v>
      </c>
      <c r="E20" s="16">
        <f>standardized!D27/standardized!D$17</f>
        <v>1.2768768793491304E-2</v>
      </c>
      <c r="F20" s="16">
        <f>standardized!E27/standardized!E$17</f>
        <v>9.1936931265152108E-3</v>
      </c>
      <c r="G20" s="16">
        <f>standardized!F27/standardized!F$17</f>
        <v>8.3222363701752518E-3</v>
      </c>
      <c r="H20" s="16">
        <f>standardized!G27/standardized!G$17</f>
        <v>9.3804154483895837E-3</v>
      </c>
      <c r="I20" s="16">
        <f>standardized!H27/standardized!H$17</f>
        <v>1.2265023222707283E-2</v>
      </c>
      <c r="J20" s="16">
        <f>standardized!I27/standardized!I$17</f>
        <v>8.3037394762847574E-3</v>
      </c>
      <c r="K20" s="16">
        <f>standardized!J27/standardized!J$17</f>
        <v>9.3638197317471774E-3</v>
      </c>
      <c r="L20" s="16">
        <f>standardized!K27/standardized!K$17</f>
        <v>8.6063645130183223E-3</v>
      </c>
      <c r="M20" s="17">
        <f t="shared" si="0"/>
        <v>1.0824804934230461E-2</v>
      </c>
    </row>
    <row r="21" spans="2:13" x14ac:dyDescent="0.15">
      <c r="B21" t="str">
        <f>standardized!A28</f>
        <v>Minority Interests</v>
      </c>
      <c r="C21" s="16">
        <f>standardized!B28/standardized!B$17</f>
        <v>1.5154915772849227E-3</v>
      </c>
      <c r="D21" s="16">
        <f>standardized!C28/standardized!C$17</f>
        <v>8.0061394229772058E-4</v>
      </c>
      <c r="E21" s="16">
        <f>standardized!D28/standardized!D$17</f>
        <v>1.3377981488989922E-3</v>
      </c>
      <c r="F21" s="16">
        <f>standardized!E28/standardized!E$17</f>
        <v>1.3210937297014249E-3</v>
      </c>
      <c r="G21" s="16">
        <f>standardized!F28/standardized!F$17</f>
        <v>9.8949271488418659E-4</v>
      </c>
      <c r="H21" s="16">
        <f>standardized!G28/standardized!G$17</f>
        <v>6.1072898138040017E-4</v>
      </c>
      <c r="I21" s="16">
        <f>standardized!H28/standardized!H$17</f>
        <v>3.5053143068688064E-4</v>
      </c>
      <c r="J21" s="16">
        <f>standardized!I28/standardized!I$17</f>
        <v>4.6616872165013254E-4</v>
      </c>
      <c r="K21" s="16">
        <f>standardized!J28/standardized!J$17</f>
        <v>-6.3472432842730687E-4</v>
      </c>
      <c r="L21" s="16">
        <f>standardized!K28/standardized!K$17</f>
        <v>1.1710703953712633E-3</v>
      </c>
      <c r="M21" s="17">
        <f t="shared" si="0"/>
        <v>7.9282653137286167E-4</v>
      </c>
    </row>
    <row r="22" spans="2:13" s="15" customFormat="1" ht="14" x14ac:dyDescent="0.15">
      <c r="B22" s="15" t="str">
        <f>standardized!A29</f>
        <v>Net Income</v>
      </c>
      <c r="C22" s="18">
        <f>standardized!B29/standardized!B$17</f>
        <v>3.369291940096901E-2</v>
      </c>
      <c r="D22" s="18">
        <f>standardized!C29/standardized!C$17</f>
        <v>3.0477257171302344E-2</v>
      </c>
      <c r="E22" s="18">
        <f>standardized!D29/standardized!D$17</f>
        <v>2.8079354069890691E-2</v>
      </c>
      <c r="F22" s="18">
        <f>standardized!E29/standardized!E$17</f>
        <v>1.9710478611672393E-2</v>
      </c>
      <c r="G22" s="18">
        <f>standardized!F29/standardized!F$17</f>
        <v>1.2966436951429322E-2</v>
      </c>
      <c r="H22" s="18">
        <f>standardized!G29/standardized!G$17</f>
        <v>2.8400806162255422E-2</v>
      </c>
      <c r="I22" s="18">
        <f>standardized!H29/standardized!H$17</f>
        <v>2.4161630758059986E-2</v>
      </c>
      <c r="J22" s="18">
        <f>standardized!I29/standardized!I$17</f>
        <v>2.3872378019184501E-2</v>
      </c>
      <c r="K22" s="18">
        <f>standardized!J29/standardized!J$17</f>
        <v>1.9107165350595218E-2</v>
      </c>
      <c r="L22" s="18">
        <f>standardized!K29/standardized!K$17</f>
        <v>2.3932111861137896E-2</v>
      </c>
      <c r="M22" s="17">
        <f t="shared" si="0"/>
        <v>2.4440053835649678E-2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6442-AD22-431B-99DE-1859BB38E8A5}">
  <dimension ref="A4:U99"/>
  <sheetViews>
    <sheetView topLeftCell="I1" zoomScale="89" zoomScaleNormal="89" workbookViewId="0">
      <selection activeCell="M69" sqref="M69"/>
    </sheetView>
  </sheetViews>
  <sheetFormatPr baseColWidth="10" defaultColWidth="8.83203125" defaultRowHeight="13" x14ac:dyDescent="0.15"/>
  <cols>
    <col min="1" max="1" width="50" customWidth="1"/>
    <col min="2" max="11" width="19.1640625" bestFit="1" customWidth="1"/>
    <col min="12" max="200" width="12" customWidth="1"/>
  </cols>
  <sheetData>
    <row r="4" spans="1:21" x14ac:dyDescent="0.15">
      <c r="A4" s="1" t="s">
        <v>0</v>
      </c>
    </row>
    <row r="5" spans="1:21" ht="20" x14ac:dyDescent="0.2">
      <c r="A5" s="2" t="s">
        <v>1</v>
      </c>
    </row>
    <row r="7" spans="1:21" ht="14" x14ac:dyDescent="0.15">
      <c r="A7" s="3" t="s">
        <v>2</v>
      </c>
    </row>
    <row r="10" spans="1:21" ht="14" x14ac:dyDescent="0.15">
      <c r="A10" s="4" t="s">
        <v>39</v>
      </c>
    </row>
    <row r="11" spans="1:21" ht="14" x14ac:dyDescent="0.15">
      <c r="A11" s="5" t="s">
        <v>4</v>
      </c>
      <c r="B11" s="22" t="s">
        <v>13</v>
      </c>
      <c r="C11" s="22" t="s">
        <v>12</v>
      </c>
      <c r="D11" s="22" t="s">
        <v>11</v>
      </c>
      <c r="E11" s="22" t="s">
        <v>10</v>
      </c>
      <c r="F11" s="22" t="s">
        <v>9</v>
      </c>
      <c r="G11" s="22" t="s">
        <v>8</v>
      </c>
      <c r="H11" s="22" t="s">
        <v>7</v>
      </c>
      <c r="I11" s="22" t="s">
        <v>6</v>
      </c>
      <c r="J11" s="22" t="s">
        <v>5</v>
      </c>
      <c r="K11" s="69" t="s">
        <v>212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15">
      <c r="A12" s="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15">
      <c r="A13" s="6" t="s">
        <v>40</v>
      </c>
      <c r="B13" s="23">
        <v>9135000</v>
      </c>
      <c r="C13" s="23">
        <v>8705000</v>
      </c>
      <c r="D13" s="23">
        <v>6867000</v>
      </c>
      <c r="E13" s="23">
        <v>6756000</v>
      </c>
      <c r="F13" s="23">
        <v>7722000</v>
      </c>
      <c r="G13" s="23">
        <v>9465000</v>
      </c>
      <c r="H13" s="23">
        <v>17741000</v>
      </c>
      <c r="I13" s="23">
        <v>14760000</v>
      </c>
      <c r="J13" s="23">
        <v>8625000</v>
      </c>
      <c r="K13" s="73">
        <v>9867000</v>
      </c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15">
      <c r="A14" s="6" t="s">
        <v>41</v>
      </c>
      <c r="B14" s="23">
        <v>9135000</v>
      </c>
      <c r="C14" s="23">
        <v>8705000</v>
      </c>
      <c r="D14" s="23">
        <v>6867000</v>
      </c>
      <c r="E14" s="23">
        <v>6756000</v>
      </c>
      <c r="F14" s="23">
        <v>7722000</v>
      </c>
      <c r="G14" s="23">
        <v>9465000</v>
      </c>
      <c r="H14" s="23">
        <v>17741000</v>
      </c>
      <c r="I14" s="23">
        <v>14760000</v>
      </c>
      <c r="J14" s="23">
        <v>8625000</v>
      </c>
      <c r="K14" s="73">
        <v>9867000</v>
      </c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15">
      <c r="A15" s="6" t="s">
        <v>42</v>
      </c>
      <c r="B15" s="23">
        <v>6778000</v>
      </c>
      <c r="C15" s="23">
        <v>5624000</v>
      </c>
      <c r="D15" s="23">
        <v>5835000</v>
      </c>
      <c r="E15" s="23">
        <v>5614000</v>
      </c>
      <c r="F15" s="23">
        <v>6283000</v>
      </c>
      <c r="G15" s="23">
        <v>6284000</v>
      </c>
      <c r="H15" s="23">
        <v>6516000</v>
      </c>
      <c r="I15" s="23">
        <v>8280000</v>
      </c>
      <c r="J15" s="23">
        <v>7933000</v>
      </c>
      <c r="K15" s="73">
        <v>8796000</v>
      </c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15">
      <c r="A16" s="6" t="s">
        <v>43</v>
      </c>
      <c r="B16" s="23">
        <v>45141000</v>
      </c>
      <c r="C16" s="23">
        <v>44469000</v>
      </c>
      <c r="D16" s="23">
        <v>43046000</v>
      </c>
      <c r="E16" s="23">
        <v>43783000</v>
      </c>
      <c r="F16" s="23">
        <v>44269000</v>
      </c>
      <c r="G16" s="23">
        <v>44435000</v>
      </c>
      <c r="H16" s="23">
        <v>44949000</v>
      </c>
      <c r="I16" s="23">
        <v>56511000</v>
      </c>
      <c r="J16" s="23">
        <v>56576000</v>
      </c>
      <c r="K16" s="73">
        <v>54892000</v>
      </c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15">
      <c r="A17" s="6" t="s">
        <v>44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73">
        <v>3322000</v>
      </c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15">
      <c r="A18" s="6" t="s">
        <v>45</v>
      </c>
      <c r="B18" s="23">
        <v>2224000</v>
      </c>
      <c r="C18" s="23">
        <v>1441000</v>
      </c>
      <c r="D18" s="23">
        <v>1941000</v>
      </c>
      <c r="E18" s="23">
        <v>3511000</v>
      </c>
      <c r="F18" s="23">
        <v>3623000</v>
      </c>
      <c r="G18" s="23">
        <v>1622000</v>
      </c>
      <c r="H18" s="23">
        <v>20861000</v>
      </c>
      <c r="I18" s="23">
        <v>1519000</v>
      </c>
      <c r="J18" s="23">
        <v>2521000</v>
      </c>
      <c r="K18" s="73"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s="10" customFormat="1" x14ac:dyDescent="0.15">
      <c r="A19" s="9" t="s">
        <v>46</v>
      </c>
      <c r="B19" s="25">
        <v>63278000</v>
      </c>
      <c r="C19" s="25">
        <v>60239000</v>
      </c>
      <c r="D19" s="25">
        <v>57689000</v>
      </c>
      <c r="E19" s="25">
        <v>59664000</v>
      </c>
      <c r="F19" s="25">
        <v>61897000</v>
      </c>
      <c r="G19" s="25">
        <v>61806000</v>
      </c>
      <c r="H19" s="25">
        <v>90067000</v>
      </c>
      <c r="I19" s="25">
        <v>81070000</v>
      </c>
      <c r="J19" s="25">
        <v>75655000</v>
      </c>
      <c r="K19" s="74">
        <v>76877000</v>
      </c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15">
      <c r="A20" s="6" t="s">
        <v>47</v>
      </c>
      <c r="B20" s="23">
        <v>177395000</v>
      </c>
      <c r="C20" s="23">
        <v>176958000</v>
      </c>
      <c r="D20" s="23">
        <v>179492000</v>
      </c>
      <c r="E20" s="23">
        <v>185154000</v>
      </c>
      <c r="F20" s="23">
        <v>185810000</v>
      </c>
      <c r="G20" s="23">
        <v>195028000</v>
      </c>
      <c r="H20" s="23">
        <v>180571000</v>
      </c>
      <c r="I20" s="23">
        <v>189324000</v>
      </c>
      <c r="J20" s="23">
        <v>202370000</v>
      </c>
      <c r="K20" s="73">
        <v>219859000</v>
      </c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15">
      <c r="A21" s="6" t="s">
        <v>48</v>
      </c>
      <c r="B21" s="23">
        <v>63115000</v>
      </c>
      <c r="C21" s="23">
        <v>66787000</v>
      </c>
      <c r="D21" s="23">
        <v>71782000</v>
      </c>
      <c r="E21" s="23">
        <v>77479000</v>
      </c>
      <c r="F21" s="23">
        <v>81493000</v>
      </c>
      <c r="G21" s="23">
        <v>89820000</v>
      </c>
      <c r="H21" s="23">
        <v>88370000</v>
      </c>
      <c r="I21" s="23">
        <v>94809000</v>
      </c>
      <c r="J21" s="23">
        <v>101610000</v>
      </c>
      <c r="K21" s="73">
        <v>109049000</v>
      </c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15">
      <c r="A22" s="6" t="s">
        <v>49</v>
      </c>
      <c r="B22" s="23">
        <v>114280000</v>
      </c>
      <c r="C22" s="23">
        <v>110171000</v>
      </c>
      <c r="D22" s="23">
        <v>107710000</v>
      </c>
      <c r="E22" s="23">
        <v>107675000</v>
      </c>
      <c r="F22" s="23">
        <v>104317000</v>
      </c>
      <c r="G22" s="23">
        <v>105208000</v>
      </c>
      <c r="H22" s="23">
        <v>92201000</v>
      </c>
      <c r="I22" s="23">
        <v>94515000</v>
      </c>
      <c r="J22" s="23">
        <v>100760000</v>
      </c>
      <c r="K22" s="73">
        <v>110810000</v>
      </c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15">
      <c r="A23" s="6" t="s">
        <v>50</v>
      </c>
      <c r="B23" s="23">
        <v>18102000</v>
      </c>
      <c r="C23" s="23">
        <v>16695000</v>
      </c>
      <c r="D23" s="23">
        <v>17037000</v>
      </c>
      <c r="E23" s="23">
        <v>18242000</v>
      </c>
      <c r="F23" s="23">
        <v>31181000</v>
      </c>
      <c r="G23" s="23">
        <v>31073000</v>
      </c>
      <c r="H23" s="23">
        <v>28983000</v>
      </c>
      <c r="I23" s="23">
        <v>29014000</v>
      </c>
      <c r="J23" s="23">
        <v>28174000</v>
      </c>
      <c r="K23" s="73">
        <v>28113000</v>
      </c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15">
      <c r="A24" s="6" t="s">
        <v>51</v>
      </c>
      <c r="B24" s="23">
        <v>8046000</v>
      </c>
      <c r="C24" s="23">
        <v>12476000</v>
      </c>
      <c r="D24" s="23">
        <v>16389000</v>
      </c>
      <c r="E24" s="23">
        <v>18941000</v>
      </c>
      <c r="F24" s="23">
        <v>21900000</v>
      </c>
      <c r="G24" s="23">
        <v>38408000</v>
      </c>
      <c r="H24" s="23">
        <v>41245000</v>
      </c>
      <c r="I24" s="23">
        <v>40261000</v>
      </c>
      <c r="J24" s="23">
        <v>38608000</v>
      </c>
      <c r="K24" s="73">
        <v>36599000</v>
      </c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s="15" customFormat="1" ht="14" x14ac:dyDescent="0.15">
      <c r="A25" s="20" t="s">
        <v>52</v>
      </c>
      <c r="B25" s="26">
        <v>203706000</v>
      </c>
      <c r="C25" s="26">
        <v>199581000</v>
      </c>
      <c r="D25" s="26">
        <v>198825000</v>
      </c>
      <c r="E25" s="26">
        <v>204522000</v>
      </c>
      <c r="F25" s="26">
        <v>219295000</v>
      </c>
      <c r="G25" s="26">
        <v>236495000</v>
      </c>
      <c r="H25" s="26">
        <v>252496000</v>
      </c>
      <c r="I25" s="26">
        <v>244860000</v>
      </c>
      <c r="J25" s="26">
        <v>243197000</v>
      </c>
      <c r="K25" s="74">
        <v>252399000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15">
      <c r="A26" s="6" t="s">
        <v>53</v>
      </c>
      <c r="B26" s="23">
        <v>58583000</v>
      </c>
      <c r="C26" s="23">
        <v>58615000</v>
      </c>
      <c r="D26" s="23">
        <v>63008000</v>
      </c>
      <c r="E26" s="23">
        <v>66842000</v>
      </c>
      <c r="F26" s="23">
        <v>67715000</v>
      </c>
      <c r="G26" s="23">
        <v>67559000</v>
      </c>
      <c r="H26" s="23">
        <v>72305000</v>
      </c>
      <c r="I26" s="23">
        <v>79592000</v>
      </c>
      <c r="J26" s="23">
        <v>83107000</v>
      </c>
      <c r="K26" s="73">
        <v>85878000</v>
      </c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15">
      <c r="A27" s="6" t="s">
        <v>54</v>
      </c>
      <c r="B27" s="23">
        <v>38410000</v>
      </c>
      <c r="C27" s="23">
        <v>38487000</v>
      </c>
      <c r="D27" s="23">
        <v>41433000</v>
      </c>
      <c r="E27" s="23">
        <v>46092000</v>
      </c>
      <c r="F27" s="23">
        <v>47060000</v>
      </c>
      <c r="G27" s="23">
        <v>46973000</v>
      </c>
      <c r="H27" s="23">
        <v>49141000</v>
      </c>
      <c r="I27" s="23">
        <v>55261000</v>
      </c>
      <c r="J27" s="23">
        <v>53742000</v>
      </c>
      <c r="K27" s="73">
        <v>56812000</v>
      </c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15">
      <c r="A28" s="6" t="s">
        <v>55</v>
      </c>
      <c r="B28" s="23">
        <v>20173000</v>
      </c>
      <c r="C28" s="23">
        <v>20128000</v>
      </c>
      <c r="D28" s="23">
        <v>21575000</v>
      </c>
      <c r="E28" s="23">
        <v>20750000</v>
      </c>
      <c r="F28" s="23">
        <v>20655000</v>
      </c>
      <c r="G28" s="23">
        <v>20586000</v>
      </c>
      <c r="H28" s="23">
        <v>23164000</v>
      </c>
      <c r="I28" s="23">
        <v>24331000</v>
      </c>
      <c r="J28" s="23">
        <v>29365000</v>
      </c>
      <c r="K28" s="73">
        <v>29066000</v>
      </c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15">
      <c r="A29" s="6" t="s">
        <v>56</v>
      </c>
      <c r="B29" s="23">
        <v>6402000</v>
      </c>
      <c r="C29" s="23">
        <v>5453000</v>
      </c>
      <c r="D29" s="23">
        <v>3355000</v>
      </c>
      <c r="E29" s="23">
        <v>8995000</v>
      </c>
      <c r="F29" s="23">
        <v>7101000</v>
      </c>
      <c r="G29" s="23">
        <v>5937000</v>
      </c>
      <c r="H29" s="23">
        <v>3339000</v>
      </c>
      <c r="I29" s="23">
        <v>3213000</v>
      </c>
      <c r="J29" s="23">
        <v>4563000</v>
      </c>
      <c r="K29" s="73">
        <v>4325000</v>
      </c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15">
      <c r="A30" s="6" t="s">
        <v>57</v>
      </c>
      <c r="B30" s="23">
        <v>287000</v>
      </c>
      <c r="C30" s="23">
        <v>551000</v>
      </c>
      <c r="D30" s="23">
        <v>565000</v>
      </c>
      <c r="E30" s="23">
        <v>667000</v>
      </c>
      <c r="F30" s="23">
        <v>729000</v>
      </c>
      <c r="G30" s="23">
        <v>511000</v>
      </c>
      <c r="H30" s="23">
        <v>491000</v>
      </c>
      <c r="I30" s="23">
        <v>511000</v>
      </c>
      <c r="J30" s="23">
        <v>567000</v>
      </c>
      <c r="K30" s="73">
        <v>725000</v>
      </c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15">
      <c r="A31" s="6" t="s">
        <v>58</v>
      </c>
      <c r="B31" s="23">
        <v>0</v>
      </c>
      <c r="C31" s="23">
        <v>0</v>
      </c>
      <c r="D31" s="23">
        <v>0</v>
      </c>
      <c r="E31" s="23">
        <v>2017000</v>
      </c>
      <c r="F31" s="23">
        <v>1932000</v>
      </c>
      <c r="G31" s="23">
        <v>3783000</v>
      </c>
      <c r="H31" s="23">
        <v>16510000</v>
      </c>
      <c r="I31" s="23">
        <v>4063000</v>
      </c>
      <c r="J31" s="23">
        <v>3961000</v>
      </c>
      <c r="K31" s="73">
        <v>1487000</v>
      </c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s="10" customFormat="1" x14ac:dyDescent="0.15">
      <c r="A32" s="9" t="s">
        <v>59</v>
      </c>
      <c r="B32" s="25">
        <v>65272000</v>
      </c>
      <c r="C32" s="25">
        <v>64619000</v>
      </c>
      <c r="D32" s="25">
        <v>66928000</v>
      </c>
      <c r="E32" s="25">
        <v>78521000</v>
      </c>
      <c r="F32" s="25">
        <v>77477000</v>
      </c>
      <c r="G32" s="25">
        <v>77790000</v>
      </c>
      <c r="H32" s="25">
        <v>92645000</v>
      </c>
      <c r="I32" s="25">
        <v>87379000</v>
      </c>
      <c r="J32" s="25">
        <v>92198000</v>
      </c>
      <c r="K32" s="74">
        <v>92415000</v>
      </c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15">
      <c r="A33" s="6" t="s">
        <v>60</v>
      </c>
      <c r="B33" s="23">
        <v>43692000</v>
      </c>
      <c r="C33" s="23">
        <v>44030000</v>
      </c>
      <c r="D33" s="23">
        <v>42018000</v>
      </c>
      <c r="E33" s="23">
        <v>36825000</v>
      </c>
      <c r="F33" s="23">
        <v>50203000</v>
      </c>
      <c r="G33" s="23">
        <v>48021000</v>
      </c>
      <c r="H33" s="23">
        <v>45041000</v>
      </c>
      <c r="I33" s="23">
        <v>39107000</v>
      </c>
      <c r="J33" s="23">
        <v>39492000</v>
      </c>
      <c r="K33" s="73">
        <v>41841000</v>
      </c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15">
      <c r="A34" s="6" t="s">
        <v>27</v>
      </c>
      <c r="B34" s="23">
        <v>4543000</v>
      </c>
      <c r="C34" s="23">
        <v>3065000</v>
      </c>
      <c r="D34" s="23">
        <v>2737000</v>
      </c>
      <c r="E34" s="23">
        <v>2953000</v>
      </c>
      <c r="F34" s="23">
        <v>7138000</v>
      </c>
      <c r="G34" s="23">
        <v>6883000</v>
      </c>
      <c r="H34" s="23">
        <v>6606000</v>
      </c>
      <c r="I34" s="23">
        <v>8638000</v>
      </c>
      <c r="J34" s="23">
        <v>7298000</v>
      </c>
      <c r="K34" s="73">
        <v>6710000</v>
      </c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15">
      <c r="A35" s="6" t="s">
        <v>61</v>
      </c>
      <c r="B35" s="23">
        <v>8805000</v>
      </c>
      <c r="C35" s="23">
        <v>7321000</v>
      </c>
      <c r="D35" s="23">
        <v>9344000</v>
      </c>
      <c r="E35" s="23">
        <v>8354000</v>
      </c>
      <c r="F35" s="23">
        <v>11981000</v>
      </c>
      <c r="G35" s="23">
        <v>29132000</v>
      </c>
      <c r="H35" s="23">
        <v>27279000</v>
      </c>
      <c r="I35" s="23">
        <v>26483000</v>
      </c>
      <c r="J35" s="23">
        <v>27516000</v>
      </c>
      <c r="K35" s="73">
        <v>12943000</v>
      </c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s="15" customFormat="1" ht="14" x14ac:dyDescent="0.15">
      <c r="A36" s="20" t="s">
        <v>62</v>
      </c>
      <c r="B36" s="26">
        <v>122312000</v>
      </c>
      <c r="C36" s="26">
        <v>119035000</v>
      </c>
      <c r="D36" s="26">
        <v>121027000</v>
      </c>
      <c r="E36" s="26">
        <v>126653000</v>
      </c>
      <c r="F36" s="26">
        <v>146799000</v>
      </c>
      <c r="G36" s="26">
        <v>161826000</v>
      </c>
      <c r="H36" s="26">
        <v>171571000</v>
      </c>
      <c r="I36" s="26">
        <v>161607000</v>
      </c>
      <c r="J36" s="26">
        <v>166504000</v>
      </c>
      <c r="K36" s="74">
        <v>168538000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x14ac:dyDescent="0.15">
      <c r="A37" s="6" t="s">
        <v>63</v>
      </c>
      <c r="B37" s="23">
        <v>323000</v>
      </c>
      <c r="C37" s="23">
        <v>317000</v>
      </c>
      <c r="D37" s="23">
        <v>305000</v>
      </c>
      <c r="E37" s="23">
        <v>295000</v>
      </c>
      <c r="F37" s="23">
        <v>288000</v>
      </c>
      <c r="G37" s="23">
        <v>284000</v>
      </c>
      <c r="H37" s="23">
        <v>282000</v>
      </c>
      <c r="I37" s="23">
        <v>276000</v>
      </c>
      <c r="J37" s="23">
        <v>269000</v>
      </c>
      <c r="K37" s="73">
        <v>805000</v>
      </c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15">
      <c r="A38" s="6" t="s">
        <v>64</v>
      </c>
      <c r="B38" s="23">
        <v>2462000</v>
      </c>
      <c r="C38" s="23">
        <v>1805000</v>
      </c>
      <c r="D38" s="23">
        <v>2371000</v>
      </c>
      <c r="E38" s="23">
        <v>2648000</v>
      </c>
      <c r="F38" s="23">
        <v>2965000</v>
      </c>
      <c r="G38" s="23">
        <v>3247000</v>
      </c>
      <c r="H38" s="23">
        <v>3646000</v>
      </c>
      <c r="I38" s="23">
        <v>4839000</v>
      </c>
      <c r="J38" s="23">
        <v>4969000</v>
      </c>
      <c r="K38" s="73">
        <v>4544000</v>
      </c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15">
      <c r="A39" s="6" t="s">
        <v>65</v>
      </c>
      <c r="B39" s="23">
        <v>85777000</v>
      </c>
      <c r="C39" s="23">
        <v>90021000</v>
      </c>
      <c r="D39" s="23">
        <v>89354000</v>
      </c>
      <c r="E39" s="23">
        <v>85107000</v>
      </c>
      <c r="F39" s="23">
        <v>80785000</v>
      </c>
      <c r="G39" s="23">
        <v>83943000</v>
      </c>
      <c r="H39" s="23">
        <v>88763000</v>
      </c>
      <c r="I39" s="23">
        <v>86904000</v>
      </c>
      <c r="J39" s="23">
        <v>83135000</v>
      </c>
      <c r="K39" s="73">
        <v>89814000</v>
      </c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15">
      <c r="A40" s="6" t="s">
        <v>66</v>
      </c>
      <c r="B40" s="23">
        <v>-7168000</v>
      </c>
      <c r="C40" s="23">
        <v>-11597000</v>
      </c>
      <c r="D40" s="23">
        <v>-14232000</v>
      </c>
      <c r="E40" s="23">
        <v>-10181000</v>
      </c>
      <c r="F40" s="23">
        <v>-11542000</v>
      </c>
      <c r="G40" s="23">
        <v>-12805000</v>
      </c>
      <c r="H40" s="23">
        <v>-11766000</v>
      </c>
      <c r="I40" s="23">
        <v>-8766000</v>
      </c>
      <c r="J40" s="23">
        <v>-11680000</v>
      </c>
      <c r="K40" s="73">
        <v>-11302000</v>
      </c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15">
      <c r="A41" s="6" t="s">
        <v>67</v>
      </c>
      <c r="B41" s="23">
        <v>-6355000</v>
      </c>
      <c r="C41" s="23">
        <v>-11690000</v>
      </c>
      <c r="D41" s="23">
        <v>-14362000</v>
      </c>
      <c r="E41" s="23">
        <v>-12136000</v>
      </c>
      <c r="F41" s="23">
        <v>-12085000</v>
      </c>
      <c r="G41" s="23">
        <v>-11827000</v>
      </c>
      <c r="H41" s="23">
        <v>-10772000</v>
      </c>
      <c r="I41" s="23">
        <v>-8100000</v>
      </c>
      <c r="J41" s="23">
        <v>-10816000</v>
      </c>
      <c r="K41" s="73">
        <v>-10483000</v>
      </c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15">
      <c r="A42" s="6" t="s">
        <v>68</v>
      </c>
      <c r="B42" s="23">
        <v>6355000</v>
      </c>
      <c r="C42" s="23">
        <v>11690000</v>
      </c>
      <c r="D42" s="23">
        <v>14362000</v>
      </c>
      <c r="E42" s="23">
        <v>12136000</v>
      </c>
      <c r="F42" s="23">
        <v>12085000</v>
      </c>
      <c r="G42" s="23">
        <v>11827000</v>
      </c>
      <c r="H42" s="23">
        <v>10772000</v>
      </c>
      <c r="I42" s="23">
        <v>8100000</v>
      </c>
      <c r="J42" s="23">
        <v>10816000</v>
      </c>
      <c r="K42" s="73">
        <v>10483000</v>
      </c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15">
      <c r="A43" s="6" t="s">
        <v>69</v>
      </c>
      <c r="B43" s="23">
        <v>81394000</v>
      </c>
      <c r="C43" s="23">
        <v>80546000</v>
      </c>
      <c r="D43" s="23">
        <v>77798000</v>
      </c>
      <c r="E43" s="23">
        <v>77869000</v>
      </c>
      <c r="F43" s="23">
        <v>72496000</v>
      </c>
      <c r="G43" s="23">
        <v>74669000</v>
      </c>
      <c r="H43" s="23">
        <v>80925000</v>
      </c>
      <c r="I43" s="23">
        <v>83253000</v>
      </c>
      <c r="J43" s="23">
        <v>76693000</v>
      </c>
      <c r="K43" s="73">
        <v>83861000</v>
      </c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s="15" customFormat="1" ht="14" x14ac:dyDescent="0.15">
      <c r="A44" s="20" t="s">
        <v>70</v>
      </c>
      <c r="B44" s="26">
        <v>203706000</v>
      </c>
      <c r="C44" s="26">
        <v>199581000</v>
      </c>
      <c r="D44" s="26">
        <v>198825000</v>
      </c>
      <c r="E44" s="26">
        <v>204522000</v>
      </c>
      <c r="F44" s="26">
        <v>219295000</v>
      </c>
      <c r="G44" s="26">
        <v>236495000</v>
      </c>
      <c r="H44" s="26">
        <v>252496000</v>
      </c>
      <c r="I44" s="26">
        <v>244860000</v>
      </c>
      <c r="J44" s="26">
        <v>243197000</v>
      </c>
      <c r="K44" s="74">
        <v>252399000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50" spans="1:21" s="10" customFormat="1" x14ac:dyDescent="0.15">
      <c r="A50" s="9" t="s">
        <v>46</v>
      </c>
      <c r="B50" s="25">
        <v>61185000</v>
      </c>
      <c r="C50" s="25">
        <v>63278000</v>
      </c>
      <c r="D50" s="25">
        <v>60239000</v>
      </c>
      <c r="E50" s="25">
        <v>57689000</v>
      </c>
      <c r="F50" s="25">
        <v>59664000</v>
      </c>
      <c r="G50" s="25">
        <v>61897000</v>
      </c>
      <c r="H50" s="25">
        <v>61806000</v>
      </c>
      <c r="I50" s="25">
        <v>90067000</v>
      </c>
      <c r="J50" s="25">
        <v>81070000</v>
      </c>
      <c r="K50" s="25">
        <v>75655000</v>
      </c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s="15" customFormat="1" ht="14" x14ac:dyDescent="0.15">
      <c r="A51" s="20" t="s">
        <v>52</v>
      </c>
      <c r="B51" s="26">
        <v>204751000</v>
      </c>
      <c r="C51" s="26">
        <v>203706000</v>
      </c>
      <c r="D51" s="26">
        <v>199581000</v>
      </c>
      <c r="E51" s="26">
        <v>198825000</v>
      </c>
      <c r="F51" s="26">
        <v>204522000</v>
      </c>
      <c r="G51" s="26">
        <v>219295000</v>
      </c>
      <c r="H51" s="26">
        <v>236495000</v>
      </c>
      <c r="I51" s="26">
        <v>252496000</v>
      </c>
      <c r="J51" s="26">
        <v>244860000</v>
      </c>
      <c r="K51" s="26">
        <v>243197000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4" spans="1:21" ht="14" x14ac:dyDescent="0.15">
      <c r="A54" s="20" t="s">
        <v>62</v>
      </c>
      <c r="B54" s="26">
        <v>128496000</v>
      </c>
      <c r="C54" s="26">
        <v>122312000</v>
      </c>
      <c r="D54" s="26">
        <v>119035000</v>
      </c>
      <c r="E54" s="26">
        <v>121027000</v>
      </c>
      <c r="F54" s="26">
        <v>126653000</v>
      </c>
      <c r="G54" s="26">
        <v>146799000</v>
      </c>
      <c r="H54" s="26">
        <v>161826000</v>
      </c>
      <c r="I54" s="26">
        <v>171571000</v>
      </c>
      <c r="J54" s="26">
        <v>161607000</v>
      </c>
      <c r="K54" s="26">
        <v>166504000</v>
      </c>
    </row>
    <row r="55" spans="1:21" x14ac:dyDescent="0.15">
      <c r="A55" s="9" t="s">
        <v>59</v>
      </c>
      <c r="B55" s="25">
        <v>69345000</v>
      </c>
      <c r="C55" s="25">
        <v>65272000</v>
      </c>
      <c r="D55" s="25">
        <v>64619000</v>
      </c>
      <c r="E55" s="25">
        <v>66928000</v>
      </c>
      <c r="F55" s="25">
        <v>78521000</v>
      </c>
      <c r="G55" s="25">
        <v>77477000</v>
      </c>
      <c r="H55" s="25">
        <v>77790000</v>
      </c>
      <c r="I55" s="25">
        <v>92645000</v>
      </c>
      <c r="J55" s="25">
        <v>87379000</v>
      </c>
      <c r="K55" s="25">
        <v>92198000</v>
      </c>
    </row>
    <row r="58" spans="1:21" s="15" customFormat="1" ht="14" x14ac:dyDescent="0.15">
      <c r="A58" s="20" t="s">
        <v>52</v>
      </c>
      <c r="B58" s="26">
        <v>204751000</v>
      </c>
      <c r="C58" s="26">
        <v>203706000</v>
      </c>
      <c r="D58" s="26">
        <v>199581000</v>
      </c>
      <c r="E58" s="26">
        <v>198825000</v>
      </c>
      <c r="F58" s="26">
        <v>204522000</v>
      </c>
      <c r="G58" s="26">
        <v>219295000</v>
      </c>
      <c r="H58" s="26">
        <v>236495000</v>
      </c>
      <c r="I58" s="26">
        <v>252496000</v>
      </c>
      <c r="J58" s="26">
        <v>244860000</v>
      </c>
      <c r="K58" s="26">
        <v>243197000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spans="1:21" ht="14" x14ac:dyDescent="0.15">
      <c r="A59" s="20" t="s">
        <v>62</v>
      </c>
      <c r="B59" s="26">
        <v>128496000</v>
      </c>
      <c r="C59" s="26">
        <v>122312000</v>
      </c>
      <c r="D59" s="26">
        <v>119035000</v>
      </c>
      <c r="E59" s="26">
        <v>121027000</v>
      </c>
      <c r="F59" s="26">
        <v>126653000</v>
      </c>
      <c r="G59" s="26">
        <v>146799000</v>
      </c>
      <c r="H59" s="26">
        <v>161826000</v>
      </c>
      <c r="I59" s="26">
        <v>171571000</v>
      </c>
      <c r="J59" s="26">
        <v>161607000</v>
      </c>
      <c r="K59" s="26">
        <v>166504000</v>
      </c>
    </row>
    <row r="62" spans="1:21" s="10" customFormat="1" x14ac:dyDescent="0.15">
      <c r="A62" s="9" t="s">
        <v>46</v>
      </c>
      <c r="B62" s="25">
        <v>61185000</v>
      </c>
      <c r="C62" s="25">
        <v>63278000</v>
      </c>
      <c r="D62" s="25">
        <v>60239000</v>
      </c>
      <c r="E62" s="25">
        <v>57689000</v>
      </c>
      <c r="F62" s="25">
        <v>59664000</v>
      </c>
      <c r="G62" s="25">
        <v>61897000</v>
      </c>
      <c r="H62" s="25">
        <v>61806000</v>
      </c>
      <c r="I62" s="25">
        <v>90067000</v>
      </c>
      <c r="J62" s="25">
        <v>81070000</v>
      </c>
      <c r="K62" s="25">
        <v>75655000</v>
      </c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15">
      <c r="A63" s="9" t="s">
        <v>59</v>
      </c>
      <c r="B63" s="25">
        <v>69345000</v>
      </c>
      <c r="C63" s="25">
        <v>65272000</v>
      </c>
      <c r="D63" s="25">
        <v>64619000</v>
      </c>
      <c r="E63" s="25">
        <v>66928000</v>
      </c>
      <c r="F63" s="25">
        <v>78521000</v>
      </c>
      <c r="G63" s="25">
        <v>77477000</v>
      </c>
      <c r="H63" s="25">
        <v>77790000</v>
      </c>
      <c r="I63" s="25">
        <v>92645000</v>
      </c>
      <c r="J63" s="25">
        <v>87379000</v>
      </c>
      <c r="K63" s="25">
        <v>92198000</v>
      </c>
    </row>
    <row r="66" spans="1:12" s="10" customFormat="1" x14ac:dyDescent="0.15">
      <c r="A66" s="10" t="str">
        <f t="shared" ref="A66:K66" si="0">A11</f>
        <v>Report Date</v>
      </c>
      <c r="B66" s="10" t="str">
        <f t="shared" si="0"/>
        <v>01/31/2015</v>
      </c>
      <c r="C66" s="10" t="str">
        <f t="shared" si="0"/>
        <v>01/31/2016</v>
      </c>
      <c r="D66" s="10" t="str">
        <f t="shared" si="0"/>
        <v>01/31/2017</v>
      </c>
      <c r="E66" s="10" t="str">
        <f t="shared" si="0"/>
        <v>01/31/2018</v>
      </c>
      <c r="F66" s="10" t="str">
        <f t="shared" si="0"/>
        <v>01/31/2019</v>
      </c>
      <c r="G66" s="10" t="str">
        <f t="shared" si="0"/>
        <v>01/31/2020</v>
      </c>
      <c r="H66" s="10" t="str">
        <f t="shared" si="0"/>
        <v>01/31/2021</v>
      </c>
      <c r="I66" s="10" t="str">
        <f t="shared" si="0"/>
        <v>01/31/2022</v>
      </c>
      <c r="J66" s="10" t="str">
        <f t="shared" si="0"/>
        <v>01/31/2023</v>
      </c>
      <c r="K66" s="10" t="str">
        <f t="shared" si="0"/>
        <v>01/31/2024</v>
      </c>
      <c r="L66" s="10" t="s">
        <v>107</v>
      </c>
    </row>
    <row r="68" spans="1:12" x14ac:dyDescent="0.15">
      <c r="A68" t="str">
        <f>A13</f>
        <v>Cash &amp; Equivalents</v>
      </c>
      <c r="C68">
        <f t="shared" ref="C68:K68" si="1">C13/B13-1</f>
        <v>-4.7071702244116054E-2</v>
      </c>
      <c r="D68">
        <f t="shared" si="1"/>
        <v>-0.2111430212521539</v>
      </c>
      <c r="E68">
        <f t="shared" si="1"/>
        <v>-1.6164263870685924E-2</v>
      </c>
      <c r="F68">
        <f t="shared" si="1"/>
        <v>0.1429840142095915</v>
      </c>
      <c r="G68">
        <f t="shared" si="1"/>
        <v>0.22571872571872564</v>
      </c>
      <c r="H68">
        <f t="shared" si="1"/>
        <v>0.87437929212889598</v>
      </c>
      <c r="I68">
        <f t="shared" si="1"/>
        <v>-0.16802885970351167</v>
      </c>
      <c r="J68">
        <f t="shared" si="1"/>
        <v>-0.41565040650406504</v>
      </c>
      <c r="K68">
        <f t="shared" si="1"/>
        <v>0.14399999999999991</v>
      </c>
      <c r="L68" s="16">
        <f>AVERAGE(C68:K68)</f>
        <v>5.8780419831408942E-2</v>
      </c>
    </row>
    <row r="69" spans="1:12" x14ac:dyDescent="0.15">
      <c r="A69" t="str">
        <f>A14</f>
        <v>Cash &amp; Equivs &amp; ST Investments</v>
      </c>
      <c r="C69">
        <f t="shared" ref="C69:K69" si="2">C14/B14-1</f>
        <v>-4.7071702244116054E-2</v>
      </c>
      <c r="D69">
        <f t="shared" si="2"/>
        <v>-0.2111430212521539</v>
      </c>
      <c r="E69">
        <f t="shared" si="2"/>
        <v>-1.6164263870685924E-2</v>
      </c>
      <c r="F69">
        <f t="shared" si="2"/>
        <v>0.1429840142095915</v>
      </c>
      <c r="G69">
        <f t="shared" si="2"/>
        <v>0.22571872571872564</v>
      </c>
      <c r="H69">
        <f t="shared" si="2"/>
        <v>0.87437929212889598</v>
      </c>
      <c r="I69">
        <f t="shared" si="2"/>
        <v>-0.16802885970351167</v>
      </c>
      <c r="J69">
        <f t="shared" si="2"/>
        <v>-0.41565040650406504</v>
      </c>
      <c r="K69">
        <f t="shared" si="2"/>
        <v>0.14399999999999991</v>
      </c>
      <c r="L69" s="16">
        <f t="shared" ref="L69:L99" si="3">AVERAGE(C69:K69)</f>
        <v>5.8780419831408942E-2</v>
      </c>
    </row>
    <row r="70" spans="1:12" x14ac:dyDescent="0.15">
      <c r="A70" t="str">
        <f>A15</f>
        <v>Receivables (ST)</v>
      </c>
      <c r="C70">
        <f t="shared" ref="C70:K70" si="4">C15/B15-1</f>
        <v>-0.17025671289465916</v>
      </c>
      <c r="D70">
        <f t="shared" si="4"/>
        <v>3.7517780938833623E-2</v>
      </c>
      <c r="E70">
        <f t="shared" si="4"/>
        <v>-3.787489288774637E-2</v>
      </c>
      <c r="F70">
        <f t="shared" si="4"/>
        <v>0.1191663697898111</v>
      </c>
      <c r="G70">
        <f t="shared" si="4"/>
        <v>1.591596371159909E-4</v>
      </c>
      <c r="H70">
        <f t="shared" si="4"/>
        <v>3.6919159770846699E-2</v>
      </c>
      <c r="I70">
        <f t="shared" si="4"/>
        <v>0.27071823204419898</v>
      </c>
      <c r="J70">
        <f t="shared" si="4"/>
        <v>-4.190821256038646E-2</v>
      </c>
      <c r="K70">
        <f t="shared" si="4"/>
        <v>0.1087860834488843</v>
      </c>
      <c r="L70" s="16">
        <f t="shared" si="3"/>
        <v>3.591410747632208E-2</v>
      </c>
    </row>
    <row r="71" spans="1:12" x14ac:dyDescent="0.15">
      <c r="A71" t="str">
        <f>A16</f>
        <v>Inventories</v>
      </c>
      <c r="C71">
        <f t="shared" ref="C71:K71" si="5">C16/B16-1</f>
        <v>-1.4886688376420598E-2</v>
      </c>
      <c r="D71">
        <f t="shared" si="5"/>
        <v>-3.199982009939506E-2</v>
      </c>
      <c r="E71">
        <f t="shared" si="5"/>
        <v>1.7121219160897594E-2</v>
      </c>
      <c r="F71">
        <f t="shared" si="5"/>
        <v>1.1100198707260756E-2</v>
      </c>
      <c r="G71">
        <f t="shared" si="5"/>
        <v>3.7498023447559703E-3</v>
      </c>
      <c r="H71">
        <f t="shared" si="5"/>
        <v>1.1567458084843052E-2</v>
      </c>
      <c r="I71">
        <f t="shared" si="5"/>
        <v>0.2572248548354803</v>
      </c>
      <c r="J71">
        <f t="shared" si="5"/>
        <v>1.1502185415228627E-3</v>
      </c>
      <c r="K71">
        <f t="shared" si="5"/>
        <v>-2.9765271493212619E-2</v>
      </c>
      <c r="L71" s="16">
        <f t="shared" si="3"/>
        <v>2.5029107967303583E-2</v>
      </c>
    </row>
    <row r="72" spans="1:12" x14ac:dyDescent="0.15">
      <c r="A72" t="str">
        <f t="shared" ref="A72:A84" si="6">A18</f>
        <v>Other Current Assets</v>
      </c>
      <c r="C72">
        <f t="shared" ref="C72:K72" si="7">C18/B18-1</f>
        <v>-0.35206834532374098</v>
      </c>
      <c r="D72">
        <f t="shared" si="7"/>
        <v>0.34698126301179744</v>
      </c>
      <c r="E72">
        <f t="shared" si="7"/>
        <v>0.80886141164348269</v>
      </c>
      <c r="F72">
        <f t="shared" si="7"/>
        <v>3.1899743662774149E-2</v>
      </c>
      <c r="G72">
        <f t="shared" si="7"/>
        <v>-0.55230471984543195</v>
      </c>
      <c r="H72">
        <f t="shared" si="7"/>
        <v>11.861282367447595</v>
      </c>
      <c r="I72">
        <f t="shared" si="7"/>
        <v>-0.92718469872009968</v>
      </c>
      <c r="J72">
        <f t="shared" si="7"/>
        <v>0.65964450296247534</v>
      </c>
      <c r="K72">
        <f t="shared" si="7"/>
        <v>-1</v>
      </c>
      <c r="L72" s="16">
        <f t="shared" si="3"/>
        <v>1.2085679472043169</v>
      </c>
    </row>
    <row r="73" spans="1:12" x14ac:dyDescent="0.15">
      <c r="A73" t="str">
        <f t="shared" si="6"/>
        <v>Total Current Assets</v>
      </c>
      <c r="C73">
        <f t="shared" ref="C73:K73" si="8">C19/B19-1</f>
        <v>-4.8026170232940313E-2</v>
      </c>
      <c r="D73">
        <f t="shared" si="8"/>
        <v>-4.2331380002988084E-2</v>
      </c>
      <c r="E73">
        <f t="shared" si="8"/>
        <v>3.4235296156979622E-2</v>
      </c>
      <c r="F73">
        <f t="shared" si="8"/>
        <v>3.7426253687315558E-2</v>
      </c>
      <c r="G73">
        <f t="shared" si="8"/>
        <v>-1.4701843384978819E-3</v>
      </c>
      <c r="H73">
        <f t="shared" si="8"/>
        <v>0.45725334109956961</v>
      </c>
      <c r="I73">
        <f t="shared" si="8"/>
        <v>-9.9892302397104338E-2</v>
      </c>
      <c r="J73">
        <f t="shared" si="8"/>
        <v>-6.6794128530899277E-2</v>
      </c>
      <c r="K73">
        <f t="shared" si="8"/>
        <v>1.6152270173815264E-2</v>
      </c>
      <c r="L73" s="16">
        <f t="shared" si="3"/>
        <v>3.1839221735027796E-2</v>
      </c>
    </row>
    <row r="74" spans="1:12" x14ac:dyDescent="0.15">
      <c r="A74" t="str">
        <f t="shared" si="6"/>
        <v>Gross Property Plant &amp; Equip</v>
      </c>
      <c r="C74">
        <f t="shared" ref="C74:K74" si="9">C20/B20-1</f>
        <v>-2.4634290707178375E-3</v>
      </c>
      <c r="D74">
        <f t="shared" si="9"/>
        <v>1.4319782095186362E-2</v>
      </c>
      <c r="E74">
        <f t="shared" si="9"/>
        <v>3.1544581374100211E-2</v>
      </c>
      <c r="F74">
        <f t="shared" si="9"/>
        <v>3.5429966406341773E-3</v>
      </c>
      <c r="G74">
        <f t="shared" si="9"/>
        <v>4.9609816479199154E-2</v>
      </c>
      <c r="H74">
        <f t="shared" si="9"/>
        <v>-7.4127817544147545E-2</v>
      </c>
      <c r="I74">
        <f t="shared" si="9"/>
        <v>4.8474007454131662E-2</v>
      </c>
      <c r="J74">
        <f t="shared" si="9"/>
        <v>6.8908326466797565E-2</v>
      </c>
      <c r="K74">
        <f t="shared" si="9"/>
        <v>8.6420912190542154E-2</v>
      </c>
      <c r="L74" s="16">
        <f t="shared" si="3"/>
        <v>2.5136575120636211E-2</v>
      </c>
    </row>
    <row r="75" spans="1:12" x14ac:dyDescent="0.15">
      <c r="A75" t="str">
        <f t="shared" si="6"/>
        <v>Accumulated Depreciation</v>
      </c>
      <c r="C75">
        <f t="shared" ref="C75:K75" si="10">C21/B21-1</f>
        <v>5.8179513586310794E-2</v>
      </c>
      <c r="D75">
        <f t="shared" si="10"/>
        <v>7.4790004042702973E-2</v>
      </c>
      <c r="E75">
        <f t="shared" si="10"/>
        <v>7.9365300493159818E-2</v>
      </c>
      <c r="F75">
        <f t="shared" si="10"/>
        <v>5.1807586571845254E-2</v>
      </c>
      <c r="G75">
        <f t="shared" si="10"/>
        <v>0.10218055538512516</v>
      </c>
      <c r="H75">
        <f t="shared" si="10"/>
        <v>-1.6143397906924983E-2</v>
      </c>
      <c r="I75">
        <f t="shared" si="10"/>
        <v>7.286409414959838E-2</v>
      </c>
      <c r="J75">
        <f t="shared" si="10"/>
        <v>7.1733696168085226E-2</v>
      </c>
      <c r="K75">
        <f t="shared" si="10"/>
        <v>7.321129810058058E-2</v>
      </c>
      <c r="L75" s="16">
        <f t="shared" si="3"/>
        <v>6.3109850065609249E-2</v>
      </c>
    </row>
    <row r="76" spans="1:12" x14ac:dyDescent="0.15">
      <c r="A76" t="str">
        <f t="shared" si="6"/>
        <v>Net Property Plant &amp; Equip</v>
      </c>
      <c r="C76">
        <f t="shared" ref="C76:K76" si="11">C22/B22-1</f>
        <v>-3.5955547777388852E-2</v>
      </c>
      <c r="D76">
        <f t="shared" si="11"/>
        <v>-2.233800183351331E-2</v>
      </c>
      <c r="E76">
        <f t="shared" si="11"/>
        <v>-3.2494661591309093E-4</v>
      </c>
      <c r="F76">
        <f t="shared" si="11"/>
        <v>-3.1186440677966054E-2</v>
      </c>
      <c r="G76">
        <f t="shared" si="11"/>
        <v>8.541273234468072E-3</v>
      </c>
      <c r="H76">
        <f t="shared" si="11"/>
        <v>-0.12363128279218305</v>
      </c>
      <c r="I76">
        <f t="shared" si="11"/>
        <v>2.5097341677422058E-2</v>
      </c>
      <c r="J76">
        <f t="shared" si="11"/>
        <v>6.6074168121462273E-2</v>
      </c>
      <c r="K76">
        <f t="shared" si="11"/>
        <v>9.9741961095672904E-2</v>
      </c>
      <c r="L76" s="16">
        <f t="shared" si="3"/>
        <v>-1.553497285326561E-3</v>
      </c>
    </row>
    <row r="77" spans="1:12" x14ac:dyDescent="0.15">
      <c r="A77" t="str">
        <f t="shared" si="6"/>
        <v>Intangible Assets</v>
      </c>
      <c r="C77">
        <f t="shared" ref="C77:K77" si="12">C23/B23-1</f>
        <v>-7.7726218097447841E-2</v>
      </c>
      <c r="D77">
        <f t="shared" si="12"/>
        <v>2.0485175202156425E-2</v>
      </c>
      <c r="E77">
        <f t="shared" si="12"/>
        <v>7.0728414626988423E-2</v>
      </c>
      <c r="F77">
        <f t="shared" si="12"/>
        <v>0.70929722618133972</v>
      </c>
      <c r="G77">
        <f t="shared" si="12"/>
        <v>-3.4636477341971617E-3</v>
      </c>
      <c r="H77">
        <f t="shared" si="12"/>
        <v>-6.7260966112058673E-2</v>
      </c>
      <c r="I77">
        <f t="shared" si="12"/>
        <v>1.0695925197530265E-3</v>
      </c>
      <c r="J77">
        <f t="shared" si="12"/>
        <v>-2.8951540635555273E-2</v>
      </c>
      <c r="K77">
        <f t="shared" si="12"/>
        <v>-2.1651167743309552E-3</v>
      </c>
      <c r="L77" s="16">
        <f t="shared" si="3"/>
        <v>6.9112546575183079E-2</v>
      </c>
    </row>
    <row r="78" spans="1:12" x14ac:dyDescent="0.15">
      <c r="A78" t="str">
        <f t="shared" si="6"/>
        <v>Other Assets</v>
      </c>
      <c r="C78">
        <f t="shared" ref="C78:K78" si="13">C24/B24-1</f>
        <v>0.55058414118816801</v>
      </c>
      <c r="D78">
        <f t="shared" si="13"/>
        <v>0.31364219301058038</v>
      </c>
      <c r="E78">
        <f t="shared" si="13"/>
        <v>0.15571419854780655</v>
      </c>
      <c r="F78">
        <f t="shared" si="13"/>
        <v>0.15622195237843828</v>
      </c>
      <c r="G78">
        <f t="shared" si="13"/>
        <v>0.75378995433789964</v>
      </c>
      <c r="H78">
        <f t="shared" si="13"/>
        <v>7.3864819829202233E-2</v>
      </c>
      <c r="I78">
        <f t="shared" si="13"/>
        <v>-2.3857437265123016E-2</v>
      </c>
      <c r="J78">
        <f t="shared" si="13"/>
        <v>-4.1057102406795609E-2</v>
      </c>
      <c r="K78">
        <f t="shared" si="13"/>
        <v>-5.2035847492747589E-2</v>
      </c>
      <c r="L78" s="16">
        <f t="shared" si="3"/>
        <v>0.20965187468082544</v>
      </c>
    </row>
    <row r="79" spans="1:12" x14ac:dyDescent="0.15">
      <c r="A79" t="str">
        <f t="shared" si="6"/>
        <v>Total Assets</v>
      </c>
      <c r="C79">
        <f t="shared" ref="C79:K79" si="14">C25/B25-1</f>
        <v>-2.0249771729845989E-2</v>
      </c>
      <c r="D79">
        <f t="shared" si="14"/>
        <v>-3.7879357253446377E-3</v>
      </c>
      <c r="E79">
        <f t="shared" si="14"/>
        <v>2.8653338362881975E-2</v>
      </c>
      <c r="F79">
        <f t="shared" si="14"/>
        <v>7.2231838139662274E-2</v>
      </c>
      <c r="G79">
        <f t="shared" si="14"/>
        <v>7.843316081078E-2</v>
      </c>
      <c r="H79">
        <f t="shared" si="14"/>
        <v>6.765893570688597E-2</v>
      </c>
      <c r="I79">
        <f t="shared" si="14"/>
        <v>-3.0242063240605743E-2</v>
      </c>
      <c r="J79">
        <f t="shared" si="14"/>
        <v>-6.7916360369190132E-3</v>
      </c>
      <c r="K79">
        <f t="shared" si="14"/>
        <v>3.7837637799808421E-2</v>
      </c>
      <c r="L79" s="16">
        <f t="shared" si="3"/>
        <v>2.4860389343033695E-2</v>
      </c>
    </row>
    <row r="80" spans="1:12" x14ac:dyDescent="0.15">
      <c r="A80" t="str">
        <f t="shared" si="6"/>
        <v>Accounts Payable &amp; Accrued Exps</v>
      </c>
      <c r="C80">
        <f t="shared" ref="C80:K80" si="15">C26/B26-1</f>
        <v>5.4623354898186705E-4</v>
      </c>
      <c r="D80">
        <f t="shared" si="15"/>
        <v>7.4946686001876595E-2</v>
      </c>
      <c r="E80">
        <f t="shared" si="15"/>
        <v>6.0849415947181296E-2</v>
      </c>
      <c r="F80">
        <f t="shared" si="15"/>
        <v>1.3060650489213455E-2</v>
      </c>
      <c r="G80">
        <f t="shared" si="15"/>
        <v>-2.3037731669497408E-3</v>
      </c>
      <c r="H80">
        <f t="shared" si="15"/>
        <v>7.0249707662931593E-2</v>
      </c>
      <c r="I80">
        <f t="shared" si="15"/>
        <v>0.10078141207385372</v>
      </c>
      <c r="J80">
        <f t="shared" si="15"/>
        <v>4.4162729922605282E-2</v>
      </c>
      <c r="K80">
        <f t="shared" si="15"/>
        <v>3.3342558388583354E-2</v>
      </c>
      <c r="L80" s="16">
        <f t="shared" si="3"/>
        <v>4.3959513429808604E-2</v>
      </c>
    </row>
    <row r="81" spans="1:12" x14ac:dyDescent="0.15">
      <c r="A81" t="str">
        <f t="shared" si="6"/>
        <v>Accounts Payable</v>
      </c>
      <c r="C81">
        <f t="shared" ref="C81:K81" si="16">C27/B27-1</f>
        <v>2.004686279614587E-3</v>
      </c>
      <c r="D81">
        <f t="shared" si="16"/>
        <v>7.6545326993530338E-2</v>
      </c>
      <c r="E81">
        <f t="shared" si="16"/>
        <v>0.11244660053580469</v>
      </c>
      <c r="F81">
        <f t="shared" si="16"/>
        <v>2.1001475310248985E-2</v>
      </c>
      <c r="G81">
        <f t="shared" si="16"/>
        <v>-1.8487037824054253E-3</v>
      </c>
      <c r="H81">
        <f t="shared" si="16"/>
        <v>4.6154173674238352E-2</v>
      </c>
      <c r="I81">
        <f t="shared" si="16"/>
        <v>0.12453959015893035</v>
      </c>
      <c r="J81">
        <f t="shared" si="16"/>
        <v>-2.7487739997466565E-2</v>
      </c>
      <c r="K81">
        <f t="shared" si="16"/>
        <v>5.712478136280752E-2</v>
      </c>
      <c r="L81" s="16">
        <f t="shared" si="3"/>
        <v>4.5608910059478092E-2</v>
      </c>
    </row>
    <row r="82" spans="1:12" x14ac:dyDescent="0.15">
      <c r="A82" t="str">
        <f t="shared" si="6"/>
        <v>Accrued Expenses</v>
      </c>
      <c r="C82">
        <f t="shared" ref="C82:K82" si="17">C28/B28-1</f>
        <v>-2.230704406880446E-3</v>
      </c>
      <c r="D82">
        <f t="shared" si="17"/>
        <v>7.1889904610492827E-2</v>
      </c>
      <c r="E82">
        <f t="shared" si="17"/>
        <v>-3.8238702201622288E-2</v>
      </c>
      <c r="F82">
        <f t="shared" si="17"/>
        <v>-4.5783132530120563E-3</v>
      </c>
      <c r="G82">
        <f t="shared" si="17"/>
        <v>-3.340595497458243E-3</v>
      </c>
      <c r="H82">
        <f t="shared" si="17"/>
        <v>0.12523073933741369</v>
      </c>
      <c r="I82">
        <f t="shared" si="17"/>
        <v>5.0379899844586351E-2</v>
      </c>
      <c r="J82">
        <f t="shared" si="17"/>
        <v>0.2068965517241379</v>
      </c>
      <c r="K82">
        <f t="shared" si="17"/>
        <v>-1.0182189681593679E-2</v>
      </c>
      <c r="L82" s="16">
        <f t="shared" si="3"/>
        <v>4.3980732275118228E-2</v>
      </c>
    </row>
    <row r="83" spans="1:12" x14ac:dyDescent="0.15">
      <c r="A83" t="str">
        <f t="shared" si="6"/>
        <v>Current Debt</v>
      </c>
      <c r="C83">
        <f t="shared" ref="C83:K83" si="18">C29/B29-1</f>
        <v>-0.14823492658544202</v>
      </c>
      <c r="D83">
        <f t="shared" si="18"/>
        <v>-0.38474234366403814</v>
      </c>
      <c r="E83">
        <f t="shared" si="18"/>
        <v>1.6810730253353205</v>
      </c>
      <c r="F83">
        <f t="shared" si="18"/>
        <v>-0.21056142301278491</v>
      </c>
      <c r="G83">
        <f t="shared" si="18"/>
        <v>-0.16392057456696241</v>
      </c>
      <c r="H83">
        <f t="shared" si="18"/>
        <v>-0.43759474482061644</v>
      </c>
      <c r="I83">
        <f t="shared" si="18"/>
        <v>-3.7735849056603765E-2</v>
      </c>
      <c r="J83">
        <f t="shared" si="18"/>
        <v>0.42016806722689082</v>
      </c>
      <c r="K83">
        <f t="shared" si="18"/>
        <v>-5.2158667543282911E-2</v>
      </c>
      <c r="L83" s="16">
        <f t="shared" si="3"/>
        <v>7.4032507034720085E-2</v>
      </c>
    </row>
    <row r="84" spans="1:12" x14ac:dyDescent="0.15">
      <c r="A84" t="str">
        <f t="shared" si="6"/>
        <v>Current Lease Obligations</v>
      </c>
      <c r="C84">
        <f t="shared" ref="C84:K84" si="19">C30/B30-1</f>
        <v>0.91986062717770034</v>
      </c>
      <c r="D84">
        <f t="shared" si="19"/>
        <v>2.5408348457350183E-2</v>
      </c>
      <c r="E84">
        <f t="shared" si="19"/>
        <v>0.1805309734513274</v>
      </c>
      <c r="F84">
        <f t="shared" si="19"/>
        <v>9.2953523238380908E-2</v>
      </c>
      <c r="G84">
        <f t="shared" si="19"/>
        <v>-0.29903978052126201</v>
      </c>
      <c r="H84">
        <f t="shared" si="19"/>
        <v>-3.9138943248532287E-2</v>
      </c>
      <c r="I84">
        <f t="shared" si="19"/>
        <v>4.0733197556008127E-2</v>
      </c>
      <c r="J84">
        <f t="shared" si="19"/>
        <v>0.1095890410958904</v>
      </c>
      <c r="K84">
        <f t="shared" si="19"/>
        <v>0.27865961199294542</v>
      </c>
      <c r="L84" s="16">
        <f t="shared" si="3"/>
        <v>0.14550628879997873</v>
      </c>
    </row>
    <row r="85" spans="1:12" x14ac:dyDescent="0.15">
      <c r="A85" t="e">
        <f>#REF!</f>
        <v>#REF!</v>
      </c>
      <c r="C85" t="e">
        <f>#REF!/#REF!-1</f>
        <v>#REF!</v>
      </c>
      <c r="D85" t="e">
        <f>#REF!/#REF!-1</f>
        <v>#REF!</v>
      </c>
      <c r="E85" t="e">
        <f>#REF!/#REF!-1</f>
        <v>#REF!</v>
      </c>
      <c r="F85" t="e">
        <f>#REF!/#REF!-1</f>
        <v>#REF!</v>
      </c>
      <c r="G85" t="e">
        <f>#REF!/#REF!-1</f>
        <v>#REF!</v>
      </c>
      <c r="H85" t="e">
        <f>#REF!/#REF!-1</f>
        <v>#REF!</v>
      </c>
      <c r="I85" t="e">
        <f>#REF!/#REF!-1</f>
        <v>#REF!</v>
      </c>
      <c r="J85" t="e">
        <f>#REF!/#REF!-1</f>
        <v>#REF!</v>
      </c>
      <c r="K85" t="e">
        <f>#REF!/#REF!-1</f>
        <v>#REF!</v>
      </c>
      <c r="L85" s="16" t="e">
        <f t="shared" si="3"/>
        <v>#REF!</v>
      </c>
    </row>
    <row r="86" spans="1:12" x14ac:dyDescent="0.15">
      <c r="A86" t="str">
        <f t="shared" ref="A86:A99" si="20">A31</f>
        <v>Other Current Liabilities</v>
      </c>
      <c r="C86" t="e">
        <f t="shared" ref="C86:K86" si="21">C31/B31-1</f>
        <v>#DIV/0!</v>
      </c>
      <c r="D86" t="e">
        <f t="shared" si="21"/>
        <v>#DIV/0!</v>
      </c>
      <c r="E86" t="e">
        <f t="shared" si="21"/>
        <v>#DIV/0!</v>
      </c>
      <c r="F86">
        <f t="shared" si="21"/>
        <v>-4.214179474467028E-2</v>
      </c>
      <c r="G86">
        <f t="shared" si="21"/>
        <v>0.95807453416149069</v>
      </c>
      <c r="H86">
        <f t="shared" si="21"/>
        <v>3.3642611683848793</v>
      </c>
      <c r="I86">
        <f t="shared" si="21"/>
        <v>-0.75390672319806185</v>
      </c>
      <c r="J86">
        <f t="shared" si="21"/>
        <v>-2.5104602510460206E-2</v>
      </c>
      <c r="K86">
        <f t="shared" si="21"/>
        <v>-0.62458975006311546</v>
      </c>
      <c r="L86" s="16">
        <f>AVERAGE(G86:K86)</f>
        <v>0.58374692535494654</v>
      </c>
    </row>
    <row r="87" spans="1:12" x14ac:dyDescent="0.15">
      <c r="A87" t="str">
        <f t="shared" si="20"/>
        <v>Total Current Liabilities</v>
      </c>
      <c r="C87">
        <f t="shared" ref="C87:K87" si="22">C32/B32-1</f>
        <v>-1.0004289741389893E-2</v>
      </c>
      <c r="D87">
        <f t="shared" si="22"/>
        <v>3.5732524489701101E-2</v>
      </c>
      <c r="E87">
        <f t="shared" si="22"/>
        <v>0.1732159933062396</v>
      </c>
      <c r="F87">
        <f t="shared" si="22"/>
        <v>-1.3295806217444972E-2</v>
      </c>
      <c r="G87">
        <f t="shared" si="22"/>
        <v>4.0399086180413768E-3</v>
      </c>
      <c r="H87">
        <f t="shared" si="22"/>
        <v>0.19096284869520508</v>
      </c>
      <c r="I87">
        <f t="shared" si="22"/>
        <v>-5.684062820443625E-2</v>
      </c>
      <c r="J87">
        <f t="shared" si="22"/>
        <v>5.5150551047734586E-2</v>
      </c>
      <c r="K87">
        <f t="shared" si="22"/>
        <v>2.3536302305906531E-3</v>
      </c>
      <c r="L87" s="16">
        <f t="shared" si="3"/>
        <v>4.236830358047125E-2</v>
      </c>
    </row>
    <row r="88" spans="1:12" x14ac:dyDescent="0.15">
      <c r="A88" t="str">
        <f t="shared" si="20"/>
        <v>LT Debt &amp; Leases</v>
      </c>
      <c r="C88">
        <f t="shared" ref="C88:K88" si="23">C33/B33-1</f>
        <v>7.7359699716195163E-3</v>
      </c>
      <c r="D88">
        <f t="shared" si="23"/>
        <v>-4.5696116284351551E-2</v>
      </c>
      <c r="E88">
        <f t="shared" si="23"/>
        <v>-0.12358989004712262</v>
      </c>
      <c r="F88">
        <f t="shared" si="23"/>
        <v>0.36328581126951809</v>
      </c>
      <c r="G88">
        <f t="shared" si="23"/>
        <v>-4.3463538035575566E-2</v>
      </c>
      <c r="H88">
        <f t="shared" si="23"/>
        <v>-6.2056183752941418E-2</v>
      </c>
      <c r="I88">
        <f t="shared" si="23"/>
        <v>-0.13174663084745009</v>
      </c>
      <c r="J88">
        <f t="shared" si="23"/>
        <v>9.8447848211318245E-3</v>
      </c>
      <c r="K88">
        <f t="shared" si="23"/>
        <v>5.9480401093892521E-2</v>
      </c>
      <c r="L88" s="16">
        <f t="shared" si="3"/>
        <v>3.7549564654134121E-3</v>
      </c>
    </row>
    <row r="89" spans="1:12" x14ac:dyDescent="0.15">
      <c r="A89" t="str">
        <f t="shared" si="20"/>
        <v>Minority Interests</v>
      </c>
      <c r="C89">
        <f t="shared" ref="C89:K89" si="24">C34/B34-1</f>
        <v>-0.3253356812678847</v>
      </c>
      <c r="D89">
        <f t="shared" si="24"/>
        <v>-0.10701468189233276</v>
      </c>
      <c r="E89">
        <f t="shared" si="24"/>
        <v>7.8918523931311713E-2</v>
      </c>
      <c r="F89">
        <f t="shared" si="24"/>
        <v>1.4172028445648492</v>
      </c>
      <c r="G89">
        <f t="shared" si="24"/>
        <v>-3.5724292518912848E-2</v>
      </c>
      <c r="H89">
        <f t="shared" si="24"/>
        <v>-4.0244079616446271E-2</v>
      </c>
      <c r="I89">
        <f t="shared" si="24"/>
        <v>0.30759915228580081</v>
      </c>
      <c r="J89">
        <f t="shared" si="24"/>
        <v>-0.15512850196804817</v>
      </c>
      <c r="K89">
        <f t="shared" si="24"/>
        <v>-8.0570019183337949E-2</v>
      </c>
      <c r="L89" s="16">
        <f t="shared" si="3"/>
        <v>0.11774480714833323</v>
      </c>
    </row>
    <row r="90" spans="1:12" x14ac:dyDescent="0.15">
      <c r="A90" t="str">
        <f t="shared" si="20"/>
        <v>Other Liabilities</v>
      </c>
      <c r="C90">
        <f t="shared" ref="C90:K90" si="25">C35/B35-1</f>
        <v>-0.16854060193072118</v>
      </c>
      <c r="D90">
        <f t="shared" si="25"/>
        <v>0.27632837044119651</v>
      </c>
      <c r="E90">
        <f t="shared" si="25"/>
        <v>-0.10595034246575341</v>
      </c>
      <c r="F90">
        <f t="shared" si="25"/>
        <v>0.43416327507780705</v>
      </c>
      <c r="G90">
        <f t="shared" si="25"/>
        <v>1.4315165678991737</v>
      </c>
      <c r="H90">
        <f t="shared" si="25"/>
        <v>-6.3607030070026105E-2</v>
      </c>
      <c r="I90">
        <f t="shared" si="25"/>
        <v>-2.917995527695294E-2</v>
      </c>
      <c r="J90">
        <f t="shared" si="25"/>
        <v>3.9006154891817468E-2</v>
      </c>
      <c r="K90">
        <f t="shared" si="25"/>
        <v>-0.52961913068759991</v>
      </c>
      <c r="L90" s="16">
        <f t="shared" si="3"/>
        <v>0.14267970087543788</v>
      </c>
    </row>
    <row r="91" spans="1:12" x14ac:dyDescent="0.15">
      <c r="A91" t="str">
        <f t="shared" si="20"/>
        <v>Total Liabilities</v>
      </c>
      <c r="C91">
        <f t="shared" ref="C91:K91" si="26">C36/B36-1</f>
        <v>-2.6792138138530985E-2</v>
      </c>
      <c r="D91">
        <f t="shared" si="26"/>
        <v>1.6734573864829683E-2</v>
      </c>
      <c r="E91">
        <f t="shared" si="26"/>
        <v>4.6485494972196229E-2</v>
      </c>
      <c r="F91">
        <f t="shared" si="26"/>
        <v>0.15906453064672776</v>
      </c>
      <c r="G91">
        <f t="shared" si="26"/>
        <v>0.10236445752355272</v>
      </c>
      <c r="H91">
        <f t="shared" si="26"/>
        <v>6.0219000655024502E-2</v>
      </c>
      <c r="I91">
        <f t="shared" si="26"/>
        <v>-5.8075082618857521E-2</v>
      </c>
      <c r="J91">
        <f t="shared" si="26"/>
        <v>3.0301905239253246E-2</v>
      </c>
      <c r="K91">
        <f t="shared" si="26"/>
        <v>1.2215922740594909E-2</v>
      </c>
      <c r="L91" s="16">
        <f t="shared" si="3"/>
        <v>3.8057629431643397E-2</v>
      </c>
    </row>
    <row r="92" spans="1:12" x14ac:dyDescent="0.15">
      <c r="A92" t="str">
        <f t="shared" si="20"/>
        <v>Common Share Capital</v>
      </c>
      <c r="C92">
        <f t="shared" ref="C92:K92" si="27">C37/B37-1</f>
        <v>-1.8575851393188847E-2</v>
      </c>
      <c r="D92">
        <f t="shared" si="27"/>
        <v>-3.7854889589905349E-2</v>
      </c>
      <c r="E92">
        <f t="shared" si="27"/>
        <v>-3.2786885245901676E-2</v>
      </c>
      <c r="F92">
        <f t="shared" si="27"/>
        <v>-2.3728813559321993E-2</v>
      </c>
      <c r="G92">
        <f t="shared" si="27"/>
        <v>-1.388888888888884E-2</v>
      </c>
      <c r="H92">
        <f t="shared" si="27"/>
        <v>-7.0422535211267512E-3</v>
      </c>
      <c r="I92">
        <f t="shared" si="27"/>
        <v>-2.1276595744680882E-2</v>
      </c>
      <c r="J92">
        <f t="shared" si="27"/>
        <v>-2.5362318840579712E-2</v>
      </c>
      <c r="K92">
        <f t="shared" si="27"/>
        <v>1.992565055762082</v>
      </c>
      <c r="L92" s="16">
        <f t="shared" si="3"/>
        <v>0.20133872877538753</v>
      </c>
    </row>
    <row r="93" spans="1:12" x14ac:dyDescent="0.15">
      <c r="A93" t="str">
        <f t="shared" si="20"/>
        <v>Additional Paid-In Capital</v>
      </c>
      <c r="C93">
        <f t="shared" ref="C93:K93" si="28">C38/B38-1</f>
        <v>-0.2668562144597888</v>
      </c>
      <c r="D93">
        <f t="shared" si="28"/>
        <v>0.31357340720221605</v>
      </c>
      <c r="E93">
        <f t="shared" si="28"/>
        <v>0.11682834247153107</v>
      </c>
      <c r="F93">
        <f t="shared" si="28"/>
        <v>0.11971299093655596</v>
      </c>
      <c r="G93">
        <f t="shared" si="28"/>
        <v>9.5109612141652589E-2</v>
      </c>
      <c r="H93">
        <f t="shared" si="28"/>
        <v>0.12288266091777023</v>
      </c>
      <c r="I93">
        <f t="shared" si="28"/>
        <v>0.32720789906747116</v>
      </c>
      <c r="J93">
        <f t="shared" si="28"/>
        <v>2.6865054763380858E-2</v>
      </c>
      <c r="K93">
        <f t="shared" si="28"/>
        <v>-8.5530287784262415E-2</v>
      </c>
      <c r="L93" s="16">
        <f t="shared" si="3"/>
        <v>8.5532607250725187E-2</v>
      </c>
    </row>
    <row r="94" spans="1:12" x14ac:dyDescent="0.15">
      <c r="A94" t="str">
        <f t="shared" si="20"/>
        <v>Retained Earnings</v>
      </c>
      <c r="C94">
        <f t="shared" ref="C94:K94" si="29">C39/B39-1</f>
        <v>4.9477132564673454E-2</v>
      </c>
      <c r="D94">
        <f t="shared" si="29"/>
        <v>-7.409382255251562E-3</v>
      </c>
      <c r="E94">
        <f t="shared" si="29"/>
        <v>-4.7530049018510656E-2</v>
      </c>
      <c r="F94">
        <f t="shared" si="29"/>
        <v>-5.0783131822294325E-2</v>
      </c>
      <c r="G94">
        <f t="shared" si="29"/>
        <v>3.9091415485547953E-2</v>
      </c>
      <c r="H94">
        <f t="shared" si="29"/>
        <v>5.7419915895309925E-2</v>
      </c>
      <c r="I94">
        <f t="shared" si="29"/>
        <v>-2.094341110597886E-2</v>
      </c>
      <c r="J94">
        <f t="shared" si="29"/>
        <v>-4.3369695295958799E-2</v>
      </c>
      <c r="K94">
        <f t="shared" si="29"/>
        <v>8.0339207313405936E-2</v>
      </c>
      <c r="L94" s="16">
        <f t="shared" si="3"/>
        <v>6.2546668623270074E-3</v>
      </c>
    </row>
    <row r="95" spans="1:12" x14ac:dyDescent="0.15">
      <c r="A95" t="str">
        <f t="shared" si="20"/>
        <v>Accum Other Comprehensive Income</v>
      </c>
      <c r="C95">
        <f>C40/B40-1</f>
        <v>0.61788504464285721</v>
      </c>
      <c r="D95">
        <f>D40/C40-1</f>
        <v>0.22721393463826844</v>
      </c>
      <c r="E95">
        <f>E40/D40-1</f>
        <v>-0.28464024732996063</v>
      </c>
      <c r="F95">
        <f>F40/E40-1</f>
        <v>0.13368038503094004</v>
      </c>
      <c r="G95">
        <f t="shared" ref="G95:K95" si="30">G40/F40-1</f>
        <v>0.10942644255761569</v>
      </c>
      <c r="H95">
        <f t="shared" si="30"/>
        <v>-8.1140179617336994E-2</v>
      </c>
      <c r="I95">
        <f t="shared" si="30"/>
        <v>-0.25497195308516063</v>
      </c>
      <c r="J95">
        <f t="shared" si="30"/>
        <v>0.33242071640428938</v>
      </c>
      <c r="K95">
        <f t="shared" si="30"/>
        <v>-3.236301369863015E-2</v>
      </c>
      <c r="L95" s="16">
        <f t="shared" si="3"/>
        <v>8.5279014393653596E-2</v>
      </c>
    </row>
    <row r="96" spans="1:12" x14ac:dyDescent="0.15">
      <c r="A96" t="str">
        <f t="shared" si="20"/>
        <v>For Curr Trans (BS)</v>
      </c>
      <c r="C96">
        <f t="shared" ref="C96:D99" si="31">C41/B41-1</f>
        <v>0.83949645948072393</v>
      </c>
      <c r="D96">
        <f t="shared" si="31"/>
        <v>0.22857142857142865</v>
      </c>
      <c r="E96">
        <f t="shared" ref="E96:K96" si="32">E41/D41-1</f>
        <v>-0.15499234089959613</v>
      </c>
      <c r="F96">
        <f t="shared" si="32"/>
        <v>-4.2023731048120849E-3</v>
      </c>
      <c r="G96">
        <f t="shared" si="32"/>
        <v>-2.1348779478692625E-2</v>
      </c>
      <c r="H96">
        <f t="shared" si="32"/>
        <v>-8.9202671852540827E-2</v>
      </c>
      <c r="I96">
        <f t="shared" si="32"/>
        <v>-0.24805050129966577</v>
      </c>
      <c r="J96">
        <f t="shared" si="32"/>
        <v>0.33530864197530863</v>
      </c>
      <c r="K96">
        <f t="shared" si="32"/>
        <v>-3.0787721893491105E-2</v>
      </c>
      <c r="L96" s="16">
        <f t="shared" si="3"/>
        <v>9.4976904610962518E-2</v>
      </c>
    </row>
    <row r="97" spans="1:12" x14ac:dyDescent="0.15">
      <c r="A97" t="str">
        <f t="shared" si="20"/>
        <v>Other Equity</v>
      </c>
      <c r="C97">
        <f t="shared" si="31"/>
        <v>0.83949645948072393</v>
      </c>
      <c r="D97">
        <f t="shared" si="31"/>
        <v>0.22857142857142865</v>
      </c>
      <c r="E97">
        <f t="shared" ref="E97:K97" si="33">E42/D42-1</f>
        <v>-0.15499234089959613</v>
      </c>
      <c r="F97">
        <f t="shared" si="33"/>
        <v>-4.2023731048120849E-3</v>
      </c>
      <c r="G97">
        <f t="shared" si="33"/>
        <v>-2.1348779478692625E-2</v>
      </c>
      <c r="H97">
        <f t="shared" si="33"/>
        <v>-8.9202671852540827E-2</v>
      </c>
      <c r="I97">
        <f t="shared" si="33"/>
        <v>-0.24805050129966577</v>
      </c>
      <c r="J97">
        <f t="shared" si="33"/>
        <v>0.33530864197530863</v>
      </c>
      <c r="K97">
        <f t="shared" si="33"/>
        <v>-3.0787721893491105E-2</v>
      </c>
      <c r="L97" s="16">
        <f t="shared" si="3"/>
        <v>9.4976904610962518E-2</v>
      </c>
    </row>
    <row r="98" spans="1:12" x14ac:dyDescent="0.15">
      <c r="A98" t="str">
        <f t="shared" si="20"/>
        <v>Total Equity</v>
      </c>
      <c r="C98">
        <f t="shared" si="31"/>
        <v>-1.0418458363024352E-2</v>
      </c>
      <c r="D98">
        <f t="shared" si="31"/>
        <v>-3.411715044819108E-2</v>
      </c>
      <c r="E98">
        <f t="shared" ref="E98:K98" si="34">E43/D43-1</f>
        <v>9.1261986169310916E-4</v>
      </c>
      <c r="F98">
        <f t="shared" si="34"/>
        <v>-6.9000500841156276E-2</v>
      </c>
      <c r="G98">
        <f t="shared" si="34"/>
        <v>2.9974067534760618E-2</v>
      </c>
      <c r="H98">
        <f t="shared" si="34"/>
        <v>8.3783096063962281E-2</v>
      </c>
      <c r="I98">
        <f t="shared" si="34"/>
        <v>2.876737720111211E-2</v>
      </c>
      <c r="J98">
        <f t="shared" si="34"/>
        <v>-7.8795959304769791E-2</v>
      </c>
      <c r="K98">
        <f t="shared" si="34"/>
        <v>9.3463549476484165E-2</v>
      </c>
      <c r="L98" s="16">
        <f t="shared" si="3"/>
        <v>4.9520712423189762E-3</v>
      </c>
    </row>
    <row r="99" spans="1:12" x14ac:dyDescent="0.15">
      <c r="A99" t="str">
        <f t="shared" si="20"/>
        <v>Total Liabilities &amp; Equity</v>
      </c>
      <c r="C99">
        <f t="shared" si="31"/>
        <v>-2.0249771729845989E-2</v>
      </c>
      <c r="D99">
        <f t="shared" si="31"/>
        <v>-3.7879357253446377E-3</v>
      </c>
      <c r="E99">
        <f t="shared" ref="E99:K99" si="35">E44/D44-1</f>
        <v>2.8653338362881975E-2</v>
      </c>
      <c r="F99">
        <f t="shared" si="35"/>
        <v>7.2231838139662274E-2</v>
      </c>
      <c r="G99">
        <f t="shared" si="35"/>
        <v>7.843316081078E-2</v>
      </c>
      <c r="H99">
        <f t="shared" si="35"/>
        <v>6.765893570688597E-2</v>
      </c>
      <c r="I99">
        <f t="shared" si="35"/>
        <v>-3.0242063240605743E-2</v>
      </c>
      <c r="J99">
        <f t="shared" si="35"/>
        <v>-6.7916360369190132E-3</v>
      </c>
      <c r="K99">
        <f t="shared" si="35"/>
        <v>3.7837637799808421E-2</v>
      </c>
      <c r="L99" s="16">
        <f t="shared" si="3"/>
        <v>2.4860389343033695E-2</v>
      </c>
    </row>
  </sheetData>
  <sortState xmlns:xlrd2="http://schemas.microsoft.com/office/spreadsheetml/2017/richdata2" columnSort="1" ref="B11:U44">
    <sortCondition ref="B11:U11"/>
  </sortState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16C2-E999-4C0C-8B10-A9CCA31942BF}">
  <dimension ref="B6:L39"/>
  <sheetViews>
    <sheetView topLeftCell="D8" workbookViewId="0">
      <selection activeCell="B26" sqref="A26:XFD26"/>
    </sheetView>
  </sheetViews>
  <sheetFormatPr baseColWidth="10" defaultColWidth="8.83203125" defaultRowHeight="13" x14ac:dyDescent="0.15"/>
  <cols>
    <col min="2" max="2" width="31.83203125" bestFit="1" customWidth="1"/>
    <col min="3" max="12" width="10.1640625" bestFit="1" customWidth="1"/>
  </cols>
  <sheetData>
    <row r="6" spans="2:12" x14ac:dyDescent="0.15">
      <c r="C6" t="str">
        <f>'Balance sheet'!B11</f>
        <v>01/31/2015</v>
      </c>
      <c r="D6" t="str">
        <f>'Balance sheet'!C11</f>
        <v>01/31/2016</v>
      </c>
      <c r="E6" t="str">
        <f>'Balance sheet'!D11</f>
        <v>01/31/2017</v>
      </c>
      <c r="F6" t="str">
        <f>'Balance sheet'!E11</f>
        <v>01/31/2018</v>
      </c>
      <c r="G6" t="str">
        <f>'Balance sheet'!F11</f>
        <v>01/31/2019</v>
      </c>
      <c r="H6" t="str">
        <f>'Balance sheet'!G11</f>
        <v>01/31/2020</v>
      </c>
      <c r="I6" t="str">
        <f>'Balance sheet'!H11</f>
        <v>01/31/2021</v>
      </c>
      <c r="J6" t="str">
        <f>'Balance sheet'!I11</f>
        <v>01/31/2022</v>
      </c>
      <c r="K6" t="str">
        <f>'Balance sheet'!J11</f>
        <v>01/31/2023</v>
      </c>
      <c r="L6" t="str">
        <f>'Balance sheet'!K11</f>
        <v>01/31/2024</v>
      </c>
    </row>
    <row r="8" spans="2:12" x14ac:dyDescent="0.15">
      <c r="B8" t="str">
        <f>'Balance sheet'!$A13</f>
        <v>Cash &amp; Equivalents</v>
      </c>
      <c r="C8" s="27">
        <f>'Balance sheet'!B13/'Balance sheet'!$B$25</f>
        <v>4.4844039939913406E-2</v>
      </c>
      <c r="D8" s="27">
        <f>'Balance sheet'!C13/'Balance sheet'!$C$25</f>
        <v>4.3616376308366026E-2</v>
      </c>
      <c r="E8" s="27">
        <f>'Balance sheet'!D13/'Balance sheet'!$D$25</f>
        <v>3.4537910222557526E-2</v>
      </c>
      <c r="F8" s="27">
        <f>'Balance sheet'!E13/'Balance sheet'!$E$25</f>
        <v>3.3033121131223045E-2</v>
      </c>
      <c r="G8" s="27">
        <f>'Balance sheet'!F13/'Balance sheet'!$F$25</f>
        <v>3.5212841150049023E-2</v>
      </c>
      <c r="H8" s="27">
        <f>'Balance sheet'!G13/'Balance sheet'!$G$25</f>
        <v>4.0021987779868498E-2</v>
      </c>
      <c r="I8" s="27">
        <f>'Balance sheet'!H13/'Balance sheet'!$H$25</f>
        <v>7.0262499207908238E-2</v>
      </c>
      <c r="J8" s="27">
        <f>'Balance sheet'!I13/'Balance sheet'!$I$25</f>
        <v>6.0279343298211226E-2</v>
      </c>
      <c r="K8" s="27">
        <f>'Balance sheet'!J13/'Balance sheet'!$J$25</f>
        <v>3.5465075638268562E-2</v>
      </c>
      <c r="L8" s="27">
        <f>'Balance sheet'!K13/'Balance sheet'!$K$25</f>
        <v>3.9092864868719768E-2</v>
      </c>
    </row>
    <row r="9" spans="2:12" x14ac:dyDescent="0.15">
      <c r="B9" t="str">
        <f>'Balance sheet'!$A14</f>
        <v>Cash &amp; Equivs &amp; ST Investments</v>
      </c>
      <c r="C9" s="27">
        <f>'Balance sheet'!B14/'Balance sheet'!$B$25</f>
        <v>4.4844039939913406E-2</v>
      </c>
      <c r="D9" s="27">
        <f>'Balance sheet'!C14/'Balance sheet'!$C$25</f>
        <v>4.3616376308366026E-2</v>
      </c>
      <c r="E9" s="27">
        <f>'Balance sheet'!D14/'Balance sheet'!$D$25</f>
        <v>3.4537910222557526E-2</v>
      </c>
      <c r="F9" s="27">
        <f>'Balance sheet'!E14/'Balance sheet'!$E$25</f>
        <v>3.3033121131223045E-2</v>
      </c>
      <c r="G9" s="27">
        <f>'Balance sheet'!F14/'Balance sheet'!$F$25</f>
        <v>3.5212841150049023E-2</v>
      </c>
      <c r="H9" s="27">
        <f>'Balance sheet'!G14/'Balance sheet'!$G$25</f>
        <v>4.0021987779868498E-2</v>
      </c>
      <c r="I9" s="27">
        <f>'Balance sheet'!H14/'Balance sheet'!$H$25</f>
        <v>7.0262499207908238E-2</v>
      </c>
      <c r="J9" s="27">
        <f>'Balance sheet'!I14/'Balance sheet'!$I$25</f>
        <v>6.0279343298211226E-2</v>
      </c>
      <c r="K9" s="27">
        <f>'Balance sheet'!J14/'Balance sheet'!$J$25</f>
        <v>3.5465075638268562E-2</v>
      </c>
      <c r="L9" s="27">
        <f>'Balance sheet'!K14/'Balance sheet'!$K$25</f>
        <v>3.9092864868719768E-2</v>
      </c>
    </row>
    <row r="10" spans="2:12" x14ac:dyDescent="0.15">
      <c r="B10" t="str">
        <f>'Balance sheet'!$A15</f>
        <v>Receivables (ST)</v>
      </c>
      <c r="C10" s="27">
        <f>'Balance sheet'!B15/'Balance sheet'!$B$25</f>
        <v>3.3273443099368701E-2</v>
      </c>
      <c r="D10" s="27">
        <f>'Balance sheet'!C15/'Balance sheet'!$C$25</f>
        <v>2.8179035078489435E-2</v>
      </c>
      <c r="E10" s="27">
        <f>'Balance sheet'!D15/'Balance sheet'!$D$25</f>
        <v>2.9347416069407772E-2</v>
      </c>
      <c r="F10" s="27">
        <f>'Balance sheet'!E15/'Balance sheet'!$E$25</f>
        <v>2.7449369749953552E-2</v>
      </c>
      <c r="G10" s="27">
        <f>'Balance sheet'!F15/'Balance sheet'!$F$25</f>
        <v>2.8650904033379693E-2</v>
      </c>
      <c r="H10" s="27">
        <f>'Balance sheet'!G15/'Balance sheet'!$G$25</f>
        <v>2.6571386287236518E-2</v>
      </c>
      <c r="I10" s="27">
        <f>'Balance sheet'!H15/'Balance sheet'!$H$25</f>
        <v>2.5806349407515368E-2</v>
      </c>
      <c r="J10" s="27">
        <f>'Balance sheet'!I15/'Balance sheet'!$I$25</f>
        <v>3.3815241362411173E-2</v>
      </c>
      <c r="K10" s="27">
        <f>'Balance sheet'!J15/'Balance sheet'!$J$25</f>
        <v>3.2619645801551828E-2</v>
      </c>
      <c r="L10" s="27">
        <f>'Balance sheet'!K15/'Balance sheet'!$K$25</f>
        <v>3.4849583397715524E-2</v>
      </c>
    </row>
    <row r="11" spans="2:12" x14ac:dyDescent="0.15">
      <c r="B11" t="str">
        <f>'Balance sheet'!$A16</f>
        <v>Inventories</v>
      </c>
      <c r="C11" s="27">
        <f>'Balance sheet'!B16/'Balance sheet'!$B$25</f>
        <v>0.2215987747047215</v>
      </c>
      <c r="D11" s="27">
        <f>'Balance sheet'!C16/'Balance sheet'!$C$25</f>
        <v>0.22281179070151969</v>
      </c>
      <c r="E11" s="27">
        <f>'Balance sheet'!D16/'Balance sheet'!$D$25</f>
        <v>0.21650194895008174</v>
      </c>
      <c r="F11" s="27">
        <f>'Balance sheet'!E16/'Balance sheet'!$E$25</f>
        <v>0.21407476946245391</v>
      </c>
      <c r="G11" s="27">
        <f>'Balance sheet'!F16/'Balance sheet'!$F$25</f>
        <v>0.20186962767048952</v>
      </c>
      <c r="H11" s="27">
        <f>'Balance sheet'!G16/'Balance sheet'!$G$25</f>
        <v>0.1878898073955052</v>
      </c>
      <c r="I11" s="27">
        <f>'Balance sheet'!H16/'Balance sheet'!$H$25</f>
        <v>0.17801866168176922</v>
      </c>
      <c r="J11" s="27">
        <f>'Balance sheet'!I16/'Balance sheet'!$I$25</f>
        <v>0.23078902229845627</v>
      </c>
      <c r="K11" s="27">
        <f>'Balance sheet'!J16/'Balance sheet'!$J$25</f>
        <v>0.23263444861573129</v>
      </c>
      <c r="L11" s="27">
        <f>'Balance sheet'!K16/'Balance sheet'!$K$25</f>
        <v>0.21748105182667127</v>
      </c>
    </row>
    <row r="12" spans="2:12" x14ac:dyDescent="0.15">
      <c r="B12" t="str">
        <f>'Balance sheet'!$A17</f>
        <v>Discontinued Ops (ST Asset)</v>
      </c>
      <c r="C12" s="27">
        <f>'Balance sheet'!B17/'Balance sheet'!$B$25</f>
        <v>0</v>
      </c>
      <c r="D12" s="27">
        <f>'Balance sheet'!C17/'Balance sheet'!$C$25</f>
        <v>0</v>
      </c>
      <c r="E12" s="27">
        <f>'Balance sheet'!D17/'Balance sheet'!$D$25</f>
        <v>0</v>
      </c>
      <c r="F12" s="27">
        <f>'Balance sheet'!E17/'Balance sheet'!$E$25</f>
        <v>0</v>
      </c>
      <c r="G12" s="27">
        <f>'Balance sheet'!F17/'Balance sheet'!$F$25</f>
        <v>0</v>
      </c>
      <c r="H12" s="27">
        <f>'Balance sheet'!G17/'Balance sheet'!$G$25</f>
        <v>0</v>
      </c>
      <c r="I12" s="27">
        <f>'Balance sheet'!H17/'Balance sheet'!$H$25</f>
        <v>0</v>
      </c>
      <c r="J12" s="27">
        <f>'Balance sheet'!I17/'Balance sheet'!$I$25</f>
        <v>0</v>
      </c>
      <c r="K12" s="27">
        <f>'Balance sheet'!J17/'Balance sheet'!$J$25</f>
        <v>0</v>
      </c>
      <c r="L12" s="27">
        <f>'Balance sheet'!K17/'Balance sheet'!$K$25</f>
        <v>1.3161700323693834E-2</v>
      </c>
    </row>
    <row r="13" spans="2:12" x14ac:dyDescent="0.15">
      <c r="B13" t="str">
        <f>'Balance sheet'!$A18</f>
        <v>Other Current Assets</v>
      </c>
      <c r="C13" s="27">
        <f>'Balance sheet'!B18/'Balance sheet'!$B$25</f>
        <v>1.0917695109618764E-2</v>
      </c>
      <c r="D13" s="27">
        <f>'Balance sheet'!C18/'Balance sheet'!$C$25</f>
        <v>7.2201261643142388E-3</v>
      </c>
      <c r="E13" s="27">
        <f>'Balance sheet'!D18/'Balance sheet'!$D$25</f>
        <v>9.7623538287438701E-3</v>
      </c>
      <c r="F13" s="27">
        <f>'Balance sheet'!E18/'Balance sheet'!$E$25</f>
        <v>1.7166857355198951E-2</v>
      </c>
      <c r="G13" s="27">
        <f>'Balance sheet'!F18/'Balance sheet'!$F$25</f>
        <v>1.6521124512642787E-2</v>
      </c>
      <c r="H13" s="27">
        <f>'Balance sheet'!G18/'Balance sheet'!$G$25</f>
        <v>6.8584959512886104E-3</v>
      </c>
      <c r="I13" s="27">
        <f>'Balance sheet'!H18/'Balance sheet'!$H$25</f>
        <v>8.2619130600088714E-2</v>
      </c>
      <c r="J13" s="27">
        <f>'Balance sheet'!I18/'Balance sheet'!$I$25</f>
        <v>6.2035448827901657E-3</v>
      </c>
      <c r="K13" s="27">
        <f>'Balance sheet'!J18/'Balance sheet'!$J$25</f>
        <v>1.0366081818443484E-2</v>
      </c>
      <c r="L13" s="27">
        <f>'Balance sheet'!K18/'Balance sheet'!$K$25</f>
        <v>0</v>
      </c>
    </row>
    <row r="14" spans="2:12" x14ac:dyDescent="0.15">
      <c r="B14" t="str">
        <f>'Balance sheet'!$A19</f>
        <v>Total Current Assets</v>
      </c>
      <c r="C14" s="27">
        <f>'Balance sheet'!B19/'Balance sheet'!$B$25</f>
        <v>0.31063395285362239</v>
      </c>
      <c r="D14" s="27">
        <f>'Balance sheet'!C19/'Balance sheet'!$C$25</f>
        <v>0.30182732825268938</v>
      </c>
      <c r="E14" s="27">
        <f>'Balance sheet'!D19/'Balance sheet'!$D$25</f>
        <v>0.29014962907079089</v>
      </c>
      <c r="F14" s="27">
        <f>'Balance sheet'!E19/'Balance sheet'!$E$25</f>
        <v>0.29172411769882944</v>
      </c>
      <c r="G14" s="27">
        <f>'Balance sheet'!F19/'Balance sheet'!$F$25</f>
        <v>0.28225449736656105</v>
      </c>
      <c r="H14" s="27">
        <f>'Balance sheet'!G19/'Balance sheet'!$G$25</f>
        <v>0.2613416774138988</v>
      </c>
      <c r="I14" s="27">
        <f>'Balance sheet'!H19/'Balance sheet'!$H$25</f>
        <v>0.35670664089728155</v>
      </c>
      <c r="J14" s="27">
        <f>'Balance sheet'!I19/'Balance sheet'!$I$25</f>
        <v>0.33108715184186882</v>
      </c>
      <c r="K14" s="27">
        <f>'Balance sheet'!J19/'Balance sheet'!$J$25</f>
        <v>0.31108525187399516</v>
      </c>
      <c r="L14" s="27">
        <f>'Balance sheet'!K19/'Balance sheet'!$K$25</f>
        <v>0.30458520041680037</v>
      </c>
    </row>
    <row r="15" spans="2:12" x14ac:dyDescent="0.15">
      <c r="B15" t="str">
        <f>'Balance sheet'!$A20</f>
        <v>Gross Property Plant &amp; Equip</v>
      </c>
      <c r="C15" s="27">
        <f>'Balance sheet'!B20/'Balance sheet'!$B$25</f>
        <v>0.87083836509479351</v>
      </c>
      <c r="D15" s="27">
        <f>'Balance sheet'!C20/'Balance sheet'!$C$25</f>
        <v>0.88664752656816026</v>
      </c>
      <c r="E15" s="27">
        <f>'Balance sheet'!D20/'Balance sheet'!$D$25</f>
        <v>0.90276373695460832</v>
      </c>
      <c r="F15" s="27">
        <f>'Balance sheet'!E20/'Balance sheet'!$E$25</f>
        <v>0.90530114119752403</v>
      </c>
      <c r="G15" s="27">
        <f>'Balance sheet'!F20/'Balance sheet'!$F$25</f>
        <v>0.84730614013087391</v>
      </c>
      <c r="H15" s="27">
        <f>'Balance sheet'!G20/'Balance sheet'!$G$25</f>
        <v>0.82466014080635952</v>
      </c>
      <c r="I15" s="27">
        <f>'Balance sheet'!H20/'Balance sheet'!$H$25</f>
        <v>0.71514400228122421</v>
      </c>
      <c r="J15" s="27">
        <f>'Balance sheet'!I20/'Balance sheet'!$I$25</f>
        <v>0.77319284489095808</v>
      </c>
      <c r="K15" s="27">
        <f>'Balance sheet'!J20/'Balance sheet'!$J$25</f>
        <v>0.83212375152654017</v>
      </c>
      <c r="L15" s="27">
        <f>'Balance sheet'!K20/'Balance sheet'!$K$25</f>
        <v>0.87107714372877865</v>
      </c>
    </row>
    <row r="16" spans="2:12" x14ac:dyDescent="0.15">
      <c r="B16" t="str">
        <f>'Balance sheet'!$A21</f>
        <v>Accumulated Depreciation</v>
      </c>
      <c r="C16" s="27">
        <f>'Balance sheet'!B21/'Balance sheet'!$B$25</f>
        <v>0.30983378005557027</v>
      </c>
      <c r="D16" s="27">
        <f>'Balance sheet'!C21/'Balance sheet'!$C$25</f>
        <v>0.33463606255104444</v>
      </c>
      <c r="E16" s="27">
        <f>'Balance sheet'!D21/'Balance sheet'!$D$25</f>
        <v>0.36103105746259273</v>
      </c>
      <c r="F16" s="27">
        <f>'Balance sheet'!E21/'Balance sheet'!$E$25</f>
        <v>0.37882966135672447</v>
      </c>
      <c r="G16" s="27">
        <f>'Balance sheet'!F21/'Balance sheet'!$F$25</f>
        <v>0.37161357988098226</v>
      </c>
      <c r="H16" s="27">
        <f>'Balance sheet'!G21/'Balance sheet'!$G$25</f>
        <v>0.37979661303621642</v>
      </c>
      <c r="I16" s="27">
        <f>'Balance sheet'!H21/'Balance sheet'!$H$25</f>
        <v>0.34998574234839364</v>
      </c>
      <c r="J16" s="27">
        <f>'Balance sheet'!I21/'Balance sheet'!$I$25</f>
        <v>0.38719676549865228</v>
      </c>
      <c r="K16" s="27">
        <f>'Balance sheet'!J21/'Balance sheet'!$J$25</f>
        <v>0.41780943021501088</v>
      </c>
      <c r="L16" s="27">
        <f>'Balance sheet'!K21/'Balance sheet'!$K$25</f>
        <v>0.432050047741869</v>
      </c>
    </row>
    <row r="17" spans="2:12" x14ac:dyDescent="0.15">
      <c r="B17" t="str">
        <f>'Balance sheet'!$A22</f>
        <v>Net Property Plant &amp; Equip</v>
      </c>
      <c r="C17" s="27">
        <f>'Balance sheet'!B22/'Balance sheet'!$B$25</f>
        <v>0.56100458503922324</v>
      </c>
      <c r="D17" s="27">
        <f>'Balance sheet'!C22/'Balance sheet'!$C$25</f>
        <v>0.55201146401711587</v>
      </c>
      <c r="E17" s="27">
        <f>'Balance sheet'!D22/'Balance sheet'!$D$25</f>
        <v>0.54173267949201565</v>
      </c>
      <c r="F17" s="27">
        <f>'Balance sheet'!E22/'Balance sheet'!$E$25</f>
        <v>0.52647147984079956</v>
      </c>
      <c r="G17" s="27">
        <f>'Balance sheet'!F22/'Balance sheet'!$F$25</f>
        <v>0.4756925602498917</v>
      </c>
      <c r="H17" s="27">
        <f>'Balance sheet'!G22/'Balance sheet'!$G$25</f>
        <v>0.44486352777014315</v>
      </c>
      <c r="I17" s="27">
        <f>'Balance sheet'!H22/'Balance sheet'!$H$25</f>
        <v>0.36515825993283063</v>
      </c>
      <c r="J17" s="27">
        <f>'Balance sheet'!I22/'Balance sheet'!$I$25</f>
        <v>0.38599607939230579</v>
      </c>
      <c r="K17" s="27">
        <f>'Balance sheet'!J22/'Balance sheet'!$J$25</f>
        <v>0.41431432131152934</v>
      </c>
      <c r="L17" s="27">
        <f>'Balance sheet'!K22/'Balance sheet'!$K$25</f>
        <v>0.43902709598690959</v>
      </c>
    </row>
    <row r="18" spans="2:12" x14ac:dyDescent="0.15">
      <c r="B18" t="str">
        <f>'Balance sheet'!$A23</f>
        <v>Intangible Assets</v>
      </c>
      <c r="C18" s="27">
        <f>'Balance sheet'!B23/'Balance sheet'!$B$25</f>
        <v>8.8863361903920357E-2</v>
      </c>
      <c r="D18" s="27">
        <f>'Balance sheet'!C23/'Balance sheet'!$C$25</f>
        <v>8.3650247268026515E-2</v>
      </c>
      <c r="E18" s="27">
        <f>'Balance sheet'!D23/'Balance sheet'!$D$25</f>
        <v>8.5688419464353072E-2</v>
      </c>
      <c r="F18" s="27">
        <f>'Balance sheet'!E23/'Balance sheet'!$E$25</f>
        <v>8.9193338613938841E-2</v>
      </c>
      <c r="G18" s="27">
        <f>'Balance sheet'!F23/'Balance sheet'!$F$25</f>
        <v>0.14218746437447274</v>
      </c>
      <c r="H18" s="27">
        <f>'Balance sheet'!G23/'Balance sheet'!$G$25</f>
        <v>0.13138966997188101</v>
      </c>
      <c r="I18" s="27">
        <f>'Balance sheet'!H23/'Balance sheet'!$H$25</f>
        <v>0.11478597680755338</v>
      </c>
      <c r="J18" s="27">
        <f>'Balance sheet'!I23/'Balance sheet'!$I$25</f>
        <v>0.1184921996242751</v>
      </c>
      <c r="K18" s="27">
        <f>'Balance sheet'!J23/'Balance sheet'!$J$25</f>
        <v>0.11584846852551635</v>
      </c>
      <c r="L18" s="27">
        <f>'Balance sheet'!K23/'Balance sheet'!$K$25</f>
        <v>0.11138316712823744</v>
      </c>
    </row>
    <row r="19" spans="2:12" x14ac:dyDescent="0.15">
      <c r="B19" t="str">
        <f>'Balance sheet'!$A24</f>
        <v>Other Assets</v>
      </c>
      <c r="C19" s="27">
        <f>'Balance sheet'!B24/'Balance sheet'!$B$25</f>
        <v>3.949810020323407E-2</v>
      </c>
      <c r="D19" s="27">
        <f>'Balance sheet'!C24/'Balance sheet'!$C$25</f>
        <v>6.2510960462168239E-2</v>
      </c>
      <c r="E19" s="27">
        <f>'Balance sheet'!D24/'Balance sheet'!$D$25</f>
        <v>8.2429271972840432E-2</v>
      </c>
      <c r="F19" s="27">
        <f>'Balance sheet'!E24/'Balance sheet'!$E$25</f>
        <v>9.2611063846432168E-2</v>
      </c>
      <c r="G19" s="27">
        <f>'Balance sheet'!F24/'Balance sheet'!$F$25</f>
        <v>9.986547800907454E-2</v>
      </c>
      <c r="H19" s="27">
        <f>'Balance sheet'!G24/'Balance sheet'!$G$25</f>
        <v>0.16240512484407704</v>
      </c>
      <c r="I19" s="27">
        <f>'Balance sheet'!H24/'Balance sheet'!$H$25</f>
        <v>0.16334912236233445</v>
      </c>
      <c r="J19" s="27">
        <f>'Balance sheet'!I24/'Balance sheet'!$I$25</f>
        <v>0.16442456914155026</v>
      </c>
      <c r="K19" s="27">
        <f>'Balance sheet'!J24/'Balance sheet'!$J$25</f>
        <v>0.15875195828895916</v>
      </c>
      <c r="L19" s="27">
        <f>'Balance sheet'!K24/'Balance sheet'!$K$25</f>
        <v>0.14500453646805256</v>
      </c>
    </row>
    <row r="20" spans="2:12" x14ac:dyDescent="0.15">
      <c r="B20" t="str">
        <f>'Balance sheet'!$A25</f>
        <v>Total Assets</v>
      </c>
      <c r="C20" s="27">
        <f>'Balance sheet'!B25/'Balance sheet'!$B$25</f>
        <v>1</v>
      </c>
      <c r="D20" s="27">
        <f>'Balance sheet'!C25/'Balance sheet'!$C$25</f>
        <v>1</v>
      </c>
      <c r="E20" s="27">
        <f>'Balance sheet'!D25/'Balance sheet'!$D$25</f>
        <v>1</v>
      </c>
      <c r="F20" s="27">
        <f>'Balance sheet'!E25/'Balance sheet'!$E$25</f>
        <v>1</v>
      </c>
      <c r="G20" s="27">
        <f>'Balance sheet'!F25/'Balance sheet'!$F$25</f>
        <v>1</v>
      </c>
      <c r="H20" s="27">
        <f>'Balance sheet'!G25/'Balance sheet'!$G$25</f>
        <v>1</v>
      </c>
      <c r="I20" s="27">
        <f>'Balance sheet'!H25/'Balance sheet'!$H$25</f>
        <v>1</v>
      </c>
      <c r="J20" s="27">
        <f>'Balance sheet'!I25/'Balance sheet'!$I$25</f>
        <v>1</v>
      </c>
      <c r="K20" s="27">
        <f>'Balance sheet'!J25/'Balance sheet'!$J$25</f>
        <v>1</v>
      </c>
      <c r="L20" s="27">
        <f>'Balance sheet'!K25/'Balance sheet'!$K$25</f>
        <v>1</v>
      </c>
    </row>
    <row r="21" spans="2:12" x14ac:dyDescent="0.15">
      <c r="B21" t="str">
        <f>'Balance sheet'!$A26</f>
        <v>Accounts Payable &amp; Accrued Exps</v>
      </c>
      <c r="C21" s="27">
        <f>'Balance sheet'!B26/'Balance sheet'!$B$25</f>
        <v>0.28758603084837953</v>
      </c>
      <c r="D21" s="27">
        <f>'Balance sheet'!C26/'Balance sheet'!$C$25</f>
        <v>0.29369028113898615</v>
      </c>
      <c r="E21" s="27">
        <f>'Balance sheet'!D26/'Balance sheet'!$D$25</f>
        <v>0.31690179806362379</v>
      </c>
      <c r="F21" s="27">
        <f>'Balance sheet'!E26/'Balance sheet'!$E$25</f>
        <v>0.32682058653836749</v>
      </c>
      <c r="G21" s="27">
        <f>'Balance sheet'!F26/'Balance sheet'!$F$25</f>
        <v>0.30878497001755628</v>
      </c>
      <c r="H21" s="27">
        <f>'Balance sheet'!G26/'Balance sheet'!$G$25</f>
        <v>0.28566777310302544</v>
      </c>
      <c r="I21" s="27">
        <f>'Balance sheet'!H26/'Balance sheet'!$H$25</f>
        <v>0.28636097205500283</v>
      </c>
      <c r="J21" s="27">
        <f>'Balance sheet'!I26/'Balance sheet'!$I$25</f>
        <v>0.32505104957935149</v>
      </c>
      <c r="K21" s="27">
        <f>'Balance sheet'!J26/'Balance sheet'!$J$25</f>
        <v>0.3417270772254592</v>
      </c>
      <c r="L21" s="27">
        <f>'Balance sheet'!K26/'Balance sheet'!$K$25</f>
        <v>0.34024698988506291</v>
      </c>
    </row>
    <row r="22" spans="2:12" x14ac:dyDescent="0.15">
      <c r="B22" t="str">
        <f>'Balance sheet'!$A27</f>
        <v>Accounts Payable</v>
      </c>
      <c r="C22" s="27">
        <f>'Balance sheet'!B27/'Balance sheet'!$B$25</f>
        <v>0.18855605627718378</v>
      </c>
      <c r="D22" s="27">
        <f>'Balance sheet'!C27/'Balance sheet'!$C$25</f>
        <v>0.19283899770018187</v>
      </c>
      <c r="E22" s="27">
        <f>'Balance sheet'!D27/'Balance sheet'!$D$25</f>
        <v>0.20838928706148624</v>
      </c>
      <c r="F22" s="27">
        <f>'Balance sheet'!E27/'Balance sheet'!$E$25</f>
        <v>0.22536450846363718</v>
      </c>
      <c r="G22" s="27">
        <f>'Balance sheet'!F27/'Balance sheet'!$F$25</f>
        <v>0.21459677603228527</v>
      </c>
      <c r="H22" s="27">
        <f>'Balance sheet'!G27/'Balance sheet'!$G$25</f>
        <v>0.1986215353390135</v>
      </c>
      <c r="I22" s="27">
        <f>'Balance sheet'!H27/'Balance sheet'!$H$25</f>
        <v>0.19462090488562195</v>
      </c>
      <c r="J22" s="27">
        <f>'Balance sheet'!I27/'Balance sheet'!$I$25</f>
        <v>0.22568406436330965</v>
      </c>
      <c r="K22" s="27">
        <f>'Balance sheet'!J27/'Balance sheet'!$J$25</f>
        <v>0.22098134434224107</v>
      </c>
      <c r="L22" s="27">
        <f>'Balance sheet'!K27/'Balance sheet'!$K$25</f>
        <v>0.22508805502398979</v>
      </c>
    </row>
    <row r="23" spans="2:12" x14ac:dyDescent="0.15">
      <c r="B23" t="str">
        <f>'Balance sheet'!$A28</f>
        <v>Accrued Expenses</v>
      </c>
      <c r="C23" s="27">
        <f>'Balance sheet'!B28/'Balance sheet'!$B$25</f>
        <v>9.9029974571195736E-2</v>
      </c>
      <c r="D23" s="27">
        <f>'Balance sheet'!C28/'Balance sheet'!$C$25</f>
        <v>0.1008512834388043</v>
      </c>
      <c r="E23" s="27">
        <f>'Balance sheet'!D28/'Balance sheet'!$D$25</f>
        <v>0.10851251100213756</v>
      </c>
      <c r="F23" s="27">
        <f>'Balance sheet'!E28/'Balance sheet'!$E$25</f>
        <v>0.10145607807473035</v>
      </c>
      <c r="G23" s="27">
        <f>'Balance sheet'!F28/'Balance sheet'!$F$25</f>
        <v>9.4188193985270979E-2</v>
      </c>
      <c r="H23" s="27">
        <f>'Balance sheet'!G28/'Balance sheet'!$G$25</f>
        <v>8.7046237764011922E-2</v>
      </c>
      <c r="I23" s="27">
        <f>'Balance sheet'!H28/'Balance sheet'!$H$25</f>
        <v>9.1740067169380907E-2</v>
      </c>
      <c r="J23" s="27">
        <f>'Balance sheet'!I28/'Balance sheet'!$I$25</f>
        <v>9.9366985216041814E-2</v>
      </c>
      <c r="K23" s="27">
        <f>'Balance sheet'!J28/'Balance sheet'!$J$25</f>
        <v>0.12074573288321813</v>
      </c>
      <c r="L23" s="27">
        <f>'Balance sheet'!K28/'Balance sheet'!$K$25</f>
        <v>0.11515893486107315</v>
      </c>
    </row>
    <row r="24" spans="2:12" x14ac:dyDescent="0.15">
      <c r="B24" t="str">
        <f>'Balance sheet'!$A29</f>
        <v>Current Debt</v>
      </c>
      <c r="C24" s="27">
        <f>'Balance sheet'!B29/'Balance sheet'!$B$25</f>
        <v>3.1427645724720919E-2</v>
      </c>
      <c r="D24" s="27">
        <f>'Balance sheet'!C29/'Balance sheet'!$C$25</f>
        <v>2.7322240092994825E-2</v>
      </c>
      <c r="E24" s="27">
        <f>'Balance sheet'!D29/'Balance sheet'!$D$25</f>
        <v>1.6874135546334715E-2</v>
      </c>
      <c r="F24" s="27">
        <f>'Balance sheet'!E29/'Balance sheet'!$E$25</f>
        <v>4.3980598664202383E-2</v>
      </c>
      <c r="G24" s="27">
        <f>'Balance sheet'!F29/'Balance sheet'!$F$25</f>
        <v>3.2381039239380745E-2</v>
      </c>
      <c r="H24" s="27">
        <f>'Balance sheet'!G29/'Balance sheet'!$G$25</f>
        <v>2.5104124822934944E-2</v>
      </c>
      <c r="I24" s="27">
        <f>'Balance sheet'!H29/'Balance sheet'!$H$25</f>
        <v>1.3223971864900831E-2</v>
      </c>
      <c r="J24" s="27">
        <f>'Balance sheet'!I29/'Balance sheet'!$I$25</f>
        <v>1.3121783876500858E-2</v>
      </c>
      <c r="K24" s="27">
        <f>'Balance sheet'!J29/'Balance sheet'!$J$25</f>
        <v>1.8762566972454431E-2</v>
      </c>
      <c r="L24" s="27">
        <f>'Balance sheet'!K29/'Balance sheet'!$K$25</f>
        <v>1.7135567098126379E-2</v>
      </c>
    </row>
    <row r="25" spans="2:12" x14ac:dyDescent="0.15">
      <c r="B25" t="str">
        <f>'Balance sheet'!$A30</f>
        <v>Current Lease Obligations</v>
      </c>
      <c r="C25" s="27">
        <f>'Balance sheet'!B30/'Balance sheet'!$B$25</f>
        <v>1.4088932088401913E-3</v>
      </c>
      <c r="D25" s="27">
        <f>'Balance sheet'!C30/'Balance sheet'!$C$25</f>
        <v>2.7607838421493027E-3</v>
      </c>
      <c r="E25" s="27">
        <f>'Balance sheet'!D30/'Balance sheet'!$D$25</f>
        <v>2.8416949578775304E-3</v>
      </c>
      <c r="F25" s="27">
        <f>'Balance sheet'!E30/'Balance sheet'!$E$25</f>
        <v>3.2612628470286816E-3</v>
      </c>
      <c r="G25" s="27">
        <f>'Balance sheet'!F30/'Balance sheet'!$F$25</f>
        <v>3.3242891994801523E-3</v>
      </c>
      <c r="H25" s="27">
        <f>'Balance sheet'!G30/'Balance sheet'!$G$25</f>
        <v>2.1607222140002961E-3</v>
      </c>
      <c r="I25" s="27">
        <f>'Balance sheet'!H30/'Balance sheet'!$H$25</f>
        <v>1.944585260756606E-3</v>
      </c>
      <c r="J25" s="27">
        <f>'Balance sheet'!I30/'Balance sheet'!$I$25</f>
        <v>2.0869068038879362E-3</v>
      </c>
      <c r="K25" s="27">
        <f>'Balance sheet'!J30/'Balance sheet'!$J$25</f>
        <v>2.3314432332635681E-3</v>
      </c>
      <c r="L25" s="27">
        <f>'Balance sheet'!K30/'Balance sheet'!$K$25</f>
        <v>2.8724361031541332E-3</v>
      </c>
    </row>
    <row r="26" spans="2:12" x14ac:dyDescent="0.15">
      <c r="B26" t="str">
        <f>'Balance sheet'!$A31</f>
        <v>Other Current Liabilities</v>
      </c>
      <c r="C26" s="27">
        <f>'Balance sheet'!B31/'Balance sheet'!$B$25</f>
        <v>0</v>
      </c>
      <c r="D26" s="27">
        <f>'Balance sheet'!C31/'Balance sheet'!$C$25</f>
        <v>0</v>
      </c>
      <c r="E26" s="27">
        <f>'Balance sheet'!D31/'Balance sheet'!$D$25</f>
        <v>0</v>
      </c>
      <c r="F26" s="27">
        <f>'Balance sheet'!E31/'Balance sheet'!$E$25</f>
        <v>9.8620197338183668E-3</v>
      </c>
      <c r="G26" s="27">
        <f>'Balance sheet'!F31/'Balance sheet'!$F$25</f>
        <v>8.8100503887457542E-3</v>
      </c>
      <c r="H26" s="27">
        <f>'Balance sheet'!G31/'Balance sheet'!$G$25</f>
        <v>1.5996109854330958E-2</v>
      </c>
      <c r="I26" s="27">
        <f>'Balance sheet'!H31/'Balance sheet'!$H$25</f>
        <v>6.5387174450288327E-2</v>
      </c>
      <c r="J26" s="27">
        <f>'Balance sheet'!I31/'Balance sheet'!$I$25</f>
        <v>1.6593155272400555E-2</v>
      </c>
      <c r="K26" s="27">
        <f>'Balance sheet'!J31/'Balance sheet'!$J$25</f>
        <v>1.6287207490223974E-2</v>
      </c>
      <c r="L26" s="27">
        <f>'Balance sheet'!K31/'Balance sheet'!$K$25</f>
        <v>5.891465497089925E-3</v>
      </c>
    </row>
    <row r="27" spans="2:12" x14ac:dyDescent="0.15">
      <c r="B27" t="str">
        <f>'Balance sheet'!$A32</f>
        <v>Total Current Liabilities</v>
      </c>
      <c r="C27" s="27">
        <f>'Balance sheet'!B32/'Balance sheet'!$B$25</f>
        <v>0.32042256978194061</v>
      </c>
      <c r="D27" s="27">
        <f>'Balance sheet'!C32/'Balance sheet'!$C$25</f>
        <v>0.32377330507413032</v>
      </c>
      <c r="E27" s="27">
        <f>'Balance sheet'!D32/'Balance sheet'!$D$25</f>
        <v>0.33661762856783606</v>
      </c>
      <c r="F27" s="27">
        <f>'Balance sheet'!E32/'Balance sheet'!$E$25</f>
        <v>0.38392446778341693</v>
      </c>
      <c r="G27" s="27">
        <f>'Balance sheet'!F32/'Balance sheet'!$F$25</f>
        <v>0.35330034884516293</v>
      </c>
      <c r="H27" s="27">
        <f>'Balance sheet'!G32/'Balance sheet'!$G$25</f>
        <v>0.32892872999429162</v>
      </c>
      <c r="I27" s="27">
        <f>'Balance sheet'!H32/'Balance sheet'!$H$25</f>
        <v>0.36691670363094858</v>
      </c>
      <c r="J27" s="27">
        <f>'Balance sheet'!I32/'Balance sheet'!$I$25</f>
        <v>0.35685289553214083</v>
      </c>
      <c r="K27" s="27">
        <f>'Balance sheet'!J32/'Balance sheet'!$J$25</f>
        <v>0.37910829492140119</v>
      </c>
      <c r="L27" s="27">
        <f>'Balance sheet'!K32/'Balance sheet'!$K$25</f>
        <v>0.36614645858343337</v>
      </c>
    </row>
    <row r="28" spans="2:12" x14ac:dyDescent="0.15">
      <c r="B28" t="str">
        <f>'Balance sheet'!$A33</f>
        <v>LT Debt &amp; Leases</v>
      </c>
      <c r="C28" s="27">
        <f>'Balance sheet'!B33/'Balance sheet'!$B$25</f>
        <v>0.21448558216252836</v>
      </c>
      <c r="D28" s="27">
        <f>'Balance sheet'!C33/'Balance sheet'!$C$25</f>
        <v>0.2206121825223844</v>
      </c>
      <c r="E28" s="27">
        <f>'Balance sheet'!D33/'Balance sheet'!$D$25</f>
        <v>0.21133157299132402</v>
      </c>
      <c r="F28" s="27">
        <f>'Balance sheet'!E33/'Balance sheet'!$E$25</f>
        <v>0.1800539795229853</v>
      </c>
      <c r="G28" s="27">
        <f>'Balance sheet'!F33/'Balance sheet'!$F$25</f>
        <v>0.22892906815020864</v>
      </c>
      <c r="H28" s="27">
        <f>'Balance sheet'!G33/'Balance sheet'!$G$25</f>
        <v>0.20305291866635658</v>
      </c>
      <c r="I28" s="27">
        <f>'Balance sheet'!H33/'Balance sheet'!$H$25</f>
        <v>0.17838302388948735</v>
      </c>
      <c r="J28" s="27">
        <f>'Balance sheet'!I33/'Balance sheet'!$I$25</f>
        <v>0.15971167197582292</v>
      </c>
      <c r="K28" s="27">
        <f>'Balance sheet'!J33/'Balance sheet'!$J$25</f>
        <v>0.16238687154857995</v>
      </c>
      <c r="L28" s="27">
        <f>'Balance sheet'!K33/'Balance sheet'!$K$25</f>
        <v>0.16577323998906493</v>
      </c>
    </row>
    <row r="29" spans="2:12" x14ac:dyDescent="0.15">
      <c r="B29" t="str">
        <f>'Balance sheet'!$A34</f>
        <v>Minority Interests</v>
      </c>
      <c r="C29" s="27">
        <f>'Balance sheet'!B34/'Balance sheet'!$B$25</f>
        <v>2.2301748598470346E-2</v>
      </c>
      <c r="D29" s="27">
        <f>'Balance sheet'!C34/'Balance sheet'!$C$25</f>
        <v>1.5357173278017446E-2</v>
      </c>
      <c r="E29" s="27">
        <f>'Balance sheet'!D34/'Balance sheet'!$D$25</f>
        <v>1.3765874512762479E-2</v>
      </c>
      <c r="F29" s="27">
        <f>'Balance sheet'!E34/'Balance sheet'!$E$25</f>
        <v>1.4438544508659215E-2</v>
      </c>
      <c r="G29" s="27">
        <f>'Balance sheet'!F34/'Balance sheet'!$F$25</f>
        <v>3.2549761736473698E-2</v>
      </c>
      <c r="H29" s="27">
        <f>'Balance sheet'!G34/'Balance sheet'!$G$25</f>
        <v>2.9104209391319056E-2</v>
      </c>
      <c r="I29" s="27">
        <f>'Balance sheet'!H34/'Balance sheet'!$H$25</f>
        <v>2.616279069767442E-2</v>
      </c>
      <c r="J29" s="27">
        <f>'Balance sheet'!I34/'Balance sheet'!$I$25</f>
        <v>3.5277301315037167E-2</v>
      </c>
      <c r="K29" s="27">
        <f>'Balance sheet'!J34/'Balance sheet'!$J$25</f>
        <v>3.0008593856009735E-2</v>
      </c>
      <c r="L29" s="27">
        <f>'Balance sheet'!K34/'Balance sheet'!$K$25</f>
        <v>2.6584891382295493E-2</v>
      </c>
    </row>
    <row r="30" spans="2:12" x14ac:dyDescent="0.15">
      <c r="B30" t="str">
        <f>'Balance sheet'!$A35</f>
        <v>Other Liabilities</v>
      </c>
      <c r="C30" s="27">
        <f>'Balance sheet'!B35/'Balance sheet'!$B$25</f>
        <v>4.3224058201525729E-2</v>
      </c>
      <c r="D30" s="27">
        <f>'Balance sheet'!C35/'Balance sheet'!$C$25</f>
        <v>3.6681848472549995E-2</v>
      </c>
      <c r="E30" s="27">
        <f>'Balance sheet'!D35/'Balance sheet'!$D$25</f>
        <v>4.699610209983654E-2</v>
      </c>
      <c r="F30" s="27">
        <f>'Balance sheet'!E35/'Balance sheet'!$E$25</f>
        <v>4.0846461505363724E-2</v>
      </c>
      <c r="G30" s="27">
        <f>'Balance sheet'!F35/'Balance sheet'!$F$25</f>
        <v>5.4634168585695066E-2</v>
      </c>
      <c r="H30" s="27">
        <f>'Balance sheet'!G35/'Balance sheet'!$G$25</f>
        <v>0.12318230829404427</v>
      </c>
      <c r="I30" s="27">
        <f>'Balance sheet'!H35/'Balance sheet'!$H$25</f>
        <v>0.10803735504720867</v>
      </c>
      <c r="J30" s="27">
        <f>'Balance sheet'!I35/'Balance sheet'!$I$25</f>
        <v>0.10815568079719023</v>
      </c>
      <c r="K30" s="27">
        <f>'Balance sheet'!J35/'Balance sheet'!$J$25</f>
        <v>0.11314284304493888</v>
      </c>
      <c r="L30" s="27">
        <f>'Balance sheet'!K35/'Balance sheet'!$K$25</f>
        <v>5.1279917907757162E-2</v>
      </c>
    </row>
    <row r="31" spans="2:12" x14ac:dyDescent="0.15">
      <c r="B31" t="str">
        <f>'Balance sheet'!$A36</f>
        <v>Total Liabilities</v>
      </c>
      <c r="C31" s="27">
        <f>'Balance sheet'!B36/'Balance sheet'!$B$25</f>
        <v>0.60043395874446504</v>
      </c>
      <c r="D31" s="27">
        <f>'Balance sheet'!C36/'Balance sheet'!$C$25</f>
        <v>0.59642450934708213</v>
      </c>
      <c r="E31" s="27">
        <f>'Balance sheet'!D36/'Balance sheet'!$D$25</f>
        <v>0.60871117817175913</v>
      </c>
      <c r="F31" s="27">
        <f>'Balance sheet'!E36/'Balance sheet'!$E$25</f>
        <v>0.61926345332042521</v>
      </c>
      <c r="G31" s="27">
        <f>'Balance sheet'!F36/'Balance sheet'!$F$25</f>
        <v>0.66941334731754032</v>
      </c>
      <c r="H31" s="27">
        <f>'Balance sheet'!G36/'Balance sheet'!$G$25</f>
        <v>0.68426816634601151</v>
      </c>
      <c r="I31" s="27">
        <f>'Balance sheet'!H36/'Balance sheet'!$H$25</f>
        <v>0.67949987326531902</v>
      </c>
      <c r="J31" s="27">
        <f>'Balance sheet'!I36/'Balance sheet'!$I$25</f>
        <v>0.65999754962019108</v>
      </c>
      <c r="K31" s="27">
        <f>'Balance sheet'!J36/'Balance sheet'!$J$25</f>
        <v>0.68464660337092975</v>
      </c>
      <c r="L31" s="27">
        <f>'Balance sheet'!K36/'Balance sheet'!$K$25</f>
        <v>0.66774432545295348</v>
      </c>
    </row>
    <row r="32" spans="2:12" x14ac:dyDescent="0.15">
      <c r="B32" t="str">
        <f>'Balance sheet'!$A37</f>
        <v>Common Share Capital</v>
      </c>
      <c r="C32" s="27">
        <f>'Balance sheet'!B37/'Balance sheet'!$B$25</f>
        <v>1.5856184893915742E-3</v>
      </c>
      <c r="D32" s="27">
        <f>'Balance sheet'!C37/'Balance sheet'!$C$25</f>
        <v>1.5883275462093085E-3</v>
      </c>
      <c r="E32" s="27">
        <f>'Balance sheet'!D37/'Balance sheet'!$D$25</f>
        <v>1.5340123223940652E-3</v>
      </c>
      <c r="F32" s="27">
        <f>'Balance sheet'!E37/'Balance sheet'!$E$25</f>
        <v>1.4423876160021905E-3</v>
      </c>
      <c r="G32" s="27">
        <f>'Balance sheet'!F37/'Balance sheet'!$F$25</f>
        <v>1.313299436831665E-3</v>
      </c>
      <c r="H32" s="27">
        <f>'Balance sheet'!G37/'Balance sheet'!$G$25</f>
        <v>1.200871054356329E-3</v>
      </c>
      <c r="I32" s="27">
        <f>'Balance sheet'!H37/'Balance sheet'!$H$25</f>
        <v>1.1168493758316963E-3</v>
      </c>
      <c r="J32" s="27">
        <f>'Balance sheet'!I37/'Balance sheet'!$I$25</f>
        <v>1.1271747120803724E-3</v>
      </c>
      <c r="K32" s="27">
        <f>'Balance sheet'!J37/'Balance sheet'!$J$25</f>
        <v>1.1060991706312168E-3</v>
      </c>
      <c r="L32" s="27">
        <f>'Balance sheet'!K37/'Balance sheet'!$K$25</f>
        <v>3.1893945697090719E-3</v>
      </c>
    </row>
    <row r="33" spans="2:12" x14ac:dyDescent="0.15">
      <c r="B33" t="str">
        <f>'Balance sheet'!$A38</f>
        <v>Additional Paid-In Capital</v>
      </c>
      <c r="C33" s="27">
        <f>'Balance sheet'!B38/'Balance sheet'!$B$25</f>
        <v>1.208604557548624E-2</v>
      </c>
      <c r="D33" s="27">
        <f>'Balance sheet'!C38/'Balance sheet'!$C$25</f>
        <v>9.0439470691097857E-3</v>
      </c>
      <c r="E33" s="27">
        <f>'Balance sheet'!D38/'Balance sheet'!$D$25</f>
        <v>1.1925059725889602E-2</v>
      </c>
      <c r="F33" s="27">
        <f>'Balance sheet'!E38/'Balance sheet'!$E$25</f>
        <v>1.2947262397199323E-2</v>
      </c>
      <c r="G33" s="27">
        <f>'Balance sheet'!F38/'Balance sheet'!$F$25</f>
        <v>1.3520600104881552E-2</v>
      </c>
      <c r="H33" s="27">
        <f>'Balance sheet'!G38/'Balance sheet'!$G$25</f>
        <v>1.3729677160193661E-2</v>
      </c>
      <c r="I33" s="27">
        <f>'Balance sheet'!H38/'Balance sheet'!$H$25</f>
        <v>1.4439832710221152E-2</v>
      </c>
      <c r="J33" s="27">
        <f>'Balance sheet'!I38/'Balance sheet'!$I$25</f>
        <v>1.9762313158539574E-2</v>
      </c>
      <c r="K33" s="27">
        <f>'Balance sheet'!J38/'Balance sheet'!$J$25</f>
        <v>2.043199546047032E-2</v>
      </c>
      <c r="L33" s="27">
        <f>'Balance sheet'!K38/'Balance sheet'!$K$25</f>
        <v>1.8003240900320523E-2</v>
      </c>
    </row>
    <row r="34" spans="2:12" x14ac:dyDescent="0.15">
      <c r="B34" t="str">
        <f>'Balance sheet'!$A39</f>
        <v>Retained Earnings</v>
      </c>
      <c r="C34" s="27">
        <f>'Balance sheet'!B39/'Balance sheet'!$B$25</f>
        <v>0.42108234416266582</v>
      </c>
      <c r="D34" s="27">
        <f>'Balance sheet'!C39/'Balance sheet'!$C$25</f>
        <v>0.45104994964450523</v>
      </c>
      <c r="E34" s="27">
        <f>'Balance sheet'!D39/'Balance sheet'!$D$25</f>
        <v>0.44941028542688294</v>
      </c>
      <c r="F34" s="27">
        <f>'Balance sheet'!E39/'Balance sheet'!$E$25</f>
        <v>0.41612638249185907</v>
      </c>
      <c r="G34" s="27">
        <f>'Balance sheet'!F39/'Balance sheet'!$F$25</f>
        <v>0.36838505209877104</v>
      </c>
      <c r="H34" s="27">
        <f>'Balance sheet'!G39/'Balance sheet'!$G$25</f>
        <v>0.35494619336561029</v>
      </c>
      <c r="I34" s="27">
        <f>'Balance sheet'!H39/'Balance sheet'!$H$25</f>
        <v>0.35154220264875485</v>
      </c>
      <c r="J34" s="27">
        <f>'Balance sheet'!I39/'Balance sheet'!$I$25</f>
        <v>0.35491301151678512</v>
      </c>
      <c r="K34" s="27">
        <f>'Balance sheet'!J39/'Balance sheet'!$J$25</f>
        <v>0.34184221022463268</v>
      </c>
      <c r="L34" s="27">
        <f>'Balance sheet'!K39/'Balance sheet'!$K$25</f>
        <v>0.35584134643956594</v>
      </c>
    </row>
    <row r="35" spans="2:12" x14ac:dyDescent="0.15">
      <c r="B35" t="str">
        <f>'Balance sheet'!$A40</f>
        <v>Accum Other Comprehensive Income</v>
      </c>
      <c r="C35" s="27">
        <f>'Balance sheet'!B40/'Balance sheet'!$B$25</f>
        <v>-3.5187966972008676E-2</v>
      </c>
      <c r="D35" s="27">
        <f>'Balance sheet'!C40/'Balance sheet'!$C$25</f>
        <v>-5.810673360690647E-2</v>
      </c>
      <c r="E35" s="27">
        <f>'Balance sheet'!D40/'Balance sheet'!$D$25</f>
        <v>-7.1580535646925694E-2</v>
      </c>
      <c r="F35" s="27">
        <f>'Balance sheet'!E40/'Balance sheet'!$E$25</f>
        <v>-4.9779485825485768E-2</v>
      </c>
      <c r="G35" s="27">
        <f>'Balance sheet'!F40/'Balance sheet'!$F$25</f>
        <v>-5.2632298958024577E-2</v>
      </c>
      <c r="H35" s="27">
        <f>'Balance sheet'!G40/'Balance sheet'!$G$25</f>
        <v>-5.4144907926171798E-2</v>
      </c>
      <c r="I35" s="27">
        <f>'Balance sheet'!H40/'Balance sheet'!$H$25</f>
        <v>-4.6598758000126736E-2</v>
      </c>
      <c r="J35" s="27">
        <f>'Balance sheet'!I40/'Balance sheet'!$I$25</f>
        <v>-3.5800049007596174E-2</v>
      </c>
      <c r="K35" s="27">
        <f>'Balance sheet'!J40/'Balance sheet'!$J$25</f>
        <v>-4.8026908226663979E-2</v>
      </c>
      <c r="L35" s="27">
        <f>'Balance sheet'!K40/'Balance sheet'!$K$25</f>
        <v>-4.477830736254898E-2</v>
      </c>
    </row>
    <row r="36" spans="2:12" x14ac:dyDescent="0.15">
      <c r="B36" t="str">
        <f>'Balance sheet'!$A41</f>
        <v>For Curr Trans (BS)</v>
      </c>
      <c r="C36" s="27">
        <f>'Balance sheet'!B41/'Balance sheet'!$B$25</f>
        <v>-3.1196921052889948E-2</v>
      </c>
      <c r="D36" s="27">
        <f>'Balance sheet'!C41/'Balance sheet'!$C$25</f>
        <v>-5.8572709827087746E-2</v>
      </c>
      <c r="E36" s="27">
        <f>'Balance sheet'!D41/'Balance sheet'!$D$25</f>
        <v>-7.2234376964667418E-2</v>
      </c>
      <c r="F36" s="27">
        <f>'Balance sheet'!E41/'Balance sheet'!$E$25</f>
        <v>-5.9338359687466383E-2</v>
      </c>
      <c r="G36" s="27">
        <f>'Balance sheet'!F41/'Balance sheet'!$F$25</f>
        <v>-5.5108415604550945E-2</v>
      </c>
      <c r="H36" s="27">
        <f>'Balance sheet'!G41/'Balance sheet'!$G$25</f>
        <v>-5.0009513943212333E-2</v>
      </c>
      <c r="I36" s="27">
        <f>'Balance sheet'!H41/'Balance sheet'!$H$25</f>
        <v>-4.2662061973258981E-2</v>
      </c>
      <c r="J36" s="27">
        <f>'Balance sheet'!I41/'Balance sheet'!$I$25</f>
        <v>-3.3080127419750062E-2</v>
      </c>
      <c r="K36" s="27">
        <f>'Balance sheet'!J41/'Balance sheet'!$J$25</f>
        <v>-4.4474232823595687E-2</v>
      </c>
      <c r="L36" s="27">
        <f>'Balance sheet'!K41/'Balance sheet'!$K$25</f>
        <v>-4.1533445061192796E-2</v>
      </c>
    </row>
    <row r="37" spans="2:12" x14ac:dyDescent="0.15">
      <c r="B37" t="str">
        <f>'Balance sheet'!$A42</f>
        <v>Other Equity</v>
      </c>
      <c r="C37" s="27">
        <f>'Balance sheet'!B42/'Balance sheet'!$B$25</f>
        <v>3.1196921052889948E-2</v>
      </c>
      <c r="D37" s="27">
        <f>'Balance sheet'!C42/'Balance sheet'!$C$25</f>
        <v>5.8572709827087746E-2</v>
      </c>
      <c r="E37" s="27">
        <f>'Balance sheet'!D42/'Balance sheet'!$D$25</f>
        <v>7.2234376964667418E-2</v>
      </c>
      <c r="F37" s="27">
        <f>'Balance sheet'!E42/'Balance sheet'!$E$25</f>
        <v>5.9338359687466383E-2</v>
      </c>
      <c r="G37" s="27">
        <f>'Balance sheet'!F42/'Balance sheet'!$F$25</f>
        <v>5.5108415604550945E-2</v>
      </c>
      <c r="H37" s="27">
        <f>'Balance sheet'!G42/'Balance sheet'!$G$25</f>
        <v>5.0009513943212333E-2</v>
      </c>
      <c r="I37" s="27">
        <f>'Balance sheet'!H42/'Balance sheet'!$H$25</f>
        <v>4.2662061973258981E-2</v>
      </c>
      <c r="J37" s="27">
        <f>'Balance sheet'!I42/'Balance sheet'!$I$25</f>
        <v>3.3080127419750062E-2</v>
      </c>
      <c r="K37" s="27">
        <f>'Balance sheet'!J42/'Balance sheet'!$J$25</f>
        <v>4.4474232823595687E-2</v>
      </c>
      <c r="L37" s="27">
        <f>'Balance sheet'!K42/'Balance sheet'!$K$25</f>
        <v>4.1533445061192796E-2</v>
      </c>
    </row>
    <row r="38" spans="2:12" x14ac:dyDescent="0.15">
      <c r="B38" t="str">
        <f>'Balance sheet'!$A43</f>
        <v>Total Equity</v>
      </c>
      <c r="C38" s="27">
        <f>'Balance sheet'!B43/'Balance sheet'!$B$25</f>
        <v>0.39956604125553496</v>
      </c>
      <c r="D38" s="27">
        <f>'Balance sheet'!C43/'Balance sheet'!$C$25</f>
        <v>0.40357549065291787</v>
      </c>
      <c r="E38" s="27">
        <f>'Balance sheet'!D43/'Balance sheet'!$D$25</f>
        <v>0.39128882182824093</v>
      </c>
      <c r="F38" s="27">
        <f>'Balance sheet'!E43/'Balance sheet'!$E$25</f>
        <v>0.38073654667957479</v>
      </c>
      <c r="G38" s="27">
        <f>'Balance sheet'!F43/'Balance sheet'!$F$25</f>
        <v>0.33058665268245968</v>
      </c>
      <c r="H38" s="27">
        <f>'Balance sheet'!G43/'Balance sheet'!$G$25</f>
        <v>0.31573183365398844</v>
      </c>
      <c r="I38" s="27">
        <f>'Balance sheet'!H43/'Balance sheet'!$H$25</f>
        <v>0.32050012673468092</v>
      </c>
      <c r="J38" s="27">
        <f>'Balance sheet'!I43/'Balance sheet'!$I$25</f>
        <v>0.34000245037980886</v>
      </c>
      <c r="K38" s="27">
        <f>'Balance sheet'!J43/'Balance sheet'!$J$25</f>
        <v>0.31535339662907025</v>
      </c>
      <c r="L38" s="27">
        <f>'Balance sheet'!K43/'Balance sheet'!$K$25</f>
        <v>0.33225567454704652</v>
      </c>
    </row>
    <row r="39" spans="2:12" x14ac:dyDescent="0.15">
      <c r="B39" t="str">
        <f>'Balance sheet'!$A44</f>
        <v>Total Liabilities &amp; Equity</v>
      </c>
      <c r="C39" s="27">
        <f>'Balance sheet'!B44/'Balance sheet'!$B$25</f>
        <v>1</v>
      </c>
      <c r="D39" s="27">
        <f>'Balance sheet'!C44/'Balance sheet'!$C$25</f>
        <v>1</v>
      </c>
      <c r="E39" s="27">
        <f>'Balance sheet'!D44/'Balance sheet'!$D$25</f>
        <v>1</v>
      </c>
      <c r="F39" s="27">
        <f>'Balance sheet'!E44/'Balance sheet'!$E$25</f>
        <v>1</v>
      </c>
      <c r="G39" s="27">
        <f>'Balance sheet'!F44/'Balance sheet'!$F$25</f>
        <v>1</v>
      </c>
      <c r="H39" s="27">
        <f>'Balance sheet'!G44/'Balance sheet'!$G$25</f>
        <v>1</v>
      </c>
      <c r="I39" s="27">
        <f>'Balance sheet'!H44/'Balance sheet'!$H$25</f>
        <v>1</v>
      </c>
      <c r="J39" s="27">
        <f>'Balance sheet'!I44/'Balance sheet'!$I$25</f>
        <v>1</v>
      </c>
      <c r="K39" s="27">
        <f>'Balance sheet'!J44/'Balance sheet'!$J$25</f>
        <v>1</v>
      </c>
      <c r="L39" s="27">
        <f>'Balance sheet'!K44/'Balance sheet'!$K$25</f>
        <v>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091D-9CBF-4D3C-9978-3E57443D2284}">
  <dimension ref="A3:N45"/>
  <sheetViews>
    <sheetView topLeftCell="D7" zoomScale="96" zoomScaleNormal="96" workbookViewId="0">
      <selection activeCell="A16" sqref="A16"/>
    </sheetView>
  </sheetViews>
  <sheetFormatPr baseColWidth="10" defaultColWidth="8.83203125" defaultRowHeight="13" x14ac:dyDescent="0.15"/>
  <cols>
    <col min="1" max="1" width="20.6640625" bestFit="1" customWidth="1"/>
    <col min="3" max="3" width="11.5" bestFit="1" customWidth="1"/>
    <col min="4" max="12" width="10.1640625" bestFit="1" customWidth="1"/>
  </cols>
  <sheetData>
    <row r="3" spans="1:12" ht="16" x14ac:dyDescent="0.2">
      <c r="A3" s="8" t="s">
        <v>71</v>
      </c>
    </row>
    <row r="5" spans="1:12" s="10" customFormat="1" x14ac:dyDescent="0.15">
      <c r="A5" s="10" t="s">
        <v>72</v>
      </c>
      <c r="C5" s="10" t="str">
        <f>standardized!B13</f>
        <v>01/31/2015</v>
      </c>
      <c r="D5" s="10" t="str">
        <f>standardized!C13</f>
        <v>01/31/2016</v>
      </c>
      <c r="E5" s="10" t="str">
        <f>standardized!D13</f>
        <v>01/31/2017</v>
      </c>
      <c r="F5" s="10" t="str">
        <f>standardized!E13</f>
        <v>01/31/2018</v>
      </c>
      <c r="G5" s="10" t="str">
        <f>standardized!F13</f>
        <v>01/31/2019</v>
      </c>
      <c r="H5" s="10" t="str">
        <f>standardized!G13</f>
        <v>01/31/2020</v>
      </c>
      <c r="I5" s="10" t="str">
        <f>standardized!H13</f>
        <v>01/31/2021</v>
      </c>
      <c r="J5" s="10" t="str">
        <f>standardized!I13</f>
        <v>01/31/2022</v>
      </c>
      <c r="K5" s="10" t="str">
        <f>standardized!J13</f>
        <v>01/31/2023</v>
      </c>
      <c r="L5" s="10" t="str">
        <f>standardized!K13</f>
        <v>01/31/2024</v>
      </c>
    </row>
    <row r="6" spans="1:12" x14ac:dyDescent="0.15">
      <c r="A6" s="10" t="s">
        <v>73</v>
      </c>
      <c r="C6">
        <f>standardized!B29/standardized!B17</f>
        <v>3.369291940096901E-2</v>
      </c>
      <c r="D6">
        <f>standardized!C29/standardized!C17</f>
        <v>3.0477257171302344E-2</v>
      </c>
      <c r="E6">
        <f>standardized!D29/standardized!D17</f>
        <v>2.8079354069890691E-2</v>
      </c>
      <c r="F6">
        <f>standardized!E29/standardized!E17</f>
        <v>1.9710478611672393E-2</v>
      </c>
      <c r="G6">
        <f>standardized!F29/standardized!F17</f>
        <v>1.2966436951429322E-2</v>
      </c>
      <c r="H6">
        <f>standardized!G29/standardized!G17</f>
        <v>2.8400806162255422E-2</v>
      </c>
      <c r="I6">
        <f>standardized!H29/standardized!H17</f>
        <v>2.4161630758059986E-2</v>
      </c>
      <c r="J6">
        <f>standardized!I29/standardized!I17</f>
        <v>2.3872378019184501E-2</v>
      </c>
      <c r="K6">
        <f>standardized!J29/standardized!J17</f>
        <v>1.9107165350595218E-2</v>
      </c>
      <c r="L6">
        <f>standardized!K29/standardized!K17</f>
        <v>2.3932111861137896E-2</v>
      </c>
    </row>
    <row r="7" spans="1:12" x14ac:dyDescent="0.15">
      <c r="A7" s="10" t="s">
        <v>74</v>
      </c>
      <c r="C7">
        <f>standardized!B19/standardized!B17</f>
        <v>0.24825440491216944</v>
      </c>
      <c r="D7">
        <f>standardized!C19/standardized!C17</f>
        <v>0.25127247837720118</v>
      </c>
      <c r="E7">
        <f>standardized!D19/standardized!D17</f>
        <v>0.25648060295591646</v>
      </c>
      <c r="F7">
        <f>standardized!E19/standardized!E17</f>
        <v>0.25371994811559273</v>
      </c>
      <c r="G7">
        <f>standardized!F19/standardized!F17</f>
        <v>0.25097734275522204</v>
      </c>
      <c r="H7">
        <f>standardized!G19/standardized!G17</f>
        <v>0.24688528219495995</v>
      </c>
      <c r="I7">
        <f>standardized!H19/standardized!H17</f>
        <v>0.24829786587165184</v>
      </c>
      <c r="J7">
        <f>standardized!I19/standardized!I17</f>
        <v>0.25098733487675334</v>
      </c>
      <c r="K7">
        <f>standardized!J19/standardized!J17</f>
        <v>0.24140463839525986</v>
      </c>
      <c r="L7">
        <f>standardized!K19/standardized!K17</f>
        <v>0.24375390549662487</v>
      </c>
    </row>
    <row r="8" spans="1:12" x14ac:dyDescent="0.15">
      <c r="A8" s="10" t="s">
        <v>21</v>
      </c>
      <c r="C8">
        <f>standardized!B22/standardized!B17</f>
        <v>5.5898165555100264E-2</v>
      </c>
      <c r="D8">
        <f>standardized!C22/standardized!C17</f>
        <v>4.9996888805923713E-2</v>
      </c>
      <c r="E8">
        <f>standardized!D22/standardized!D17</f>
        <v>4.6851749325441013E-2</v>
      </c>
      <c r="F8">
        <f>standardized!E22/standardized!E17</f>
        <v>4.084597965795464E-2</v>
      </c>
      <c r="G8">
        <f>standardized!F22/standardized!F17</f>
        <v>4.268426628823592E-2</v>
      </c>
      <c r="H8">
        <f>standardized!G22/standardized!G17</f>
        <v>3.9254605278225219E-2</v>
      </c>
      <c r="I8">
        <f>standardized!H22/standardized!H17</f>
        <v>4.032542193432543E-2</v>
      </c>
      <c r="J8">
        <f>standardized!I22/standardized!I17</f>
        <v>4.5293441861602016E-2</v>
      </c>
      <c r="K8">
        <f>standardized!J22/standardized!J17</f>
        <v>3.3417908714208827E-2</v>
      </c>
      <c r="L8">
        <f>standardized!K22/standardized!K17</f>
        <v>4.16771456123433E-2</v>
      </c>
    </row>
    <row r="9" spans="1:12" x14ac:dyDescent="0.15">
      <c r="A9" s="10" t="s">
        <v>75</v>
      </c>
      <c r="C9">
        <f>standardized!B29/'Balance sheet'!B25</f>
        <v>8.0326549046174395E-2</v>
      </c>
      <c r="D9">
        <f>standardized!C29/'Balance sheet'!C25</f>
        <v>7.36242427886422E-2</v>
      </c>
      <c r="E9">
        <f>standardized!D29/'Balance sheet'!D25</f>
        <v>6.8618131522695844E-2</v>
      </c>
      <c r="F9">
        <f>standardized!E29/'Balance sheet'!E25</f>
        <v>4.8219751420385093E-2</v>
      </c>
      <c r="G9">
        <f>standardized!F29/'Balance sheet'!F25</f>
        <v>3.0415650151622245E-2</v>
      </c>
      <c r="H9">
        <f>standardized!G29/'Balance sheet'!G25</f>
        <v>6.2923106196748346E-2</v>
      </c>
      <c r="I9">
        <f>standardized!H29/'Balance sheet'!H25</f>
        <v>5.3505798111653256E-2</v>
      </c>
      <c r="J9">
        <f>standardized!I29/'Balance sheet'!I25</f>
        <v>5.5840071877807727E-2</v>
      </c>
      <c r="K9">
        <f>standardized!J29/'Balance sheet'!J25</f>
        <v>4.8026908226663979E-2</v>
      </c>
      <c r="L9">
        <f>standardized!K29/'Balance sheet'!K25</f>
        <v>6.1454284684170697E-2</v>
      </c>
    </row>
    <row r="10" spans="1:12" x14ac:dyDescent="0.15">
      <c r="A10" s="10" t="s">
        <v>76</v>
      </c>
      <c r="C10">
        <f>standardized!B29/'Balance sheet'!B43</f>
        <v>0.20103447428557389</v>
      </c>
      <c r="D10">
        <f>standardized!C29/'Balance sheet'!C43</f>
        <v>0.1824299158244978</v>
      </c>
      <c r="E10">
        <f>standardized!D29/'Balance sheet'!D43</f>
        <v>0.17536440525463379</v>
      </c>
      <c r="F10">
        <f>standardized!E29/'Balance sheet'!E43</f>
        <v>0.1266486021394907</v>
      </c>
      <c r="G10">
        <f>standardized!F29/'Balance sheet'!F43</f>
        <v>9.2005076142131978E-2</v>
      </c>
      <c r="H10">
        <f>standardized!G29/'Balance sheet'!G43</f>
        <v>0.19929287924038089</v>
      </c>
      <c r="I10">
        <f>standardized!H29/'Balance sheet'!H43</f>
        <v>0.16694470188446092</v>
      </c>
      <c r="J10">
        <f>standardized!I29/'Balance sheet'!I43</f>
        <v>0.16423432188629838</v>
      </c>
      <c r="K10">
        <f>standardized!J29/'Balance sheet'!J43</f>
        <v>0.15229551588802107</v>
      </c>
      <c r="L10">
        <f>standardized!K29/'Balance sheet'!K43</f>
        <v>0.18496082803687053</v>
      </c>
    </row>
    <row r="11" spans="1:12" ht="14" x14ac:dyDescent="0.15">
      <c r="A11" s="15" t="s">
        <v>77</v>
      </c>
    </row>
    <row r="12" spans="1:12" x14ac:dyDescent="0.15">
      <c r="A12" t="str">
        <f t="shared" ref="A12:L12" si="0">A5</f>
        <v xml:space="preserve">Report Date </v>
      </c>
      <c r="B12">
        <f t="shared" si="0"/>
        <v>0</v>
      </c>
      <c r="C12" t="str">
        <f t="shared" si="0"/>
        <v>01/31/2015</v>
      </c>
      <c r="D12" t="str">
        <f t="shared" si="0"/>
        <v>01/31/2016</v>
      </c>
      <c r="E12" t="str">
        <f t="shared" si="0"/>
        <v>01/31/2017</v>
      </c>
      <c r="F12" t="str">
        <f t="shared" si="0"/>
        <v>01/31/2018</v>
      </c>
      <c r="G12" t="str">
        <f t="shared" si="0"/>
        <v>01/31/2019</v>
      </c>
      <c r="H12" t="str">
        <f t="shared" si="0"/>
        <v>01/31/2020</v>
      </c>
      <c r="I12" t="str">
        <f t="shared" si="0"/>
        <v>01/31/2021</v>
      </c>
      <c r="J12" t="str">
        <f t="shared" si="0"/>
        <v>01/31/2022</v>
      </c>
      <c r="K12" t="str">
        <f t="shared" si="0"/>
        <v>01/31/2023</v>
      </c>
      <c r="L12" t="str">
        <f t="shared" si="0"/>
        <v>01/31/2024</v>
      </c>
    </row>
    <row r="13" spans="1:12" x14ac:dyDescent="0.15">
      <c r="A13" s="10" t="s">
        <v>78</v>
      </c>
      <c r="C13">
        <f>'Balance sheet'!B19/'Balance sheet'!B32</f>
        <v>0.96945091310209586</v>
      </c>
      <c r="D13">
        <f>'Balance sheet'!C19/'Balance sheet'!C32</f>
        <v>0.93221807827419179</v>
      </c>
      <c r="E13">
        <f>'Balance sheet'!D19/'Balance sheet'!D32</f>
        <v>0.86195613196270615</v>
      </c>
      <c r="F13">
        <f>'Balance sheet'!E19/'Balance sheet'!E32</f>
        <v>0.75984768405904157</v>
      </c>
      <c r="G13">
        <f>'Balance sheet'!F19/'Balance sheet'!F32</f>
        <v>0.79890806303806294</v>
      </c>
      <c r="H13">
        <f>'Balance sheet'!G19/'Balance sheet'!G32</f>
        <v>0.7945237177015041</v>
      </c>
      <c r="I13">
        <f>'Balance sheet'!H19/'Balance sheet'!H32</f>
        <v>0.97217334988396564</v>
      </c>
      <c r="J13">
        <f>'Balance sheet'!I19/'Balance sheet'!I32</f>
        <v>0.92779729683333523</v>
      </c>
      <c r="K13">
        <f>'Balance sheet'!J19/'Balance sheet'!J32</f>
        <v>0.82057094513980777</v>
      </c>
      <c r="L13">
        <f>'Balance sheet'!K19/'Balance sheet'!K32</f>
        <v>0.83186712113834338</v>
      </c>
    </row>
    <row r="14" spans="1:12" x14ac:dyDescent="0.15">
      <c r="A14" s="10" t="s">
        <v>79</v>
      </c>
      <c r="C14">
        <f>('Balance sheet'!B19-'Balance sheet'!B16)/'Balance sheet'!B32</f>
        <v>0.2778679985292315</v>
      </c>
      <c r="D14">
        <f>('Balance sheet'!C19-'Balance sheet'!C16)/'Balance sheet'!C32</f>
        <v>0.24404586886209939</v>
      </c>
      <c r="E14">
        <f>('Balance sheet'!D19-'Balance sheet'!D16)/'Balance sheet'!D32</f>
        <v>0.21878735357398996</v>
      </c>
      <c r="F14">
        <f>('Balance sheet'!E19-'Balance sheet'!E16)/'Balance sheet'!E32</f>
        <v>0.20225162695329912</v>
      </c>
      <c r="G14">
        <f>('Balance sheet'!F19-'Balance sheet'!F16)/'Balance sheet'!F32</f>
        <v>0.2275255882390903</v>
      </c>
      <c r="H14">
        <f>('Balance sheet'!G19-'Balance sheet'!G16)/'Balance sheet'!G32</f>
        <v>0.22330633757552384</v>
      </c>
      <c r="I14">
        <f>('Balance sheet'!H19-'Balance sheet'!H16)/'Balance sheet'!H32</f>
        <v>0.48699875870257436</v>
      </c>
      <c r="J14">
        <f>('Balance sheet'!I19-'Balance sheet'!I16)/'Balance sheet'!I32</f>
        <v>0.28106295563007128</v>
      </c>
      <c r="K14">
        <f>('Balance sheet'!J19-'Balance sheet'!J16)/'Balance sheet'!J32</f>
        <v>0.20693507451354692</v>
      </c>
      <c r="L14">
        <f>('Balance sheet'!K19-'Balance sheet'!K16)/'Balance sheet'!K32</f>
        <v>0.23789428123140183</v>
      </c>
    </row>
    <row r="15" spans="1:12" x14ac:dyDescent="0.15">
      <c r="A15" s="10" t="s">
        <v>80</v>
      </c>
      <c r="C15">
        <f>'Balance sheet'!B13/'Balance sheet'!B32</f>
        <v>0.13995281284471137</v>
      </c>
      <c r="D15">
        <f>'Balance sheet'!C13/'Balance sheet'!C32</f>
        <v>0.13471270059889506</v>
      </c>
      <c r="E15">
        <f>'Balance sheet'!D13/'Balance sheet'!D32</f>
        <v>0.10260279703562036</v>
      </c>
      <c r="F15">
        <f>'Balance sheet'!E13/'Balance sheet'!E32</f>
        <v>8.6040677016339578E-2</v>
      </c>
      <c r="G15">
        <f>'Balance sheet'!F13/'Balance sheet'!F32</f>
        <v>9.9668288653406822E-2</v>
      </c>
      <c r="H15">
        <f>'Balance sheet'!G13/'Balance sheet'!G32</f>
        <v>0.12167373698418819</v>
      </c>
      <c r="I15">
        <f>'Balance sheet'!H13/'Balance sheet'!H32</f>
        <v>0.19149441416158455</v>
      </c>
      <c r="J15">
        <f>'Balance sheet'!I13/'Balance sheet'!I32</f>
        <v>0.16891930555396606</v>
      </c>
      <c r="K15">
        <f>'Balance sheet'!J13/'Balance sheet'!J32</f>
        <v>9.3548666999284144E-2</v>
      </c>
      <c r="L15">
        <f>'Balance sheet'!K13/'Balance sheet'!K32</f>
        <v>0.10676838175620841</v>
      </c>
    </row>
    <row r="16" spans="1:12" ht="16" x14ac:dyDescent="0.2">
      <c r="A16" s="8" t="s">
        <v>81</v>
      </c>
    </row>
    <row r="17" spans="1:14" x14ac:dyDescent="0.15">
      <c r="A17" s="10" t="s">
        <v>82</v>
      </c>
      <c r="C17">
        <f>'Balance sheet'!B36/'Balance sheet'!B43</f>
        <v>1.5027151878516845</v>
      </c>
      <c r="D17">
        <f>'Balance sheet'!C36/'Balance sheet'!C43</f>
        <v>1.4778511657934597</v>
      </c>
      <c r="E17">
        <f>'Balance sheet'!D36/'Balance sheet'!D43</f>
        <v>1.5556569577624104</v>
      </c>
      <c r="F17">
        <f>'Balance sheet'!E36/'Balance sheet'!E43</f>
        <v>1.6264880761278557</v>
      </c>
      <c r="G17">
        <f>'Balance sheet'!F36/'Balance sheet'!F43</f>
        <v>2.0249255131317589</v>
      </c>
      <c r="H17">
        <f>'Balance sheet'!G36/'Balance sheet'!G43</f>
        <v>2.1672447736008249</v>
      </c>
      <c r="I17">
        <f>'Balance sheet'!H36/'Balance sheet'!H43</f>
        <v>2.1201235712079085</v>
      </c>
      <c r="J17">
        <f>'Balance sheet'!I36/'Balance sheet'!I43</f>
        <v>1.9411552736838311</v>
      </c>
      <c r="K17">
        <f>'Balance sheet'!J36/'Balance sheet'!J43</f>
        <v>2.1710455973817688</v>
      </c>
      <c r="L17">
        <f>'Balance sheet'!K36/'Balance sheet'!K43</f>
        <v>2.0097303871883234</v>
      </c>
    </row>
    <row r="18" spans="1:14" x14ac:dyDescent="0.15">
      <c r="A18" s="10" t="s">
        <v>83</v>
      </c>
      <c r="C18" s="29">
        <f>SUM('Balance sheet'!B29,'Balance sheet'!B30,'Balance sheet'!B33)/'Balance sheet'!B19</f>
        <v>0.79618508802427379</v>
      </c>
      <c r="D18" s="29">
        <f>SUM('Balance sheet'!C29,'Balance sheet'!C30,'Balance sheet'!C33)/'Balance sheet'!C19</f>
        <v>0.83059147728215943</v>
      </c>
      <c r="E18" s="29">
        <f>SUM('Balance sheet'!D29,'Balance sheet'!D30,'Balance sheet'!D33)/'Balance sheet'!D19</f>
        <v>0.79630432144776297</v>
      </c>
      <c r="F18" s="29">
        <f>SUM('Balance sheet'!E29,'Balance sheet'!E30,'Balance sheet'!E33)/'Balance sheet'!E19</f>
        <v>0.77914655403593458</v>
      </c>
      <c r="G18" s="29">
        <f>SUM('Balance sheet'!F29,'Balance sheet'!F30,'Balance sheet'!F33)/'Balance sheet'!F19</f>
        <v>0.93757371116532306</v>
      </c>
      <c r="H18" s="29">
        <f>SUM('Balance sheet'!G29,'Balance sheet'!G30,'Balance sheet'!G33)/'Balance sheet'!G19</f>
        <v>0.88128984241012198</v>
      </c>
      <c r="I18" s="29">
        <f>SUM('Balance sheet'!H29,'Balance sheet'!H30,'Balance sheet'!H33)/'Balance sheet'!H19</f>
        <v>0.54260717021772675</v>
      </c>
      <c r="J18" s="29">
        <f>SUM('Balance sheet'!I29,'Balance sheet'!I30,'Balance sheet'!I33)/'Balance sheet'!I19</f>
        <v>0.52832120389786608</v>
      </c>
      <c r="K18" s="29">
        <f>SUM('Balance sheet'!J29,'Balance sheet'!J30,'Balance sheet'!J33)/'Balance sheet'!J19</f>
        <v>0.58980900138787917</v>
      </c>
      <c r="L18" s="29">
        <f>SUM('Balance sheet'!K29,'Balance sheet'!K30,'Balance sheet'!K33)/'Balance sheet'!K19</f>
        <v>0.60994835906708122</v>
      </c>
    </row>
    <row r="19" spans="1:14" ht="16" x14ac:dyDescent="0.2">
      <c r="A19" s="8" t="s">
        <v>84</v>
      </c>
    </row>
    <row r="20" spans="1:14" x14ac:dyDescent="0.15">
      <c r="A20" s="28" t="s">
        <v>86</v>
      </c>
      <c r="D20">
        <f>('Balance sheet'!B16+'Balance sheet'!C16)/2</f>
        <v>44805000</v>
      </c>
      <c r="E20">
        <f>('Balance sheet'!C16+'Balance sheet'!D16)/2</f>
        <v>43757500</v>
      </c>
      <c r="F20">
        <f>('Balance sheet'!D16+'Balance sheet'!E16)/2</f>
        <v>43414500</v>
      </c>
      <c r="G20">
        <f>('Balance sheet'!E16+'Balance sheet'!F16)/2</f>
        <v>44026000</v>
      </c>
      <c r="H20">
        <f>('Balance sheet'!F16+'Balance sheet'!G16)/2</f>
        <v>44352000</v>
      </c>
      <c r="I20">
        <f>('Balance sheet'!G16+'Balance sheet'!H16)/2</f>
        <v>44692000</v>
      </c>
      <c r="J20">
        <f>('Balance sheet'!H16+'Balance sheet'!I16)/2</f>
        <v>50730000</v>
      </c>
      <c r="K20">
        <f>('Balance sheet'!I16+'Balance sheet'!J16)/2</f>
        <v>56543500</v>
      </c>
      <c r="L20">
        <f>('Balance sheet'!J16+'Balance sheet'!K16)/2</f>
        <v>55734000</v>
      </c>
    </row>
    <row r="21" spans="1:14" ht="14" x14ac:dyDescent="0.15">
      <c r="A21" s="15" t="s">
        <v>85</v>
      </c>
      <c r="D21">
        <f>(standardized!B15-standardized!B19)/'financial ratios'!D20</f>
        <v>8.0719562548822683</v>
      </c>
      <c r="E21">
        <f>(standardized!C15-standardized!C19)/'financial ratios'!E20</f>
        <v>8.1692966919956582</v>
      </c>
      <c r="F21">
        <f>(standardized!D15-standardized!D19)/'financial ratios'!F20</f>
        <v>8.2161489824828102</v>
      </c>
      <c r="G21">
        <f>(standardized!E15-standardized!E19)/'financial ratios'!G20</f>
        <v>8.3771862081497304</v>
      </c>
      <c r="H21">
        <f>(standardized!F15-standardized!F19)/'financial ratios'!H20</f>
        <v>8.5954410173160181</v>
      </c>
      <c r="I21">
        <f>(standardized!G15-standardized!G19)/'financial ratios'!I20</f>
        <v>8.7390808198335268</v>
      </c>
      <c r="J21">
        <f>(standardized!H15-standardized!H19)/'financial ratios'!J20</f>
        <v>8.2081017149615612</v>
      </c>
      <c r="K21">
        <f>(standardized!I15-standardized!I19)/'financial ratios'!K20</f>
        <v>7.4987929647085876</v>
      </c>
      <c r="L21">
        <f>(standardized!J15-standardized!J19)/'financial ratios'!L20</f>
        <v>8.2232210141027018</v>
      </c>
    </row>
    <row r="22" spans="1:14" x14ac:dyDescent="0.15">
      <c r="A22" s="28" t="s">
        <v>88</v>
      </c>
      <c r="D22">
        <f>('Balance sheet'!B22+'Balance sheet'!C22)/2</f>
        <v>112225500</v>
      </c>
      <c r="E22">
        <f>('Balance sheet'!C22+'Balance sheet'!D22)/2</f>
        <v>108940500</v>
      </c>
      <c r="F22">
        <f>('Balance sheet'!D22+'Balance sheet'!E22)/2</f>
        <v>107692500</v>
      </c>
      <c r="G22">
        <f>('Balance sheet'!E22+'Balance sheet'!F22)/2</f>
        <v>105996000</v>
      </c>
      <c r="H22">
        <f>('Balance sheet'!F22+'Balance sheet'!G22)/2</f>
        <v>104762500</v>
      </c>
      <c r="I22">
        <f>('Balance sheet'!G22+'Balance sheet'!H22)/2</f>
        <v>98704500</v>
      </c>
      <c r="J22">
        <f>('Balance sheet'!H22+'Balance sheet'!I22)/2</f>
        <v>93358000</v>
      </c>
      <c r="K22">
        <f>('Balance sheet'!I22+'Balance sheet'!J22)/2</f>
        <v>97637500</v>
      </c>
      <c r="L22">
        <f>('Balance sheet'!J22+'Balance sheet'!K22)/2</f>
        <v>105785000</v>
      </c>
    </row>
    <row r="23" spans="1:14" x14ac:dyDescent="0.15">
      <c r="A23" s="10" t="s">
        <v>87</v>
      </c>
      <c r="D23">
        <f>standardized!B15/'financial ratios'!D22</f>
        <v>4.2969645936084042</v>
      </c>
      <c r="E23">
        <f>standardized!C15/'financial ratios'!E22</f>
        <v>4.3933523345312349</v>
      </c>
      <c r="F23">
        <f>standardized!D15/'financial ratios'!F22</f>
        <v>4.4693641618497111</v>
      </c>
      <c r="G23">
        <f>standardized!E15/'financial ratios'!G22</f>
        <v>4.6771670629080342</v>
      </c>
      <c r="H23">
        <f>standardized!F15/'financial ratios'!H22</f>
        <v>4.8712945949170745</v>
      </c>
      <c r="I23">
        <f>standardized!G15/'financial ratios'!I22</f>
        <v>5.2675004685703284</v>
      </c>
      <c r="J23">
        <f>standardized!H15/'financial ratios'!J22</f>
        <v>5.9473531995115581</v>
      </c>
      <c r="K23">
        <f>standardized!I15/'financial ratios'!K22</f>
        <v>5.8149993598770964</v>
      </c>
      <c r="L23">
        <f>standardized!J15/'financial ratios'!L22</f>
        <v>5.7274755400103983</v>
      </c>
    </row>
    <row r="24" spans="1:14" x14ac:dyDescent="0.15">
      <c r="A24" s="28" t="s">
        <v>89</v>
      </c>
      <c r="D24">
        <f>('Balance sheet'!B25+'Balance sheet'!C25)/2</f>
        <v>201643500</v>
      </c>
      <c r="E24">
        <f>('Balance sheet'!C25+'Balance sheet'!D25)/2</f>
        <v>199203000</v>
      </c>
      <c r="F24">
        <f>('Balance sheet'!D25+'Balance sheet'!E25)/2</f>
        <v>201673500</v>
      </c>
      <c r="G24">
        <f>('Balance sheet'!E25+'Balance sheet'!F25)/2</f>
        <v>211908500</v>
      </c>
      <c r="H24">
        <f>('Balance sheet'!F25+'Balance sheet'!G25)/2</f>
        <v>227895000</v>
      </c>
      <c r="I24">
        <f>('Balance sheet'!G25+'Balance sheet'!H25)/2</f>
        <v>244495500</v>
      </c>
      <c r="J24">
        <f>('Balance sheet'!H25+'Balance sheet'!I25)/2</f>
        <v>248678000</v>
      </c>
      <c r="K24">
        <f>('Balance sheet'!I25+'Balance sheet'!J25)/2</f>
        <v>244028500</v>
      </c>
      <c r="L24">
        <f>('Balance sheet'!J25+'Balance sheet'!K25)/2</f>
        <v>247798000</v>
      </c>
    </row>
    <row r="25" spans="1:14" x14ac:dyDescent="0.15">
      <c r="A25" s="10" t="s">
        <v>90</v>
      </c>
      <c r="D25">
        <f>standardized!B15/'financial ratios'!D24</f>
        <v>2.3914929070364281</v>
      </c>
      <c r="E25">
        <f>standardized!C15/'financial ratios'!E24</f>
        <v>2.4026445384858661</v>
      </c>
      <c r="F25">
        <f>standardized!D15/'financial ratios'!F24</f>
        <v>2.3866149989959018</v>
      </c>
      <c r="G25">
        <f>standardized!E15/'financial ratios'!G24</f>
        <v>2.3395050222147766</v>
      </c>
      <c r="H25">
        <f>standardized!F15/'financial ratios'!H24</f>
        <v>2.2393163518286929</v>
      </c>
      <c r="I25">
        <f>standardized!G15/'financial ratios'!I24</f>
        <v>2.1265258460789669</v>
      </c>
      <c r="J25">
        <f>standardized!H15/'financial ratios'!J24</f>
        <v>2.2327387223638602</v>
      </c>
      <c r="K25">
        <f>standardized!I15/'financial ratios'!K24</f>
        <v>2.3266216855818072</v>
      </c>
      <c r="L25">
        <f>standardized!J15/'financial ratios'!L24</f>
        <v>2.4450600892662573</v>
      </c>
      <c r="M25">
        <f>AVERAGE(D25:L25)</f>
        <v>2.3211689068725061</v>
      </c>
    </row>
    <row r="26" spans="1:14" x14ac:dyDescent="0.15">
      <c r="A26" s="10" t="s">
        <v>94</v>
      </c>
    </row>
    <row r="27" spans="1:14" x14ac:dyDescent="0.15">
      <c r="A27" s="28" t="s">
        <v>91</v>
      </c>
      <c r="D27">
        <f>('Balance sheet'!B15+'Balance sheet'!C15)/2</f>
        <v>6201000</v>
      </c>
      <c r="E27">
        <f>('Balance sheet'!C15+'Balance sheet'!D15)/2</f>
        <v>5729500</v>
      </c>
      <c r="F27">
        <f>('Balance sheet'!D15+'Balance sheet'!E15)/2</f>
        <v>5724500</v>
      </c>
      <c r="G27">
        <f>('Balance sheet'!E15+'Balance sheet'!F15)/2</f>
        <v>5948500</v>
      </c>
      <c r="H27">
        <f>('Balance sheet'!F15+'Balance sheet'!G15)/2</f>
        <v>6283500</v>
      </c>
      <c r="I27">
        <f>('Balance sheet'!G15+'Balance sheet'!H15)/2</f>
        <v>6400000</v>
      </c>
      <c r="J27">
        <f>('Balance sheet'!H15+'Balance sheet'!I15)/2</f>
        <v>7398000</v>
      </c>
      <c r="K27">
        <f>('Balance sheet'!I15+'Balance sheet'!J15)/2</f>
        <v>8106500</v>
      </c>
      <c r="L27">
        <f>('Balance sheet'!J15+'Balance sheet'!K15)/2</f>
        <v>8364500</v>
      </c>
    </row>
    <row r="28" spans="1:14" ht="14" x14ac:dyDescent="0.15">
      <c r="A28" s="21" t="s">
        <v>92</v>
      </c>
      <c r="D28">
        <f>standardized!B15/'financial ratios'!D27</f>
        <v>77.766328011611037</v>
      </c>
      <c r="E28">
        <f>standardized!C15/'financial ratios'!E27</f>
        <v>83.535037961427705</v>
      </c>
      <c r="F28">
        <f>standardized!D15/'financial ratios'!F27</f>
        <v>84.080181675255474</v>
      </c>
      <c r="G28">
        <f>standardized!E15/'financial ratios'!G27</f>
        <v>83.342187105993105</v>
      </c>
      <c r="H28">
        <f>standardized!F15/'financial ratios'!H27</f>
        <v>81.217315190578503</v>
      </c>
      <c r="I28">
        <f>standardized!G15/'financial ratios'!I27</f>
        <v>81.238437500000003</v>
      </c>
      <c r="J28">
        <f>standardized!H15/'financial ratios'!J27</f>
        <v>75.051770748851041</v>
      </c>
      <c r="K28">
        <f>standardized!I15/'financial ratios'!K27</f>
        <v>70.03787084438413</v>
      </c>
      <c r="L28">
        <f>standardized!J15/'financial ratios'!L27</f>
        <v>72.434813796401457</v>
      </c>
      <c r="N28">
        <v>365</v>
      </c>
    </row>
    <row r="29" spans="1:14" x14ac:dyDescent="0.15">
      <c r="A29" s="28" t="s">
        <v>93</v>
      </c>
      <c r="D29">
        <f>$N$28/D28</f>
        <v>4.6935480860752872</v>
      </c>
      <c r="E29">
        <f t="shared" ref="E29:L29" si="1">$N$28/E28</f>
        <v>4.3694240034767056</v>
      </c>
      <c r="F29">
        <f t="shared" si="1"/>
        <v>4.3410943307633021</v>
      </c>
      <c r="G29">
        <f t="shared" si="1"/>
        <v>4.379534695145443</v>
      </c>
      <c r="H29">
        <f t="shared" si="1"/>
        <v>4.4941155607461063</v>
      </c>
      <c r="I29">
        <f t="shared" si="1"/>
        <v>4.4929470732373451</v>
      </c>
      <c r="J29">
        <f t="shared" si="1"/>
        <v>4.8633096375755764</v>
      </c>
      <c r="K29">
        <f t="shared" si="1"/>
        <v>5.2114662481814564</v>
      </c>
      <c r="L29">
        <f t="shared" si="1"/>
        <v>5.0390134366319463</v>
      </c>
    </row>
    <row r="32" spans="1:14" x14ac:dyDescent="0.15">
      <c r="A32" s="28" t="s">
        <v>108</v>
      </c>
      <c r="C32">
        <f>'Balance sheet'!B20/standardized!B17</f>
        <v>0.36527259287018865</v>
      </c>
      <c r="D32">
        <f>'Balance sheet'!C20/standardized!C17</f>
        <v>0.36703378756766847</v>
      </c>
      <c r="E32">
        <f>'Balance sheet'!D20/standardized!D17</f>
        <v>0.36942163898796598</v>
      </c>
      <c r="F32">
        <f>'Balance sheet'!E20/standardized!E17</f>
        <v>0.37005414285799942</v>
      </c>
      <c r="G32">
        <f>'Balance sheet'!F20/standardized!F17</f>
        <v>0.36121344077137663</v>
      </c>
      <c r="H32">
        <f>'Balance sheet'!G20/standardized!G17</f>
        <v>0.37221641181455212</v>
      </c>
      <c r="I32">
        <f>'Balance sheet'!H20/standardized!H17</f>
        <v>0.32293781107428943</v>
      </c>
      <c r="J32">
        <f>'Balance sheet'!I20/standardized!I17</f>
        <v>0.33055028860557933</v>
      </c>
      <c r="K32">
        <f>'Balance sheet'!J20/standardized!J17</f>
        <v>0.33105454212328372</v>
      </c>
      <c r="L32">
        <f>'Balance sheet'!K20/standardized!K17</f>
        <v>0.33922314368370299</v>
      </c>
      <c r="M32">
        <f>AVERAGE(C32:L32)</f>
        <v>0.35289778003566069</v>
      </c>
    </row>
    <row r="34" spans="1:13" x14ac:dyDescent="0.15">
      <c r="A34" s="28" t="s">
        <v>109</v>
      </c>
      <c r="C34">
        <f>standardized!B15/'Balance sheet'!B19</f>
        <v>7.6208002781377413</v>
      </c>
      <c r="D34">
        <f>standardized!C15/'Balance sheet'!C19</f>
        <v>7.9452514151961351</v>
      </c>
      <c r="E34">
        <f>standardized!D15/'Balance sheet'!D19</f>
        <v>8.3433063495640418</v>
      </c>
      <c r="F34">
        <f>standardized!E15/'Balance sheet'!E19</f>
        <v>8.3092149369804229</v>
      </c>
      <c r="G34">
        <f>standardized!F15/'Balance sheet'!F19</f>
        <v>8.2448099261676653</v>
      </c>
      <c r="H34">
        <f>standardized!G15/'Balance sheet'!G19</f>
        <v>8.4122253502896154</v>
      </c>
      <c r="I34">
        <f>standardized!H15/'Balance sheet'!H19</f>
        <v>6.1646663039737088</v>
      </c>
      <c r="J34">
        <f>standardized!I15/'Balance sheet'!I19</f>
        <v>7.0033551252004438</v>
      </c>
      <c r="K34">
        <f>standardized!J15/'Balance sheet'!J19</f>
        <v>8.0084726719978843</v>
      </c>
      <c r="L34">
        <f>standardized!K15/'Balance sheet'!K19</f>
        <v>8.3592882136399709</v>
      </c>
      <c r="M34">
        <f t="shared" ref="M34:M35" si="2">AVERAGE(C34:L34)</f>
        <v>7.8411390571147637</v>
      </c>
    </row>
    <row r="35" spans="1:13" x14ac:dyDescent="0.15">
      <c r="A35" s="28" t="s">
        <v>125</v>
      </c>
      <c r="D35" s="37">
        <f>('Balance sheet'!C21-'Balance sheet'!B21)/(AVERAGE('Balance sheet'!B20:C20))</f>
        <v>2.0725096161172615E-2</v>
      </c>
      <c r="E35" s="37">
        <f>('Balance sheet'!D21-'Balance sheet'!C21)/(AVERAGE('Balance sheet'!C20:D20))</f>
        <v>2.8026371160050498E-2</v>
      </c>
      <c r="F35" s="37">
        <f>('Balance sheet'!E21-'Balance sheet'!D21)/(AVERAGE('Balance sheet'!D20:E20))</f>
        <v>3.1246743416902967E-2</v>
      </c>
      <c r="G35" s="37">
        <f>('Balance sheet'!F21-'Balance sheet'!E21)/(AVERAGE('Balance sheet'!E20:F20))</f>
        <v>2.1640913943131949E-2</v>
      </c>
      <c r="H35" s="37">
        <f>('Balance sheet'!G21-'Balance sheet'!F21)/(AVERAGE('Balance sheet'!F20:G20))</f>
        <v>4.3729879896438908E-2</v>
      </c>
      <c r="I35" s="37">
        <f>('Balance sheet'!H21-'Balance sheet'!G21)/(AVERAGE('Balance sheet'!G20:H20))</f>
        <v>-7.7210003221520824E-3</v>
      </c>
      <c r="J35" s="37">
        <f>('Balance sheet'!I21-'Balance sheet'!H21)/(AVERAGE('Balance sheet'!H20:I20))</f>
        <v>3.4815285418835072E-2</v>
      </c>
      <c r="K35" s="37">
        <f>('Balance sheet'!J21-'Balance sheet'!I21)/(AVERAGE('Balance sheet'!I20:J20))</f>
        <v>3.472608720072301E-2</v>
      </c>
      <c r="L35" s="37">
        <f>('Balance sheet'!K21-'Balance sheet'!J21)/(AVERAGE('Balance sheet'!J20:K20))</f>
        <v>3.5236802777639624E-2</v>
      </c>
      <c r="M35" s="27">
        <f t="shared" si="2"/>
        <v>2.6936242183638062E-2</v>
      </c>
    </row>
    <row r="37" spans="1:13" x14ac:dyDescent="0.15">
      <c r="A37" s="28" t="s">
        <v>111</v>
      </c>
    </row>
    <row r="38" spans="1:13" x14ac:dyDescent="0.15">
      <c r="A38" s="28" t="s">
        <v>112</v>
      </c>
      <c r="C38" s="27">
        <f>standardized!B18/standardized!B17</f>
        <v>0.75174559508783056</v>
      </c>
      <c r="D38" s="27">
        <f>standardized!C18/standardized!C17</f>
        <v>0.74872752162279888</v>
      </c>
      <c r="E38" s="27">
        <f>standardized!D18/standardized!D17</f>
        <v>0.74351939704408354</v>
      </c>
      <c r="F38" s="27">
        <f>standardized!E18/standardized!E17</f>
        <v>0.74628005188440727</v>
      </c>
      <c r="G38" s="27">
        <f>standardized!F18/standardized!F17</f>
        <v>0.7490226572447779</v>
      </c>
      <c r="H38" s="27">
        <f>standardized!G18/standardized!G17</f>
        <v>0.75311471780504002</v>
      </c>
      <c r="I38" s="27">
        <f>standardized!H18/standardized!H17</f>
        <v>0.75170213412834819</v>
      </c>
      <c r="J38" s="27">
        <f>standardized!I18/standardized!I17</f>
        <v>0.7490126651232466</v>
      </c>
      <c r="K38" s="27">
        <f>standardized!J18/standardized!J17</f>
        <v>0.75859536160474017</v>
      </c>
      <c r="L38" s="27">
        <f>standardized!K18/standardized!K17</f>
        <v>0.7562460945033751</v>
      </c>
      <c r="M38" s="35">
        <f>AVERAGE(C38:L38)</f>
        <v>0.75079661960486488</v>
      </c>
    </row>
    <row r="39" spans="1:13" x14ac:dyDescent="0.15">
      <c r="A39" s="28" t="s">
        <v>114</v>
      </c>
      <c r="C39" s="27">
        <f>standardized!B20/standardized!B17</f>
        <v>0.19235623935706916</v>
      </c>
      <c r="D39" s="27">
        <f>standardized!C20/standardized!C17</f>
        <v>0.20127558957127745</v>
      </c>
      <c r="E39" s="27">
        <f>standardized!D20/standardized!D17</f>
        <v>0.20962885363047545</v>
      </c>
      <c r="F39" s="27">
        <f>standardized!E20/standardized!E17</f>
        <v>0.21287396845763806</v>
      </c>
      <c r="G39" s="27">
        <f>standardized!F20/standardized!F17</f>
        <v>0.20829307646698614</v>
      </c>
      <c r="H39" s="27">
        <f>standardized!G20/standardized!G17</f>
        <v>0.20763067691673473</v>
      </c>
      <c r="I39" s="27">
        <f>standardized!H20/standardized!H17</f>
        <v>0.20797244393732642</v>
      </c>
      <c r="J39" s="27">
        <f>standardized!I20/standardized!I17</f>
        <v>0.20569389301515137</v>
      </c>
      <c r="K39" s="27">
        <f>standardized!J20/standardized!J17</f>
        <v>0.20798672968105103</v>
      </c>
      <c r="L39" s="27">
        <f>standardized!K20/standardized!K17</f>
        <v>0.20207675988428159</v>
      </c>
      <c r="M39" s="35">
        <f t="shared" ref="M39:M45" si="3">AVERAGE(C39:L39)</f>
        <v>0.20557882309179912</v>
      </c>
    </row>
    <row r="40" spans="1:13" x14ac:dyDescent="0.15">
      <c r="A40" s="28" t="s">
        <v>119</v>
      </c>
      <c r="C40" s="34">
        <f>'Balance sheet'!B14/standardized!B17</f>
        <v>1.8809803747958924E-2</v>
      </c>
      <c r="D40" s="34">
        <f>'Balance sheet'!C14/standardized!C17</f>
        <v>1.805529628938253E-2</v>
      </c>
      <c r="E40" s="34">
        <f>'Balance sheet'!D14/standardized!D17</f>
        <v>1.4133322905368275E-2</v>
      </c>
      <c r="F40" s="34">
        <f>'Balance sheet'!E14/standardized!E17</f>
        <v>1.3502737122334079E-2</v>
      </c>
      <c r="G40" s="34">
        <f>'Balance sheet'!F14/standardized!F17</f>
        <v>1.5011518161759703E-2</v>
      </c>
      <c r="H40" s="34">
        <f>'Balance sheet'!G14/standardized!G17</f>
        <v>1.8064218152392147E-2</v>
      </c>
      <c r="I40" s="34">
        <f>'Balance sheet'!H14/standardized!H17</f>
        <v>3.172845975416301E-2</v>
      </c>
      <c r="J40" s="34">
        <f>'Balance sheet'!I14/standardized!I17</f>
        <v>2.5770225960883731E-2</v>
      </c>
      <c r="K40" s="34">
        <f>'Balance sheet'!J14/standardized!J17</f>
        <v>1.4109529207952377E-2</v>
      </c>
      <c r="L40" s="34">
        <f>'Balance sheet'!K14/standardized!K17</f>
        <v>1.5223915139826422E-2</v>
      </c>
      <c r="M40" s="35">
        <f t="shared" si="3"/>
        <v>1.8440902644202124E-2</v>
      </c>
    </row>
    <row r="41" spans="1:13" x14ac:dyDescent="0.15">
      <c r="A41" s="28" t="s">
        <v>120</v>
      </c>
      <c r="C41" s="34">
        <f>'Balance sheet'!B15/standardized!B17</f>
        <v>1.3956524335376639E-2</v>
      </c>
      <c r="D41" s="34">
        <f>'Balance sheet'!C15/standardized!C17</f>
        <v>1.1664903656690104E-2</v>
      </c>
      <c r="E41" s="34">
        <f>'Balance sheet'!D15/standardized!D17</f>
        <v>1.2009311075116337E-2</v>
      </c>
      <c r="F41" s="34">
        <f>'Balance sheet'!E15/standardized!E17</f>
        <v>1.1220302872229651E-2</v>
      </c>
      <c r="G41" s="34">
        <f>'Balance sheet'!F15/standardized!F17</f>
        <v>1.2214111449149989E-2</v>
      </c>
      <c r="H41" s="34">
        <f>'Balance sheet'!G15/standardized!G17</f>
        <v>1.1993190371857608E-2</v>
      </c>
      <c r="I41" s="34">
        <f>'Balance sheet'!H15/standardized!H17</f>
        <v>1.1653381644672011E-2</v>
      </c>
      <c r="J41" s="34">
        <f>'Balance sheet'!I15/standardized!I17</f>
        <v>1.4456468221959166E-2</v>
      </c>
      <c r="K41" s="34">
        <f>'Balance sheet'!J15/standardized!J17</f>
        <v>1.2977495096427386E-2</v>
      </c>
      <c r="L41" s="34">
        <f>'Balance sheet'!K15/standardized!K17</f>
        <v>1.357145612343298E-2</v>
      </c>
      <c r="M41" s="35">
        <f t="shared" si="3"/>
        <v>1.2571714484691188E-2</v>
      </c>
    </row>
    <row r="42" spans="1:13" x14ac:dyDescent="0.15">
      <c r="A42" s="28" t="s">
        <v>122</v>
      </c>
      <c r="C42" s="27">
        <f>'Balance sheet'!B20/standardized!B17</f>
        <v>0.36527259287018865</v>
      </c>
      <c r="D42" s="27">
        <f>'Balance sheet'!C20/standardized!C17</f>
        <v>0.36703378756766847</v>
      </c>
      <c r="E42" s="27">
        <f>'Balance sheet'!D20/standardized!D17</f>
        <v>0.36942163898796598</v>
      </c>
      <c r="F42" s="27">
        <f>'Balance sheet'!E20/standardized!E17</f>
        <v>0.37005414285799942</v>
      </c>
      <c r="G42" s="27">
        <f>'Balance sheet'!F20/standardized!F17</f>
        <v>0.36121344077137663</v>
      </c>
      <c r="H42" s="27">
        <f>'Balance sheet'!G20/standardized!G17</f>
        <v>0.37221641181455212</v>
      </c>
      <c r="I42" s="27">
        <f>'Balance sheet'!H20/standardized!H17</f>
        <v>0.32293781107428943</v>
      </c>
      <c r="J42" s="27">
        <f>'Balance sheet'!I20/standardized!I17</f>
        <v>0.33055028860557933</v>
      </c>
      <c r="K42" s="27">
        <f>'Balance sheet'!J20/standardized!J17</f>
        <v>0.33105454212328372</v>
      </c>
      <c r="L42" s="27">
        <f>'Balance sheet'!K20/standardized!K17</f>
        <v>0.33922314368370299</v>
      </c>
      <c r="M42" s="35">
        <f t="shared" si="3"/>
        <v>0.35289778003566069</v>
      </c>
    </row>
    <row r="43" spans="1:13" x14ac:dyDescent="0.15">
      <c r="A43" s="28" t="s">
        <v>127</v>
      </c>
      <c r="C43" s="34">
        <f>SUM('Balance sheet'!B23:B24)/standardized!B17</f>
        <v>5.3841132829954022E-2</v>
      </c>
      <c r="D43" s="34">
        <f>SUM('Balance sheet'!C23:C24)/standardized!C17</f>
        <v>6.0504428266235248E-2</v>
      </c>
      <c r="E43" s="34">
        <f>SUM('Balance sheet'!D23:D24)/standardized!D17</f>
        <v>6.8795755269381087E-2</v>
      </c>
      <c r="F43" s="34">
        <f>SUM('Balance sheet'!E23:E24)/standardized!E17</f>
        <v>7.4315019896351101E-2</v>
      </c>
      <c r="G43" s="34">
        <f>SUM('Balance sheet'!F23:F24)/standardized!F17</f>
        <v>0.10318912141211692</v>
      </c>
      <c r="H43" s="34">
        <f>SUM('Balance sheet'!G23:G24)/standardized!G17</f>
        <v>0.1326064386102862</v>
      </c>
      <c r="I43" s="34">
        <f>SUM('Balance sheet'!H23:H24)/standardized!H17</f>
        <v>0.12559755772590947</v>
      </c>
      <c r="J43" s="34">
        <f>SUM('Balance sheet'!I23:I24)/standardized!I17</f>
        <v>0.12095070484012334</v>
      </c>
      <c r="K43" s="34">
        <f>SUM('Balance sheet'!J23:J24)/standardized!J17</f>
        <v>0.1092478353119392</v>
      </c>
      <c r="L43" s="34">
        <f>SUM('Balance sheet'!K23:K24)/standardized!K17</f>
        <v>9.9844937319189975E-2</v>
      </c>
      <c r="M43" s="35">
        <f t="shared" si="3"/>
        <v>9.488929314814866E-2</v>
      </c>
    </row>
    <row r="44" spans="1:13" x14ac:dyDescent="0.15">
      <c r="A44" s="28" t="s">
        <v>129</v>
      </c>
      <c r="C44" s="27">
        <f>'Balance sheet'!B26/standardized!B17</f>
        <v>0.12062777591315574</v>
      </c>
      <c r="D44" s="27">
        <f>'Balance sheet'!C26/standardized!C17</f>
        <v>0.12157509385435464</v>
      </c>
      <c r="E44" s="27">
        <f>'Balance sheet'!D26/standardized!D17</f>
        <v>0.12967997810127338</v>
      </c>
      <c r="F44" s="27">
        <f>'Balance sheet'!E26/standardized!E17</f>
        <v>0.13359235564402819</v>
      </c>
      <c r="G44" s="27">
        <f>'Balance sheet'!F26/standardized!F17</f>
        <v>0.13163752296342376</v>
      </c>
      <c r="H44" s="27">
        <f>'Balance sheet'!G26/standardized!G17</f>
        <v>0.12893824766587017</v>
      </c>
      <c r="I44" s="27">
        <f>'Balance sheet'!H26/standardized!H17</f>
        <v>0.12931211783579033</v>
      </c>
      <c r="J44" s="27">
        <f>'Balance sheet'!I26/standardized!I17</f>
        <v>0.13896367375871665</v>
      </c>
      <c r="K44" s="27">
        <f>'Balance sheet'!J26/standardized!J17</f>
        <v>0.13595369784177369</v>
      </c>
      <c r="L44" s="27">
        <f>'Balance sheet'!K26/standardized!K17</f>
        <v>0.13250221793635486</v>
      </c>
      <c r="M44" s="35">
        <f t="shared" si="3"/>
        <v>0.13027826815147414</v>
      </c>
    </row>
    <row r="45" spans="1:13" x14ac:dyDescent="0.15">
      <c r="A45" s="28" t="s">
        <v>135</v>
      </c>
      <c r="C45" s="27">
        <f>standardized!B27/standardized!B26</f>
        <v>0.32198878987055929</v>
      </c>
      <c r="D45" s="27">
        <f>standardized!C27/standardized!C26</f>
        <v>0.30307791847675386</v>
      </c>
      <c r="E45" s="27">
        <f>standardized!D27/standardized!D26</f>
        <v>0.30267844074742645</v>
      </c>
      <c r="F45" s="27">
        <f>standardized!E27/standardized!E26</f>
        <v>0.30417245255570985</v>
      </c>
      <c r="G45" s="27">
        <f>standardized!F27/standardized!F26</f>
        <v>0.37356020942408374</v>
      </c>
      <c r="H45" s="27">
        <f>standardized!G27/standardized!G26</f>
        <v>0.24433286935772519</v>
      </c>
      <c r="I45" s="27">
        <f>standardized!H27/standardized!H26</f>
        <v>0.33349542890488232</v>
      </c>
      <c r="J45" s="27">
        <f>standardized!I27/standardized!I26</f>
        <v>0.25438596491228072</v>
      </c>
      <c r="K45" s="27">
        <f>standardized!J27/standardized!J26</f>
        <v>0.33638928067700985</v>
      </c>
      <c r="L45" s="27">
        <f>standardized!K27/standardized!K26</f>
        <v>0.25530941047235445</v>
      </c>
      <c r="M45" s="35">
        <f t="shared" si="3"/>
        <v>0.30293907653987856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9B2C-55A5-40BA-8875-500061FEE0CE}">
  <dimension ref="A4:M16"/>
  <sheetViews>
    <sheetView zoomScale="102" zoomScaleNormal="102" workbookViewId="0">
      <selection activeCell="I18" sqref="I18"/>
    </sheetView>
  </sheetViews>
  <sheetFormatPr baseColWidth="10" defaultColWidth="8.83203125" defaultRowHeight="13" x14ac:dyDescent="0.15"/>
  <cols>
    <col min="1" max="1" width="19.33203125" bestFit="1" customWidth="1"/>
    <col min="2" max="2" width="15.1640625" bestFit="1" customWidth="1"/>
    <col min="11" max="11" width="9.1640625" bestFit="1" customWidth="1"/>
  </cols>
  <sheetData>
    <row r="4" spans="1:13" x14ac:dyDescent="0.15">
      <c r="B4" s="10" t="s">
        <v>95</v>
      </c>
      <c r="E4">
        <f>standardized!C25/'Balance sheet'!C20</f>
        <v>-1.3941161179488919E-2</v>
      </c>
      <c r="F4">
        <f>standardized!D25/'Balance sheet'!D20</f>
        <v>-1.2630089363314242E-2</v>
      </c>
      <c r="G4">
        <f>standardized!E25/'Balance sheet'!E20</f>
        <v>-2.8700433152942954E-2</v>
      </c>
      <c r="H4">
        <f>standardized!F25/'Balance sheet'!F20</f>
        <v>-5.6493191970292234E-2</v>
      </c>
      <c r="I4">
        <f>standardized!G25/'Balance sheet'!G20</f>
        <v>-2.3176159320712924E-3</v>
      </c>
      <c r="J4">
        <f>standardized!H25/'Balance sheet'!H20</f>
        <v>-1.0987367849765466E-2</v>
      </c>
      <c r="K4">
        <f>standardized!I25/'Balance sheet'!I20</f>
        <v>-3.8273013458409923E-2</v>
      </c>
      <c r="L4">
        <f>standardized!J25/'Balance sheet'!J20</f>
        <v>-1.6860206552354599E-2</v>
      </c>
      <c r="M4">
        <f>standardized!K25/'Balance sheet'!K20</f>
        <v>-2.3487780804970458E-2</v>
      </c>
    </row>
    <row r="5" spans="1:13" x14ac:dyDescent="0.15">
      <c r="B5" t="s">
        <v>96</v>
      </c>
      <c r="E5">
        <f>E10</f>
        <v>0.26378870269670401</v>
      </c>
      <c r="F5">
        <f t="shared" ref="F5:M5" si="0">F10</f>
        <v>0.30872306883867578</v>
      </c>
      <c r="G5">
        <f t="shared" si="0"/>
        <v>0.27883014154870939</v>
      </c>
      <c r="H5">
        <f t="shared" si="0"/>
        <v>0.27890006229420666</v>
      </c>
      <c r="I5">
        <f t="shared" si="0"/>
        <v>0.31329737135028685</v>
      </c>
      <c r="J5">
        <f t="shared" si="0"/>
        <v>0.28238780694326843</v>
      </c>
      <c r="K5">
        <f t="shared" si="0"/>
        <v>0.30759307040176925</v>
      </c>
      <c r="L5">
        <f t="shared" si="0"/>
        <v>0.32743164500224115</v>
      </c>
      <c r="M5">
        <f t="shared" si="0"/>
        <v>0.35989246696791166</v>
      </c>
    </row>
    <row r="6" spans="1:13" x14ac:dyDescent="0.15">
      <c r="B6" t="s">
        <v>97</v>
      </c>
      <c r="E6">
        <f>D11</f>
        <v>-1.4642444862992892E-2</v>
      </c>
      <c r="F6">
        <f t="shared" ref="F6:M6" si="1">E11</f>
        <v>2.9219983330881993E-2</v>
      </c>
      <c r="G6">
        <f t="shared" si="1"/>
        <v>9.3682089375321034E-2</v>
      </c>
      <c r="H6">
        <f t="shared" si="1"/>
        <v>8.7618442338802865E-2</v>
      </c>
      <c r="I6">
        <f t="shared" si="1"/>
        <v>0.26374633431085043</v>
      </c>
      <c r="J6">
        <f t="shared" si="1"/>
        <v>0.24559693109806499</v>
      </c>
      <c r="K6">
        <f t="shared" si="1"/>
        <v>0.29406250430802738</v>
      </c>
      <c r="L6">
        <f t="shared" si="1"/>
        <v>0.42413302145835452</v>
      </c>
      <c r="M6">
        <f t="shared" si="1"/>
        <v>-3.4195979899497485E-2</v>
      </c>
    </row>
    <row r="10" spans="1:13" x14ac:dyDescent="0.15">
      <c r="B10" s="28" t="s">
        <v>75</v>
      </c>
      <c r="D10">
        <f>'[2]income statement'!B36/'[2]balance sheet'!B30</f>
        <v>0.24237427864798022</v>
      </c>
      <c r="E10">
        <f>'[2]income statement'!C36/'[2]balance sheet'!C30</f>
        <v>0.26378870269670401</v>
      </c>
      <c r="F10">
        <f>'[2]income statement'!D36/'[2]balance sheet'!D30</f>
        <v>0.30872306883867578</v>
      </c>
      <c r="G10">
        <f>'[2]income statement'!E36/'[2]balance sheet'!E30</f>
        <v>0.27883014154870939</v>
      </c>
      <c r="H10">
        <f>'[2]income statement'!F36/'[2]balance sheet'!F30</f>
        <v>0.27890006229420666</v>
      </c>
      <c r="I10">
        <f>'[2]income statement'!G36/'[2]balance sheet'!G30</f>
        <v>0.31329737135028685</v>
      </c>
      <c r="J10">
        <f>'[2]income statement'!H36/'[2]balance sheet'!H30</f>
        <v>0.28238780694326843</v>
      </c>
      <c r="K10">
        <f>'[2]income statement'!I36/'[2]balance sheet'!I30</f>
        <v>0.30759307040176925</v>
      </c>
      <c r="L10">
        <f>'[2]income statement'!J36/'[2]balance sheet'!J30</f>
        <v>0.32743164500224115</v>
      </c>
      <c r="M10">
        <f>'[2]income statement'!K36/'[2]balance sheet'!K30</f>
        <v>0.35989246696791166</v>
      </c>
    </row>
    <row r="11" spans="1:13" x14ac:dyDescent="0.15">
      <c r="B11" s="28" t="s">
        <v>98</v>
      </c>
      <c r="D11">
        <f>'[3]income statment '!B37/'[3]balance sheet '!B29</f>
        <v>-1.4642444862992892E-2</v>
      </c>
      <c r="E11">
        <f>'[3]income statment '!C37/'[3]balance sheet '!C29</f>
        <v>2.9219983330881993E-2</v>
      </c>
      <c r="F11">
        <f>'[3]income statment '!D37/'[3]balance sheet '!D29</f>
        <v>9.3682089375321034E-2</v>
      </c>
      <c r="G11">
        <f>'[3]income statment '!E37/'[3]balance sheet '!E29</f>
        <v>8.7618442338802865E-2</v>
      </c>
      <c r="H11">
        <f>'[3]income statment '!F37/'[3]balance sheet '!F29</f>
        <v>0.26374633431085043</v>
      </c>
      <c r="I11">
        <f>'[3]income statment '!G37/'[3]balance sheet '!G29</f>
        <v>0.24559693109806499</v>
      </c>
      <c r="J11">
        <f>'[3]income statment '!H37/'[3]balance sheet '!H29</f>
        <v>0.29406250430802738</v>
      </c>
      <c r="K11">
        <f>'[3]income statment '!I37/'[3]balance sheet '!I29</f>
        <v>0.42413302145835452</v>
      </c>
      <c r="L11">
        <f>'[3]income statment '!J37/'[3]balance sheet '!J29</f>
        <v>-3.4195979899497485E-2</v>
      </c>
    </row>
    <row r="13" spans="1:13" x14ac:dyDescent="0.15">
      <c r="B13" t="str">
        <f>'financial ratios'!C5</f>
        <v>01/31/2015</v>
      </c>
      <c r="C13" t="str">
        <f>'financial ratios'!D5</f>
        <v>01/31/2016</v>
      </c>
      <c r="D13" t="str">
        <f>'financial ratios'!E5</f>
        <v>01/31/2017</v>
      </c>
      <c r="E13" t="str">
        <f>'financial ratios'!F5</f>
        <v>01/31/2018</v>
      </c>
      <c r="F13" t="str">
        <f>'financial ratios'!G5</f>
        <v>01/31/2019</v>
      </c>
      <c r="G13" t="str">
        <f>'financial ratios'!H5</f>
        <v>01/31/2020</v>
      </c>
      <c r="H13" t="str">
        <f>'financial ratios'!I5</f>
        <v>01/31/2021</v>
      </c>
      <c r="I13" t="str">
        <f>'financial ratios'!J5</f>
        <v>01/31/2022</v>
      </c>
      <c r="J13" t="str">
        <f>'financial ratios'!K5</f>
        <v>01/31/2023</v>
      </c>
      <c r="K13" s="30">
        <v>45322</v>
      </c>
    </row>
    <row r="14" spans="1:13" x14ac:dyDescent="0.15">
      <c r="A14" s="28" t="s">
        <v>99</v>
      </c>
      <c r="B14" s="28">
        <f>'[2]financial ratio'!C17</f>
        <v>1.6842233601560594</v>
      </c>
      <c r="C14" s="28">
        <f>'[2]financial ratio'!D17</f>
        <v>2.149665630592446</v>
      </c>
      <c r="D14" s="28">
        <f>'[2]financial ratio'!E17</f>
        <v>1.7455087341667357</v>
      </c>
      <c r="E14" s="28">
        <f>'[2]financial ratio'!F17</f>
        <v>2.3723325292262016</v>
      </c>
      <c r="F14" s="28">
        <f>'[2]financial ratio'!G17</f>
        <v>2.1900929760137511</v>
      </c>
      <c r="G14" s="28">
        <f>'[2]financial ratio'!H17</f>
        <v>1.9784163222462769</v>
      </c>
      <c r="H14" s="28">
        <f>'[2]financial ratio'!I17</f>
        <v>2.0385036097134108</v>
      </c>
      <c r="I14" s="28">
        <f>'[2]financial ratio'!J17</f>
        <v>2.3744021862901388</v>
      </c>
      <c r="J14" s="28">
        <f>'[2]financial ratio'!K17</f>
        <v>2.1085166166069178</v>
      </c>
      <c r="K14" s="28"/>
      <c r="L14" s="28"/>
      <c r="M14" s="28"/>
    </row>
    <row r="15" spans="1:13" x14ac:dyDescent="0.15">
      <c r="A15" s="28" t="s">
        <v>100</v>
      </c>
      <c r="B15" s="10">
        <f>'[3]Financial ratios'!C18</f>
        <v>4.0744809608043946</v>
      </c>
      <c r="C15" s="10">
        <f>'[3]Financial ratios'!D18</f>
        <v>3.8897190675433353</v>
      </c>
      <c r="D15" s="10">
        <f>'[3]Financial ratios'!E18</f>
        <v>3.3247083225304639</v>
      </c>
      <c r="E15" s="10">
        <f>'[3]Financial ratios'!F18</f>
        <v>3.7388935003067596</v>
      </c>
      <c r="F15" s="10">
        <f>'[3]Financial ratios'!G18</f>
        <v>2.734827435762015</v>
      </c>
      <c r="G15" s="10">
        <f>'[3]Financial ratios'!H18</f>
        <v>2.6295198195294875</v>
      </c>
      <c r="H15" s="10">
        <f>'[3]Financial ratios'!I18</f>
        <v>2.4387713588283155</v>
      </c>
      <c r="I15" s="10">
        <f>'[3]Financial ratios'!J18</f>
        <v>2.0420557705522802</v>
      </c>
      <c r="J15" s="10">
        <f>'[3]Financial ratios'!K18</f>
        <v>2.1680737864875415</v>
      </c>
    </row>
    <row r="16" spans="1:13" x14ac:dyDescent="0.15">
      <c r="A16" s="28" t="s">
        <v>101</v>
      </c>
      <c r="B16">
        <f>'financial ratios'!C17</f>
        <v>1.5027151878516845</v>
      </c>
      <c r="C16">
        <f>'financial ratios'!D17</f>
        <v>1.4778511657934597</v>
      </c>
      <c r="D16">
        <f>'financial ratios'!E17</f>
        <v>1.5556569577624104</v>
      </c>
      <c r="E16">
        <f>'financial ratios'!F17</f>
        <v>1.6264880761278557</v>
      </c>
      <c r="F16">
        <f>'financial ratios'!G17</f>
        <v>2.0249255131317589</v>
      </c>
      <c r="G16">
        <f>'financial ratios'!H17</f>
        <v>2.1672447736008249</v>
      </c>
      <c r="H16">
        <f>'financial ratios'!I17</f>
        <v>2.1201235712079085</v>
      </c>
      <c r="I16">
        <f>'financial ratios'!J17</f>
        <v>1.9411552736838311</v>
      </c>
      <c r="J16">
        <f>'financial ratios'!K17</f>
        <v>2.1710455973817688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D2FE-6100-4827-B271-9ECCFCE9E9EE}">
  <dimension ref="A1:W133"/>
  <sheetViews>
    <sheetView tabSelected="1" topLeftCell="A94" zoomScale="59" zoomScaleNormal="59" workbookViewId="0">
      <selection activeCell="F140" sqref="F140"/>
    </sheetView>
  </sheetViews>
  <sheetFormatPr baseColWidth="10" defaultColWidth="8.83203125" defaultRowHeight="13" x14ac:dyDescent="0.15"/>
  <cols>
    <col min="1" max="1" width="24" bestFit="1" customWidth="1"/>
    <col min="2" max="3" width="24" customWidth="1"/>
    <col min="4" max="5" width="15.1640625" bestFit="1" customWidth="1"/>
    <col min="6" max="6" width="15.6640625" bestFit="1" customWidth="1"/>
    <col min="7" max="7" width="15.1640625" bestFit="1" customWidth="1"/>
    <col min="8" max="8" width="16.33203125" bestFit="1" customWidth="1"/>
    <col min="9" max="9" width="15.6640625" bestFit="1" customWidth="1"/>
    <col min="10" max="11" width="16.83203125" bestFit="1" customWidth="1"/>
    <col min="12" max="12" width="11.33203125" bestFit="1" customWidth="1"/>
    <col min="13" max="13" width="20.83203125" bestFit="1" customWidth="1"/>
    <col min="14" max="15" width="11.5" bestFit="1" customWidth="1"/>
    <col min="16" max="17" width="13.6640625" bestFit="1" customWidth="1"/>
    <col min="18" max="21" width="12" bestFit="1" customWidth="1"/>
    <col min="22" max="23" width="11" bestFit="1" customWidth="1"/>
  </cols>
  <sheetData>
    <row r="1" spans="1:23" x14ac:dyDescent="0.15">
      <c r="M1" t="str">
        <f>A19</f>
        <v xml:space="preserve">Year ending </v>
      </c>
      <c r="N1" s="30">
        <f>B19</f>
        <v>44227</v>
      </c>
      <c r="O1" s="30">
        <f t="shared" ref="O1:V1" si="0">C19</f>
        <v>44592</v>
      </c>
      <c r="P1" s="30">
        <f t="shared" si="0"/>
        <v>44957</v>
      </c>
      <c r="Q1" s="30">
        <f t="shared" si="0"/>
        <v>45322</v>
      </c>
      <c r="R1" s="30">
        <f t="shared" si="0"/>
        <v>45688</v>
      </c>
      <c r="S1" s="30">
        <f t="shared" si="0"/>
        <v>46053</v>
      </c>
      <c r="T1" s="30">
        <f t="shared" si="0"/>
        <v>46418</v>
      </c>
      <c r="U1" s="30">
        <f t="shared" si="0"/>
        <v>46783</v>
      </c>
      <c r="V1" s="30">
        <f t="shared" si="0"/>
        <v>47149</v>
      </c>
      <c r="W1" s="30">
        <f>K19</f>
        <v>47514</v>
      </c>
    </row>
    <row r="2" spans="1:23" x14ac:dyDescent="0.15">
      <c r="A2" s="28" t="s">
        <v>131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M2" t="str">
        <f>A22</f>
        <v>Total Revenue</v>
      </c>
      <c r="N2">
        <f t="shared" ref="N2:W2" si="1">B22</f>
        <v>572754000</v>
      </c>
      <c r="O2">
        <f t="shared" si="1"/>
        <v>611289000</v>
      </c>
      <c r="P2">
        <f t="shared" si="1"/>
        <v>629627670</v>
      </c>
      <c r="Q2">
        <f t="shared" si="1"/>
        <v>651664638.44999993</v>
      </c>
      <c r="R2">
        <f t="shared" si="1"/>
        <v>674472900.7957499</v>
      </c>
      <c r="S2">
        <f t="shared" si="1"/>
        <v>701451816.82757998</v>
      </c>
      <c r="T2">
        <f t="shared" si="1"/>
        <v>729509889.50068319</v>
      </c>
      <c r="U2">
        <f t="shared" si="1"/>
        <v>762337834.52821386</v>
      </c>
      <c r="V2">
        <f t="shared" si="1"/>
        <v>796643037.08198345</v>
      </c>
      <c r="W2">
        <f t="shared" si="1"/>
        <v>828508758.56526279</v>
      </c>
    </row>
    <row r="3" spans="1:23" x14ac:dyDescent="0.15">
      <c r="A3" s="28" t="s">
        <v>132</v>
      </c>
      <c r="D3" s="35">
        <v>0.03</v>
      </c>
      <c r="E3" s="17">
        <v>3.5000000000000003E-2</v>
      </c>
      <c r="F3" s="35">
        <v>0.04</v>
      </c>
      <c r="G3" s="17">
        <v>4.2500000000000003E-2</v>
      </c>
      <c r="H3" s="17">
        <v>4.4999999999999998E-2</v>
      </c>
      <c r="I3" s="17">
        <v>4.4999999999999998E-2</v>
      </c>
      <c r="J3" s="17">
        <v>4.4999999999999998E-2</v>
      </c>
      <c r="K3" s="17">
        <v>4.4999999999999998E-2</v>
      </c>
      <c r="M3" t="str">
        <f>A33</f>
        <v>Net Income</v>
      </c>
      <c r="N3">
        <f t="shared" ref="N3:W3" si="2">B33</f>
        <v>18429000</v>
      </c>
      <c r="O3">
        <f t="shared" si="2"/>
        <v>11292000</v>
      </c>
      <c r="P3">
        <f t="shared" si="2"/>
        <v>7121563.2179999817</v>
      </c>
      <c r="Q3">
        <f t="shared" si="2"/>
        <v>15239711.058063719</v>
      </c>
      <c r="R3">
        <f t="shared" si="2"/>
        <v>15445044.695610009</v>
      </c>
      <c r="S3">
        <f t="shared" si="2"/>
        <v>11286684.178367581</v>
      </c>
      <c r="T3">
        <f t="shared" si="2"/>
        <v>22383078.485789351</v>
      </c>
      <c r="U3">
        <f t="shared" si="2"/>
        <v>30198631.832388125</v>
      </c>
      <c r="V3">
        <f t="shared" si="2"/>
        <v>37038836.350299567</v>
      </c>
      <c r="W3">
        <f t="shared" si="2"/>
        <v>50846402.014696807</v>
      </c>
    </row>
    <row r="4" spans="1:23" x14ac:dyDescent="0.15">
      <c r="A4" s="28" t="s">
        <v>133</v>
      </c>
      <c r="D4" s="35">
        <v>0.04</v>
      </c>
      <c r="E4" s="35">
        <v>0.04</v>
      </c>
      <c r="F4" s="35">
        <v>0.04</v>
      </c>
      <c r="G4" s="35">
        <v>0.04</v>
      </c>
      <c r="H4" s="35">
        <v>0.04</v>
      </c>
      <c r="I4" s="35">
        <v>0.04</v>
      </c>
      <c r="J4" s="35">
        <v>0.04</v>
      </c>
      <c r="K4" s="35">
        <v>0.04</v>
      </c>
    </row>
    <row r="5" spans="1:23" x14ac:dyDescent="0.15">
      <c r="A5" s="28" t="s">
        <v>134</v>
      </c>
      <c r="D5" s="66">
        <v>4.4999999999999998E-2</v>
      </c>
      <c r="E5" s="66">
        <v>4.4999999999999998E-2</v>
      </c>
      <c r="F5" s="66">
        <v>0.05</v>
      </c>
      <c r="G5" s="66">
        <v>0.05</v>
      </c>
      <c r="H5" s="66">
        <v>5.5E-2</v>
      </c>
      <c r="I5" s="66">
        <v>5.5E-2</v>
      </c>
      <c r="J5" s="66">
        <v>0.06</v>
      </c>
      <c r="K5" s="66">
        <v>0.06</v>
      </c>
      <c r="M5" t="str">
        <f>M1</f>
        <v xml:space="preserve">Year ending </v>
      </c>
      <c r="N5" s="30">
        <f>N1</f>
        <v>44227</v>
      </c>
      <c r="O5" s="30">
        <f t="shared" ref="O5:W5" si="3">O1</f>
        <v>44592</v>
      </c>
      <c r="P5" s="30">
        <f t="shared" si="3"/>
        <v>44957</v>
      </c>
      <c r="Q5" s="30">
        <f t="shared" si="3"/>
        <v>45322</v>
      </c>
      <c r="R5" s="30">
        <f t="shared" si="3"/>
        <v>45688</v>
      </c>
      <c r="S5" s="30">
        <f>S1</f>
        <v>46053</v>
      </c>
      <c r="T5" s="30">
        <f t="shared" si="3"/>
        <v>46418</v>
      </c>
      <c r="U5" s="30">
        <f t="shared" si="3"/>
        <v>46783</v>
      </c>
      <c r="V5" s="30">
        <f t="shared" si="3"/>
        <v>47149</v>
      </c>
      <c r="W5" s="30">
        <f t="shared" si="3"/>
        <v>47514</v>
      </c>
    </row>
    <row r="6" spans="1:23" x14ac:dyDescent="0.15">
      <c r="A6" s="28" t="s">
        <v>138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M6" t="str">
        <f>A63</f>
        <v>Total Current Assets</v>
      </c>
      <c r="N6">
        <f t="shared" ref="N6:W6" si="4">B63</f>
        <v>24559000</v>
      </c>
      <c r="O6">
        <f t="shared" si="4"/>
        <v>19079000</v>
      </c>
      <c r="P6">
        <f t="shared" si="4"/>
        <v>71780044.704999998</v>
      </c>
      <c r="Q6">
        <f t="shared" si="4"/>
        <v>54654173.085999995</v>
      </c>
      <c r="R6">
        <f t="shared" si="4"/>
        <v>63223564.0866175</v>
      </c>
      <c r="S6">
        <f t="shared" si="4"/>
        <v>44608113.029654801</v>
      </c>
      <c r="T6">
        <f t="shared" si="4"/>
        <v>68176895.080061495</v>
      </c>
      <c r="U6">
        <f t="shared" si="4"/>
        <v>63508032.792257108</v>
      </c>
      <c r="V6">
        <f t="shared" si="4"/>
        <v>66252450.001558676</v>
      </c>
      <c r="W6">
        <f t="shared" si="4"/>
        <v>60516621.139568396</v>
      </c>
    </row>
    <row r="7" spans="1:23" x14ac:dyDescent="0.15">
      <c r="A7" s="28" t="s">
        <v>154</v>
      </c>
      <c r="D7" s="35">
        <v>1</v>
      </c>
      <c r="E7" s="35">
        <v>1</v>
      </c>
      <c r="F7" s="35">
        <v>1</v>
      </c>
      <c r="G7" s="35">
        <v>1</v>
      </c>
      <c r="H7" s="35">
        <v>1</v>
      </c>
      <c r="I7" s="35">
        <v>1</v>
      </c>
      <c r="J7" s="35">
        <v>1</v>
      </c>
      <c r="K7" s="35">
        <v>1</v>
      </c>
      <c r="M7" t="str">
        <f>A73</f>
        <v>Total Current Liabilities</v>
      </c>
      <c r="N7">
        <f t="shared" ref="N7:W7" si="5">B73</f>
        <v>87379000</v>
      </c>
      <c r="O7">
        <f t="shared" si="5"/>
        <v>92198000</v>
      </c>
      <c r="P7">
        <f t="shared" si="5"/>
        <v>110997703.90000001</v>
      </c>
      <c r="Q7">
        <f t="shared" si="5"/>
        <v>114743988.53649999</v>
      </c>
      <c r="R7">
        <f t="shared" si="5"/>
        <v>111876664.12731999</v>
      </c>
      <c r="S7">
        <f t="shared" si="5"/>
        <v>116193290.69241279</v>
      </c>
      <c r="T7">
        <f t="shared" si="5"/>
        <v>135272780.11012298</v>
      </c>
      <c r="U7">
        <f t="shared" si="5"/>
        <v>141181810.2150785</v>
      </c>
      <c r="V7">
        <f t="shared" si="5"/>
        <v>131423885.93311736</v>
      </c>
      <c r="W7">
        <f t="shared" si="5"/>
        <v>136522401.37044203</v>
      </c>
    </row>
    <row r="8" spans="1:23" x14ac:dyDescent="0.15">
      <c r="A8" s="28" t="s">
        <v>169</v>
      </c>
      <c r="D8" s="35">
        <v>0.04</v>
      </c>
      <c r="E8" s="35"/>
      <c r="F8" s="35"/>
      <c r="G8" s="35"/>
      <c r="H8" s="35"/>
      <c r="I8" s="35"/>
      <c r="J8" s="35"/>
      <c r="K8" s="35"/>
    </row>
    <row r="9" spans="1:23" x14ac:dyDescent="0.15">
      <c r="A9" s="28" t="s">
        <v>170</v>
      </c>
      <c r="D9" s="35">
        <v>0.08</v>
      </c>
      <c r="E9" s="35"/>
      <c r="F9" s="35"/>
      <c r="G9" s="35"/>
      <c r="H9" s="35"/>
      <c r="I9" s="35"/>
      <c r="J9" s="35"/>
      <c r="K9" s="35"/>
      <c r="M9" t="str">
        <f>M5</f>
        <v xml:space="preserve">Year ending </v>
      </c>
      <c r="N9" s="30">
        <f>N5</f>
        <v>44227</v>
      </c>
      <c r="O9" s="30">
        <f t="shared" ref="O9:W9" si="6">O5</f>
        <v>44592</v>
      </c>
      <c r="P9" s="30">
        <f t="shared" si="6"/>
        <v>44957</v>
      </c>
      <c r="Q9" s="30">
        <f t="shared" si="6"/>
        <v>45322</v>
      </c>
      <c r="R9" s="30">
        <f t="shared" si="6"/>
        <v>45688</v>
      </c>
      <c r="S9" s="30">
        <f t="shared" si="6"/>
        <v>46053</v>
      </c>
      <c r="T9" s="30">
        <f t="shared" si="6"/>
        <v>46418</v>
      </c>
      <c r="U9" s="30">
        <f t="shared" si="6"/>
        <v>46783</v>
      </c>
      <c r="V9" s="30">
        <f t="shared" si="6"/>
        <v>47149</v>
      </c>
      <c r="W9" s="30">
        <f t="shared" si="6"/>
        <v>47514</v>
      </c>
    </row>
    <row r="10" spans="1:23" x14ac:dyDescent="0.15">
      <c r="A10" s="28" t="s">
        <v>173</v>
      </c>
      <c r="D10" s="41">
        <f>standardized!K40</f>
        <v>8054000</v>
      </c>
      <c r="E10" s="35"/>
      <c r="F10" s="35"/>
      <c r="G10" s="35"/>
      <c r="H10" s="35"/>
      <c r="I10" s="35"/>
      <c r="J10" s="35"/>
      <c r="K10" s="35"/>
      <c r="M10" t="str">
        <f>A23</f>
        <v>Direct Costs</v>
      </c>
      <c r="N10">
        <f t="shared" ref="N10:W10" si="7">B23</f>
        <v>429000000</v>
      </c>
      <c r="O10">
        <f t="shared" si="7"/>
        <v>463721000</v>
      </c>
      <c r="P10">
        <f t="shared" si="7"/>
        <v>484813305.90000004</v>
      </c>
      <c r="Q10">
        <f t="shared" si="7"/>
        <v>488748478.83749998</v>
      </c>
      <c r="R10">
        <f t="shared" si="7"/>
        <v>505854675.59681243</v>
      </c>
      <c r="S10">
        <f t="shared" si="7"/>
        <v>533103380.78896081</v>
      </c>
      <c r="T10">
        <f t="shared" si="7"/>
        <v>539837318.23050559</v>
      </c>
      <c r="U10">
        <f t="shared" si="7"/>
        <v>556506619.20559609</v>
      </c>
      <c r="V10">
        <f t="shared" si="7"/>
        <v>573582986.69902802</v>
      </c>
      <c r="W10">
        <f t="shared" si="7"/>
        <v>579956130.99568391</v>
      </c>
    </row>
    <row r="11" spans="1:23" x14ac:dyDescent="0.15">
      <c r="A11" s="28" t="s">
        <v>174</v>
      </c>
      <c r="D11" s="42">
        <v>472691000</v>
      </c>
      <c r="E11" s="35"/>
      <c r="F11" s="35"/>
      <c r="G11" s="35"/>
      <c r="H11" s="35"/>
      <c r="I11" s="35"/>
      <c r="J11" s="35"/>
      <c r="K11" s="35"/>
      <c r="M11" t="str">
        <f>A25</f>
        <v>Selling General &amp; Admin</v>
      </c>
      <c r="N11">
        <f t="shared" ref="N11:V11" si="8">B25</f>
        <v>117812000</v>
      </c>
      <c r="O11">
        <f t="shared" si="8"/>
        <v>127140000</v>
      </c>
      <c r="P11">
        <f t="shared" si="8"/>
        <v>132221810.69999999</v>
      </c>
      <c r="Q11">
        <f t="shared" si="8"/>
        <v>136849574.07449999</v>
      </c>
      <c r="R11">
        <f t="shared" si="8"/>
        <v>141639309.16710746</v>
      </c>
      <c r="S11">
        <f t="shared" si="8"/>
        <v>147304881.53379178</v>
      </c>
      <c r="T11">
        <f t="shared" si="8"/>
        <v>153197076.79514346</v>
      </c>
      <c r="U11">
        <f t="shared" si="8"/>
        <v>160090945.25092492</v>
      </c>
      <c r="V11">
        <f t="shared" si="8"/>
        <v>167295037.78721651</v>
      </c>
      <c r="W11">
        <f>K25</f>
        <v>173986839.29870519</v>
      </c>
    </row>
    <row r="12" spans="1:23" x14ac:dyDescent="0.15">
      <c r="A12" s="28" t="s">
        <v>179</v>
      </c>
      <c r="D12" s="39">
        <f>D74/($D$11+D74)</f>
        <v>0.21270844618378756</v>
      </c>
      <c r="E12" s="39">
        <f t="shared" ref="E12:K12" si="9">E74/($D$11+E74)</f>
        <v>0.21270844618378756</v>
      </c>
      <c r="F12" s="39">
        <f t="shared" si="9"/>
        <v>0.21270844618378756</v>
      </c>
      <c r="G12" s="39">
        <f t="shared" si="9"/>
        <v>0.21270844618378756</v>
      </c>
      <c r="H12" s="39">
        <f t="shared" si="9"/>
        <v>0.21270844618378756</v>
      </c>
      <c r="I12" s="39">
        <f t="shared" si="9"/>
        <v>0.21270844618378756</v>
      </c>
      <c r="J12" s="39">
        <f t="shared" si="9"/>
        <v>0.21270844618378756</v>
      </c>
      <c r="K12" s="43">
        <f t="shared" si="9"/>
        <v>0.21270844618378756</v>
      </c>
    </row>
    <row r="13" spans="1:23" x14ac:dyDescent="0.15">
      <c r="A13" s="28" t="s">
        <v>180</v>
      </c>
      <c r="D13" s="39">
        <f>D4*D15+D3</f>
        <v>0.05</v>
      </c>
      <c r="E13" s="39">
        <f t="shared" ref="E13:K13" si="10">E4*E15+E3</f>
        <v>5.5000000000000007E-2</v>
      </c>
      <c r="F13" s="39">
        <f t="shared" si="10"/>
        <v>0.06</v>
      </c>
      <c r="G13" s="39">
        <f t="shared" si="10"/>
        <v>6.25E-2</v>
      </c>
      <c r="H13" s="39">
        <f t="shared" si="10"/>
        <v>6.5000000000000002E-2</v>
      </c>
      <c r="I13" s="39">
        <f t="shared" si="10"/>
        <v>6.5000000000000002E-2</v>
      </c>
      <c r="J13" s="39">
        <f t="shared" si="10"/>
        <v>6.5000000000000002E-2</v>
      </c>
      <c r="K13" s="43">
        <f t="shared" si="10"/>
        <v>6.5000000000000002E-2</v>
      </c>
    </row>
    <row r="14" spans="1:23" x14ac:dyDescent="0.15">
      <c r="A14" s="28" t="s">
        <v>178</v>
      </c>
      <c r="D14" s="39">
        <f>(1-D12)*D13+D12*D5*(1-D48)</f>
        <v>4.6734925351078857E-2</v>
      </c>
      <c r="E14" s="39">
        <f t="shared" ref="E14:K14" si="11">(1-E12)*E13+E12*E5*(1-E48)</f>
        <v>5.047994551859452E-2</v>
      </c>
      <c r="F14" s="39">
        <f t="shared" si="11"/>
        <v>5.5214059960864773E-2</v>
      </c>
      <c r="G14" s="39">
        <f t="shared" si="11"/>
        <v>5.7394997291589096E-2</v>
      </c>
      <c r="H14" s="39">
        <f t="shared" si="11"/>
        <v>6.0065164048536131E-2</v>
      </c>
      <c r="I14" s="39">
        <f t="shared" si="11"/>
        <v>6.0299143339338293E-2</v>
      </c>
      <c r="J14" s="39">
        <f t="shared" si="11"/>
        <v>6.1001081211744794E-2</v>
      </c>
      <c r="K14" s="62">
        <f t="shared" si="11"/>
        <v>6.087345614403452E-2</v>
      </c>
    </row>
    <row r="15" spans="1:23" x14ac:dyDescent="0.15">
      <c r="A15" s="28" t="s">
        <v>181</v>
      </c>
      <c r="D15" s="43">
        <v>0.5</v>
      </c>
      <c r="E15" s="43">
        <v>0.5</v>
      </c>
      <c r="F15" s="43">
        <v>0.5</v>
      </c>
      <c r="G15" s="43">
        <v>0.5</v>
      </c>
      <c r="H15" s="43">
        <v>0.5</v>
      </c>
      <c r="I15" s="43">
        <v>0.5</v>
      </c>
      <c r="J15" s="43">
        <v>0.5</v>
      </c>
      <c r="K15" s="43">
        <v>0.5</v>
      </c>
    </row>
    <row r="17" spans="1:23" s="15" customFormat="1" ht="14" x14ac:dyDescent="0.15">
      <c r="A17" s="15" t="s">
        <v>102</v>
      </c>
      <c r="M17" s="15" t="str">
        <f>M9</f>
        <v xml:space="preserve">Year ending </v>
      </c>
      <c r="N17" s="40">
        <f>N9</f>
        <v>44227</v>
      </c>
      <c r="O17" s="40">
        <f t="shared" ref="O17:W17" si="12">O9</f>
        <v>44592</v>
      </c>
      <c r="P17" s="40">
        <f t="shared" si="12"/>
        <v>44957</v>
      </c>
      <c r="Q17" s="40">
        <f t="shared" si="12"/>
        <v>45322</v>
      </c>
      <c r="R17" s="40">
        <f t="shared" si="12"/>
        <v>45688</v>
      </c>
      <c r="S17" s="40">
        <f t="shared" si="12"/>
        <v>46053</v>
      </c>
      <c r="T17" s="40">
        <f t="shared" si="12"/>
        <v>46418</v>
      </c>
      <c r="U17" s="40">
        <f t="shared" si="12"/>
        <v>46783</v>
      </c>
      <c r="V17" s="40">
        <f>V9</f>
        <v>47149</v>
      </c>
      <c r="W17" s="40">
        <f t="shared" si="12"/>
        <v>47514</v>
      </c>
    </row>
    <row r="18" spans="1:23" x14ac:dyDescent="0.15">
      <c r="M18" t="str">
        <f>A110</f>
        <v xml:space="preserve">FREE CASH FLOW </v>
      </c>
      <c r="N18" t="e">
        <f t="shared" ref="N18:W18" si="13">B110</f>
        <v>#VALUE!</v>
      </c>
      <c r="O18">
        <f t="shared" si="13"/>
        <v>12035000</v>
      </c>
      <c r="P18">
        <f t="shared" si="13"/>
        <v>-6920060.1000000015</v>
      </c>
      <c r="Q18">
        <f t="shared" si="13"/>
        <v>40001436.480978727</v>
      </c>
      <c r="R18">
        <f t="shared" si="13"/>
        <v>8699524.3301925287</v>
      </c>
      <c r="S18">
        <f t="shared" si="13"/>
        <v>30891875.133314282</v>
      </c>
      <c r="T18">
        <f t="shared" si="13"/>
        <v>14816955.105560686</v>
      </c>
      <c r="U18">
        <f t="shared" si="13"/>
        <v>35982539.430021934</v>
      </c>
      <c r="V18">
        <f t="shared" si="13"/>
        <v>19849249.664899867</v>
      </c>
      <c r="W18">
        <f t="shared" si="13"/>
        <v>57871714.305251181</v>
      </c>
    </row>
    <row r="19" spans="1:23" s="10" customFormat="1" x14ac:dyDescent="0.15">
      <c r="A19" s="10" t="s">
        <v>103</v>
      </c>
      <c r="B19" s="32">
        <v>44227</v>
      </c>
      <c r="C19" s="32">
        <v>44592</v>
      </c>
      <c r="D19" s="32">
        <v>44957</v>
      </c>
      <c r="E19" s="32">
        <v>45322</v>
      </c>
      <c r="F19" s="32">
        <v>45688</v>
      </c>
      <c r="G19" s="32">
        <v>46053</v>
      </c>
      <c r="H19" s="32">
        <v>46418</v>
      </c>
      <c r="I19" s="32">
        <v>46783</v>
      </c>
      <c r="J19" s="32">
        <v>47149</v>
      </c>
      <c r="K19" s="32">
        <v>47514</v>
      </c>
    </row>
    <row r="20" spans="1:23" x14ac:dyDescent="0.15">
      <c r="A20" t="str">
        <f>standardized!A15</f>
        <v>Sales Revenue</v>
      </c>
      <c r="B20" s="45">
        <f>standardized!I15</f>
        <v>567762000</v>
      </c>
      <c r="C20" s="45">
        <f>standardized!J15</f>
        <v>605881000</v>
      </c>
      <c r="D20" s="47"/>
      <c r="E20" s="47"/>
      <c r="F20" s="47"/>
      <c r="G20" s="47"/>
      <c r="H20" s="47"/>
      <c r="I20" s="47"/>
      <c r="J20" s="47"/>
      <c r="K20" s="47"/>
      <c r="L20" s="23"/>
      <c r="M20" s="23"/>
      <c r="N20" s="23"/>
      <c r="O20" s="23"/>
    </row>
    <row r="21" spans="1:23" x14ac:dyDescent="0.15">
      <c r="A21" t="str">
        <f>standardized!A16</f>
        <v>Other Revenue</v>
      </c>
      <c r="B21" s="45">
        <f>standardized!I16</f>
        <v>4992000</v>
      </c>
      <c r="C21" s="45">
        <f>standardized!J16</f>
        <v>5408000</v>
      </c>
      <c r="D21" s="47"/>
      <c r="E21" s="47"/>
      <c r="F21" s="47"/>
      <c r="G21" s="47"/>
      <c r="H21" s="47"/>
      <c r="I21" s="47"/>
      <c r="J21" s="47"/>
      <c r="K21" s="47"/>
      <c r="L21" s="23"/>
      <c r="M21" s="23"/>
      <c r="N21" s="23"/>
      <c r="O21" s="23"/>
    </row>
    <row r="22" spans="1:23" x14ac:dyDescent="0.15">
      <c r="A22" t="str">
        <f>standardized!A17</f>
        <v>Total Revenue</v>
      </c>
      <c r="B22" s="45">
        <f>standardized!I17</f>
        <v>572754000</v>
      </c>
      <c r="C22" s="45">
        <f>standardized!J17</f>
        <v>611289000</v>
      </c>
      <c r="D22" s="47">
        <f t="shared" ref="D22:K22" si="14">C22*(1+D53)</f>
        <v>629627670</v>
      </c>
      <c r="E22" s="47">
        <f t="shared" si="14"/>
        <v>651664638.44999993</v>
      </c>
      <c r="F22" s="47">
        <f t="shared" si="14"/>
        <v>674472900.7957499</v>
      </c>
      <c r="G22" s="47">
        <f t="shared" si="14"/>
        <v>701451816.82757998</v>
      </c>
      <c r="H22" s="47">
        <f t="shared" si="14"/>
        <v>729509889.50068319</v>
      </c>
      <c r="I22" s="47">
        <f t="shared" si="14"/>
        <v>762337834.52821386</v>
      </c>
      <c r="J22" s="47">
        <f t="shared" si="14"/>
        <v>796643037.08198345</v>
      </c>
      <c r="K22" s="47">
        <f t="shared" si="14"/>
        <v>828508758.56526279</v>
      </c>
      <c r="L22" s="23"/>
      <c r="M22" s="23"/>
      <c r="N22" s="23"/>
      <c r="O22" s="23"/>
    </row>
    <row r="23" spans="1:23" x14ac:dyDescent="0.15">
      <c r="A23" t="str">
        <f>standardized!A18</f>
        <v>Direct Costs</v>
      </c>
      <c r="B23" s="45">
        <f>standardized!I18</f>
        <v>429000000</v>
      </c>
      <c r="C23" s="45">
        <f>standardized!J18</f>
        <v>463721000</v>
      </c>
      <c r="D23" s="47">
        <f t="shared" ref="D23:K23" si="15">D22*D39</f>
        <v>484813305.90000004</v>
      </c>
      <c r="E23" s="47">
        <f t="shared" si="15"/>
        <v>488748478.83749998</v>
      </c>
      <c r="F23" s="47">
        <f t="shared" si="15"/>
        <v>505854675.59681243</v>
      </c>
      <c r="G23" s="47">
        <f t="shared" si="15"/>
        <v>533103380.78896081</v>
      </c>
      <c r="H23" s="47">
        <f t="shared" si="15"/>
        <v>539837318.23050559</v>
      </c>
      <c r="I23" s="47">
        <f t="shared" si="15"/>
        <v>556506619.20559609</v>
      </c>
      <c r="J23" s="47">
        <f t="shared" si="15"/>
        <v>573582986.69902802</v>
      </c>
      <c r="K23" s="47">
        <f t="shared" si="15"/>
        <v>579956130.99568391</v>
      </c>
      <c r="L23" s="23"/>
      <c r="M23" s="23"/>
      <c r="N23" s="23"/>
      <c r="O23" s="23"/>
    </row>
    <row r="24" spans="1:23" s="10" customFormat="1" x14ac:dyDescent="0.15">
      <c r="A24" s="10" t="str">
        <f>standardized!A19</f>
        <v>Gross Profit</v>
      </c>
      <c r="B24" s="48">
        <f>standardized!I19</f>
        <v>143754000</v>
      </c>
      <c r="C24" s="48">
        <f>standardized!J19</f>
        <v>147568000</v>
      </c>
      <c r="D24" s="49">
        <f>D22-D23</f>
        <v>144814364.09999996</v>
      </c>
      <c r="E24" s="49">
        <f t="shared" ref="E24:K24" si="16">E22-E23</f>
        <v>162916159.61249995</v>
      </c>
      <c r="F24" s="49">
        <f t="shared" si="16"/>
        <v>168618225.19893748</v>
      </c>
      <c r="G24" s="49">
        <f t="shared" si="16"/>
        <v>168348436.03861916</v>
      </c>
      <c r="H24" s="49">
        <f t="shared" si="16"/>
        <v>189672571.2701776</v>
      </c>
      <c r="I24" s="49">
        <f t="shared" si="16"/>
        <v>205831215.32261777</v>
      </c>
      <c r="J24" s="49">
        <f t="shared" si="16"/>
        <v>223060050.38295543</v>
      </c>
      <c r="K24" s="49">
        <f t="shared" si="16"/>
        <v>248552627.56957889</v>
      </c>
      <c r="L24" s="25"/>
      <c r="M24" s="25"/>
      <c r="N24" s="25"/>
      <c r="O24" s="25"/>
    </row>
    <row r="25" spans="1:23" x14ac:dyDescent="0.15">
      <c r="A25" t="str">
        <f>standardized!A20</f>
        <v>Selling General &amp; Admin</v>
      </c>
      <c r="B25" s="45">
        <f>standardized!I20</f>
        <v>117812000</v>
      </c>
      <c r="C25" s="45">
        <f>standardized!J20</f>
        <v>127140000</v>
      </c>
      <c r="D25" s="47">
        <f t="shared" ref="D25:K25" si="17">D22*D40</f>
        <v>132221810.69999999</v>
      </c>
      <c r="E25" s="47">
        <f t="shared" si="17"/>
        <v>136849574.07449999</v>
      </c>
      <c r="F25" s="47">
        <f t="shared" si="17"/>
        <v>141639309.16710746</v>
      </c>
      <c r="G25" s="47">
        <f t="shared" si="17"/>
        <v>147304881.53379178</v>
      </c>
      <c r="H25" s="47">
        <f t="shared" si="17"/>
        <v>153197076.79514346</v>
      </c>
      <c r="I25" s="47">
        <f t="shared" si="17"/>
        <v>160090945.25092492</v>
      </c>
      <c r="J25" s="47">
        <f t="shared" si="17"/>
        <v>167295037.78721651</v>
      </c>
      <c r="K25" s="47">
        <f t="shared" si="17"/>
        <v>173986839.29870519</v>
      </c>
      <c r="L25" s="23"/>
      <c r="M25" s="23"/>
      <c r="N25" s="23"/>
      <c r="O25" s="23"/>
    </row>
    <row r="26" spans="1:23" s="10" customFormat="1" x14ac:dyDescent="0.15">
      <c r="A26" s="10" t="str">
        <f>standardized!A21</f>
        <v>Total Indirect Operating Costs</v>
      </c>
      <c r="B26" s="48">
        <f>standardized!I21</f>
        <v>117812000</v>
      </c>
      <c r="C26" s="48">
        <f>standardized!J21</f>
        <v>127140000</v>
      </c>
      <c r="D26" s="49">
        <f>D25</f>
        <v>132221810.69999999</v>
      </c>
      <c r="E26" s="49">
        <f t="shared" ref="E26:K26" si="18">E25</f>
        <v>136849574.07449999</v>
      </c>
      <c r="F26" s="49">
        <f t="shared" si="18"/>
        <v>141639309.16710746</v>
      </c>
      <c r="G26" s="49">
        <f t="shared" si="18"/>
        <v>147304881.53379178</v>
      </c>
      <c r="H26" s="49">
        <f t="shared" si="18"/>
        <v>153197076.79514346</v>
      </c>
      <c r="I26" s="49">
        <f t="shared" si="18"/>
        <v>160090945.25092492</v>
      </c>
      <c r="J26" s="49">
        <f t="shared" si="18"/>
        <v>167295037.78721651</v>
      </c>
      <c r="K26" s="49">
        <f t="shared" si="18"/>
        <v>173986839.29870519</v>
      </c>
      <c r="L26" s="25"/>
      <c r="M26" s="25"/>
      <c r="N26" s="25"/>
      <c r="O26" s="25"/>
    </row>
    <row r="27" spans="1:23" s="10" customFormat="1" x14ac:dyDescent="0.15">
      <c r="A27" s="10" t="str">
        <f>standardized!A22</f>
        <v>Operating Income</v>
      </c>
      <c r="B27" s="48">
        <f>standardized!I22</f>
        <v>25942000</v>
      </c>
      <c r="C27" s="48">
        <f>standardized!J22</f>
        <v>20428000</v>
      </c>
      <c r="D27" s="49">
        <f>D24-D25</f>
        <v>12592553.399999976</v>
      </c>
      <c r="E27" s="49">
        <f t="shared" ref="E27:K27" si="19">E24-E25</f>
        <v>26066585.537999958</v>
      </c>
      <c r="F27" s="49">
        <f t="shared" si="19"/>
        <v>26978916.031830013</v>
      </c>
      <c r="G27" s="49">
        <f t="shared" si="19"/>
        <v>21043554.50482738</v>
      </c>
      <c r="H27" s="49">
        <f t="shared" si="19"/>
        <v>36475494.475034148</v>
      </c>
      <c r="I27" s="49">
        <f t="shared" si="19"/>
        <v>45740270.071692854</v>
      </c>
      <c r="J27" s="49">
        <f t="shared" si="19"/>
        <v>55765012.595738918</v>
      </c>
      <c r="K27" s="49">
        <f t="shared" si="19"/>
        <v>74565788.270873696</v>
      </c>
      <c r="L27" s="25"/>
      <c r="M27" s="25"/>
      <c r="N27" s="25"/>
      <c r="O27" s="25"/>
    </row>
    <row r="28" spans="1:23" x14ac:dyDescent="0.15">
      <c r="A28" t="str">
        <f>standardized!A23</f>
        <v>Interest Income</v>
      </c>
      <c r="B28" s="45">
        <f>standardized!I23</f>
        <v>-1836000</v>
      </c>
      <c r="C28" s="45">
        <f>standardized!J23</f>
        <v>-1874000</v>
      </c>
      <c r="D28" s="47">
        <f>-D114</f>
        <v>-3343770</v>
      </c>
      <c r="E28" s="47">
        <f t="shared" ref="E28:K28" si="20">-E114</f>
        <v>-5746970.7939150007</v>
      </c>
      <c r="F28" s="47">
        <f t="shared" si="20"/>
        <v>-6385523.1043500006</v>
      </c>
      <c r="G28" s="47">
        <f t="shared" si="20"/>
        <v>-6385523.1043500006</v>
      </c>
      <c r="H28" s="47">
        <f t="shared" si="20"/>
        <v>-7024075.4147850005</v>
      </c>
      <c r="I28" s="47">
        <f t="shared" si="20"/>
        <v>-7024075.4147850005</v>
      </c>
      <c r="J28" s="47">
        <f t="shared" si="20"/>
        <v>-7662627.7252200004</v>
      </c>
      <c r="K28" s="47">
        <f t="shared" si="20"/>
        <v>-7662627.7252200004</v>
      </c>
      <c r="L28" s="23"/>
      <c r="M28" s="23"/>
      <c r="N28" s="23"/>
      <c r="O28" s="23"/>
    </row>
    <row r="29" spans="1:23" x14ac:dyDescent="0.15">
      <c r="A29" s="28" t="s">
        <v>207</v>
      </c>
      <c r="B29" s="45">
        <f>standardized!I24</f>
        <v>-5410000</v>
      </c>
      <c r="C29" s="45">
        <f>standardized!J24</f>
        <v>-1538000</v>
      </c>
      <c r="D29" s="47"/>
      <c r="E29" s="47"/>
      <c r="F29" s="47"/>
      <c r="G29" s="47"/>
      <c r="H29" s="47"/>
      <c r="I29" s="47"/>
      <c r="J29" s="47"/>
      <c r="K29" s="47"/>
      <c r="L29" s="23"/>
      <c r="M29" s="23"/>
      <c r="N29" s="23"/>
      <c r="O29" s="23"/>
    </row>
    <row r="30" spans="1:23" x14ac:dyDescent="0.15">
      <c r="A30" t="str">
        <f>standardized!A25</f>
        <v>Total Non-Operating Income</v>
      </c>
      <c r="B30" s="45">
        <f>SUM(B28:B29)</f>
        <v>-7246000</v>
      </c>
      <c r="C30" s="45">
        <f t="shared" ref="C30:K30" si="21">SUM(C28:C29)</f>
        <v>-3412000</v>
      </c>
      <c r="D30" s="45">
        <f t="shared" si="21"/>
        <v>-3343770</v>
      </c>
      <c r="E30" s="45">
        <f t="shared" si="21"/>
        <v>-5746970.7939150007</v>
      </c>
      <c r="F30" s="45">
        <f t="shared" si="21"/>
        <v>-6385523.1043500006</v>
      </c>
      <c r="G30" s="45">
        <f t="shared" si="21"/>
        <v>-6385523.1043500006</v>
      </c>
      <c r="H30" s="45">
        <f t="shared" si="21"/>
        <v>-7024075.4147850005</v>
      </c>
      <c r="I30" s="45">
        <f t="shared" si="21"/>
        <v>-7024075.4147850005</v>
      </c>
      <c r="J30" s="45">
        <f t="shared" si="21"/>
        <v>-7662627.7252200004</v>
      </c>
      <c r="K30" s="45">
        <f t="shared" si="21"/>
        <v>-7662627.7252200004</v>
      </c>
      <c r="L30" s="23"/>
      <c r="M30" s="23"/>
      <c r="N30" s="23"/>
      <c r="O30" s="23"/>
    </row>
    <row r="31" spans="1:23" s="10" customFormat="1" x14ac:dyDescent="0.15">
      <c r="A31" s="10" t="str">
        <f>standardized!A26</f>
        <v>Earnings Before Tax</v>
      </c>
      <c r="B31" s="48">
        <f>B27+B30</f>
        <v>18696000</v>
      </c>
      <c r="C31" s="48">
        <f t="shared" ref="C31:K31" si="22">C27+C30</f>
        <v>17016000</v>
      </c>
      <c r="D31" s="48">
        <f t="shared" si="22"/>
        <v>9248783.3999999762</v>
      </c>
      <c r="E31" s="48">
        <f t="shared" si="22"/>
        <v>20319614.744084958</v>
      </c>
      <c r="F31" s="48">
        <f t="shared" si="22"/>
        <v>20593392.927480012</v>
      </c>
      <c r="G31" s="48">
        <f t="shared" si="22"/>
        <v>14658031.40047738</v>
      </c>
      <c r="H31" s="48">
        <f t="shared" si="22"/>
        <v>29451419.060249146</v>
      </c>
      <c r="I31" s="48">
        <f t="shared" si="22"/>
        <v>38716194.656907856</v>
      </c>
      <c r="J31" s="48">
        <f t="shared" si="22"/>
        <v>48102384.870518915</v>
      </c>
      <c r="K31" s="48">
        <f t="shared" si="22"/>
        <v>66903160.545653693</v>
      </c>
      <c r="L31" s="25"/>
      <c r="M31" s="25"/>
      <c r="N31" s="25"/>
      <c r="O31" s="25"/>
    </row>
    <row r="32" spans="1:23" x14ac:dyDescent="0.15">
      <c r="A32" t="str">
        <f>standardized!A27</f>
        <v>Taxation</v>
      </c>
      <c r="B32" s="45">
        <f>standardized!I28</f>
        <v>267000</v>
      </c>
      <c r="C32" s="45">
        <f>standardized!J27</f>
        <v>5724000</v>
      </c>
      <c r="D32" s="47">
        <f t="shared" ref="D32:K32" si="23">D31*D48</f>
        <v>2127220.1819999944</v>
      </c>
      <c r="E32" s="47">
        <f t="shared" si="23"/>
        <v>5079903.6860212395</v>
      </c>
      <c r="F32" s="47">
        <f t="shared" si="23"/>
        <v>5148348.231870003</v>
      </c>
      <c r="G32" s="47">
        <f t="shared" si="23"/>
        <v>3371347.2221097974</v>
      </c>
      <c r="H32" s="47">
        <f t="shared" si="23"/>
        <v>7068340.5744597949</v>
      </c>
      <c r="I32" s="47">
        <f t="shared" si="23"/>
        <v>8517562.8245197292</v>
      </c>
      <c r="J32" s="47">
        <f t="shared" si="23"/>
        <v>11063548.52021935</v>
      </c>
      <c r="K32" s="47">
        <f t="shared" si="23"/>
        <v>16056758.530956887</v>
      </c>
      <c r="L32" s="23"/>
      <c r="M32" s="23"/>
      <c r="N32" s="23"/>
      <c r="O32" s="23"/>
    </row>
    <row r="33" spans="1:15" s="10" customFormat="1" x14ac:dyDescent="0.15">
      <c r="A33" s="10" t="str">
        <f>standardized!A29</f>
        <v>Net Income</v>
      </c>
      <c r="B33" s="48">
        <f>B31-B32</f>
        <v>18429000</v>
      </c>
      <c r="C33" s="48">
        <f t="shared" ref="C33:K33" si="24">C31-C32</f>
        <v>11292000</v>
      </c>
      <c r="D33" s="48">
        <f t="shared" si="24"/>
        <v>7121563.2179999817</v>
      </c>
      <c r="E33" s="48">
        <f t="shared" si="24"/>
        <v>15239711.058063719</v>
      </c>
      <c r="F33" s="48">
        <f t="shared" si="24"/>
        <v>15445044.695610009</v>
      </c>
      <c r="G33" s="48">
        <f t="shared" si="24"/>
        <v>11286684.178367581</v>
      </c>
      <c r="H33" s="48">
        <f t="shared" si="24"/>
        <v>22383078.485789351</v>
      </c>
      <c r="I33" s="48">
        <f t="shared" si="24"/>
        <v>30198631.832388125</v>
      </c>
      <c r="J33" s="48">
        <f t="shared" si="24"/>
        <v>37038836.350299567</v>
      </c>
      <c r="K33" s="48">
        <f t="shared" si="24"/>
        <v>50846402.014696807</v>
      </c>
      <c r="L33" s="25"/>
      <c r="M33" s="25"/>
      <c r="N33" s="25"/>
      <c r="O33" s="25"/>
    </row>
    <row r="34" spans="1:15" x14ac:dyDescent="0.15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23"/>
      <c r="M34" s="23"/>
      <c r="N34" s="23"/>
      <c r="O34" s="23"/>
    </row>
    <row r="35" spans="1:15" x14ac:dyDescent="0.1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23"/>
      <c r="M35" s="23"/>
      <c r="N35" s="23"/>
      <c r="O35" s="23"/>
    </row>
    <row r="36" spans="1:15" x14ac:dyDescent="0.1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23"/>
      <c r="M36" s="23"/>
      <c r="N36" s="23"/>
      <c r="O36" s="23"/>
    </row>
    <row r="37" spans="1:15" s="10" customFormat="1" x14ac:dyDescent="0.15">
      <c r="A37" s="10" t="s">
        <v>137</v>
      </c>
      <c r="B37" s="39">
        <f>B33/B22</f>
        <v>3.217611749546926E-2</v>
      </c>
      <c r="C37" s="39">
        <f t="shared" ref="C37:K37" si="25">C33/C22</f>
        <v>1.8472441022167909E-2</v>
      </c>
      <c r="D37" s="39">
        <f t="shared" si="25"/>
        <v>1.1310753255173779E-2</v>
      </c>
      <c r="E37" s="39">
        <f t="shared" si="25"/>
        <v>2.3385818654072962E-2</v>
      </c>
      <c r="F37" s="39">
        <f t="shared" si="25"/>
        <v>2.2899429580325304E-2</v>
      </c>
      <c r="G37" s="39">
        <f t="shared" si="25"/>
        <v>1.6090462534423658E-2</v>
      </c>
      <c r="H37" s="39">
        <f t="shared" si="25"/>
        <v>3.0682350997475256E-2</v>
      </c>
      <c r="I37" s="39">
        <f t="shared" si="25"/>
        <v>3.9613187834337357E-2</v>
      </c>
      <c r="J37" s="39">
        <f t="shared" si="25"/>
        <v>4.6493642228982238E-2</v>
      </c>
      <c r="K37" s="39">
        <f t="shared" si="25"/>
        <v>6.137098912840469E-2</v>
      </c>
      <c r="L37" s="25"/>
      <c r="M37" s="25"/>
      <c r="N37" s="25"/>
      <c r="O37" s="25"/>
    </row>
    <row r="38" spans="1:15" x14ac:dyDescent="0.15">
      <c r="B38" s="36"/>
      <c r="C38" s="36"/>
      <c r="D38" s="23"/>
      <c r="E38" s="12"/>
      <c r="F38" s="12"/>
      <c r="G38" s="12"/>
      <c r="H38" s="12"/>
      <c r="I38" s="12"/>
      <c r="J38" s="12"/>
      <c r="K38" s="12"/>
      <c r="L38" s="23"/>
      <c r="M38" s="23"/>
      <c r="N38" s="23"/>
      <c r="O38" s="23"/>
    </row>
    <row r="39" spans="1:15" x14ac:dyDescent="0.15">
      <c r="A39" s="28" t="s">
        <v>110</v>
      </c>
      <c r="B39" s="27"/>
      <c r="C39" s="27"/>
      <c r="D39" s="27">
        <v>0.77</v>
      </c>
      <c r="E39" s="27">
        <v>0.75</v>
      </c>
      <c r="F39" s="27">
        <v>0.75</v>
      </c>
      <c r="G39" s="27">
        <v>0.76</v>
      </c>
      <c r="H39" s="27">
        <v>0.74</v>
      </c>
      <c r="I39" s="27">
        <v>0.73</v>
      </c>
      <c r="J39" s="27">
        <v>0.72</v>
      </c>
      <c r="K39" s="27">
        <v>0.7</v>
      </c>
      <c r="L39" s="23"/>
      <c r="M39" s="23"/>
      <c r="N39" s="23"/>
      <c r="O39" s="23"/>
    </row>
    <row r="40" spans="1:15" x14ac:dyDescent="0.15">
      <c r="A40" s="28" t="s">
        <v>113</v>
      </c>
      <c r="B40" s="36"/>
      <c r="C40" s="36"/>
      <c r="D40" s="27">
        <v>0.21</v>
      </c>
      <c r="E40" s="27">
        <v>0.21</v>
      </c>
      <c r="F40" s="27">
        <v>0.21</v>
      </c>
      <c r="G40" s="27">
        <v>0.21</v>
      </c>
      <c r="H40" s="27">
        <v>0.21</v>
      </c>
      <c r="I40" s="27">
        <v>0.21</v>
      </c>
      <c r="J40" s="27">
        <v>0.21</v>
      </c>
      <c r="K40" s="27">
        <v>0.21</v>
      </c>
      <c r="L40" s="23"/>
      <c r="M40" s="23"/>
      <c r="N40" s="23"/>
      <c r="O40" s="23"/>
    </row>
    <row r="41" spans="1:15" x14ac:dyDescent="0.15">
      <c r="A41" s="28" t="s">
        <v>118</v>
      </c>
      <c r="B41" s="36"/>
      <c r="C41" s="36"/>
      <c r="D41" s="27">
        <v>0.03</v>
      </c>
      <c r="E41" s="27">
        <v>0.02</v>
      </c>
      <c r="F41" s="27">
        <v>0.02</v>
      </c>
      <c r="G41" s="27">
        <v>0.02</v>
      </c>
      <c r="H41" s="27">
        <v>0.02</v>
      </c>
      <c r="I41" s="27">
        <v>0.02</v>
      </c>
      <c r="J41" s="27">
        <v>0.02</v>
      </c>
      <c r="K41" s="27">
        <v>0.02</v>
      </c>
      <c r="L41" s="23"/>
      <c r="M41" s="23"/>
      <c r="N41" s="23"/>
      <c r="O41" s="23"/>
    </row>
    <row r="42" spans="1:15" x14ac:dyDescent="0.15">
      <c r="A42" s="28" t="s">
        <v>121</v>
      </c>
      <c r="B42" s="36"/>
      <c r="C42" s="36"/>
      <c r="D42" s="27">
        <v>0.08</v>
      </c>
      <c r="E42" s="27">
        <v>0.06</v>
      </c>
      <c r="F42" s="27">
        <v>7.0000000000000007E-2</v>
      </c>
      <c r="G42" s="27">
        <v>0.04</v>
      </c>
      <c r="H42" s="27">
        <v>7.0000000000000007E-2</v>
      </c>
      <c r="I42" s="27">
        <v>0.06</v>
      </c>
      <c r="J42" s="27">
        <v>0.06</v>
      </c>
      <c r="K42" s="27">
        <v>0.05</v>
      </c>
      <c r="L42" s="23"/>
      <c r="M42" s="23"/>
      <c r="N42" s="23"/>
      <c r="O42" s="23"/>
    </row>
    <row r="43" spans="1:15" x14ac:dyDescent="0.15">
      <c r="A43" s="28" t="s">
        <v>123</v>
      </c>
      <c r="B43" s="36"/>
      <c r="C43" s="36"/>
      <c r="D43" s="27">
        <v>0.38</v>
      </c>
      <c r="E43" s="27">
        <v>0.37</v>
      </c>
      <c r="F43" s="27">
        <v>0.36</v>
      </c>
      <c r="G43" s="27">
        <v>0.36</v>
      </c>
      <c r="H43" s="27">
        <v>0.36</v>
      </c>
      <c r="I43" s="27">
        <v>0.36</v>
      </c>
      <c r="J43" s="27">
        <v>0.36</v>
      </c>
      <c r="K43" s="27">
        <v>0.36</v>
      </c>
      <c r="L43" s="23"/>
      <c r="M43" s="23"/>
      <c r="N43" s="23"/>
      <c r="O43" s="23"/>
    </row>
    <row r="44" spans="1:15" x14ac:dyDescent="0.15">
      <c r="A44" s="28" t="s">
        <v>126</v>
      </c>
      <c r="B44" s="36"/>
      <c r="C44" s="36"/>
      <c r="D44" s="27">
        <v>0.02</v>
      </c>
      <c r="E44" s="27">
        <v>0.01</v>
      </c>
      <c r="F44" s="27">
        <v>0.01</v>
      </c>
      <c r="G44" s="27">
        <v>0.01</v>
      </c>
      <c r="H44" s="27">
        <v>0.01</v>
      </c>
      <c r="I44" s="27">
        <v>0.01</v>
      </c>
      <c r="J44" s="27">
        <v>0.01</v>
      </c>
      <c r="K44" s="27">
        <v>0.01</v>
      </c>
      <c r="L44" s="23"/>
      <c r="M44" s="23"/>
      <c r="N44" s="23"/>
      <c r="O44" s="23"/>
    </row>
    <row r="45" spans="1:15" x14ac:dyDescent="0.15">
      <c r="A45" s="28" t="s">
        <v>128</v>
      </c>
      <c r="B45" s="36"/>
      <c r="C45" s="36"/>
      <c r="D45" s="27">
        <v>0.11</v>
      </c>
      <c r="E45" s="27">
        <v>0.11</v>
      </c>
      <c r="F45" s="27">
        <v>0.09</v>
      </c>
      <c r="G45" s="27">
        <v>0.09</v>
      </c>
      <c r="H45" s="27">
        <v>0.09</v>
      </c>
      <c r="I45" s="27">
        <v>0.09</v>
      </c>
      <c r="J45" s="27">
        <v>0.09</v>
      </c>
      <c r="K45" s="27">
        <v>0.09</v>
      </c>
      <c r="L45" s="23"/>
      <c r="M45" s="23"/>
      <c r="N45" s="23"/>
      <c r="O45" s="23"/>
    </row>
    <row r="46" spans="1:15" x14ac:dyDescent="0.15">
      <c r="A46" s="28" t="s">
        <v>130</v>
      </c>
      <c r="D46" s="27">
        <v>0.17</v>
      </c>
      <c r="E46" s="27">
        <v>0.17</v>
      </c>
      <c r="F46" s="27">
        <v>0.16</v>
      </c>
      <c r="G46" s="27">
        <v>0.16</v>
      </c>
      <c r="H46" s="27">
        <v>0.18</v>
      </c>
      <c r="I46" s="27">
        <v>0.18</v>
      </c>
      <c r="J46" s="27">
        <v>0.16</v>
      </c>
      <c r="K46" s="27">
        <v>0.16</v>
      </c>
      <c r="L46" s="23"/>
      <c r="M46" s="23"/>
      <c r="N46" s="23"/>
      <c r="O46" s="23"/>
    </row>
    <row r="47" spans="1:15" x14ac:dyDescent="0.15">
      <c r="A47" s="28" t="s">
        <v>208</v>
      </c>
      <c r="D47" s="27">
        <v>0.05</v>
      </c>
      <c r="E47" s="27">
        <v>0.05</v>
      </c>
      <c r="F47" s="27">
        <v>0.05</v>
      </c>
      <c r="G47" s="27">
        <v>0.05</v>
      </c>
      <c r="H47" s="27">
        <v>0.05</v>
      </c>
      <c r="I47" s="27">
        <v>0.05</v>
      </c>
      <c r="J47" s="27">
        <v>0.05</v>
      </c>
      <c r="K47" s="27">
        <v>0.05</v>
      </c>
      <c r="L47" s="23"/>
      <c r="M47" s="23"/>
      <c r="N47" s="23"/>
      <c r="O47" s="23"/>
    </row>
    <row r="48" spans="1:15" x14ac:dyDescent="0.15">
      <c r="A48" s="28" t="s">
        <v>136</v>
      </c>
      <c r="D48" s="27">
        <v>0.23</v>
      </c>
      <c r="E48" s="27">
        <v>0.25</v>
      </c>
      <c r="F48" s="27">
        <v>0.25</v>
      </c>
      <c r="G48" s="27">
        <v>0.23</v>
      </c>
      <c r="H48" s="27">
        <v>0.24</v>
      </c>
      <c r="I48" s="27">
        <v>0.22</v>
      </c>
      <c r="J48" s="27">
        <v>0.23</v>
      </c>
      <c r="K48" s="27">
        <v>0.24</v>
      </c>
      <c r="L48" s="23"/>
      <c r="M48" s="23"/>
      <c r="N48" s="23"/>
      <c r="O48" s="23"/>
    </row>
    <row r="51" spans="1:12" x14ac:dyDescent="0.15">
      <c r="A51" s="10" t="s">
        <v>104</v>
      </c>
    </row>
    <row r="52" spans="1:12" x14ac:dyDescent="0.15">
      <c r="A52" t="str">
        <f t="shared" ref="A52:K52" si="26">A19</f>
        <v xml:space="preserve">Year ending </v>
      </c>
      <c r="B52" s="30">
        <f t="shared" si="26"/>
        <v>44227</v>
      </c>
      <c r="C52" s="30">
        <f t="shared" si="26"/>
        <v>44592</v>
      </c>
      <c r="D52" s="33">
        <f t="shared" si="26"/>
        <v>44957</v>
      </c>
      <c r="E52" s="33">
        <f t="shared" si="26"/>
        <v>45322</v>
      </c>
      <c r="F52" s="33">
        <f t="shared" si="26"/>
        <v>45688</v>
      </c>
      <c r="G52" s="33">
        <f t="shared" si="26"/>
        <v>46053</v>
      </c>
      <c r="H52" s="33">
        <f t="shared" si="26"/>
        <v>46418</v>
      </c>
      <c r="I52" s="33">
        <f t="shared" si="26"/>
        <v>46783</v>
      </c>
      <c r="J52" s="33">
        <f t="shared" si="26"/>
        <v>47149</v>
      </c>
      <c r="K52" s="33">
        <f t="shared" si="26"/>
        <v>47514</v>
      </c>
      <c r="L52" s="33"/>
    </row>
    <row r="53" spans="1:12" x14ac:dyDescent="0.15">
      <c r="A53" t="str">
        <f>standardized!A54</f>
        <v>Total Revenue</v>
      </c>
      <c r="D53" s="17">
        <v>0.03</v>
      </c>
      <c r="E53" s="17">
        <v>3.5000000000000003E-2</v>
      </c>
      <c r="F53" s="17">
        <v>3.5000000000000003E-2</v>
      </c>
      <c r="G53" s="17">
        <v>0.04</v>
      </c>
      <c r="H53" s="17">
        <v>0.04</v>
      </c>
      <c r="I53" s="17">
        <v>4.4999999999999998E-2</v>
      </c>
      <c r="J53" s="17">
        <v>4.4999999999999998E-2</v>
      </c>
      <c r="K53" s="17">
        <v>0.04</v>
      </c>
    </row>
    <row r="54" spans="1:12" x14ac:dyDescent="0.15">
      <c r="A54" s="28" t="s">
        <v>124</v>
      </c>
      <c r="B54" s="41">
        <f>'Balance sheet'!H21-'Balance sheet'!I21</f>
        <v>-6439000</v>
      </c>
      <c r="C54" s="41">
        <f>'Balance sheet'!J21-'Balance sheet'!I21</f>
        <v>6801000</v>
      </c>
      <c r="D54" s="41">
        <f>D44*(AVERAGE(C64:D64))</f>
        <v>4416285.1460000006</v>
      </c>
      <c r="E54" s="41">
        <f t="shared" ref="E54:K54" si="27">E44*(AVERAGE(D64:E64))</f>
        <v>2401872.1541324998</v>
      </c>
      <c r="F54" s="41">
        <f t="shared" si="27"/>
        <v>2419630.8025648501</v>
      </c>
      <c r="G54" s="41">
        <f t="shared" si="27"/>
        <v>2476664.4917219938</v>
      </c>
      <c r="H54" s="41">
        <f t="shared" si="27"/>
        <v>2575731.0713908738</v>
      </c>
      <c r="I54" s="41">
        <f t="shared" si="27"/>
        <v>2685325.9032520144</v>
      </c>
      <c r="J54" s="41">
        <f t="shared" si="27"/>
        <v>2806165.5688983547</v>
      </c>
      <c r="K54" s="41">
        <f t="shared" si="27"/>
        <v>2925273.2321650432</v>
      </c>
    </row>
    <row r="55" spans="1:12" x14ac:dyDescent="0.15">
      <c r="D55" s="17"/>
    </row>
    <row r="56" spans="1:12" x14ac:dyDescent="0.15">
      <c r="D56" s="17"/>
    </row>
    <row r="57" spans="1:12" x14ac:dyDescent="0.15">
      <c r="A57" s="28" t="s">
        <v>115</v>
      </c>
      <c r="D57" s="17"/>
    </row>
    <row r="58" spans="1:12" x14ac:dyDescent="0.15">
      <c r="A58" t="str">
        <f>A52</f>
        <v xml:space="preserve">Year ending </v>
      </c>
      <c r="B58" s="30">
        <f>B52</f>
        <v>44227</v>
      </c>
      <c r="C58" s="30">
        <f t="shared" ref="C58:K58" si="28">C52</f>
        <v>44592</v>
      </c>
      <c r="D58" s="30">
        <f t="shared" si="28"/>
        <v>44957</v>
      </c>
      <c r="E58" s="30">
        <f t="shared" si="28"/>
        <v>45322</v>
      </c>
      <c r="F58" s="30">
        <f t="shared" si="28"/>
        <v>45688</v>
      </c>
      <c r="G58" s="30">
        <f t="shared" si="28"/>
        <v>46053</v>
      </c>
      <c r="H58" s="30">
        <f t="shared" si="28"/>
        <v>46418</v>
      </c>
      <c r="I58" s="30">
        <f t="shared" si="28"/>
        <v>46783</v>
      </c>
      <c r="J58" s="30">
        <f t="shared" si="28"/>
        <v>47149</v>
      </c>
      <c r="K58" s="30">
        <f t="shared" si="28"/>
        <v>47514</v>
      </c>
    </row>
    <row r="59" spans="1:12" x14ac:dyDescent="0.15">
      <c r="D59" s="17"/>
    </row>
    <row r="60" spans="1:12" x14ac:dyDescent="0.15">
      <c r="A60" t="str">
        <f>'Balance sheet'!A14</f>
        <v>Cash &amp; Equivs &amp; ST Investments</v>
      </c>
      <c r="B60" s="44">
        <f>'Balance sheet'!I14</f>
        <v>14760000</v>
      </c>
      <c r="C60" s="44">
        <f>'Balance sheet'!J14</f>
        <v>8625000</v>
      </c>
      <c r="D60" s="44">
        <f t="shared" ref="D60:K60" si="29">D22*D41</f>
        <v>18888830.099999998</v>
      </c>
      <c r="E60" s="44">
        <f t="shared" si="29"/>
        <v>13033292.768999999</v>
      </c>
      <c r="F60" s="44">
        <f t="shared" si="29"/>
        <v>13489458.015914999</v>
      </c>
      <c r="G60" s="44">
        <f t="shared" si="29"/>
        <v>14029036.336551599</v>
      </c>
      <c r="H60" s="44">
        <f t="shared" si="29"/>
        <v>14590197.790013663</v>
      </c>
      <c r="I60" s="44">
        <f t="shared" si="29"/>
        <v>15246756.690564277</v>
      </c>
      <c r="J60" s="44">
        <f t="shared" si="29"/>
        <v>15932860.74163967</v>
      </c>
      <c r="K60" s="44">
        <f t="shared" si="29"/>
        <v>16570175.171305256</v>
      </c>
    </row>
    <row r="61" spans="1:12" x14ac:dyDescent="0.15">
      <c r="A61" t="str">
        <f>'Balance sheet'!A15</f>
        <v>Receivables (ST)</v>
      </c>
      <c r="B61" s="44">
        <f>'Balance sheet'!I15</f>
        <v>8280000</v>
      </c>
      <c r="C61" s="44">
        <f>'Balance sheet'!J15</f>
        <v>7933000</v>
      </c>
      <c r="D61" s="44">
        <f t="shared" ref="D61:K61" si="30">D22*D42</f>
        <v>50370213.600000001</v>
      </c>
      <c r="E61" s="44">
        <f t="shared" si="30"/>
        <v>39099878.306999996</v>
      </c>
      <c r="F61" s="44">
        <f t="shared" si="30"/>
        <v>47213103.0557025</v>
      </c>
      <c r="G61" s="44">
        <f t="shared" si="30"/>
        <v>28058072.673103198</v>
      </c>
      <c r="H61" s="44">
        <f t="shared" si="30"/>
        <v>51065692.265047826</v>
      </c>
      <c r="I61" s="44">
        <f t="shared" si="30"/>
        <v>45740270.071692832</v>
      </c>
      <c r="J61" s="44">
        <f t="shared" si="30"/>
        <v>47798582.224919006</v>
      </c>
      <c r="K61" s="44">
        <f t="shared" si="30"/>
        <v>41425437.928263143</v>
      </c>
    </row>
    <row r="62" spans="1:12" x14ac:dyDescent="0.15">
      <c r="A62" t="str">
        <f>'Balance sheet'!A18</f>
        <v>Other Current Assets</v>
      </c>
      <c r="B62" s="44">
        <f>'Balance sheet'!I18</f>
        <v>1519000</v>
      </c>
      <c r="C62" s="44">
        <f>'Balance sheet'!J18</f>
        <v>2521000</v>
      </c>
      <c r="D62" s="44">
        <f>$C$62+(1+0.5%)</f>
        <v>2521001.0049999999</v>
      </c>
      <c r="E62" s="44">
        <f>D62+(1+0.5%)</f>
        <v>2521002.0099999998</v>
      </c>
      <c r="F62" s="44">
        <f t="shared" ref="F62:K62" si="31">E62+(1+0.5%)</f>
        <v>2521003.0149999997</v>
      </c>
      <c r="G62" s="44">
        <f t="shared" si="31"/>
        <v>2521004.0199999996</v>
      </c>
      <c r="H62" s="44">
        <f t="shared" si="31"/>
        <v>2521005.0249999994</v>
      </c>
      <c r="I62" s="44">
        <f t="shared" si="31"/>
        <v>2521006.0299999993</v>
      </c>
      <c r="J62" s="44">
        <f t="shared" si="31"/>
        <v>2521007.0349999992</v>
      </c>
      <c r="K62" s="44">
        <f t="shared" si="31"/>
        <v>2521008.0399999991</v>
      </c>
    </row>
    <row r="63" spans="1:12" x14ac:dyDescent="0.15">
      <c r="A63" t="str">
        <f>'Balance sheet'!A19</f>
        <v>Total Current Assets</v>
      </c>
      <c r="B63" s="44">
        <f>SUM(B60:B62)</f>
        <v>24559000</v>
      </c>
      <c r="C63" s="44">
        <f>SUM(C60:C62)</f>
        <v>19079000</v>
      </c>
      <c r="D63" s="44">
        <f t="shared" ref="D63:K63" si="32">SUM(D60:D62)</f>
        <v>71780044.704999998</v>
      </c>
      <c r="E63" s="44">
        <f t="shared" si="32"/>
        <v>54654173.085999995</v>
      </c>
      <c r="F63" s="44">
        <f t="shared" si="32"/>
        <v>63223564.0866175</v>
      </c>
      <c r="G63" s="44">
        <f t="shared" si="32"/>
        <v>44608113.029654801</v>
      </c>
      <c r="H63" s="44">
        <f t="shared" si="32"/>
        <v>68176895.080061495</v>
      </c>
      <c r="I63" s="44">
        <f t="shared" si="32"/>
        <v>63508032.792257108</v>
      </c>
      <c r="J63" s="44">
        <f t="shared" si="32"/>
        <v>66252450.001558676</v>
      </c>
      <c r="K63" s="44">
        <f t="shared" si="32"/>
        <v>60516621.139568396</v>
      </c>
    </row>
    <row r="64" spans="1:12" x14ac:dyDescent="0.15">
      <c r="A64" t="str">
        <f>'Balance sheet'!A20</f>
        <v>Gross Property Plant &amp; Equip</v>
      </c>
      <c r="B64" s="44">
        <f>'Balance sheet'!I20</f>
        <v>189324000</v>
      </c>
      <c r="C64" s="44">
        <f>'Balance sheet'!J20</f>
        <v>202370000</v>
      </c>
      <c r="D64" s="44">
        <f t="shared" ref="D64:K64" si="33">D22*D43</f>
        <v>239258514.59999999</v>
      </c>
      <c r="E64" s="44">
        <f t="shared" si="33"/>
        <v>241115916.22649997</v>
      </c>
      <c r="F64" s="44">
        <f t="shared" si="33"/>
        <v>242810244.28646997</v>
      </c>
      <c r="G64" s="44">
        <f t="shared" si="33"/>
        <v>252522654.05792877</v>
      </c>
      <c r="H64" s="44">
        <f t="shared" si="33"/>
        <v>262623560.22024593</v>
      </c>
      <c r="I64" s="44">
        <f t="shared" si="33"/>
        <v>274441620.43015701</v>
      </c>
      <c r="J64" s="44">
        <f t="shared" si="33"/>
        <v>286791493.34951401</v>
      </c>
      <c r="K64" s="44">
        <f t="shared" si="33"/>
        <v>298263153.0834946</v>
      </c>
    </row>
    <row r="65" spans="1:11" x14ac:dyDescent="0.15">
      <c r="A65" t="str">
        <f>'Balance sheet'!A21</f>
        <v>Accumulated Depreciation</v>
      </c>
      <c r="B65" s="44">
        <f>'Balance sheet'!I21</f>
        <v>94809000</v>
      </c>
      <c r="C65" s="44">
        <f>'Balance sheet'!J21</f>
        <v>101610000</v>
      </c>
      <c r="D65" s="44">
        <f>C65+D54</f>
        <v>106026285.146</v>
      </c>
      <c r="E65" s="44">
        <f t="shared" ref="E65:K65" si="34">D65+E54</f>
        <v>108428157.3001325</v>
      </c>
      <c r="F65" s="44">
        <f t="shared" si="34"/>
        <v>110847788.10269734</v>
      </c>
      <c r="G65" s="44">
        <f t="shared" si="34"/>
        <v>113324452.59441933</v>
      </c>
      <c r="H65" s="44">
        <f t="shared" si="34"/>
        <v>115900183.6658102</v>
      </c>
      <c r="I65" s="44">
        <f t="shared" si="34"/>
        <v>118585509.56906222</v>
      </c>
      <c r="J65" s="44">
        <f t="shared" si="34"/>
        <v>121391675.13796057</v>
      </c>
      <c r="K65" s="44">
        <f t="shared" si="34"/>
        <v>124316948.37012561</v>
      </c>
    </row>
    <row r="66" spans="1:11" x14ac:dyDescent="0.15">
      <c r="A66" t="str">
        <f>'Balance sheet'!A22</f>
        <v>Net Property Plant &amp; Equip</v>
      </c>
      <c r="B66" s="44">
        <f>B64-B65</f>
        <v>94515000</v>
      </c>
      <c r="C66" s="44">
        <f>C64-C65</f>
        <v>100760000</v>
      </c>
      <c r="D66" s="44">
        <f t="shared" ref="D66:K66" si="35">D64-D65</f>
        <v>133232229.454</v>
      </c>
      <c r="E66" s="44">
        <f t="shared" si="35"/>
        <v>132687758.92636748</v>
      </c>
      <c r="F66" s="44">
        <f t="shared" si="35"/>
        <v>131962456.18377262</v>
      </c>
      <c r="G66" s="44">
        <f t="shared" si="35"/>
        <v>139198201.46350944</v>
      </c>
      <c r="H66" s="44">
        <f t="shared" si="35"/>
        <v>146723376.55443573</v>
      </c>
      <c r="I66" s="44">
        <f t="shared" si="35"/>
        <v>155856110.86109477</v>
      </c>
      <c r="J66" s="44">
        <f t="shared" si="35"/>
        <v>165399818.21155345</v>
      </c>
      <c r="K66" s="44">
        <f t="shared" si="35"/>
        <v>173946204.71336901</v>
      </c>
    </row>
    <row r="67" spans="1:11" x14ac:dyDescent="0.15">
      <c r="A67" s="28" t="s">
        <v>116</v>
      </c>
      <c r="B67" s="44">
        <f>SUM('Balance sheet'!I23:I24)</f>
        <v>69275000</v>
      </c>
      <c r="C67" s="44">
        <f>SUM('Balance sheet'!J23:J24)</f>
        <v>66782000</v>
      </c>
      <c r="D67" s="44">
        <f t="shared" ref="D67:K67" si="36">D22*D45</f>
        <v>69259043.700000003</v>
      </c>
      <c r="E67" s="44">
        <f t="shared" si="36"/>
        <v>71683110.229499996</v>
      </c>
      <c r="F67" s="44">
        <f t="shared" si="36"/>
        <v>60702561.071617492</v>
      </c>
      <c r="G67" s="44">
        <f t="shared" si="36"/>
        <v>63130663.514482193</v>
      </c>
      <c r="H67" s="44">
        <f t="shared" si="36"/>
        <v>65655890.055061482</v>
      </c>
      <c r="I67" s="44">
        <f t="shared" si="36"/>
        <v>68610405.107539251</v>
      </c>
      <c r="J67" s="44">
        <f t="shared" si="36"/>
        <v>71697873.337378502</v>
      </c>
      <c r="K67" s="44">
        <f t="shared" si="36"/>
        <v>74565788.270873651</v>
      </c>
    </row>
    <row r="68" spans="1:11" x14ac:dyDescent="0.15">
      <c r="A68" s="28" t="s">
        <v>117</v>
      </c>
      <c r="B68" s="44">
        <f>SUM(B66:B67)</f>
        <v>163790000</v>
      </c>
      <c r="C68" s="44">
        <f t="shared" ref="C68:K68" si="37">SUM(C66:C67)</f>
        <v>167542000</v>
      </c>
      <c r="D68" s="44">
        <f t="shared" si="37"/>
        <v>202491273.15399998</v>
      </c>
      <c r="E68" s="44">
        <f t="shared" si="37"/>
        <v>204370869.15586746</v>
      </c>
      <c r="F68" s="44">
        <f t="shared" si="37"/>
        <v>192665017.25539011</v>
      </c>
      <c r="G68" s="44">
        <f t="shared" si="37"/>
        <v>202328864.97799164</v>
      </c>
      <c r="H68" s="44">
        <f t="shared" si="37"/>
        <v>212379266.60949722</v>
      </c>
      <c r="I68" s="44">
        <f t="shared" si="37"/>
        <v>224466515.96863401</v>
      </c>
      <c r="J68" s="44">
        <f t="shared" si="37"/>
        <v>237097691.54893196</v>
      </c>
      <c r="K68" s="44">
        <f t="shared" si="37"/>
        <v>248511992.98424268</v>
      </c>
    </row>
    <row r="69" spans="1:11" s="10" customFormat="1" x14ac:dyDescent="0.15">
      <c r="A69" s="10" t="str">
        <f>'Balance sheet'!A25</f>
        <v>Total Assets</v>
      </c>
      <c r="B69" s="60">
        <f>'Balance sheet'!I25</f>
        <v>244860000</v>
      </c>
      <c r="C69" s="60">
        <f>'Balance sheet'!J25</f>
        <v>243197000</v>
      </c>
      <c r="D69" s="60">
        <f t="shared" ref="D69:K69" si="38">D63+D68</f>
        <v>274271317.85899997</v>
      </c>
      <c r="E69" s="60">
        <f t="shared" si="38"/>
        <v>259025042.24186745</v>
      </c>
      <c r="F69" s="60">
        <f t="shared" si="38"/>
        <v>255888581.34200761</v>
      </c>
      <c r="G69" s="60">
        <f t="shared" si="38"/>
        <v>246936978.00764644</v>
      </c>
      <c r="H69" s="60">
        <f t="shared" si="38"/>
        <v>280556161.68955874</v>
      </c>
      <c r="I69" s="60">
        <f t="shared" si="38"/>
        <v>287974548.76089114</v>
      </c>
      <c r="J69" s="60">
        <f t="shared" si="38"/>
        <v>303350141.55049062</v>
      </c>
      <c r="K69" s="60">
        <f t="shared" si="38"/>
        <v>309028614.12381107</v>
      </c>
    </row>
    <row r="70" spans="1:11" x14ac:dyDescent="0.15">
      <c r="B70" s="44"/>
      <c r="C70" s="44"/>
      <c r="D70" s="44"/>
      <c r="E70" s="44"/>
      <c r="F70" s="44"/>
      <c r="G70" s="44"/>
      <c r="H70" s="44"/>
      <c r="I70" s="44"/>
      <c r="J70" s="44"/>
      <c r="K70" s="44"/>
    </row>
    <row r="71" spans="1:11" x14ac:dyDescent="0.15">
      <c r="A71" t="str">
        <f>'Balance sheet'!A26</f>
        <v>Accounts Payable &amp; Accrued Exps</v>
      </c>
      <c r="B71" s="44">
        <f>SUM('Balance sheet'!I27:I30)</f>
        <v>83316000</v>
      </c>
      <c r="C71" s="44">
        <f>SUM('Balance sheet'!J27:J30)</f>
        <v>88237000</v>
      </c>
      <c r="D71" s="44">
        <f t="shared" ref="D71:K71" si="39">D22*D46</f>
        <v>107036703.90000001</v>
      </c>
      <c r="E71" s="44">
        <f t="shared" si="39"/>
        <v>110782988.53649999</v>
      </c>
      <c r="F71" s="44">
        <f t="shared" si="39"/>
        <v>107915664.12731999</v>
      </c>
      <c r="G71" s="44">
        <f t="shared" si="39"/>
        <v>112232290.69241279</v>
      </c>
      <c r="H71" s="44">
        <f t="shared" si="39"/>
        <v>131311780.11012296</v>
      </c>
      <c r="I71" s="44">
        <f t="shared" si="39"/>
        <v>137220810.2150785</v>
      </c>
      <c r="J71" s="44">
        <f t="shared" si="39"/>
        <v>127462885.93311736</v>
      </c>
      <c r="K71" s="44">
        <f t="shared" si="39"/>
        <v>132561401.37044205</v>
      </c>
    </row>
    <row r="72" spans="1:11" x14ac:dyDescent="0.15">
      <c r="A72" t="str">
        <f>'Balance sheet'!A31</f>
        <v>Other Current Liabilities</v>
      </c>
      <c r="B72" s="44">
        <f>'Balance sheet'!I31</f>
        <v>4063000</v>
      </c>
      <c r="C72" s="44">
        <f>'Balance sheet'!J31</f>
        <v>3961000</v>
      </c>
      <c r="D72" s="44">
        <f>C72</f>
        <v>3961000</v>
      </c>
      <c r="E72" s="44">
        <f t="shared" ref="E72:K72" si="40">D72</f>
        <v>3961000</v>
      </c>
      <c r="F72" s="44">
        <f t="shared" si="40"/>
        <v>3961000</v>
      </c>
      <c r="G72" s="44">
        <f t="shared" si="40"/>
        <v>3961000</v>
      </c>
      <c r="H72" s="44">
        <f t="shared" si="40"/>
        <v>3961000</v>
      </c>
      <c r="I72" s="44">
        <f t="shared" si="40"/>
        <v>3961000</v>
      </c>
      <c r="J72" s="44">
        <f t="shared" si="40"/>
        <v>3961000</v>
      </c>
      <c r="K72" s="44">
        <f t="shared" si="40"/>
        <v>3961000</v>
      </c>
    </row>
    <row r="73" spans="1:11" s="10" customFormat="1" x14ac:dyDescent="0.15">
      <c r="A73" s="10" t="str">
        <f>'Balance sheet'!A32</f>
        <v>Total Current Liabilities</v>
      </c>
      <c r="B73" s="60">
        <f>B71+B72</f>
        <v>87379000</v>
      </c>
      <c r="C73" s="60">
        <f t="shared" ref="C73:K73" si="41">C71+C72</f>
        <v>92198000</v>
      </c>
      <c r="D73" s="60">
        <f t="shared" si="41"/>
        <v>110997703.90000001</v>
      </c>
      <c r="E73" s="60">
        <f t="shared" si="41"/>
        <v>114743988.53649999</v>
      </c>
      <c r="F73" s="60">
        <f t="shared" si="41"/>
        <v>111876664.12731999</v>
      </c>
      <c r="G73" s="60">
        <f t="shared" si="41"/>
        <v>116193290.69241279</v>
      </c>
      <c r="H73" s="60">
        <f t="shared" si="41"/>
        <v>135272780.11012298</v>
      </c>
      <c r="I73" s="60">
        <f t="shared" si="41"/>
        <v>141181810.2150785</v>
      </c>
      <c r="J73" s="60">
        <f t="shared" si="41"/>
        <v>131423885.93311736</v>
      </c>
      <c r="K73" s="60">
        <f t="shared" si="41"/>
        <v>136522401.37044203</v>
      </c>
    </row>
    <row r="74" spans="1:11" x14ac:dyDescent="0.15">
      <c r="A74" t="str">
        <f>'Balance sheet'!A33</f>
        <v>LT Debt &amp; Leases</v>
      </c>
      <c r="B74" s="44">
        <f>SUM('Balance sheet'!I33:I35)</f>
        <v>74228000</v>
      </c>
      <c r="C74" s="44">
        <f>SUM('Balance sheet'!J33:J35)</f>
        <v>74306000</v>
      </c>
      <c r="D74" s="44">
        <f>D115</f>
        <v>127710462.08700001</v>
      </c>
      <c r="E74" s="44">
        <f t="shared" ref="E74:K74" si="42">E115</f>
        <v>127710462.08700001</v>
      </c>
      <c r="F74" s="44">
        <f t="shared" si="42"/>
        <v>127710462.08700001</v>
      </c>
      <c r="G74" s="44">
        <f t="shared" si="42"/>
        <v>127710462.08700001</v>
      </c>
      <c r="H74" s="44">
        <f t="shared" si="42"/>
        <v>127710462.08700001</v>
      </c>
      <c r="I74" s="44">
        <f t="shared" si="42"/>
        <v>127710462.08700001</v>
      </c>
      <c r="J74" s="44">
        <f t="shared" si="42"/>
        <v>127710462.08700001</v>
      </c>
      <c r="K74" s="44">
        <f t="shared" si="42"/>
        <v>127710462.08700001</v>
      </c>
    </row>
    <row r="75" spans="1:11" s="10" customFormat="1" x14ac:dyDescent="0.15">
      <c r="A75" s="10" t="str">
        <f>'Balance sheet'!A36</f>
        <v>Total Liabilities</v>
      </c>
      <c r="B75" s="60">
        <f>B73+B74</f>
        <v>161607000</v>
      </c>
      <c r="C75" s="60">
        <f t="shared" ref="C75:K75" si="43">C73+C74</f>
        <v>166504000</v>
      </c>
      <c r="D75" s="60">
        <f t="shared" si="43"/>
        <v>238708165.98700002</v>
      </c>
      <c r="E75" s="60">
        <f t="shared" si="43"/>
        <v>242454450.62349999</v>
      </c>
      <c r="F75" s="60">
        <f t="shared" si="43"/>
        <v>239587126.21432</v>
      </c>
      <c r="G75" s="60">
        <f t="shared" si="43"/>
        <v>243903752.77941281</v>
      </c>
      <c r="H75" s="60">
        <f t="shared" si="43"/>
        <v>262983242.19712299</v>
      </c>
      <c r="I75" s="60">
        <f t="shared" si="43"/>
        <v>268892272.30207849</v>
      </c>
      <c r="J75" s="60">
        <f t="shared" si="43"/>
        <v>259134348.02011737</v>
      </c>
      <c r="K75" s="60">
        <f t="shared" si="43"/>
        <v>264232863.45744205</v>
      </c>
    </row>
    <row r="76" spans="1:11" s="10" customFormat="1" x14ac:dyDescent="0.15">
      <c r="A76" s="10" t="str">
        <f>'Balance sheet'!A43</f>
        <v>Total Equity</v>
      </c>
      <c r="B76" s="60">
        <f>'Balance sheet'!I43</f>
        <v>83253000</v>
      </c>
      <c r="C76" s="60">
        <f>'Balance sheet'!J43</f>
        <v>76693000</v>
      </c>
      <c r="D76" s="60">
        <f t="shared" ref="D76:K76" si="44">D77-D75</f>
        <v>35563151.871999949</v>
      </c>
      <c r="E76" s="60">
        <f t="shared" si="44"/>
        <v>16570591.618367463</v>
      </c>
      <c r="F76" s="60">
        <f t="shared" si="44"/>
        <v>16301455.127687603</v>
      </c>
      <c r="G76" s="60">
        <f t="shared" si="44"/>
        <v>3033225.2282336354</v>
      </c>
      <c r="H76" s="60">
        <f t="shared" si="44"/>
        <v>17572919.492435753</v>
      </c>
      <c r="I76" s="60">
        <f t="shared" si="44"/>
        <v>19082276.458812654</v>
      </c>
      <c r="J76" s="60">
        <f t="shared" si="44"/>
        <v>44215793.530373245</v>
      </c>
      <c r="K76" s="60">
        <f t="shared" si="44"/>
        <v>44795750.666369021</v>
      </c>
    </row>
    <row r="77" spans="1:11" s="10" customFormat="1" x14ac:dyDescent="0.15">
      <c r="A77" s="10" t="str">
        <f>'Balance sheet'!A44</f>
        <v>Total Liabilities &amp; Equity</v>
      </c>
      <c r="B77" s="60">
        <f>B75+B76</f>
        <v>244860000</v>
      </c>
      <c r="C77" s="60">
        <f>C75+C76</f>
        <v>243197000</v>
      </c>
      <c r="D77" s="60">
        <f t="shared" ref="D77:K77" si="45">D69</f>
        <v>274271317.85899997</v>
      </c>
      <c r="E77" s="60">
        <f t="shared" si="45"/>
        <v>259025042.24186745</v>
      </c>
      <c r="F77" s="60">
        <f t="shared" si="45"/>
        <v>255888581.34200761</v>
      </c>
      <c r="G77" s="60">
        <f t="shared" si="45"/>
        <v>246936978.00764644</v>
      </c>
      <c r="H77" s="60">
        <f t="shared" si="45"/>
        <v>280556161.68955874</v>
      </c>
      <c r="I77" s="60">
        <f t="shared" si="45"/>
        <v>287974548.76089114</v>
      </c>
      <c r="J77" s="60">
        <f t="shared" si="45"/>
        <v>303350141.55049062</v>
      </c>
      <c r="K77" s="60">
        <f t="shared" si="45"/>
        <v>309028614.12381107</v>
      </c>
    </row>
    <row r="78" spans="1:11" x14ac:dyDescent="0.15"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 spans="1:11" x14ac:dyDescent="0.15">
      <c r="A79" s="28"/>
      <c r="B79" s="38"/>
      <c r="C79" s="38"/>
      <c r="D79" s="68"/>
      <c r="E79" s="38"/>
      <c r="F79" s="38"/>
      <c r="G79" s="38"/>
      <c r="H79" s="38"/>
      <c r="I79" s="38"/>
      <c r="J79" s="38"/>
      <c r="K79" s="38"/>
    </row>
    <row r="80" spans="1:11" s="10" customFormat="1" x14ac:dyDescent="0.15">
      <c r="A80" s="10" t="s">
        <v>139</v>
      </c>
      <c r="B80" s="10">
        <f t="shared" ref="B80:K80" si="46">B2</f>
        <v>2021</v>
      </c>
      <c r="C80" s="10">
        <f t="shared" si="46"/>
        <v>2022</v>
      </c>
      <c r="D80" s="10">
        <f t="shared" si="46"/>
        <v>2023</v>
      </c>
      <c r="E80" s="10">
        <f t="shared" si="46"/>
        <v>2024</v>
      </c>
      <c r="F80" s="10">
        <f t="shared" si="46"/>
        <v>2025</v>
      </c>
      <c r="G80" s="10">
        <f t="shared" si="46"/>
        <v>2026</v>
      </c>
      <c r="H80" s="10">
        <f t="shared" si="46"/>
        <v>2027</v>
      </c>
      <c r="I80" s="10">
        <f t="shared" si="46"/>
        <v>2028</v>
      </c>
      <c r="J80" s="10">
        <f t="shared" si="46"/>
        <v>2029</v>
      </c>
      <c r="K80" s="10">
        <f t="shared" si="46"/>
        <v>2030</v>
      </c>
    </row>
    <row r="82" spans="1:11" x14ac:dyDescent="0.15">
      <c r="A82" t="s">
        <v>140</v>
      </c>
      <c r="B82" s="47">
        <f t="shared" ref="B82:K82" si="47">(SUM(B61:B62)-SUM(A61:A62))</f>
        <v>9799000</v>
      </c>
      <c r="C82" s="47">
        <f t="shared" si="47"/>
        <v>655000</v>
      </c>
      <c r="D82" s="47">
        <f t="shared" si="47"/>
        <v>42437214.605000004</v>
      </c>
      <c r="E82" s="47">
        <f t="shared" si="47"/>
        <v>-11270334.28800001</v>
      </c>
      <c r="F82" s="47">
        <f t="shared" si="47"/>
        <v>8113225.7537025064</v>
      </c>
      <c r="G82" s="47">
        <f t="shared" si="47"/>
        <v>-19155029.377599303</v>
      </c>
      <c r="H82" s="47">
        <f t="shared" si="47"/>
        <v>23007620.596944626</v>
      </c>
      <c r="I82" s="47">
        <f t="shared" si="47"/>
        <v>-5325421.1883549914</v>
      </c>
      <c r="J82" s="47">
        <f t="shared" si="47"/>
        <v>2058313.1582261696</v>
      </c>
      <c r="K82" s="47">
        <f t="shared" si="47"/>
        <v>-6373143.2916558608</v>
      </c>
    </row>
    <row r="83" spans="1:11" x14ac:dyDescent="0.15">
      <c r="A83" t="s">
        <v>141</v>
      </c>
      <c r="B83" s="47" t="e">
        <f t="shared" ref="B83:K83" si="48">B64-A64</f>
        <v>#VALUE!</v>
      </c>
      <c r="C83" s="47">
        <f t="shared" si="48"/>
        <v>13046000</v>
      </c>
      <c r="D83" s="47">
        <f t="shared" si="48"/>
        <v>36888514.599999994</v>
      </c>
      <c r="E83" s="47">
        <f t="shared" si="48"/>
        <v>1857401.6264999807</v>
      </c>
      <c r="F83" s="47">
        <f t="shared" si="48"/>
        <v>1694328.0599699914</v>
      </c>
      <c r="G83" s="47">
        <f t="shared" si="48"/>
        <v>9712409.7714588046</v>
      </c>
      <c r="H83" s="47">
        <f t="shared" si="48"/>
        <v>10100906.162317157</v>
      </c>
      <c r="I83" s="47">
        <f t="shared" si="48"/>
        <v>11818060.209911078</v>
      </c>
      <c r="J83" s="47">
        <f t="shared" si="48"/>
        <v>12349872.919357002</v>
      </c>
      <c r="K83" s="47">
        <f t="shared" si="48"/>
        <v>11471659.733980596</v>
      </c>
    </row>
    <row r="84" spans="1:11" x14ac:dyDescent="0.15">
      <c r="A84" t="s">
        <v>143</v>
      </c>
      <c r="B84" s="47">
        <f t="shared" ref="B84:K84" si="49">B54</f>
        <v>-6439000</v>
      </c>
      <c r="C84" s="47">
        <f t="shared" si="49"/>
        <v>6801000</v>
      </c>
      <c r="D84" s="47">
        <f t="shared" si="49"/>
        <v>4416285.1460000006</v>
      </c>
      <c r="E84" s="47">
        <f t="shared" si="49"/>
        <v>2401872.1541324998</v>
      </c>
      <c r="F84" s="47">
        <f t="shared" si="49"/>
        <v>2419630.8025648501</v>
      </c>
      <c r="G84" s="47">
        <f t="shared" si="49"/>
        <v>2476664.4917219938</v>
      </c>
      <c r="H84" s="47">
        <f t="shared" si="49"/>
        <v>2575731.0713908738</v>
      </c>
      <c r="I84" s="47">
        <f t="shared" si="49"/>
        <v>2685325.9032520144</v>
      </c>
      <c r="J84" s="47">
        <f t="shared" si="49"/>
        <v>2806165.5688983547</v>
      </c>
      <c r="K84" s="47">
        <f t="shared" si="49"/>
        <v>2925273.2321650432</v>
      </c>
    </row>
    <row r="85" spans="1:11" x14ac:dyDescent="0.15">
      <c r="A85" t="s">
        <v>144</v>
      </c>
      <c r="B85" s="47" t="e">
        <f>B83+B84</f>
        <v>#VALUE!</v>
      </c>
      <c r="C85" s="47">
        <f t="shared" ref="C85:K85" si="50">C83+C84</f>
        <v>19847000</v>
      </c>
      <c r="D85" s="47">
        <f t="shared" si="50"/>
        <v>41304799.745999992</v>
      </c>
      <c r="E85" s="47">
        <f t="shared" si="50"/>
        <v>4259273.780632481</v>
      </c>
      <c r="F85" s="47">
        <f t="shared" si="50"/>
        <v>4113958.8625348415</v>
      </c>
      <c r="G85" s="47">
        <f t="shared" si="50"/>
        <v>12189074.263180798</v>
      </c>
      <c r="H85" s="47">
        <f t="shared" si="50"/>
        <v>12676637.233708031</v>
      </c>
      <c r="I85" s="47">
        <f t="shared" si="50"/>
        <v>14503386.113163093</v>
      </c>
      <c r="J85" s="47">
        <f t="shared" si="50"/>
        <v>15156038.488255356</v>
      </c>
      <c r="K85" s="47">
        <f t="shared" si="50"/>
        <v>14396932.966145638</v>
      </c>
    </row>
    <row r="86" spans="1:11" x14ac:dyDescent="0.15">
      <c r="A86" t="s">
        <v>145</v>
      </c>
      <c r="B86" s="47" t="e">
        <f>B85+B82</f>
        <v>#VALUE!</v>
      </c>
      <c r="C86" s="47">
        <f>C85+C82</f>
        <v>20502000</v>
      </c>
      <c r="D86" s="47">
        <f t="shared" ref="D86:K86" si="51">D85+D82</f>
        <v>83742014.350999996</v>
      </c>
      <c r="E86" s="47">
        <f t="shared" si="51"/>
        <v>-7011060.507367529</v>
      </c>
      <c r="F86" s="47">
        <f t="shared" si="51"/>
        <v>12227184.616237348</v>
      </c>
      <c r="G86" s="47">
        <f t="shared" si="51"/>
        <v>-6965955.1144185048</v>
      </c>
      <c r="H86" s="47">
        <f t="shared" si="51"/>
        <v>35684257.830652654</v>
      </c>
      <c r="I86" s="47">
        <f t="shared" si="51"/>
        <v>9177964.9248081017</v>
      </c>
      <c r="J86" s="47">
        <f t="shared" si="51"/>
        <v>17214351.646481525</v>
      </c>
      <c r="K86" s="47">
        <f t="shared" si="51"/>
        <v>8023789.6744897775</v>
      </c>
    </row>
    <row r="87" spans="1:11" x14ac:dyDescent="0.15">
      <c r="B87" s="47"/>
      <c r="C87" s="47"/>
      <c r="D87" s="47"/>
      <c r="E87" s="47"/>
      <c r="F87" s="47"/>
      <c r="G87" s="47"/>
      <c r="H87" s="47"/>
      <c r="I87" s="47"/>
      <c r="J87" s="47"/>
      <c r="K87" s="47"/>
    </row>
    <row r="88" spans="1:11" s="10" customFormat="1" x14ac:dyDescent="0.15">
      <c r="A88" s="10" t="s">
        <v>142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</row>
    <row r="89" spans="1:11" x14ac:dyDescent="0.15">
      <c r="A89" t="s">
        <v>146</v>
      </c>
      <c r="B89" s="47" t="e">
        <f>B86</f>
        <v>#VALUE!</v>
      </c>
      <c r="C89" s="47">
        <f t="shared" ref="C89:K89" si="52">C86</f>
        <v>20502000</v>
      </c>
      <c r="D89" s="47">
        <f t="shared" si="52"/>
        <v>83742014.350999996</v>
      </c>
      <c r="E89" s="47">
        <f t="shared" si="52"/>
        <v>-7011060.507367529</v>
      </c>
      <c r="F89" s="47">
        <f t="shared" si="52"/>
        <v>12227184.616237348</v>
      </c>
      <c r="G89" s="47">
        <f t="shared" si="52"/>
        <v>-6965955.1144185048</v>
      </c>
      <c r="H89" s="47">
        <f t="shared" si="52"/>
        <v>35684257.830652654</v>
      </c>
      <c r="I89" s="47">
        <f t="shared" si="52"/>
        <v>9177964.9248081017</v>
      </c>
      <c r="J89" s="47">
        <f t="shared" si="52"/>
        <v>17214351.646481525</v>
      </c>
      <c r="K89" s="47">
        <f t="shared" si="52"/>
        <v>8023789.6744897775</v>
      </c>
    </row>
    <row r="90" spans="1:11" x14ac:dyDescent="0.15">
      <c r="B90" s="47"/>
      <c r="C90" s="47"/>
      <c r="D90" s="47"/>
      <c r="E90" s="47"/>
      <c r="F90" s="47"/>
      <c r="G90" s="47"/>
      <c r="H90" s="47"/>
      <c r="I90" s="47"/>
      <c r="J90" s="47"/>
      <c r="K90" s="47"/>
    </row>
    <row r="91" spans="1:11" x14ac:dyDescent="0.15">
      <c r="A91" t="s">
        <v>147</v>
      </c>
      <c r="B91" s="47">
        <f t="shared" ref="B91:K91" si="53">B33</f>
        <v>18429000</v>
      </c>
      <c r="C91" s="47">
        <f t="shared" si="53"/>
        <v>11292000</v>
      </c>
      <c r="D91" s="47">
        <f t="shared" si="53"/>
        <v>7121563.2179999817</v>
      </c>
      <c r="E91" s="47">
        <f t="shared" si="53"/>
        <v>15239711.058063719</v>
      </c>
      <c r="F91" s="47">
        <f t="shared" si="53"/>
        <v>15445044.695610009</v>
      </c>
      <c r="G91" s="47">
        <f t="shared" si="53"/>
        <v>11286684.178367581</v>
      </c>
      <c r="H91" s="47">
        <f t="shared" si="53"/>
        <v>22383078.485789351</v>
      </c>
      <c r="I91" s="47">
        <f t="shared" si="53"/>
        <v>30198631.832388125</v>
      </c>
      <c r="J91" s="47">
        <f t="shared" si="53"/>
        <v>37038836.350299567</v>
      </c>
      <c r="K91" s="47">
        <f t="shared" si="53"/>
        <v>50846402.014696807</v>
      </c>
    </row>
    <row r="92" spans="1:11" x14ac:dyDescent="0.15">
      <c r="A92" t="s">
        <v>124</v>
      </c>
      <c r="B92" s="45">
        <f>B54</f>
        <v>-6439000</v>
      </c>
      <c r="C92" s="45">
        <f>C54</f>
        <v>6801000</v>
      </c>
      <c r="D92" s="45">
        <f>D54</f>
        <v>4416285.1460000006</v>
      </c>
      <c r="E92" s="45">
        <f>E54</f>
        <v>2401872.1541324998</v>
      </c>
      <c r="F92" s="45">
        <f t="shared" ref="F92:K92" si="54">F54</f>
        <v>2419630.8025648501</v>
      </c>
      <c r="G92" s="45">
        <f t="shared" si="54"/>
        <v>2476664.4917219938</v>
      </c>
      <c r="H92" s="45">
        <f t="shared" si="54"/>
        <v>2575731.0713908738</v>
      </c>
      <c r="I92" s="45">
        <f t="shared" si="54"/>
        <v>2685325.9032520144</v>
      </c>
      <c r="J92" s="45">
        <f t="shared" si="54"/>
        <v>2806165.5688983547</v>
      </c>
      <c r="K92" s="45">
        <f t="shared" si="54"/>
        <v>2925273.2321650432</v>
      </c>
    </row>
    <row r="93" spans="1:11" x14ac:dyDescent="0.15">
      <c r="A93" t="s">
        <v>148</v>
      </c>
      <c r="B93" s="47">
        <f>B91+B92</f>
        <v>11990000</v>
      </c>
      <c r="C93" s="47">
        <f t="shared" ref="C93:K93" si="55">C91+C92</f>
        <v>18093000</v>
      </c>
      <c r="D93" s="47">
        <f t="shared" si="55"/>
        <v>11537848.363999981</v>
      </c>
      <c r="E93" s="47">
        <f t="shared" si="55"/>
        <v>17641583.21219622</v>
      </c>
      <c r="F93" s="47">
        <f t="shared" si="55"/>
        <v>17864675.498174861</v>
      </c>
      <c r="G93" s="47">
        <f t="shared" si="55"/>
        <v>13763348.670089575</v>
      </c>
      <c r="H93" s="47">
        <f t="shared" si="55"/>
        <v>24958809.557180226</v>
      </c>
      <c r="I93" s="47">
        <f t="shared" si="55"/>
        <v>32883957.735640138</v>
      </c>
      <c r="J93" s="47">
        <f t="shared" si="55"/>
        <v>39845001.919197924</v>
      </c>
      <c r="K93" s="47">
        <f t="shared" si="55"/>
        <v>53771675.246861853</v>
      </c>
    </row>
    <row r="94" spans="1:11" x14ac:dyDescent="0.15">
      <c r="A94" t="s">
        <v>149</v>
      </c>
      <c r="B94" s="47">
        <f t="shared" ref="B94:K94" si="56">MAX(B6*B33,0)</f>
        <v>0</v>
      </c>
      <c r="C94" s="47">
        <f t="shared" si="56"/>
        <v>0</v>
      </c>
      <c r="D94" s="47">
        <f t="shared" si="56"/>
        <v>0</v>
      </c>
      <c r="E94" s="47">
        <f t="shared" si="56"/>
        <v>0</v>
      </c>
      <c r="F94" s="47">
        <f t="shared" si="56"/>
        <v>0</v>
      </c>
      <c r="G94" s="47">
        <f t="shared" si="56"/>
        <v>0</v>
      </c>
      <c r="H94" s="47">
        <f t="shared" si="56"/>
        <v>0</v>
      </c>
      <c r="I94" s="47">
        <f t="shared" si="56"/>
        <v>0</v>
      </c>
      <c r="J94" s="47">
        <f t="shared" si="56"/>
        <v>0</v>
      </c>
      <c r="K94" s="47">
        <f t="shared" si="56"/>
        <v>0</v>
      </c>
    </row>
    <row r="95" spans="1:11" x14ac:dyDescent="0.15">
      <c r="A95" t="s">
        <v>150</v>
      </c>
      <c r="B95" s="47">
        <f>B93-B94</f>
        <v>11990000</v>
      </c>
      <c r="C95" s="47">
        <f t="shared" ref="C95:K95" si="57">C93-C94</f>
        <v>18093000</v>
      </c>
      <c r="D95" s="47">
        <f t="shared" si="57"/>
        <v>11537848.363999981</v>
      </c>
      <c r="E95" s="67">
        <f t="shared" si="57"/>
        <v>17641583.21219622</v>
      </c>
      <c r="F95" s="47">
        <f t="shared" si="57"/>
        <v>17864675.498174861</v>
      </c>
      <c r="G95" s="47">
        <f t="shared" si="57"/>
        <v>13763348.670089575</v>
      </c>
      <c r="H95" s="47">
        <f t="shared" si="57"/>
        <v>24958809.557180226</v>
      </c>
      <c r="I95" s="47">
        <f t="shared" si="57"/>
        <v>32883957.735640138</v>
      </c>
      <c r="J95" s="47">
        <f t="shared" si="57"/>
        <v>39845001.919197924</v>
      </c>
      <c r="K95" s="47">
        <f t="shared" si="57"/>
        <v>53771675.246861853</v>
      </c>
    </row>
    <row r="96" spans="1:11" x14ac:dyDescent="0.15">
      <c r="A96" t="s">
        <v>151</v>
      </c>
      <c r="B96" s="47">
        <f>'Balance sheet'!I32-'Balance sheet'!H32</f>
        <v>-5266000</v>
      </c>
      <c r="C96" s="47">
        <f t="shared" ref="C96:K96" si="58">C73-B73</f>
        <v>4819000</v>
      </c>
      <c r="D96" s="47">
        <f t="shared" si="58"/>
        <v>18799703.900000006</v>
      </c>
      <c r="E96" s="67">
        <f t="shared" si="58"/>
        <v>3746284.6364999861</v>
      </c>
      <c r="F96" s="47">
        <f t="shared" si="58"/>
        <v>-2867324.4091800004</v>
      </c>
      <c r="G96" s="47">
        <f t="shared" si="58"/>
        <v>4316626.565092802</v>
      </c>
      <c r="H96" s="47">
        <f t="shared" si="58"/>
        <v>19079489.417710185</v>
      </c>
      <c r="I96" s="47">
        <f t="shared" si="58"/>
        <v>5909030.1049555242</v>
      </c>
      <c r="J96" s="47">
        <f t="shared" si="58"/>
        <v>-9757924.281961143</v>
      </c>
      <c r="K96" s="47">
        <f t="shared" si="58"/>
        <v>5098515.4373246729</v>
      </c>
    </row>
    <row r="97" spans="1:12" x14ac:dyDescent="0.15">
      <c r="A97" t="s">
        <v>152</v>
      </c>
      <c r="B97" s="47">
        <f>B95+B96</f>
        <v>6724000</v>
      </c>
      <c r="C97" s="47">
        <f t="shared" ref="C97:K97" si="59">C95+C96</f>
        <v>22912000</v>
      </c>
      <c r="D97" s="47">
        <f t="shared" si="59"/>
        <v>30337552.263999987</v>
      </c>
      <c r="E97" s="47">
        <f t="shared" si="59"/>
        <v>21387867.848696206</v>
      </c>
      <c r="F97" s="47">
        <f t="shared" si="59"/>
        <v>14997351.088994861</v>
      </c>
      <c r="G97" s="47">
        <f t="shared" si="59"/>
        <v>18079975.235182375</v>
      </c>
      <c r="H97" s="47">
        <f t="shared" si="59"/>
        <v>44038298.974890411</v>
      </c>
      <c r="I97" s="47">
        <f t="shared" si="59"/>
        <v>38792987.840595663</v>
      </c>
      <c r="J97" s="47">
        <f t="shared" si="59"/>
        <v>30087077.637236781</v>
      </c>
      <c r="K97" s="47">
        <f t="shared" si="59"/>
        <v>58870190.684186526</v>
      </c>
    </row>
    <row r="98" spans="1:12" x14ac:dyDescent="0.15">
      <c r="A98" t="s">
        <v>153</v>
      </c>
      <c r="B98" s="47" t="e">
        <f>B89-B97</f>
        <v>#VALUE!</v>
      </c>
      <c r="C98" s="47">
        <f>C89-C97</f>
        <v>-2410000</v>
      </c>
      <c r="D98" s="47">
        <f t="shared" ref="D98:K98" si="60">D89-D97</f>
        <v>53404462.087000012</v>
      </c>
      <c r="E98" s="47">
        <f t="shared" si="60"/>
        <v>-28398928.356063735</v>
      </c>
      <c r="F98" s="47">
        <f t="shared" si="60"/>
        <v>-2770166.4727575127</v>
      </c>
      <c r="G98" s="47">
        <f t="shared" si="60"/>
        <v>-25045930.349600881</v>
      </c>
      <c r="H98" s="47">
        <f t="shared" si="60"/>
        <v>-8354041.1442377567</v>
      </c>
      <c r="I98" s="47">
        <f t="shared" si="60"/>
        <v>-29615022.915787563</v>
      </c>
      <c r="J98" s="47">
        <f t="shared" si="60"/>
        <v>-12872725.990755256</v>
      </c>
      <c r="K98" s="47">
        <f t="shared" si="60"/>
        <v>-50846401.009696752</v>
      </c>
    </row>
    <row r="99" spans="1:12" x14ac:dyDescent="0.15">
      <c r="A99" s="28" t="s">
        <v>155</v>
      </c>
      <c r="B99" s="45" t="e">
        <f t="shared" ref="B99:K99" si="61">MAX(B7*B98,0)</f>
        <v>#VALUE!</v>
      </c>
      <c r="C99" s="45">
        <f t="shared" si="61"/>
        <v>0</v>
      </c>
      <c r="D99" s="45">
        <f t="shared" si="61"/>
        <v>53404462.087000012</v>
      </c>
      <c r="E99" s="45">
        <f t="shared" si="61"/>
        <v>0</v>
      </c>
      <c r="F99" s="45">
        <f t="shared" si="61"/>
        <v>0</v>
      </c>
      <c r="G99" s="45">
        <f t="shared" si="61"/>
        <v>0</v>
      </c>
      <c r="H99" s="45">
        <f t="shared" si="61"/>
        <v>0</v>
      </c>
      <c r="I99" s="45">
        <f t="shared" si="61"/>
        <v>0</v>
      </c>
      <c r="J99" s="45">
        <f t="shared" si="61"/>
        <v>0</v>
      </c>
      <c r="K99" s="45">
        <f t="shared" si="61"/>
        <v>0</v>
      </c>
    </row>
    <row r="100" spans="1:12" x14ac:dyDescent="0.15">
      <c r="A100" s="28" t="s">
        <v>156</v>
      </c>
      <c r="B100" s="47" t="e">
        <f>MAX(B98-B99,0)</f>
        <v>#VALUE!</v>
      </c>
      <c r="C100" s="47">
        <f t="shared" ref="C100:K100" si="62">MAX(C98-C99,0)</f>
        <v>0</v>
      </c>
      <c r="D100" s="47">
        <f t="shared" si="62"/>
        <v>0</v>
      </c>
      <c r="E100" s="47">
        <f t="shared" si="62"/>
        <v>0</v>
      </c>
      <c r="F100" s="47">
        <f t="shared" si="62"/>
        <v>0</v>
      </c>
      <c r="G100" s="47">
        <f t="shared" si="62"/>
        <v>0</v>
      </c>
      <c r="H100" s="47">
        <f t="shared" si="62"/>
        <v>0</v>
      </c>
      <c r="I100" s="47">
        <f t="shared" si="62"/>
        <v>0</v>
      </c>
      <c r="J100" s="47">
        <f t="shared" si="62"/>
        <v>0</v>
      </c>
      <c r="K100" s="47">
        <f t="shared" si="62"/>
        <v>0</v>
      </c>
    </row>
    <row r="101" spans="1:12" x14ac:dyDescent="0.15">
      <c r="A101" s="28" t="s">
        <v>157</v>
      </c>
      <c r="B101" s="47" t="e">
        <f>B99+B100</f>
        <v>#VALUE!</v>
      </c>
      <c r="C101" s="47">
        <f t="shared" ref="C101:K101" si="63">C99+C100</f>
        <v>0</v>
      </c>
      <c r="D101" s="47">
        <f t="shared" si="63"/>
        <v>53404462.087000012</v>
      </c>
      <c r="E101" s="47">
        <f t="shared" si="63"/>
        <v>0</v>
      </c>
      <c r="F101" s="47">
        <f t="shared" si="63"/>
        <v>0</v>
      </c>
      <c r="G101" s="47">
        <f t="shared" si="63"/>
        <v>0</v>
      </c>
      <c r="H101" s="47">
        <f t="shared" si="63"/>
        <v>0</v>
      </c>
      <c r="I101" s="47">
        <f t="shared" si="63"/>
        <v>0</v>
      </c>
      <c r="J101" s="47">
        <f t="shared" si="63"/>
        <v>0</v>
      </c>
      <c r="K101" s="47">
        <f t="shared" si="63"/>
        <v>0</v>
      </c>
    </row>
    <row r="102" spans="1:12" x14ac:dyDescent="0.15">
      <c r="A102" s="28" t="s">
        <v>158</v>
      </c>
      <c r="B102" s="47" t="e">
        <f>B97+B101</f>
        <v>#VALUE!</v>
      </c>
      <c r="C102" s="47">
        <f t="shared" ref="C102:K102" si="64">C97+C101</f>
        <v>22912000</v>
      </c>
      <c r="D102" s="47">
        <f t="shared" si="64"/>
        <v>83742014.350999996</v>
      </c>
      <c r="E102" s="47">
        <f t="shared" si="64"/>
        <v>21387867.848696206</v>
      </c>
      <c r="F102" s="47">
        <f t="shared" si="64"/>
        <v>14997351.088994861</v>
      </c>
      <c r="G102" s="47">
        <f t="shared" si="64"/>
        <v>18079975.235182375</v>
      </c>
      <c r="H102" s="47">
        <f t="shared" si="64"/>
        <v>44038298.974890411</v>
      </c>
      <c r="I102" s="47">
        <f t="shared" si="64"/>
        <v>38792987.840595663</v>
      </c>
      <c r="J102" s="47">
        <f t="shared" si="64"/>
        <v>30087077.637236781</v>
      </c>
      <c r="K102" s="47">
        <f t="shared" si="64"/>
        <v>58870190.684186526</v>
      </c>
    </row>
    <row r="103" spans="1:12" x14ac:dyDescent="0.15">
      <c r="B103" s="47"/>
      <c r="C103" s="47"/>
      <c r="D103" s="47"/>
      <c r="E103" s="47"/>
      <c r="F103" s="47"/>
      <c r="G103" s="47"/>
      <c r="H103" s="47"/>
      <c r="I103" s="47"/>
      <c r="J103" s="47"/>
      <c r="K103" s="47"/>
    </row>
    <row r="104" spans="1:12" x14ac:dyDescent="0.15">
      <c r="A104" s="28" t="s">
        <v>159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</row>
    <row r="105" spans="1:12" s="41" customFormat="1" x14ac:dyDescent="0.15">
      <c r="D105" s="41">
        <v>0</v>
      </c>
      <c r="E105" s="41">
        <v>1</v>
      </c>
      <c r="F105" s="41">
        <v>2</v>
      </c>
      <c r="G105" s="41">
        <v>3</v>
      </c>
      <c r="H105" s="41">
        <v>4</v>
      </c>
      <c r="I105" s="41">
        <v>5</v>
      </c>
      <c r="J105" s="41">
        <v>6</v>
      </c>
      <c r="K105" s="41">
        <v>7</v>
      </c>
    </row>
    <row r="106" spans="1:12" x14ac:dyDescent="0.15">
      <c r="A106" s="28" t="s">
        <v>160</v>
      </c>
      <c r="B106" s="47">
        <f t="shared" ref="B106:K106" si="65">B27+B54-B32</f>
        <v>19236000</v>
      </c>
      <c r="C106" s="47">
        <f t="shared" si="65"/>
        <v>21505000</v>
      </c>
      <c r="D106" s="47">
        <f t="shared" si="65"/>
        <v>14881618.363999983</v>
      </c>
      <c r="E106" s="47">
        <f t="shared" si="65"/>
        <v>23388554.00611122</v>
      </c>
      <c r="F106" s="47">
        <f t="shared" si="65"/>
        <v>24250198.602524862</v>
      </c>
      <c r="G106" s="47">
        <f t="shared" si="65"/>
        <v>20148871.774439577</v>
      </c>
      <c r="H106" s="47">
        <f t="shared" si="65"/>
        <v>31982884.971965227</v>
      </c>
      <c r="I106" s="47">
        <f t="shared" si="65"/>
        <v>39908033.150425136</v>
      </c>
      <c r="J106" s="47">
        <f t="shared" si="65"/>
        <v>47507629.644417927</v>
      </c>
      <c r="K106" s="47">
        <f t="shared" si="65"/>
        <v>61434302.972081847</v>
      </c>
    </row>
    <row r="107" spans="1:12" x14ac:dyDescent="0.15">
      <c r="A107" s="28" t="s">
        <v>161</v>
      </c>
      <c r="B107" s="47" t="e">
        <f>B64-A64</f>
        <v>#VALUE!</v>
      </c>
      <c r="C107" s="47">
        <f t="shared" ref="C107:K107" si="66">C64-B64+C92</f>
        <v>19847000</v>
      </c>
      <c r="D107" s="47">
        <f t="shared" si="66"/>
        <v>41304799.745999992</v>
      </c>
      <c r="E107" s="47">
        <f t="shared" si="66"/>
        <v>4259273.780632481</v>
      </c>
      <c r="F107" s="47">
        <f t="shared" si="66"/>
        <v>4113958.8625348415</v>
      </c>
      <c r="G107" s="47">
        <f t="shared" si="66"/>
        <v>12189074.263180798</v>
      </c>
      <c r="H107" s="47">
        <f t="shared" si="66"/>
        <v>12676637.233708031</v>
      </c>
      <c r="I107" s="47">
        <f t="shared" si="66"/>
        <v>14503386.113163093</v>
      </c>
      <c r="J107" s="47">
        <f t="shared" si="66"/>
        <v>15156038.488255356</v>
      </c>
      <c r="K107" s="47">
        <f t="shared" si="66"/>
        <v>14396932.966145638</v>
      </c>
    </row>
    <row r="108" spans="1:12" x14ac:dyDescent="0.15">
      <c r="A108" s="28" t="s">
        <v>162</v>
      </c>
      <c r="B108" s="47" t="e">
        <f t="shared" ref="B108:K108" si="67">(B63-B75)-(A63-A75)</f>
        <v>#VALUE!</v>
      </c>
      <c r="C108" s="47">
        <f t="shared" si="67"/>
        <v>-10377000</v>
      </c>
      <c r="D108" s="47">
        <f t="shared" si="67"/>
        <v>-19503121.282000005</v>
      </c>
      <c r="E108" s="47">
        <f t="shared" si="67"/>
        <v>-20872156.255499989</v>
      </c>
      <c r="F108" s="47">
        <f t="shared" si="67"/>
        <v>11436715.40979749</v>
      </c>
      <c r="G108" s="47">
        <f t="shared" si="67"/>
        <v>-22932077.622055501</v>
      </c>
      <c r="H108" s="47">
        <f t="shared" si="67"/>
        <v>4489292.6326965094</v>
      </c>
      <c r="I108" s="47">
        <f t="shared" si="67"/>
        <v>-10577892.392759889</v>
      </c>
      <c r="J108" s="47">
        <f t="shared" si="67"/>
        <v>12502341.491262704</v>
      </c>
      <c r="K108" s="47">
        <f t="shared" si="67"/>
        <v>-10834344.299314976</v>
      </c>
    </row>
    <row r="109" spans="1:12" x14ac:dyDescent="0.15">
      <c r="B109" s="47"/>
      <c r="C109" s="47"/>
      <c r="D109" s="47"/>
      <c r="E109" s="47"/>
      <c r="F109" s="47"/>
      <c r="G109" s="47"/>
      <c r="H109" s="47"/>
      <c r="I109" s="47"/>
      <c r="J109" s="47"/>
      <c r="K109" s="47"/>
    </row>
    <row r="110" spans="1:12" x14ac:dyDescent="0.15">
      <c r="A110" s="28" t="s">
        <v>163</v>
      </c>
      <c r="B110" s="47" t="e">
        <f>B106-B107-B108</f>
        <v>#VALUE!</v>
      </c>
      <c r="C110" s="47">
        <f>C106-C107-C108</f>
        <v>12035000</v>
      </c>
      <c r="D110" s="47">
        <f>(D106-D107-D108)</f>
        <v>-6920060.1000000015</v>
      </c>
      <c r="E110" s="47">
        <f t="shared" ref="E110:K110" si="68">E106-E107-E108</f>
        <v>40001436.480978727</v>
      </c>
      <c r="F110" s="47">
        <f t="shared" si="68"/>
        <v>8699524.3301925287</v>
      </c>
      <c r="G110" s="47">
        <f t="shared" si="68"/>
        <v>30891875.133314282</v>
      </c>
      <c r="H110" s="47">
        <f t="shared" si="68"/>
        <v>14816955.105560686</v>
      </c>
      <c r="I110" s="47">
        <f t="shared" si="68"/>
        <v>35982539.430021934</v>
      </c>
      <c r="J110" s="47">
        <f t="shared" si="68"/>
        <v>19849249.664899867</v>
      </c>
      <c r="K110" s="47">
        <f t="shared" si="68"/>
        <v>57871714.305251181</v>
      </c>
    </row>
    <row r="111" spans="1:12" x14ac:dyDescent="0.15">
      <c r="B111" s="47"/>
      <c r="C111" s="47"/>
      <c r="D111" s="47"/>
      <c r="E111" s="47"/>
      <c r="F111" s="47"/>
      <c r="G111" s="47"/>
      <c r="H111" s="47"/>
      <c r="I111" s="47"/>
      <c r="J111" s="47"/>
      <c r="K111" s="49">
        <f>(K110*(1+D8))/(D9-D8)</f>
        <v>1504664571.9365308</v>
      </c>
      <c r="L111" s="10" t="s">
        <v>171</v>
      </c>
    </row>
    <row r="112" spans="1:12" x14ac:dyDescent="0.15">
      <c r="B112" s="47"/>
      <c r="C112" s="47"/>
      <c r="D112" s="47"/>
      <c r="E112" s="47"/>
      <c r="F112" s="47"/>
      <c r="G112" s="47"/>
      <c r="H112" s="47"/>
      <c r="I112" s="47"/>
      <c r="J112" s="47"/>
      <c r="K112" s="47">
        <f>K110+K111</f>
        <v>1562536286.2417819</v>
      </c>
    </row>
    <row r="113" spans="1:11" x14ac:dyDescent="0.15">
      <c r="A113" s="10" t="s">
        <v>164</v>
      </c>
      <c r="B113" s="47"/>
      <c r="C113" s="47"/>
      <c r="D113" s="47"/>
      <c r="E113" s="47"/>
      <c r="F113" s="47"/>
      <c r="G113" s="47"/>
      <c r="H113" s="47"/>
      <c r="I113" s="47"/>
      <c r="J113" s="47"/>
      <c r="K113" s="47"/>
    </row>
    <row r="114" spans="1:11" x14ac:dyDescent="0.15">
      <c r="A114" s="28" t="s">
        <v>165</v>
      </c>
      <c r="B114" s="47">
        <f>B4*B74</f>
        <v>0</v>
      </c>
      <c r="C114" s="47">
        <f>C4*C74</f>
        <v>0</v>
      </c>
      <c r="D114" s="47">
        <f t="shared" ref="D114:K114" si="69">C115*D5</f>
        <v>3343770</v>
      </c>
      <c r="E114" s="47">
        <f t="shared" si="69"/>
        <v>5746970.7939150007</v>
      </c>
      <c r="F114" s="47">
        <f t="shared" si="69"/>
        <v>6385523.1043500006</v>
      </c>
      <c r="G114" s="47">
        <f t="shared" si="69"/>
        <v>6385523.1043500006</v>
      </c>
      <c r="H114" s="47">
        <f t="shared" si="69"/>
        <v>7024075.4147850005</v>
      </c>
      <c r="I114" s="47">
        <f t="shared" si="69"/>
        <v>7024075.4147850005</v>
      </c>
      <c r="J114" s="47">
        <f t="shared" si="69"/>
        <v>7662627.7252200004</v>
      </c>
      <c r="K114" s="47">
        <f t="shared" si="69"/>
        <v>7662627.7252200004</v>
      </c>
    </row>
    <row r="115" spans="1:11" x14ac:dyDescent="0.15">
      <c r="A115" s="28" t="s">
        <v>166</v>
      </c>
      <c r="B115" s="47">
        <f>B74</f>
        <v>74228000</v>
      </c>
      <c r="C115" s="47">
        <f>C74</f>
        <v>74306000</v>
      </c>
      <c r="D115" s="47">
        <f>C115+D99</f>
        <v>127710462.08700001</v>
      </c>
      <c r="E115" s="47">
        <f t="shared" ref="E115:K115" si="70">D115+E99</f>
        <v>127710462.08700001</v>
      </c>
      <c r="F115" s="47">
        <f t="shared" si="70"/>
        <v>127710462.08700001</v>
      </c>
      <c r="G115" s="47">
        <f t="shared" si="70"/>
        <v>127710462.08700001</v>
      </c>
      <c r="H115" s="47">
        <f t="shared" si="70"/>
        <v>127710462.08700001</v>
      </c>
      <c r="I115" s="47">
        <f t="shared" si="70"/>
        <v>127710462.08700001</v>
      </c>
      <c r="J115" s="47">
        <f t="shared" si="70"/>
        <v>127710462.08700001</v>
      </c>
      <c r="K115" s="47">
        <f t="shared" si="70"/>
        <v>127710462.08700001</v>
      </c>
    </row>
    <row r="116" spans="1:11" x14ac:dyDescent="0.15">
      <c r="A116" s="28" t="s">
        <v>167</v>
      </c>
      <c r="B116" s="47">
        <f t="shared" ref="B116:K116" si="71">B73+B74</f>
        <v>161607000</v>
      </c>
      <c r="C116" s="47">
        <f t="shared" si="71"/>
        <v>166504000</v>
      </c>
      <c r="D116" s="47">
        <f t="shared" si="71"/>
        <v>238708165.98700002</v>
      </c>
      <c r="E116" s="47">
        <f t="shared" si="71"/>
        <v>242454450.62349999</v>
      </c>
      <c r="F116" s="47">
        <f t="shared" si="71"/>
        <v>239587126.21432</v>
      </c>
      <c r="G116" s="47">
        <f t="shared" si="71"/>
        <v>243903752.77941281</v>
      </c>
      <c r="H116" s="47">
        <f t="shared" si="71"/>
        <v>262983242.19712299</v>
      </c>
      <c r="I116" s="47">
        <f t="shared" si="71"/>
        <v>268892272.30207849</v>
      </c>
      <c r="J116" s="47">
        <f t="shared" si="71"/>
        <v>259134348.02011737</v>
      </c>
      <c r="K116" s="47">
        <f t="shared" si="71"/>
        <v>264232863.45744205</v>
      </c>
    </row>
    <row r="117" spans="1:11" x14ac:dyDescent="0.15">
      <c r="A117" s="28"/>
      <c r="B117" s="38"/>
      <c r="C117" s="38"/>
      <c r="D117" s="38"/>
      <c r="E117" s="38"/>
      <c r="F117" s="38"/>
      <c r="G117" s="38"/>
      <c r="H117" s="38"/>
      <c r="I117" s="38"/>
      <c r="J117" s="38"/>
      <c r="K117" s="38"/>
    </row>
    <row r="118" spans="1:11" x14ac:dyDescent="0.15">
      <c r="A118" s="28"/>
      <c r="B118" s="38"/>
      <c r="C118" s="38"/>
      <c r="D118" s="38"/>
      <c r="E118" s="38"/>
      <c r="F118" s="38"/>
      <c r="G118" s="38"/>
      <c r="H118" s="38"/>
      <c r="I118" s="38"/>
      <c r="J118" s="38"/>
      <c r="K118" s="38"/>
    </row>
    <row r="119" spans="1:11" x14ac:dyDescent="0.15">
      <c r="A119" s="28"/>
      <c r="B119" s="38"/>
      <c r="C119" s="38"/>
      <c r="D119" s="38"/>
      <c r="E119" s="38"/>
      <c r="F119" s="38"/>
      <c r="G119" s="38"/>
      <c r="H119" s="38"/>
      <c r="I119" s="38"/>
      <c r="J119" s="38"/>
      <c r="K119" s="38"/>
    </row>
    <row r="121" spans="1:11" x14ac:dyDescent="0.15">
      <c r="A121" s="10" t="s">
        <v>168</v>
      </c>
      <c r="B121" s="63">
        <f>SUM(D121:K121)</f>
        <v>155866162.81970346</v>
      </c>
      <c r="C121" s="64"/>
      <c r="D121" s="64">
        <f t="shared" ref="D121:K121" si="72">D110/((1+D14)^D105)</f>
        <v>-6920060.1000000015</v>
      </c>
      <c r="E121" s="64">
        <f t="shared" si="72"/>
        <v>38079200.513657652</v>
      </c>
      <c r="F121" s="64">
        <f t="shared" si="72"/>
        <v>7812937.8313780371</v>
      </c>
      <c r="G121" s="64">
        <f t="shared" si="72"/>
        <v>26129585.27121013</v>
      </c>
      <c r="H121" s="64">
        <f t="shared" si="72"/>
        <v>11733530.682040527</v>
      </c>
      <c r="I121" s="64">
        <f t="shared" si="72"/>
        <v>26850338.016044799</v>
      </c>
      <c r="J121" s="64">
        <f t="shared" si="72"/>
        <v>13913908.259374941</v>
      </c>
      <c r="K121" s="64">
        <f t="shared" si="72"/>
        <v>38266722.345997378</v>
      </c>
    </row>
    <row r="122" spans="1:11" x14ac:dyDescent="0.15">
      <c r="A122" s="10"/>
      <c r="B122" s="10"/>
    </row>
    <row r="123" spans="1:11" x14ac:dyDescent="0.15">
      <c r="A123" s="10" t="s">
        <v>172</v>
      </c>
      <c r="B123" s="76">
        <v>53.24</v>
      </c>
    </row>
    <row r="124" spans="1:11" x14ac:dyDescent="0.15">
      <c r="A124" s="10"/>
      <c r="B124" s="10"/>
    </row>
    <row r="125" spans="1:11" x14ac:dyDescent="0.15">
      <c r="A125" s="10" t="s">
        <v>175</v>
      </c>
      <c r="B125" s="48">
        <f>D75-D74-D71</f>
        <v>3961000</v>
      </c>
      <c r="G125" s="61">
        <f>standardized!K40</f>
        <v>8054000</v>
      </c>
    </row>
    <row r="126" spans="1:11" x14ac:dyDescent="0.15">
      <c r="A126" s="10"/>
      <c r="B126" s="10"/>
    </row>
    <row r="127" spans="1:11" x14ac:dyDescent="0.15">
      <c r="A127" s="10" t="s">
        <v>176</v>
      </c>
      <c r="B127" s="77">
        <f>B121-B125</f>
        <v>151905162.81970346</v>
      </c>
    </row>
    <row r="128" spans="1:11" x14ac:dyDescent="0.15">
      <c r="A128" s="10"/>
      <c r="B128" s="10"/>
      <c r="C128" s="65"/>
    </row>
    <row r="129" spans="1:3" x14ac:dyDescent="0.15">
      <c r="A129" s="10" t="s">
        <v>177</v>
      </c>
      <c r="B129" s="76">
        <v>54.24</v>
      </c>
    </row>
    <row r="133" spans="1:3" x14ac:dyDescent="0.15">
      <c r="C133" s="46"/>
    </row>
  </sheetData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7A77-02F3-4B22-8E76-17060E91433E}">
  <dimension ref="B2:N27"/>
  <sheetViews>
    <sheetView workbookViewId="0">
      <selection activeCell="L20" sqref="L20:N25"/>
    </sheetView>
  </sheetViews>
  <sheetFormatPr baseColWidth="10" defaultColWidth="8.83203125" defaultRowHeight="13" x14ac:dyDescent="0.15"/>
  <cols>
    <col min="2" max="2" width="25.5" bestFit="1" customWidth="1"/>
    <col min="3" max="3" width="17" bestFit="1" customWidth="1"/>
    <col min="4" max="4" width="13.83203125" bestFit="1" customWidth="1"/>
    <col min="5" max="8" width="11" bestFit="1" customWidth="1"/>
    <col min="12" max="12" width="23.83203125" bestFit="1" customWidth="1"/>
    <col min="13" max="13" width="20" bestFit="1" customWidth="1"/>
    <col min="14" max="14" width="13.33203125" bestFit="1" customWidth="1"/>
  </cols>
  <sheetData>
    <row r="2" spans="2:8" x14ac:dyDescent="0.15">
      <c r="B2" s="57"/>
      <c r="C2" s="28" t="s">
        <v>200</v>
      </c>
      <c r="E2" s="28" t="s">
        <v>201</v>
      </c>
      <c r="F2" s="28" t="s">
        <v>202</v>
      </c>
      <c r="G2" s="28" t="s">
        <v>203</v>
      </c>
      <c r="H2" s="28"/>
    </row>
    <row r="3" spans="2:8" x14ac:dyDescent="0.15">
      <c r="B3" s="52" t="s">
        <v>188</v>
      </c>
      <c r="C3">
        <f>C4*'Stock Price '!B3</f>
        <v>23852628.109999999</v>
      </c>
      <c r="E3">
        <f>E4*'Stock Price '!C3</f>
        <v>27084861.409632001</v>
      </c>
      <c r="F3">
        <f>F4*'Stock Price '!D3</f>
        <v>15926043.740738999</v>
      </c>
      <c r="G3">
        <f>G4*'Stock Price '!E3</f>
        <v>92206.231499999994</v>
      </c>
    </row>
    <row r="4" spans="2:8" x14ac:dyDescent="0.15">
      <c r="B4" s="52" t="s">
        <v>189</v>
      </c>
      <c r="C4" s="41">
        <f>standardized!J40</f>
        <v>2693000</v>
      </c>
      <c r="E4">
        <v>442793</v>
      </c>
      <c r="F4">
        <v>460347</v>
      </c>
      <c r="G4">
        <v>10383</v>
      </c>
    </row>
    <row r="5" spans="2:8" x14ac:dyDescent="0.15">
      <c r="B5" s="52" t="s">
        <v>190</v>
      </c>
      <c r="C5">
        <f>'projected IS '!E33</f>
        <v>15239711.058063719</v>
      </c>
    </row>
    <row r="6" spans="2:8" x14ac:dyDescent="0.15">
      <c r="B6" s="52" t="s">
        <v>191</v>
      </c>
      <c r="C6">
        <f>'projected IS '!D33</f>
        <v>7121563.2179999817</v>
      </c>
      <c r="E6" s="58">
        <v>6292000</v>
      </c>
      <c r="F6">
        <v>2780000</v>
      </c>
      <c r="G6">
        <v>30425000</v>
      </c>
    </row>
    <row r="7" spans="2:8" x14ac:dyDescent="0.15">
      <c r="B7" s="52" t="s">
        <v>192</v>
      </c>
      <c r="C7">
        <f>'projected IS '!D31+'projected IS '!C31</f>
        <v>26264783.399999976</v>
      </c>
      <c r="E7">
        <v>8487000</v>
      </c>
      <c r="F7">
        <v>3418000</v>
      </c>
      <c r="G7">
        <v>3755700</v>
      </c>
    </row>
    <row r="8" spans="2:8" x14ac:dyDescent="0.15">
      <c r="B8" s="52" t="s">
        <v>193</v>
      </c>
      <c r="C8">
        <f>'projected IS '!D22</f>
        <v>629627670</v>
      </c>
      <c r="E8">
        <v>242290000</v>
      </c>
      <c r="F8">
        <v>10912000</v>
      </c>
      <c r="G8">
        <v>374785000</v>
      </c>
    </row>
    <row r="9" spans="2:8" x14ac:dyDescent="0.15">
      <c r="B9" s="52" t="s">
        <v>194</v>
      </c>
      <c r="C9">
        <f>'projected IS '!D76</f>
        <v>35563151.871999949</v>
      </c>
      <c r="E9">
        <v>25058000</v>
      </c>
      <c r="F9">
        <v>1132300</v>
      </c>
      <c r="G9">
        <v>201875000</v>
      </c>
    </row>
    <row r="11" spans="2:8" x14ac:dyDescent="0.15">
      <c r="B11" s="52" t="s">
        <v>195</v>
      </c>
      <c r="C11">
        <f>C3/C5</f>
        <v>1.5651627527005485</v>
      </c>
      <c r="H11" s="28" t="s">
        <v>204</v>
      </c>
    </row>
    <row r="12" spans="2:8" x14ac:dyDescent="0.15">
      <c r="B12" s="52" t="s">
        <v>196</v>
      </c>
      <c r="C12">
        <f>C3/C6</f>
        <v>3.3493528569277751</v>
      </c>
      <c r="E12">
        <f t="shared" ref="E12:G12" si="0">E3/E6</f>
        <v>4.3046505736859508</v>
      </c>
      <c r="F12">
        <f t="shared" si="0"/>
        <v>5.7287927124960429</v>
      </c>
      <c r="G12">
        <f t="shared" si="0"/>
        <v>3.0306074445357436E-3</v>
      </c>
      <c r="H12">
        <f>AVERAGE(E12:G12)</f>
        <v>3.34549129787551</v>
      </c>
    </row>
    <row r="13" spans="2:8" x14ac:dyDescent="0.15">
      <c r="B13" s="52" t="s">
        <v>197</v>
      </c>
      <c r="C13">
        <f>C3/C7</f>
        <v>0.90816009204172687</v>
      </c>
      <c r="E13">
        <f>E3/E7</f>
        <v>3.1913351490081303</v>
      </c>
      <c r="F13">
        <f t="shared" ref="F13:G13" si="1">F3/F7</f>
        <v>4.6594627679166178</v>
      </c>
      <c r="G13">
        <f t="shared" si="1"/>
        <v>2.4551010863487498E-2</v>
      </c>
      <c r="H13">
        <f t="shared" ref="H13:H15" si="2">AVERAGE(E13:G13)</f>
        <v>2.625116309262745</v>
      </c>
    </row>
    <row r="14" spans="2:8" x14ac:dyDescent="0.15">
      <c r="B14" s="52" t="s">
        <v>198</v>
      </c>
      <c r="C14">
        <f>C3/C8</f>
        <v>3.7883703729221431E-2</v>
      </c>
      <c r="E14">
        <f t="shared" ref="E14:G14" si="3">E3/E8</f>
        <v>0.11178695534125223</v>
      </c>
      <c r="F14">
        <f t="shared" si="3"/>
        <v>1.4594981433961693</v>
      </c>
      <c r="G14">
        <f t="shared" si="3"/>
        <v>2.4602433795376015E-4</v>
      </c>
      <c r="H14">
        <f t="shared" si="2"/>
        <v>0.52384370769179178</v>
      </c>
    </row>
    <row r="15" spans="2:8" x14ac:dyDescent="0.15">
      <c r="B15" s="52" t="s">
        <v>199</v>
      </c>
      <c r="C15">
        <f>C3/C9</f>
        <v>0.67071187041719904</v>
      </c>
      <c r="E15">
        <f t="shared" ref="E15:G15" si="4">E3/E9</f>
        <v>1.0808867990115731</v>
      </c>
      <c r="F15">
        <f t="shared" si="4"/>
        <v>14.065215703204981</v>
      </c>
      <c r="G15">
        <f t="shared" si="4"/>
        <v>4.5674913436532507E-4</v>
      </c>
      <c r="H15">
        <f t="shared" si="2"/>
        <v>5.0488530837836398</v>
      </c>
    </row>
    <row r="17" spans="2:14" x14ac:dyDescent="0.15">
      <c r="B17" s="52" t="s">
        <v>186</v>
      </c>
    </row>
    <row r="18" spans="2:14" x14ac:dyDescent="0.15">
      <c r="C18" s="52" t="s">
        <v>205</v>
      </c>
      <c r="D18" s="52" t="s">
        <v>206</v>
      </c>
    </row>
    <row r="19" spans="2:14" x14ac:dyDescent="0.15">
      <c r="B19" s="52" t="s">
        <v>196</v>
      </c>
      <c r="C19">
        <f>H12*C6</f>
        <v>23825127.773089252</v>
      </c>
      <c r="D19">
        <f>C19/'projected IS '!$D$10</f>
        <v>2.958173301848678</v>
      </c>
    </row>
    <row r="20" spans="2:14" x14ac:dyDescent="0.15">
      <c r="B20" s="52" t="s">
        <v>197</v>
      </c>
      <c r="C20">
        <f>H13*C7</f>
        <v>68948111.262593344</v>
      </c>
      <c r="D20">
        <f>C20/'projected IS '!$D$10</f>
        <v>8.5607289871608323</v>
      </c>
      <c r="L20" s="10" t="s">
        <v>209</v>
      </c>
      <c r="M20" s="10" t="s">
        <v>210</v>
      </c>
      <c r="N20" s="10" t="s">
        <v>211</v>
      </c>
    </row>
    <row r="21" spans="2:14" x14ac:dyDescent="0.15">
      <c r="B21" s="52" t="s">
        <v>198</v>
      </c>
      <c r="C21">
        <f>H14*C8</f>
        <v>329826493.11814392</v>
      </c>
      <c r="D21">
        <f>C21/'projected IS '!$D$10</f>
        <v>40.951886406523954</v>
      </c>
      <c r="L21" s="75" t="s">
        <v>195</v>
      </c>
      <c r="M21" s="10">
        <f>C5</f>
        <v>15239711.058063719</v>
      </c>
      <c r="N21" s="10">
        <f>C11</f>
        <v>1.5651627527005485</v>
      </c>
    </row>
    <row r="22" spans="2:14" x14ac:dyDescent="0.15">
      <c r="B22" s="52" t="s">
        <v>199</v>
      </c>
      <c r="C22">
        <f>H15*C9</f>
        <v>179553128.99801287</v>
      </c>
      <c r="D22">
        <f>C22/'projected IS '!$D$10</f>
        <v>22.293658926994397</v>
      </c>
      <c r="L22" s="75" t="s">
        <v>196</v>
      </c>
      <c r="M22" s="10">
        <f>M21</f>
        <v>15239711.058063719</v>
      </c>
      <c r="N22" s="10">
        <f t="shared" ref="N22:N25" si="5">C12</f>
        <v>3.3493528569277751</v>
      </c>
    </row>
    <row r="23" spans="2:14" x14ac:dyDescent="0.15">
      <c r="L23" s="75" t="s">
        <v>197</v>
      </c>
      <c r="M23" s="10">
        <f>C7</f>
        <v>26264783.399999976</v>
      </c>
      <c r="N23" s="10">
        <f t="shared" si="5"/>
        <v>0.90816009204172687</v>
      </c>
    </row>
    <row r="24" spans="2:14" x14ac:dyDescent="0.15">
      <c r="C24" s="28" t="s">
        <v>105</v>
      </c>
      <c r="D24">
        <f>AVERAGE(D19:D22)</f>
        <v>18.691111905631963</v>
      </c>
      <c r="L24" s="75" t="s">
        <v>198</v>
      </c>
      <c r="M24" s="10">
        <f t="shared" ref="M24:M25" si="6">C8</f>
        <v>629627670</v>
      </c>
      <c r="N24" s="10">
        <f t="shared" si="5"/>
        <v>3.7883703729221431E-2</v>
      </c>
    </row>
    <row r="25" spans="2:14" x14ac:dyDescent="0.15">
      <c r="L25" s="75" t="s">
        <v>199</v>
      </c>
      <c r="M25" s="10">
        <f t="shared" si="6"/>
        <v>35563151.871999949</v>
      </c>
      <c r="N25" s="10">
        <f t="shared" si="5"/>
        <v>0.67071187041719904</v>
      </c>
    </row>
    <row r="26" spans="2:14" x14ac:dyDescent="0.15">
      <c r="L26" s="52"/>
    </row>
    <row r="27" spans="2:14" x14ac:dyDescent="0.15">
      <c r="L27" s="52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E7AC-4B9D-40FC-A2C1-E33FCA3F4A09}">
  <dimension ref="A1:AB2738"/>
  <sheetViews>
    <sheetView topLeftCell="C2220" zoomScale="98" zoomScaleNormal="98" workbookViewId="0">
      <selection activeCell="V2753" sqref="V2753"/>
    </sheetView>
  </sheetViews>
  <sheetFormatPr baseColWidth="10" defaultColWidth="8.83203125" defaultRowHeight="13" x14ac:dyDescent="0.15"/>
  <cols>
    <col min="1" max="1" width="10.6640625" style="59" customWidth="1"/>
    <col min="8" max="8" width="8.83203125" style="50"/>
    <col min="9" max="12" width="8.83203125" style="50" bestFit="1" customWidth="1"/>
    <col min="13" max="15" width="8.83203125" style="50"/>
    <col min="16" max="16" width="8.83203125" style="50" bestFit="1" customWidth="1"/>
    <col min="17" max="17" width="9.1640625" bestFit="1" customWidth="1"/>
    <col min="18" max="18" width="10.5" bestFit="1" customWidth="1"/>
    <col min="20" max="22" width="8.83203125" bestFit="1" customWidth="1"/>
  </cols>
  <sheetData>
    <row r="1" spans="1:28" x14ac:dyDescent="0.15">
      <c r="A1" s="59">
        <v>40911.75</v>
      </c>
      <c r="B1">
        <v>8.9929229999999993</v>
      </c>
      <c r="C1">
        <v>62.152698999999998</v>
      </c>
      <c r="D1">
        <v>36.457104000000001</v>
      </c>
      <c r="E1">
        <v>8.9514999999999993</v>
      </c>
      <c r="F1">
        <v>1202.079956</v>
      </c>
      <c r="H1" s="50">
        <f>(B1-B2)/B2</f>
        <v>1.0383909849569042E-2</v>
      </c>
      <c r="I1" s="50">
        <f>(C1-C2)/C2</f>
        <v>6.3038678066544389E-3</v>
      </c>
      <c r="J1" s="50">
        <f>(D1-D2)/D2</f>
        <v>2.2400023153058526E-2</v>
      </c>
      <c r="K1" s="50">
        <f>(E1-E2)/E2</f>
        <v>8.5628978649088753E-3</v>
      </c>
      <c r="L1" s="50">
        <f>(F1-F2)/F2</f>
        <v>1.1809188520137921E-2</v>
      </c>
      <c r="P1" s="50">
        <f t="shared" ref="P1:P64" si="0">(F1-F2)/F2</f>
        <v>1.1809188520137921E-2</v>
      </c>
      <c r="Q1">
        <v>100</v>
      </c>
      <c r="R1">
        <v>100</v>
      </c>
    </row>
    <row r="2" spans="1:28" x14ac:dyDescent="0.15">
      <c r="A2" s="59">
        <v>40912.75</v>
      </c>
      <c r="B2">
        <v>8.9005010000000002</v>
      </c>
      <c r="C2">
        <v>61.763351</v>
      </c>
      <c r="D2">
        <v>35.658355999999998</v>
      </c>
      <c r="E2">
        <v>8.8755000000000006</v>
      </c>
      <c r="F2">
        <v>1188.0500489999999</v>
      </c>
      <c r="H2" s="50">
        <f t="shared" ref="H2:H65" si="1">(B2-B3)/B3</f>
        <v>4.8808492910344227E-3</v>
      </c>
      <c r="I2" s="50">
        <f t="shared" ref="I2:I65" si="2">(C2-C3)/C3</f>
        <v>9.7293490162473559E-3</v>
      </c>
      <c r="J2" s="50">
        <f t="shared" ref="J2:J65" si="3">(D2-D3)/D3</f>
        <v>3.0715316167422534E-2</v>
      </c>
      <c r="K2" s="50">
        <f t="shared" ref="K2:K65" si="4">(E2-E3)/E3</f>
        <v>-5.6303136084668714E-4</v>
      </c>
      <c r="L2" s="50">
        <f t="shared" ref="L2:L65" si="5">(F2-F3)/F3</f>
        <v>3.6410521199000045E-3</v>
      </c>
      <c r="P2" s="50">
        <f t="shared" si="0"/>
        <v>3.6410521199000045E-3</v>
      </c>
      <c r="Q2" s="51">
        <f>Q1*(1+P2)</f>
        <v>100.36410521198999</v>
      </c>
      <c r="R2" s="51">
        <f>R1*(1+H2)</f>
        <v>100.48808492910344</v>
      </c>
      <c r="Y2" t="s">
        <v>182</v>
      </c>
      <c r="Z2">
        <f ca="1">AVERAGE(Z5:Z1005)</f>
        <v>7.7923903138258108</v>
      </c>
      <c r="AA2" t="s">
        <v>183</v>
      </c>
      <c r="AB2">
        <f>MEDIAN(Z6:Z1005)</f>
        <v>7.6627031200754461</v>
      </c>
    </row>
    <row r="3" spans="1:28" x14ac:dyDescent="0.15">
      <c r="A3" s="59">
        <v>40913.75</v>
      </c>
      <c r="B3">
        <v>8.8572699999999998</v>
      </c>
      <c r="C3">
        <v>61.168224000000002</v>
      </c>
      <c r="D3">
        <v>34.595737</v>
      </c>
      <c r="E3">
        <v>8.8804999999999996</v>
      </c>
      <c r="F3">
        <v>1183.73999</v>
      </c>
      <c r="H3" s="50">
        <f t="shared" si="1"/>
        <v>7.1182911189246042E-3</v>
      </c>
      <c r="I3" s="50">
        <f t="shared" si="2"/>
        <v>2.6254179586374535E-2</v>
      </c>
      <c r="J3" s="50">
        <f t="shared" si="3"/>
        <v>-8.9888624694904537E-3</v>
      </c>
      <c r="K3" s="50">
        <f t="shared" si="4"/>
        <v>-2.7380756804118066E-2</v>
      </c>
      <c r="L3" s="50">
        <f t="shared" si="5"/>
        <v>-3.4936104753771455E-3</v>
      </c>
      <c r="P3" s="50">
        <f t="shared" si="0"/>
        <v>-3.4936104753771455E-3</v>
      </c>
      <c r="Q3" s="51">
        <f t="shared" ref="Q3:Q66" si="6">Q2*(1+P3)</f>
        <v>100.01347212266954</v>
      </c>
      <c r="R3" s="51">
        <f t="shared" ref="R3:R66" si="7">R2*(1+H3)</f>
        <v>101.20338837161202</v>
      </c>
      <c r="T3" t="s">
        <v>182</v>
      </c>
      <c r="U3" s="17">
        <f>AVERAGE(H3:H2737)</f>
        <v>-5.2308266968138155E-4</v>
      </c>
      <c r="Y3" t="s">
        <v>184</v>
      </c>
      <c r="Z3">
        <f ca="1">_xlfn.STDEV.S(Z5:Z1005)</f>
        <v>1.63639505449982</v>
      </c>
      <c r="AA3" s="35">
        <v>0.75</v>
      </c>
      <c r="AB3">
        <f ca="1">PERCENTILE(Z5:Z1005,AA3)</f>
        <v>8.7779988287070676</v>
      </c>
    </row>
    <row r="4" spans="1:28" x14ac:dyDescent="0.15">
      <c r="A4" s="59">
        <v>40914.75</v>
      </c>
      <c r="B4">
        <v>8.7946670000000005</v>
      </c>
      <c r="C4">
        <v>59.603386</v>
      </c>
      <c r="D4">
        <v>34.909534000000001</v>
      </c>
      <c r="E4">
        <v>9.1304999999999996</v>
      </c>
      <c r="F4">
        <v>1187.8900149999999</v>
      </c>
      <c r="H4" s="50">
        <f t="shared" si="1"/>
        <v>-3.0416599265044252E-3</v>
      </c>
      <c r="I4" s="50">
        <f t="shared" si="2"/>
        <v>2.6831795728587959E-2</v>
      </c>
      <c r="J4" s="50">
        <f t="shared" si="3"/>
        <v>7.8234239766789161E-3</v>
      </c>
      <c r="K4" s="50">
        <f t="shared" si="4"/>
        <v>2.2681451612903088E-2</v>
      </c>
      <c r="L4" s="50">
        <f t="shared" si="5"/>
        <v>1.4332224049772636E-3</v>
      </c>
      <c r="P4" s="50">
        <f t="shared" si="0"/>
        <v>1.4332224049772636E-3</v>
      </c>
      <c r="Q4" s="51">
        <f t="shared" si="6"/>
        <v>100.15681367171533</v>
      </c>
      <c r="R4" s="51">
        <f t="shared" si="7"/>
        <v>100.89556208077563</v>
      </c>
      <c r="T4" t="s">
        <v>185</v>
      </c>
      <c r="U4" s="50">
        <f>_xlfn.STDEV.S(H3:H2737)</f>
        <v>1.2878059824296875E-2</v>
      </c>
    </row>
    <row r="5" spans="1:28" x14ac:dyDescent="0.15">
      <c r="A5" s="59">
        <v>40915.75</v>
      </c>
      <c r="B5">
        <v>8.8214989999999993</v>
      </c>
      <c r="C5">
        <v>58.045909999999999</v>
      </c>
      <c r="D5">
        <v>34.638542000000001</v>
      </c>
      <c r="E5">
        <v>8.9280000000000008</v>
      </c>
      <c r="F5">
        <v>1186.1899410000001</v>
      </c>
      <c r="H5" s="50">
        <f t="shared" si="1"/>
        <v>2.3711936110035873E-3</v>
      </c>
      <c r="I5" s="50">
        <f t="shared" si="2"/>
        <v>-1.7687736842961269E-3</v>
      </c>
      <c r="J5" s="50">
        <f t="shared" si="3"/>
        <v>-4.5090682436320223E-3</v>
      </c>
      <c r="K5" s="50">
        <f t="shared" si="4"/>
        <v>-4.349280695884878E-3</v>
      </c>
      <c r="L5" s="50">
        <f t="shared" si="5"/>
        <v>-3.4110976685569503E-3</v>
      </c>
      <c r="P5" s="50">
        <f t="shared" si="0"/>
        <v>-3.4110976685569503E-3</v>
      </c>
      <c r="Q5" s="51">
        <f t="shared" si="6"/>
        <v>99.815168998109641</v>
      </c>
      <c r="R5" s="51">
        <f t="shared" si="7"/>
        <v>101.13480499296018</v>
      </c>
      <c r="V5">
        <f>B3</f>
        <v>8.8572699999999998</v>
      </c>
      <c r="Z5">
        <f ca="1">V260</f>
        <v>7.6747319384034256</v>
      </c>
    </row>
    <row r="6" spans="1:28" x14ac:dyDescent="0.15">
      <c r="A6" s="59">
        <v>40918.75</v>
      </c>
      <c r="B6">
        <v>8.8006309999999992</v>
      </c>
      <c r="C6">
        <v>58.148761999999998</v>
      </c>
      <c r="D6">
        <v>34.795437</v>
      </c>
      <c r="E6">
        <v>8.9670000000000005</v>
      </c>
      <c r="F6">
        <v>1190.25</v>
      </c>
      <c r="H6" s="50">
        <f t="shared" si="1"/>
        <v>-6.0605629382267994E-3</v>
      </c>
      <c r="I6" s="50">
        <f t="shared" si="2"/>
        <v>-1.0501752317036487E-2</v>
      </c>
      <c r="J6" s="50">
        <f t="shared" si="3"/>
        <v>-4.8947865692712611E-3</v>
      </c>
      <c r="K6" s="50">
        <f t="shared" si="4"/>
        <v>2.4594745667971202E-3</v>
      </c>
      <c r="L6" s="50">
        <f t="shared" si="5"/>
        <v>6.1370003646438005E-3</v>
      </c>
      <c r="P6" s="50">
        <f t="shared" si="0"/>
        <v>6.1370003646438005E-3</v>
      </c>
      <c r="Q6" s="51">
        <f t="shared" si="6"/>
        <v>100.42773472664801</v>
      </c>
      <c r="R6" s="51">
        <f t="shared" si="7"/>
        <v>100.52187114205506</v>
      </c>
      <c r="T6">
        <v>1</v>
      </c>
      <c r="U6">
        <f ca="1">_xlfn.NORM.INV(RAND(), $U$3,$U$4)</f>
        <v>-3.3376689120065417E-2</v>
      </c>
      <c r="V6">
        <f ca="1">V5*(1+U6)</f>
        <v>8.5616436527575175</v>
      </c>
      <c r="Y6">
        <v>1</v>
      </c>
      <c r="Z6">
        <v>12.390946625177184</v>
      </c>
    </row>
    <row r="7" spans="1:28" x14ac:dyDescent="0.15">
      <c r="A7" s="59">
        <v>40919.75</v>
      </c>
      <c r="B7">
        <v>8.8542930000000002</v>
      </c>
      <c r="C7">
        <v>58.765906999999999</v>
      </c>
      <c r="D7">
        <v>34.966591000000001</v>
      </c>
      <c r="E7">
        <v>8.9450000000000003</v>
      </c>
      <c r="F7">
        <v>1182.98999</v>
      </c>
      <c r="H7" s="50">
        <f t="shared" si="1"/>
        <v>-1.6804227034307147E-3</v>
      </c>
      <c r="I7" s="50">
        <f t="shared" si="2"/>
        <v>5.0098336670868727E-4</v>
      </c>
      <c r="J7" s="50">
        <f t="shared" si="3"/>
        <v>-1.5659604032501374E-2</v>
      </c>
      <c r="K7" s="50">
        <f t="shared" si="4"/>
        <v>1.6881714318194772E-2</v>
      </c>
      <c r="L7" s="50">
        <f t="shared" si="5"/>
        <v>-3.965615217912913E-3</v>
      </c>
      <c r="P7" s="50">
        <f t="shared" si="0"/>
        <v>-3.965615217912913E-3</v>
      </c>
      <c r="Q7" s="51">
        <f t="shared" si="6"/>
        <v>100.02947697351549</v>
      </c>
      <c r="R7" s="51">
        <f t="shared" si="7"/>
        <v>100.35295190759662</v>
      </c>
      <c r="T7">
        <v>2</v>
      </c>
      <c r="U7">
        <f t="shared" ref="U7:U70" ca="1" si="8">_xlfn.NORM.INV(RAND(), $U$3,$U$4)</f>
        <v>-4.7392533861378566E-3</v>
      </c>
      <c r="V7">
        <f t="shared" ref="V7:V70" ca="1" si="9">V6*(1+U7)</f>
        <v>8.5210678540852811</v>
      </c>
      <c r="Y7">
        <v>2</v>
      </c>
      <c r="Z7">
        <v>9.5469262823763952</v>
      </c>
    </row>
    <row r="8" spans="1:28" x14ac:dyDescent="0.15">
      <c r="A8" s="59">
        <v>40920.75</v>
      </c>
      <c r="B8">
        <v>8.8691969999999998</v>
      </c>
      <c r="C8">
        <v>58.736480999999998</v>
      </c>
      <c r="D8">
        <v>35.522865000000003</v>
      </c>
      <c r="E8">
        <v>8.7965</v>
      </c>
      <c r="F8">
        <v>1187.6999510000001</v>
      </c>
      <c r="H8" s="50">
        <f t="shared" si="1"/>
        <v>-6.7198780957331635E-4</v>
      </c>
      <c r="I8" s="50">
        <f t="shared" si="2"/>
        <v>-8.1874857473288962E-3</v>
      </c>
      <c r="J8" s="50">
        <f t="shared" si="3"/>
        <v>-2.0067551374540097E-4</v>
      </c>
      <c r="K8" s="50">
        <f t="shared" si="4"/>
        <v>-1.395583454769638E-2</v>
      </c>
      <c r="L8" s="50">
        <f t="shared" si="5"/>
        <v>8.7052532392521195E-3</v>
      </c>
      <c r="P8" s="50">
        <f t="shared" si="0"/>
        <v>8.7052532392521195E-3</v>
      </c>
      <c r="Q8" s="51">
        <f t="shared" si="6"/>
        <v>100.90025890195989</v>
      </c>
      <c r="R8" s="51">
        <f t="shared" si="7"/>
        <v>100.28551594726001</v>
      </c>
      <c r="T8">
        <v>3</v>
      </c>
      <c r="U8">
        <f t="shared" ca="1" si="8"/>
        <v>-1.7070312297891507E-2</v>
      </c>
      <c r="V8">
        <f t="shared" ca="1" si="9"/>
        <v>8.3756105647045214</v>
      </c>
      <c r="Y8">
        <v>3</v>
      </c>
      <c r="Z8">
        <v>7.4602757649768678</v>
      </c>
    </row>
    <row r="9" spans="1:28" x14ac:dyDescent="0.15">
      <c r="A9" s="59">
        <v>40921.75</v>
      </c>
      <c r="B9">
        <v>8.8751610000000003</v>
      </c>
      <c r="C9">
        <v>59.221355000000003</v>
      </c>
      <c r="D9">
        <v>35.529995</v>
      </c>
      <c r="E9">
        <v>8.9209999999999994</v>
      </c>
      <c r="F9">
        <v>1177.4499510000001</v>
      </c>
      <c r="H9" s="50">
        <f t="shared" si="1"/>
        <v>-5.1796971564124286E-3</v>
      </c>
      <c r="I9" s="50">
        <f t="shared" si="2"/>
        <v>-9.9486515815850277E-3</v>
      </c>
      <c r="J9" s="50">
        <f t="shared" si="3"/>
        <v>-1.2026612372714825E-3</v>
      </c>
      <c r="K9" s="50">
        <f t="shared" si="4"/>
        <v>-1.7835516899702829E-2</v>
      </c>
      <c r="L9" s="50">
        <f t="shared" si="5"/>
        <v>-5.9687205624434072E-3</v>
      </c>
      <c r="P9" s="50">
        <f t="shared" si="0"/>
        <v>-5.9687205624434072E-3</v>
      </c>
      <c r="Q9" s="51">
        <f t="shared" si="6"/>
        <v>100.2980134518959</v>
      </c>
      <c r="R9" s="51">
        <f t="shared" si="7"/>
        <v>99.766067345478632</v>
      </c>
      <c r="T9">
        <v>4</v>
      </c>
      <c r="U9">
        <f t="shared" ca="1" si="8"/>
        <v>2.5266736337991357E-3</v>
      </c>
      <c r="V9">
        <f t="shared" ca="1" si="9"/>
        <v>8.3967729990853304</v>
      </c>
      <c r="Y9">
        <v>4</v>
      </c>
      <c r="Z9">
        <v>5.4938129502042958</v>
      </c>
    </row>
    <row r="10" spans="1:28" x14ac:dyDescent="0.15">
      <c r="A10" s="59">
        <v>40922.75</v>
      </c>
      <c r="B10">
        <v>8.9213710000000006</v>
      </c>
      <c r="C10">
        <v>59.816448000000001</v>
      </c>
      <c r="D10">
        <v>35.572777000000002</v>
      </c>
      <c r="E10">
        <v>9.0830000000000002</v>
      </c>
      <c r="F10">
        <v>1184.5200199999999</v>
      </c>
      <c r="H10" s="50">
        <f t="shared" si="1"/>
        <v>-2.6657821716341732E-3</v>
      </c>
      <c r="I10" s="50">
        <f t="shared" si="2"/>
        <v>-4.1585260005059044E-3</v>
      </c>
      <c r="J10" s="50">
        <f t="shared" si="3"/>
        <v>2.0047435099391369E-4</v>
      </c>
      <c r="K10" s="50">
        <f t="shared" si="4"/>
        <v>-4.1068412162162095E-2</v>
      </c>
      <c r="L10" s="50">
        <f t="shared" si="5"/>
        <v>-9.582066749980328E-3</v>
      </c>
      <c r="P10" s="50">
        <f t="shared" si="0"/>
        <v>-9.582066749980328E-3</v>
      </c>
      <c r="Q10" s="51">
        <f t="shared" si="6"/>
        <v>99.33695119210941</v>
      </c>
      <c r="R10" s="51">
        <f t="shared" si="7"/>
        <v>99.500112741815002</v>
      </c>
      <c r="T10">
        <v>5</v>
      </c>
      <c r="U10">
        <f t="shared" ca="1" si="8"/>
        <v>5.0045514829103526E-3</v>
      </c>
      <c r="V10">
        <f t="shared" ca="1" si="9"/>
        <v>8.4387950818495661</v>
      </c>
      <c r="Y10">
        <v>5</v>
      </c>
      <c r="Z10">
        <v>8.7671153700849747</v>
      </c>
    </row>
    <row r="11" spans="1:28" x14ac:dyDescent="0.15">
      <c r="A11" s="59">
        <v>40926.75</v>
      </c>
      <c r="B11">
        <v>8.9452169999999995</v>
      </c>
      <c r="C11">
        <v>60.066234999999999</v>
      </c>
      <c r="D11">
        <v>35.565646999999998</v>
      </c>
      <c r="E11">
        <v>9.4719999999999995</v>
      </c>
      <c r="F11">
        <v>1195.9799800000001</v>
      </c>
      <c r="H11" s="50">
        <f t="shared" si="1"/>
        <v>-9.8997659900353467E-3</v>
      </c>
      <c r="I11" s="50">
        <f t="shared" si="2"/>
        <v>6.7724820084497537E-3</v>
      </c>
      <c r="J11" s="50">
        <f t="shared" si="3"/>
        <v>-2.0236048156182098E-2</v>
      </c>
      <c r="K11" s="50">
        <f t="shared" si="4"/>
        <v>-2.5764978143481679E-2</v>
      </c>
      <c r="L11" s="50">
        <f t="shared" si="5"/>
        <v>9.5810294793268261E-3</v>
      </c>
      <c r="P11" s="50">
        <f t="shared" si="0"/>
        <v>9.5810294793268261E-3</v>
      </c>
      <c r="Q11" s="51">
        <f t="shared" si="6"/>
        <v>100.28870144986746</v>
      </c>
      <c r="R11" s="51">
        <f t="shared" si="7"/>
        <v>98.515084909688895</v>
      </c>
      <c r="T11">
        <v>6</v>
      </c>
      <c r="U11">
        <f t="shared" ca="1" si="8"/>
        <v>1.5775899388011348E-2</v>
      </c>
      <c r="V11">
        <f t="shared" ca="1" si="9"/>
        <v>8.5719246640168691</v>
      </c>
      <c r="Y11">
        <v>6</v>
      </c>
      <c r="Z11">
        <v>6.3355324861875753</v>
      </c>
    </row>
    <row r="12" spans="1:28" x14ac:dyDescent="0.15">
      <c r="A12" s="59">
        <v>40927.75</v>
      </c>
      <c r="B12">
        <v>9.0346580000000003</v>
      </c>
      <c r="C12">
        <v>59.662174</v>
      </c>
      <c r="D12">
        <v>36.300220000000003</v>
      </c>
      <c r="E12">
        <v>9.7225000000000001</v>
      </c>
      <c r="F12">
        <v>1184.630005</v>
      </c>
      <c r="H12" s="50">
        <f t="shared" si="1"/>
        <v>-6.5562075158873958E-3</v>
      </c>
      <c r="I12" s="50">
        <f t="shared" si="2"/>
        <v>-2.4564159060102299E-3</v>
      </c>
      <c r="J12" s="50">
        <f t="shared" si="3"/>
        <v>1.4551004789294532E-2</v>
      </c>
      <c r="K12" s="50">
        <f t="shared" si="4"/>
        <v>1.8436076048813716E-2</v>
      </c>
      <c r="L12" s="50">
        <f t="shared" si="5"/>
        <v>7.8440465312549709E-3</v>
      </c>
      <c r="P12" s="50">
        <f t="shared" si="0"/>
        <v>7.8440465312549709E-3</v>
      </c>
      <c r="Q12" s="51">
        <f t="shared" si="6"/>
        <v>101.07537069059937</v>
      </c>
      <c r="R12" s="51">
        <f t="shared" si="7"/>
        <v>97.869199569575713</v>
      </c>
      <c r="T12">
        <v>7</v>
      </c>
      <c r="U12">
        <f t="shared" ca="1" si="8"/>
        <v>-1.9754830306442997E-2</v>
      </c>
      <c r="V12">
        <f t="shared" ca="1" si="9"/>
        <v>8.4025877468796022</v>
      </c>
      <c r="Y12">
        <v>7</v>
      </c>
      <c r="Z12">
        <v>8.1274876665031428</v>
      </c>
    </row>
    <row r="13" spans="1:28" x14ac:dyDescent="0.15">
      <c r="A13" s="59">
        <v>40928.75</v>
      </c>
      <c r="B13">
        <v>9.0942819999999998</v>
      </c>
      <c r="C13">
        <v>59.809089999999998</v>
      </c>
      <c r="D13">
        <v>35.779591000000003</v>
      </c>
      <c r="E13">
        <v>9.5465</v>
      </c>
      <c r="F13">
        <v>1175.410034</v>
      </c>
      <c r="H13" s="50">
        <f t="shared" si="1"/>
        <v>1.6419634217072834E-3</v>
      </c>
      <c r="I13" s="50">
        <f t="shared" si="2"/>
        <v>-2.8179283559881156E-3</v>
      </c>
      <c r="J13" s="50">
        <f t="shared" si="3"/>
        <v>3.9837448224673913E-4</v>
      </c>
      <c r="K13" s="50">
        <f t="shared" si="4"/>
        <v>2.6008920414852931E-2</v>
      </c>
      <c r="L13" s="50">
        <f t="shared" si="5"/>
        <v>6.4562314575090859E-3</v>
      </c>
      <c r="P13" s="50">
        <f t="shared" si="0"/>
        <v>6.4562314575090859E-3</v>
      </c>
      <c r="Q13" s="51">
        <f t="shared" si="6"/>
        <v>101.72793667843142</v>
      </c>
      <c r="R13" s="51">
        <f t="shared" si="7"/>
        <v>98.029897215380728</v>
      </c>
      <c r="T13">
        <v>8</v>
      </c>
      <c r="U13">
        <f t="shared" ca="1" si="8"/>
        <v>7.6596637170967931E-3</v>
      </c>
      <c r="V13">
        <f t="shared" ca="1" si="9"/>
        <v>8.4669487433740969</v>
      </c>
      <c r="Y13">
        <v>8</v>
      </c>
      <c r="Z13">
        <v>10.360589768492604</v>
      </c>
    </row>
    <row r="14" spans="1:28" x14ac:dyDescent="0.15">
      <c r="A14" s="59">
        <v>40929.75</v>
      </c>
      <c r="B14">
        <v>9.0793739999999996</v>
      </c>
      <c r="C14">
        <v>59.978104000000002</v>
      </c>
      <c r="D14">
        <v>35.765343000000001</v>
      </c>
      <c r="E14">
        <v>9.3045000000000009</v>
      </c>
      <c r="F14">
        <v>1167.869995</v>
      </c>
      <c r="H14" s="50">
        <f t="shared" si="1"/>
        <v>-7.8189909763222015E-3</v>
      </c>
      <c r="I14" s="50">
        <f t="shared" si="2"/>
        <v>-1.1012548949750002E-3</v>
      </c>
      <c r="J14" s="50">
        <f t="shared" si="3"/>
        <v>-1.1822293837825426E-2</v>
      </c>
      <c r="K14" s="50">
        <f t="shared" si="4"/>
        <v>-4.866310160427675E-3</v>
      </c>
      <c r="L14" s="50">
        <f t="shared" si="5"/>
        <v>3.5402749731471683E-3</v>
      </c>
      <c r="P14" s="50">
        <f t="shared" si="0"/>
        <v>3.5402749731471683E-3</v>
      </c>
      <c r="Q14" s="51">
        <f t="shared" si="6"/>
        <v>102.08808154672397</v>
      </c>
      <c r="R14" s="51">
        <f t="shared" si="7"/>
        <v>97.263402333643867</v>
      </c>
      <c r="T14">
        <v>9</v>
      </c>
      <c r="U14">
        <f t="shared" ca="1" si="8"/>
        <v>6.5230102979242227E-3</v>
      </c>
      <c r="V14">
        <f t="shared" ca="1" si="9"/>
        <v>8.5221787372191216</v>
      </c>
      <c r="Y14">
        <v>9</v>
      </c>
      <c r="Z14">
        <v>8.6817594110685548</v>
      </c>
    </row>
    <row r="15" spans="1:28" x14ac:dyDescent="0.15">
      <c r="A15" s="59">
        <v>40932.75</v>
      </c>
      <c r="B15">
        <v>9.1509250000000009</v>
      </c>
      <c r="C15">
        <v>60.044227999999997</v>
      </c>
      <c r="D15">
        <v>36.19323</v>
      </c>
      <c r="E15">
        <v>9.35</v>
      </c>
      <c r="F15">
        <v>1163.75</v>
      </c>
      <c r="H15" s="50">
        <f t="shared" si="1"/>
        <v>-1.3015599620684647E-3</v>
      </c>
      <c r="I15" s="50">
        <f t="shared" si="2"/>
        <v>-1.196762911257823E-2</v>
      </c>
      <c r="J15" s="50">
        <f t="shared" si="3"/>
        <v>-7.6260654146651135E-3</v>
      </c>
      <c r="K15" s="50">
        <f t="shared" si="4"/>
        <v>-4.2598509052184158E-3</v>
      </c>
      <c r="L15" s="50">
        <f t="shared" si="5"/>
        <v>-3.98835499901227E-3</v>
      </c>
      <c r="P15" s="50">
        <f t="shared" si="0"/>
        <v>-3.98835499901227E-3</v>
      </c>
      <c r="Q15" s="51">
        <f t="shared" si="6"/>
        <v>101.68091803634752</v>
      </c>
      <c r="R15" s="51">
        <f t="shared" si="7"/>
        <v>97.136808183391835</v>
      </c>
      <c r="T15">
        <v>10</v>
      </c>
      <c r="U15">
        <f t="shared" ca="1" si="8"/>
        <v>-1.6645619557872107E-2</v>
      </c>
      <c r="V15">
        <f t="shared" ca="1" si="9"/>
        <v>8.3803217921551845</v>
      </c>
      <c r="Y15">
        <v>10</v>
      </c>
      <c r="Z15">
        <v>5.8702458748548434</v>
      </c>
    </row>
    <row r="16" spans="1:28" x14ac:dyDescent="0.15">
      <c r="A16" s="59">
        <v>40933.75</v>
      </c>
      <c r="B16">
        <v>9.1628509999999999</v>
      </c>
      <c r="C16">
        <v>60.771518999999998</v>
      </c>
      <c r="D16">
        <v>36.471362999999997</v>
      </c>
      <c r="E16">
        <v>9.39</v>
      </c>
      <c r="F16">
        <v>1168.410034</v>
      </c>
      <c r="H16" s="50">
        <f t="shared" si="1"/>
        <v>8.2005237050359874E-3</v>
      </c>
      <c r="I16" s="50">
        <f t="shared" si="2"/>
        <v>8.0432107813772011E-3</v>
      </c>
      <c r="J16" s="50">
        <f t="shared" si="3"/>
        <v>1.267276365256481E-2</v>
      </c>
      <c r="K16" s="50">
        <f t="shared" si="4"/>
        <v>-2.8553693358162609E-2</v>
      </c>
      <c r="L16" s="50">
        <f t="shared" si="5"/>
        <v>-4.820762186514632E-3</v>
      </c>
      <c r="P16" s="50">
        <f t="shared" si="0"/>
        <v>-4.820762186514632E-3</v>
      </c>
      <c r="Q16" s="51">
        <f t="shared" si="6"/>
        <v>101.19073851158781</v>
      </c>
      <c r="R16" s="51">
        <f t="shared" si="7"/>
        <v>97.933380881531278</v>
      </c>
      <c r="T16">
        <v>11</v>
      </c>
      <c r="U16">
        <f t="shared" ca="1" si="8"/>
        <v>1.8934712665814354E-2</v>
      </c>
      <c r="V16">
        <f t="shared" ca="1" si="9"/>
        <v>8.5390007773367049</v>
      </c>
      <c r="Y16">
        <v>11</v>
      </c>
      <c r="Z16">
        <v>6.5623071241809647</v>
      </c>
    </row>
    <row r="17" spans="1:26" x14ac:dyDescent="0.15">
      <c r="A17" s="59">
        <v>40934.75</v>
      </c>
      <c r="B17">
        <v>9.0883219999999998</v>
      </c>
      <c r="C17">
        <v>60.286620999999997</v>
      </c>
      <c r="D17">
        <v>36.014954000000003</v>
      </c>
      <c r="E17">
        <v>9.6660000000000004</v>
      </c>
      <c r="F17">
        <v>1174.0699460000001</v>
      </c>
      <c r="H17" s="50">
        <f t="shared" si="1"/>
        <v>4.2829692439293101E-3</v>
      </c>
      <c r="I17" s="50">
        <f t="shared" si="2"/>
        <v>5.3906568540774422E-3</v>
      </c>
      <c r="J17" s="50">
        <f t="shared" si="3"/>
        <v>8.9910561226393612E-3</v>
      </c>
      <c r="K17" s="50">
        <f t="shared" si="4"/>
        <v>-1.049291088703477E-2</v>
      </c>
      <c r="L17" s="50">
        <f t="shared" si="5"/>
        <v>-4.087548252274364E-4</v>
      </c>
      <c r="P17" s="50">
        <f t="shared" si="0"/>
        <v>-4.087548252274364E-4</v>
      </c>
      <c r="Q17" s="51">
        <f t="shared" si="6"/>
        <v>101.14937630895288</v>
      </c>
      <c r="R17" s="51">
        <f t="shared" si="7"/>
        <v>98.352826539800887</v>
      </c>
      <c r="T17">
        <v>12</v>
      </c>
      <c r="U17">
        <f t="shared" ca="1" si="8"/>
        <v>3.1559457404440735E-3</v>
      </c>
      <c r="V17">
        <f t="shared" ca="1" si="9"/>
        <v>8.5659494004675878</v>
      </c>
      <c r="Y17">
        <v>12</v>
      </c>
      <c r="Z17">
        <v>5.9970913354830904</v>
      </c>
    </row>
    <row r="18" spans="1:26" x14ac:dyDescent="0.15">
      <c r="A18" s="59">
        <v>40935.75</v>
      </c>
      <c r="B18">
        <v>9.0495629999999991</v>
      </c>
      <c r="C18">
        <v>59.963379000000003</v>
      </c>
      <c r="D18">
        <v>35.694026999999998</v>
      </c>
      <c r="E18">
        <v>9.7684999999999995</v>
      </c>
      <c r="F18">
        <v>1174.5500489999999</v>
      </c>
      <c r="H18" s="50">
        <f t="shared" si="1"/>
        <v>-9.6246153765338713E-3</v>
      </c>
      <c r="I18" s="50">
        <f t="shared" si="2"/>
        <v>2.210421341386418E-3</v>
      </c>
      <c r="J18" s="50">
        <f t="shared" si="3"/>
        <v>-5.5633138002015633E-3</v>
      </c>
      <c r="K18" s="50">
        <f t="shared" si="4"/>
        <v>1.6757741347905239E-2</v>
      </c>
      <c r="L18" s="50">
        <f t="shared" si="5"/>
        <v>2.7233848183740822E-3</v>
      </c>
      <c r="P18" s="50">
        <f t="shared" si="0"/>
        <v>2.7233848183740822E-3</v>
      </c>
      <c r="Q18" s="51">
        <f t="shared" si="6"/>
        <v>101.42484498478069</v>
      </c>
      <c r="R18" s="51">
        <f t="shared" si="7"/>
        <v>97.406218413160346</v>
      </c>
      <c r="T18">
        <v>13</v>
      </c>
      <c r="U18">
        <f t="shared" ca="1" si="8"/>
        <v>-8.7900590093035469E-3</v>
      </c>
      <c r="V18">
        <f t="shared" ca="1" si="9"/>
        <v>8.4906541997667695</v>
      </c>
      <c r="Y18">
        <v>13</v>
      </c>
      <c r="Z18">
        <v>6.8849581944723388</v>
      </c>
    </row>
    <row r="19" spans="1:26" x14ac:dyDescent="0.15">
      <c r="A19" s="59">
        <v>40936.75</v>
      </c>
      <c r="B19">
        <v>9.1375080000000004</v>
      </c>
      <c r="C19">
        <v>59.831127000000002</v>
      </c>
      <c r="D19">
        <v>35.893715</v>
      </c>
      <c r="E19">
        <v>9.6074999999999999</v>
      </c>
      <c r="F19">
        <v>1171.3599850000001</v>
      </c>
      <c r="H19" s="50">
        <f t="shared" si="1"/>
        <v>-9.7808396565487554E-4</v>
      </c>
      <c r="I19" s="50">
        <f t="shared" si="2"/>
        <v>-1.0088796985710101E-2</v>
      </c>
      <c r="J19" s="50">
        <f t="shared" si="3"/>
        <v>-9.4467310116531193E-3</v>
      </c>
      <c r="K19" s="50">
        <f t="shared" si="4"/>
        <v>-1.1777412055132648E-2</v>
      </c>
      <c r="L19" s="50">
        <f t="shared" si="5"/>
        <v>-8.3893054358561304E-3</v>
      </c>
      <c r="P19" s="50">
        <f t="shared" si="0"/>
        <v>-8.3893054358561304E-3</v>
      </c>
      <c r="Q19" s="51">
        <f t="shared" si="6"/>
        <v>100.57396098141901</v>
      </c>
      <c r="R19" s="51">
        <f t="shared" si="7"/>
        <v>97.310946952775353</v>
      </c>
      <c r="T19">
        <v>14</v>
      </c>
      <c r="U19">
        <f t="shared" ca="1" si="8"/>
        <v>-1.587432146424383E-3</v>
      </c>
      <c r="V19">
        <f t="shared" ca="1" si="9"/>
        <v>8.4771758623458862</v>
      </c>
      <c r="Y19">
        <v>14</v>
      </c>
      <c r="Z19">
        <v>6.7346130953029499</v>
      </c>
    </row>
    <row r="20" spans="1:26" x14ac:dyDescent="0.15">
      <c r="A20" s="59">
        <v>40939.75</v>
      </c>
      <c r="B20">
        <v>9.1464540000000003</v>
      </c>
      <c r="C20">
        <v>60.440902999999999</v>
      </c>
      <c r="D20">
        <v>36.236027</v>
      </c>
      <c r="E20">
        <v>9.7219999999999995</v>
      </c>
      <c r="F20">
        <v>1181.2700199999999</v>
      </c>
      <c r="H20" s="50">
        <f t="shared" si="1"/>
        <v>-1.3187736299650596E-2</v>
      </c>
      <c r="I20" s="50">
        <f t="shared" si="2"/>
        <v>-1.1416221933284409E-2</v>
      </c>
      <c r="J20" s="50">
        <f t="shared" si="3"/>
        <v>-1.1862980216958651E-2</v>
      </c>
      <c r="K20" s="50">
        <f t="shared" si="4"/>
        <v>8.3472640142650031E-2</v>
      </c>
      <c r="L20" s="50">
        <f t="shared" si="5"/>
        <v>-6.8437408188201515E-3</v>
      </c>
      <c r="P20" s="50">
        <f t="shared" si="0"/>
        <v>-6.8437408188201515E-3</v>
      </c>
      <c r="Q20" s="51">
        <f t="shared" si="6"/>
        <v>99.885658859340055</v>
      </c>
      <c r="R20" s="51">
        <f t="shared" si="7"/>
        <v>96.027635845292863</v>
      </c>
      <c r="T20">
        <v>15</v>
      </c>
      <c r="U20">
        <f t="shared" ca="1" si="8"/>
        <v>1.4570581903374168E-3</v>
      </c>
      <c r="V20">
        <f t="shared" ca="1" si="9"/>
        <v>8.4895276008670493</v>
      </c>
      <c r="Y20">
        <v>15</v>
      </c>
      <c r="Z20">
        <v>5.403549969489629</v>
      </c>
    </row>
    <row r="21" spans="1:26" x14ac:dyDescent="0.15">
      <c r="A21" s="59">
        <v>40940.75</v>
      </c>
      <c r="B21">
        <v>9.2686869999999999</v>
      </c>
      <c r="C21">
        <v>61.138877999999998</v>
      </c>
      <c r="D21">
        <v>36.671055000000003</v>
      </c>
      <c r="E21">
        <v>8.9730000000000008</v>
      </c>
      <c r="F21">
        <v>1189.410034</v>
      </c>
      <c r="H21" s="50">
        <f t="shared" si="1"/>
        <v>3.8750517307167801E-3</v>
      </c>
      <c r="I21" s="50">
        <f t="shared" si="2"/>
        <v>-2.6780130840781416E-2</v>
      </c>
      <c r="J21" s="50">
        <f t="shared" si="3"/>
        <v>-1.115368753560419E-2</v>
      </c>
      <c r="K21" s="50">
        <f t="shared" si="4"/>
        <v>-1.2436715826546284E-2</v>
      </c>
      <c r="L21" s="50">
        <f t="shared" si="5"/>
        <v>-3.1679004910418478E-3</v>
      </c>
      <c r="P21" s="50">
        <f t="shared" si="0"/>
        <v>-3.1679004910418478E-3</v>
      </c>
      <c r="Q21" s="51">
        <f t="shared" si="6"/>
        <v>99.569231031591514</v>
      </c>
      <c r="R21" s="51">
        <f t="shared" si="7"/>
        <v>96.399747901771789</v>
      </c>
      <c r="T21">
        <v>16</v>
      </c>
      <c r="U21">
        <f t="shared" ca="1" si="8"/>
        <v>1.126465700755205E-2</v>
      </c>
      <c r="V21">
        <f t="shared" ca="1" si="9"/>
        <v>8.5851592174469626</v>
      </c>
      <c r="Y21">
        <v>16</v>
      </c>
      <c r="Z21">
        <v>7.4450680901444377</v>
      </c>
    </row>
    <row r="22" spans="1:26" x14ac:dyDescent="0.15">
      <c r="A22" s="59">
        <v>40941.75</v>
      </c>
      <c r="B22">
        <v>9.2329089999999994</v>
      </c>
      <c r="C22">
        <v>62.821238999999998</v>
      </c>
      <c r="D22">
        <v>37.084685999999998</v>
      </c>
      <c r="E22">
        <v>9.0860000000000003</v>
      </c>
      <c r="F22">
        <v>1193.1899410000001</v>
      </c>
      <c r="H22" s="50">
        <f t="shared" si="1"/>
        <v>-1.4509548388144699E-3</v>
      </c>
      <c r="I22" s="50">
        <f t="shared" si="2"/>
        <v>1.757793520327212E-3</v>
      </c>
      <c r="J22" s="50">
        <f t="shared" si="3"/>
        <v>-2.6853633257262442E-3</v>
      </c>
      <c r="K22" s="50">
        <f t="shared" si="4"/>
        <v>-3.1756180733162831E-2</v>
      </c>
      <c r="L22" s="50">
        <f t="shared" si="5"/>
        <v>2.7733033796406314E-3</v>
      </c>
      <c r="P22" s="50">
        <f t="shared" si="0"/>
        <v>2.7733033796406314E-3</v>
      </c>
      <c r="Q22" s="51">
        <f t="shared" si="6"/>
        <v>99.845366716519649</v>
      </c>
      <c r="R22" s="51">
        <f t="shared" si="7"/>
        <v>96.259876221093208</v>
      </c>
      <c r="T22">
        <v>17</v>
      </c>
      <c r="U22">
        <f t="shared" ca="1" si="8"/>
        <v>2.213545283009926E-2</v>
      </c>
      <c r="V22">
        <f t="shared" ca="1" si="9"/>
        <v>8.7751956043436508</v>
      </c>
      <c r="Y22">
        <v>17</v>
      </c>
      <c r="Z22">
        <v>7.5948494572942282</v>
      </c>
    </row>
    <row r="23" spans="1:26" x14ac:dyDescent="0.15">
      <c r="A23" s="59">
        <v>40942.75</v>
      </c>
      <c r="B23">
        <v>9.2463250000000006</v>
      </c>
      <c r="C23">
        <v>62.711005999999998</v>
      </c>
      <c r="D23">
        <v>37.184539999999998</v>
      </c>
      <c r="E23">
        <v>9.3840000000000003</v>
      </c>
      <c r="F23">
        <v>1189.8900149999999</v>
      </c>
      <c r="H23" s="50">
        <f t="shared" si="1"/>
        <v>2.4239028608841018E-3</v>
      </c>
      <c r="I23" s="50">
        <f t="shared" si="2"/>
        <v>3.762375882635588E-3</v>
      </c>
      <c r="J23" s="50">
        <f t="shared" si="3"/>
        <v>1.7295639926554994E-3</v>
      </c>
      <c r="K23" s="50">
        <f t="shared" si="4"/>
        <v>2.4789778311674164E-2</v>
      </c>
      <c r="L23" s="50">
        <f t="shared" si="5"/>
        <v>-1.092243226124829E-2</v>
      </c>
      <c r="P23" s="50">
        <f t="shared" si="0"/>
        <v>-1.092243226124829E-2</v>
      </c>
      <c r="Q23" s="51">
        <f t="shared" si="6"/>
        <v>98.754812461958963</v>
      </c>
      <c r="R23" s="51">
        <f t="shared" si="7"/>
        <v>96.493200810453871</v>
      </c>
      <c r="T23">
        <v>18</v>
      </c>
      <c r="U23">
        <f t="shared" ca="1" si="8"/>
        <v>-2.5019091639755769E-2</v>
      </c>
      <c r="V23">
        <f t="shared" ca="1" si="9"/>
        <v>8.5556481813617946</v>
      </c>
      <c r="Y23">
        <v>18</v>
      </c>
      <c r="Z23">
        <v>7.6942929941693192</v>
      </c>
    </row>
    <row r="24" spans="1:26" x14ac:dyDescent="0.15">
      <c r="A24" s="59">
        <v>40943.75</v>
      </c>
      <c r="B24">
        <v>9.223967</v>
      </c>
      <c r="C24">
        <v>62.475948000000002</v>
      </c>
      <c r="D24">
        <v>37.120337999999997</v>
      </c>
      <c r="E24">
        <v>9.157</v>
      </c>
      <c r="F24">
        <v>1203.030029</v>
      </c>
      <c r="H24" s="50">
        <f t="shared" si="1"/>
        <v>3.0798271268815741E-3</v>
      </c>
      <c r="I24" s="50">
        <f t="shared" si="2"/>
        <v>5.6762905033502058E-3</v>
      </c>
      <c r="J24" s="50">
        <f t="shared" si="3"/>
        <v>-6.8692346033360505E-3</v>
      </c>
      <c r="K24" s="50">
        <f t="shared" si="4"/>
        <v>-5.700635213638114E-3</v>
      </c>
      <c r="L24" s="50">
        <f t="shared" si="5"/>
        <v>1.0901524744653065E-3</v>
      </c>
      <c r="P24" s="50">
        <f t="shared" si="0"/>
        <v>1.0901524744653065E-3</v>
      </c>
      <c r="Q24" s="51">
        <f t="shared" si="6"/>
        <v>98.86247026512973</v>
      </c>
      <c r="R24" s="51">
        <f t="shared" si="7"/>
        <v>96.790383187869523</v>
      </c>
      <c r="T24">
        <v>19</v>
      </c>
      <c r="U24">
        <f t="shared" ca="1" si="8"/>
        <v>1.4620744144528941E-2</v>
      </c>
      <c r="V24">
        <f t="shared" ca="1" si="9"/>
        <v>8.6807381244120894</v>
      </c>
      <c r="Y24">
        <v>19</v>
      </c>
      <c r="Z24">
        <v>8.1241899280941663</v>
      </c>
    </row>
    <row r="25" spans="1:26" x14ac:dyDescent="0.15">
      <c r="A25" s="59">
        <v>40946.75</v>
      </c>
      <c r="B25">
        <v>9.195646</v>
      </c>
      <c r="C25">
        <v>62.123317999999998</v>
      </c>
      <c r="D25">
        <v>37.377090000000003</v>
      </c>
      <c r="E25">
        <v>9.2095000000000002</v>
      </c>
      <c r="F25">
        <v>1201.719971</v>
      </c>
      <c r="H25" s="50">
        <f t="shared" si="1"/>
        <v>1.1362833442330584E-3</v>
      </c>
      <c r="I25" s="50">
        <f t="shared" si="2"/>
        <v>4.7476530601956845E-4</v>
      </c>
      <c r="J25" s="50">
        <f t="shared" si="3"/>
        <v>-3.0441528188240121E-3</v>
      </c>
      <c r="K25" s="50">
        <f t="shared" si="4"/>
        <v>-6.9549277550138991E-3</v>
      </c>
      <c r="L25" s="50">
        <f t="shared" si="5"/>
        <v>-4.8247357261810915E-4</v>
      </c>
      <c r="P25" s="50">
        <f t="shared" si="0"/>
        <v>-4.8247357261810915E-4</v>
      </c>
      <c r="Q25" s="51">
        <f t="shared" si="6"/>
        <v>98.814771735903065</v>
      </c>
      <c r="R25" s="51">
        <f t="shared" si="7"/>
        <v>96.900364488167824</v>
      </c>
      <c r="T25">
        <v>20</v>
      </c>
      <c r="U25">
        <f t="shared" ca="1" si="8"/>
        <v>3.048810685011975E-3</v>
      </c>
      <c r="V25">
        <f t="shared" ca="1" si="9"/>
        <v>8.7072040515595877</v>
      </c>
      <c r="Y25">
        <v>20</v>
      </c>
      <c r="Z25">
        <v>5.7011853756549602</v>
      </c>
    </row>
    <row r="26" spans="1:26" x14ac:dyDescent="0.15">
      <c r="A26" s="59">
        <v>40947.75</v>
      </c>
      <c r="B26">
        <v>9.1852090000000004</v>
      </c>
      <c r="C26">
        <v>62.093837999999998</v>
      </c>
      <c r="D26">
        <v>37.491219000000001</v>
      </c>
      <c r="E26">
        <v>9.2739999999999991</v>
      </c>
      <c r="F26">
        <v>1202.3000489999999</v>
      </c>
      <c r="H26" s="50">
        <f t="shared" si="1"/>
        <v>-5.4877205701712216E-3</v>
      </c>
      <c r="I26" s="50">
        <f t="shared" si="2"/>
        <v>-2.9576399280683784E-3</v>
      </c>
      <c r="J26" s="50">
        <f t="shared" si="3"/>
        <v>-2.4665069529734565E-3</v>
      </c>
      <c r="K26" s="50">
        <f t="shared" si="4"/>
        <v>2.7029949183693999E-3</v>
      </c>
      <c r="L26" s="50">
        <f t="shared" si="5"/>
        <v>8.6494509907754421E-3</v>
      </c>
      <c r="P26" s="50">
        <f t="shared" si="0"/>
        <v>8.6494509907754421E-3</v>
      </c>
      <c r="Q26" s="51">
        <f t="shared" si="6"/>
        <v>99.669465261197431</v>
      </c>
      <c r="R26" s="51">
        <f t="shared" si="7"/>
        <v>96.36860236470902</v>
      </c>
      <c r="T26">
        <v>21</v>
      </c>
      <c r="U26">
        <f t="shared" ca="1" si="8"/>
        <v>1.7726108969985881E-2</v>
      </c>
      <c r="V26">
        <f t="shared" ca="1" si="9"/>
        <v>8.8615488994014342</v>
      </c>
      <c r="Y26">
        <v>21</v>
      </c>
      <c r="Z26">
        <v>11.739487077038609</v>
      </c>
    </row>
    <row r="27" spans="1:26" x14ac:dyDescent="0.15">
      <c r="A27" s="59">
        <v>40948.75</v>
      </c>
      <c r="B27">
        <v>9.2358930000000008</v>
      </c>
      <c r="C27">
        <v>62.278033999999998</v>
      </c>
      <c r="D27">
        <v>37.583919999999999</v>
      </c>
      <c r="E27">
        <v>9.2490000000000006</v>
      </c>
      <c r="F27">
        <v>1191.98999</v>
      </c>
      <c r="H27" s="50">
        <f t="shared" si="1"/>
        <v>9.697684336473424E-4</v>
      </c>
      <c r="I27" s="50">
        <f t="shared" si="2"/>
        <v>3.9199087132665497E-3</v>
      </c>
      <c r="J27" s="50">
        <f t="shared" si="3"/>
        <v>5.1496108634054485E-3</v>
      </c>
      <c r="K27" s="50">
        <f t="shared" si="4"/>
        <v>-3.0182170960438392E-3</v>
      </c>
      <c r="L27" s="50">
        <f t="shared" si="5"/>
        <v>-4.1937995155110954E-3</v>
      </c>
      <c r="P27" s="50">
        <f t="shared" si="0"/>
        <v>-4.1937995155110954E-3</v>
      </c>
      <c r="Q27" s="51">
        <f t="shared" si="6"/>
        <v>99.25147150607377</v>
      </c>
      <c r="R27" s="51">
        <f t="shared" si="7"/>
        <v>96.462057593277024</v>
      </c>
      <c r="T27">
        <v>22</v>
      </c>
      <c r="U27">
        <f t="shared" ca="1" si="8"/>
        <v>-5.2237840698360271E-3</v>
      </c>
      <c r="V27">
        <f t="shared" ca="1" si="9"/>
        <v>8.8152580814266681</v>
      </c>
      <c r="Y27">
        <v>22</v>
      </c>
      <c r="Z27">
        <v>4.7855058732619327</v>
      </c>
    </row>
    <row r="28" spans="1:26" x14ac:dyDescent="0.15">
      <c r="A28" s="59">
        <v>40949.75</v>
      </c>
      <c r="B28">
        <v>9.2269450000000006</v>
      </c>
      <c r="C28">
        <v>62.034863000000001</v>
      </c>
      <c r="D28">
        <v>37.391368999999997</v>
      </c>
      <c r="E28">
        <v>9.2769999999999992</v>
      </c>
      <c r="F28">
        <v>1197.01001</v>
      </c>
      <c r="H28" s="50">
        <f t="shared" si="1"/>
        <v>1.7800239942241287E-3</v>
      </c>
      <c r="I28" s="50">
        <f t="shared" si="2"/>
        <v>3.9343600420975108E-3</v>
      </c>
      <c r="J28" s="50">
        <f t="shared" si="3"/>
        <v>-4.3919909503372231E-3</v>
      </c>
      <c r="K28" s="50">
        <f t="shared" si="4"/>
        <v>-3.1577848530716657E-2</v>
      </c>
      <c r="L28" s="50">
        <f t="shared" si="5"/>
        <v>-6.877987773150733E-3</v>
      </c>
      <c r="P28" s="50">
        <f t="shared" si="0"/>
        <v>-6.877987773150733E-3</v>
      </c>
      <c r="Q28" s="51">
        <f t="shared" si="6"/>
        <v>98.568821098587776</v>
      </c>
      <c r="R28" s="51">
        <f t="shared" si="7"/>
        <v>96.633762370325286</v>
      </c>
      <c r="T28">
        <v>23</v>
      </c>
      <c r="U28">
        <f t="shared" ca="1" si="8"/>
        <v>-1.0261757721241285E-2</v>
      </c>
      <c r="V28">
        <f t="shared" ca="1" si="9"/>
        <v>8.7247980387448543</v>
      </c>
      <c r="Y28">
        <v>23</v>
      </c>
      <c r="Z28">
        <v>7.3470233380567125</v>
      </c>
    </row>
    <row r="29" spans="1:26" x14ac:dyDescent="0.15">
      <c r="A29" s="59">
        <v>40950.75</v>
      </c>
      <c r="B29">
        <v>9.2105499999999996</v>
      </c>
      <c r="C29">
        <v>61.791752000000002</v>
      </c>
      <c r="D29">
        <v>37.556316000000002</v>
      </c>
      <c r="E29">
        <v>9.5794999999999995</v>
      </c>
      <c r="F29">
        <v>1205.3000489999999</v>
      </c>
      <c r="H29" s="50">
        <f t="shared" si="1"/>
        <v>-6.9105624874186249E-3</v>
      </c>
      <c r="I29" s="50">
        <f t="shared" si="2"/>
        <v>-2.735178243000231E-3</v>
      </c>
      <c r="J29" s="50">
        <f t="shared" si="3"/>
        <v>1.7213640355663411E-3</v>
      </c>
      <c r="K29" s="50">
        <f t="shared" si="4"/>
        <v>1.5159435441714541E-3</v>
      </c>
      <c r="L29" s="50">
        <f t="shared" si="5"/>
        <v>-6.9640836847619555E-4</v>
      </c>
      <c r="P29" s="50">
        <f t="shared" si="0"/>
        <v>-6.9640836847619555E-4</v>
      </c>
      <c r="Q29" s="51">
        <f t="shared" si="6"/>
        <v>98.500176946703888</v>
      </c>
      <c r="R29" s="51">
        <f t="shared" si="7"/>
        <v>95.965968717070794</v>
      </c>
      <c r="T29">
        <v>24</v>
      </c>
      <c r="U29">
        <f t="shared" ca="1" si="8"/>
        <v>-1.2719691914398409E-2</v>
      </c>
      <c r="V29">
        <f t="shared" ca="1" si="9"/>
        <v>8.6138212956766722</v>
      </c>
      <c r="Y29">
        <v>24</v>
      </c>
      <c r="Z29">
        <v>7.8281494382654451</v>
      </c>
    </row>
    <row r="30" spans="1:26" x14ac:dyDescent="0.15">
      <c r="A30" s="59">
        <v>40953.75</v>
      </c>
      <c r="B30">
        <v>9.2746429999999993</v>
      </c>
      <c r="C30">
        <v>61.961227000000001</v>
      </c>
      <c r="D30">
        <v>37.491779000000001</v>
      </c>
      <c r="E30">
        <v>9.5649999999999995</v>
      </c>
      <c r="F30">
        <v>1206.1400149999999</v>
      </c>
      <c r="H30" s="50">
        <f t="shared" si="1"/>
        <v>7.4476875551468232E-3</v>
      </c>
      <c r="I30" s="50">
        <f t="shared" si="2"/>
        <v>1.0331989071607308E-2</v>
      </c>
      <c r="J30" s="50">
        <f t="shared" si="3"/>
        <v>8.8786798476103521E-3</v>
      </c>
      <c r="K30" s="50">
        <f t="shared" si="4"/>
        <v>3.7024990513362596E-2</v>
      </c>
      <c r="L30" s="50">
        <f t="shared" si="5"/>
        <v>-3.2889135097714573E-3</v>
      </c>
      <c r="P30" s="50">
        <f t="shared" si="0"/>
        <v>-3.2889135097714573E-3</v>
      </c>
      <c r="Q30" s="51">
        <f t="shared" si="6"/>
        <v>98.176218384028999</v>
      </c>
      <c r="R30" s="51">
        <f t="shared" si="7"/>
        <v>96.680693268002528</v>
      </c>
      <c r="T30">
        <v>25</v>
      </c>
      <c r="U30">
        <f t="shared" ca="1" si="8"/>
        <v>-5.5135659769960602E-3</v>
      </c>
      <c r="V30">
        <f t="shared" ca="1" si="9"/>
        <v>8.5663284236489048</v>
      </c>
      <c r="Y30">
        <v>25</v>
      </c>
      <c r="Z30">
        <v>9.6184343038694937</v>
      </c>
    </row>
    <row r="31" spans="1:26" x14ac:dyDescent="0.15">
      <c r="A31" s="59">
        <v>40954.75</v>
      </c>
      <c r="B31">
        <v>9.2060790000000008</v>
      </c>
      <c r="C31">
        <v>61.327590999999998</v>
      </c>
      <c r="D31">
        <v>37.161830999999999</v>
      </c>
      <c r="E31">
        <v>9.2234999999999996</v>
      </c>
      <c r="F31">
        <v>1210.119995</v>
      </c>
      <c r="H31" s="50">
        <f t="shared" si="1"/>
        <v>-4.5131737050131049E-3</v>
      </c>
      <c r="I31" s="50">
        <f t="shared" si="2"/>
        <v>-9.6374634968115179E-3</v>
      </c>
      <c r="J31" s="50">
        <f t="shared" si="3"/>
        <v>-2.3107610195066556E-3</v>
      </c>
      <c r="K31" s="50">
        <f t="shared" si="4"/>
        <v>2.5232034680153431E-2</v>
      </c>
      <c r="L31" s="50">
        <f t="shared" si="5"/>
        <v>-1.8174315165924779E-4</v>
      </c>
      <c r="P31" s="50">
        <f t="shared" si="0"/>
        <v>-1.8174315165924779E-4</v>
      </c>
      <c r="Q31" s="51">
        <f t="shared" si="6"/>
        <v>98.158375528681901</v>
      </c>
      <c r="R31" s="51">
        <f t="shared" si="7"/>
        <v>96.244356505362944</v>
      </c>
      <c r="T31">
        <v>26</v>
      </c>
      <c r="U31">
        <f t="shared" ca="1" si="8"/>
        <v>1.6031117162201514E-2</v>
      </c>
      <c r="V31">
        <f t="shared" ca="1" si="9"/>
        <v>8.7036562382583185</v>
      </c>
      <c r="Y31">
        <v>26</v>
      </c>
      <c r="Z31">
        <v>6.4930937509864863</v>
      </c>
    </row>
    <row r="32" spans="1:26" x14ac:dyDescent="0.15">
      <c r="A32" s="59">
        <v>40955.75</v>
      </c>
      <c r="B32">
        <v>9.2478160000000003</v>
      </c>
      <c r="C32">
        <v>61.924385000000001</v>
      </c>
      <c r="D32">
        <v>37.247902000000003</v>
      </c>
      <c r="E32">
        <v>8.9964999999999993</v>
      </c>
      <c r="F32">
        <v>1210.339966</v>
      </c>
      <c r="H32" s="50">
        <f t="shared" si="1"/>
        <v>-7.042323086166989E-3</v>
      </c>
      <c r="I32" s="50">
        <f t="shared" si="2"/>
        <v>-4.9721677064925021E-3</v>
      </c>
      <c r="J32" s="50">
        <f t="shared" si="3"/>
        <v>-1.3487824456307142E-2</v>
      </c>
      <c r="K32" s="50">
        <f t="shared" si="4"/>
        <v>-1.4082191780821996E-2</v>
      </c>
      <c r="L32" s="50">
        <f t="shared" si="5"/>
        <v>7.9866466791588629E-3</v>
      </c>
      <c r="P32" s="50">
        <f t="shared" si="0"/>
        <v>7.9866466791588629E-3</v>
      </c>
      <c r="Q32" s="51">
        <f t="shared" si="6"/>
        <v>98.942331792629687</v>
      </c>
      <c r="R32" s="51">
        <f t="shared" si="7"/>
        <v>95.56657265163193</v>
      </c>
      <c r="T32">
        <v>27</v>
      </c>
      <c r="U32">
        <f t="shared" ca="1" si="8"/>
        <v>-7.1222046557147727E-4</v>
      </c>
      <c r="V32">
        <f t="shared" ca="1" si="9"/>
        <v>8.697457316160131</v>
      </c>
      <c r="Y32">
        <v>27</v>
      </c>
      <c r="Z32">
        <v>10.088356770343182</v>
      </c>
    </row>
    <row r="33" spans="1:26" x14ac:dyDescent="0.15">
      <c r="A33" s="59">
        <v>40956.75</v>
      </c>
      <c r="B33">
        <v>9.3134040000000002</v>
      </c>
      <c r="C33">
        <v>62.233822000000004</v>
      </c>
      <c r="D33">
        <v>37.757164000000003</v>
      </c>
      <c r="E33">
        <v>9.125</v>
      </c>
      <c r="F33">
        <v>1200.75</v>
      </c>
      <c r="H33" s="50">
        <f t="shared" si="1"/>
        <v>4.0119997815541313E-2</v>
      </c>
      <c r="I33" s="50">
        <f t="shared" si="2"/>
        <v>2.4925624710390691E-3</v>
      </c>
      <c r="J33" s="50">
        <f t="shared" si="3"/>
        <v>1.9034410962836873E-3</v>
      </c>
      <c r="K33" s="50">
        <f t="shared" si="4"/>
        <v>1.3168001755734066E-3</v>
      </c>
      <c r="L33" s="50">
        <f t="shared" si="5"/>
        <v>-6.9904545125005146E-4</v>
      </c>
      <c r="P33" s="50">
        <f t="shared" si="0"/>
        <v>-6.9904545125005146E-4</v>
      </c>
      <c r="Q33" s="51">
        <f t="shared" si="6"/>
        <v>98.873166605653978</v>
      </c>
      <c r="R33" s="51">
        <f t="shared" si="7"/>
        <v>99.400703337654178</v>
      </c>
      <c r="T33">
        <v>28</v>
      </c>
      <c r="U33">
        <f t="shared" ca="1" si="8"/>
        <v>3.3414282325262661E-3</v>
      </c>
      <c r="V33">
        <f t="shared" ca="1" si="9"/>
        <v>8.7265192455875411</v>
      </c>
      <c r="Y33">
        <v>28</v>
      </c>
      <c r="Z33">
        <v>5.4299945678654762</v>
      </c>
    </row>
    <row r="34" spans="1:26" x14ac:dyDescent="0.15">
      <c r="A34" s="59">
        <v>40957.75</v>
      </c>
      <c r="B34">
        <v>8.9541629999999994</v>
      </c>
      <c r="C34">
        <v>62.079085999999997</v>
      </c>
      <c r="D34">
        <v>37.685431999999999</v>
      </c>
      <c r="E34">
        <v>9.1129999999999995</v>
      </c>
      <c r="F34">
        <v>1201.589966</v>
      </c>
      <c r="H34" s="50">
        <f t="shared" si="1"/>
        <v>2.5085165579608507E-2</v>
      </c>
      <c r="I34" s="50">
        <f t="shared" si="2"/>
        <v>-5.9330986539051444E-4</v>
      </c>
      <c r="J34" s="50">
        <f t="shared" si="3"/>
        <v>-8.1177857747429666E-3</v>
      </c>
      <c r="K34" s="50">
        <f t="shared" si="4"/>
        <v>9.3033558533613496E-3</v>
      </c>
      <c r="L34" s="50">
        <f t="shared" si="5"/>
        <v>1.4719236842610757E-2</v>
      </c>
      <c r="P34" s="50">
        <f t="shared" si="0"/>
        <v>1.4719236842610757E-2</v>
      </c>
      <c r="Q34" s="51">
        <f t="shared" si="6"/>
        <v>100.32850416230151</v>
      </c>
      <c r="R34" s="51">
        <f t="shared" si="7"/>
        <v>101.89418643960877</v>
      </c>
      <c r="T34">
        <v>29</v>
      </c>
      <c r="U34">
        <f t="shared" ca="1" si="8"/>
        <v>-2.4083756838700891E-2</v>
      </c>
      <c r="V34">
        <f t="shared" ca="1" si="9"/>
        <v>8.5163518780285674</v>
      </c>
      <c r="Y34">
        <v>29</v>
      </c>
      <c r="Z34">
        <v>8.5725642859803646</v>
      </c>
    </row>
    <row r="35" spans="1:26" x14ac:dyDescent="0.15">
      <c r="A35" s="59">
        <v>40961.75</v>
      </c>
      <c r="B35">
        <v>8.7350429999999992</v>
      </c>
      <c r="C35">
        <v>62.115940000000002</v>
      </c>
      <c r="D35">
        <v>37.993858000000003</v>
      </c>
      <c r="E35">
        <v>9.0289999999999999</v>
      </c>
      <c r="F35">
        <v>1184.160034</v>
      </c>
      <c r="H35" s="50">
        <f t="shared" si="1"/>
        <v>1.0249711812803889E-3</v>
      </c>
      <c r="I35" s="50">
        <f t="shared" si="2"/>
        <v>-5.426527863255046E-3</v>
      </c>
      <c r="J35" s="50">
        <f t="shared" si="3"/>
        <v>-2.8073568306392491E-2</v>
      </c>
      <c r="K35" s="50">
        <f t="shared" si="4"/>
        <v>9.447146291016853E-3</v>
      </c>
      <c r="L35" s="50">
        <f t="shared" si="5"/>
        <v>-5.5760956724649488E-3</v>
      </c>
      <c r="P35" s="50">
        <f t="shared" si="0"/>
        <v>-5.5760956724649488E-3</v>
      </c>
      <c r="Q35" s="51">
        <f t="shared" si="6"/>
        <v>99.769062824417219</v>
      </c>
      <c r="R35" s="51">
        <f t="shared" si="7"/>
        <v>101.99862504424939</v>
      </c>
      <c r="T35">
        <v>30</v>
      </c>
      <c r="U35">
        <f t="shared" ca="1" si="8"/>
        <v>-5.5762078833511705E-3</v>
      </c>
      <c r="V35">
        <f t="shared" ca="1" si="9"/>
        <v>8.4688629295489122</v>
      </c>
      <c r="Y35">
        <v>30</v>
      </c>
      <c r="Z35">
        <v>7.0915148840338338</v>
      </c>
    </row>
    <row r="36" spans="1:26" x14ac:dyDescent="0.15">
      <c r="A36" s="59">
        <v>40962.75</v>
      </c>
      <c r="B36">
        <v>8.7260989999999996</v>
      </c>
      <c r="C36">
        <v>62.454853</v>
      </c>
      <c r="D36">
        <v>39.091290000000001</v>
      </c>
      <c r="E36">
        <v>8.9444999999999997</v>
      </c>
      <c r="F36">
        <v>1190.8000489999999</v>
      </c>
      <c r="H36" s="50">
        <f t="shared" si="1"/>
        <v>-4.2524760751150598E-3</v>
      </c>
      <c r="I36" s="50">
        <f t="shared" si="2"/>
        <v>4.3842912801387223E-3</v>
      </c>
      <c r="J36" s="50">
        <f t="shared" si="3"/>
        <v>-1.3038594825417799E-2</v>
      </c>
      <c r="K36" s="50">
        <f t="shared" si="4"/>
        <v>-1.3398090772065488E-3</v>
      </c>
      <c r="L36" s="50">
        <f t="shared" si="5"/>
        <v>-7.8319466620275762E-3</v>
      </c>
      <c r="P36" s="50">
        <f t="shared" si="0"/>
        <v>-7.8319466620275762E-3</v>
      </c>
      <c r="Q36" s="51">
        <f t="shared" si="6"/>
        <v>98.987676845855901</v>
      </c>
      <c r="R36" s="51">
        <f t="shared" si="7"/>
        <v>101.5648783315541</v>
      </c>
      <c r="T36">
        <v>31</v>
      </c>
      <c r="U36">
        <f t="shared" ca="1" si="8"/>
        <v>-4.3016231820460849E-3</v>
      </c>
      <c r="V36">
        <f t="shared" ca="1" si="9"/>
        <v>8.432433072445594</v>
      </c>
      <c r="Y36">
        <v>31</v>
      </c>
      <c r="Z36">
        <v>7.4017167250781766</v>
      </c>
    </row>
    <row r="37" spans="1:26" x14ac:dyDescent="0.15">
      <c r="A37" s="59">
        <v>40963.75</v>
      </c>
      <c r="B37">
        <v>8.7633650000000003</v>
      </c>
      <c r="C37">
        <v>62.182228000000002</v>
      </c>
      <c r="D37">
        <v>39.607719000000003</v>
      </c>
      <c r="E37">
        <v>8.9565000000000001</v>
      </c>
      <c r="F37">
        <v>1200.1999510000001</v>
      </c>
      <c r="H37" s="50">
        <f t="shared" si="1"/>
        <v>5.6450566221257804E-3</v>
      </c>
      <c r="I37" s="50">
        <f t="shared" si="2"/>
        <v>-8.1089373201224564E-3</v>
      </c>
      <c r="J37" s="50">
        <f t="shared" si="3"/>
        <v>-1.6276347640220299E-3</v>
      </c>
      <c r="K37" s="50">
        <f t="shared" si="4"/>
        <v>3.3607797008905348E-3</v>
      </c>
      <c r="L37" s="50">
        <f t="shared" si="5"/>
        <v>-9.2210010534394659E-3</v>
      </c>
      <c r="P37" s="50">
        <f t="shared" si="0"/>
        <v>-9.2210010534394659E-3</v>
      </c>
      <c r="Q37" s="51">
        <f t="shared" si="6"/>
        <v>98.074911373382733</v>
      </c>
      <c r="R37" s="51">
        <f t="shared" si="7"/>
        <v>102.13821782055504</v>
      </c>
      <c r="T37">
        <v>32</v>
      </c>
      <c r="U37">
        <f t="shared" ca="1" si="8"/>
        <v>-2.2195472414997711E-2</v>
      </c>
      <c r="V37">
        <f t="shared" ca="1" si="9"/>
        <v>8.2452712367948138</v>
      </c>
      <c r="Y37">
        <v>32</v>
      </c>
      <c r="Z37">
        <v>5.7592731283563445</v>
      </c>
    </row>
    <row r="38" spans="1:26" x14ac:dyDescent="0.15">
      <c r="A38" s="59">
        <v>40964.75</v>
      </c>
      <c r="B38">
        <v>8.7141730000000006</v>
      </c>
      <c r="C38">
        <v>62.690581999999999</v>
      </c>
      <c r="D38">
        <v>39.672291000000001</v>
      </c>
      <c r="E38">
        <v>8.9265000000000008</v>
      </c>
      <c r="F38">
        <v>1211.369995</v>
      </c>
      <c r="H38" s="50">
        <f t="shared" si="1"/>
        <v>-7.9753148540054452E-3</v>
      </c>
      <c r="I38" s="50">
        <f t="shared" si="2"/>
        <v>-2.1112100041361854E-3</v>
      </c>
      <c r="J38" s="50">
        <f t="shared" si="3"/>
        <v>-1.2497495293641242E-2</v>
      </c>
      <c r="K38" s="50">
        <f t="shared" si="4"/>
        <v>-2.8672470076169614E-2</v>
      </c>
      <c r="L38" s="50">
        <f t="shared" si="5"/>
        <v>6.4556490154001533E-3</v>
      </c>
      <c r="P38" s="50">
        <f t="shared" si="0"/>
        <v>6.4556490154001533E-3</v>
      </c>
      <c r="Q38" s="51">
        <f t="shared" si="6"/>
        <v>98.708048578425775</v>
      </c>
      <c r="R38" s="51">
        <f t="shared" si="7"/>
        <v>101.32363337480912</v>
      </c>
      <c r="T38">
        <v>33</v>
      </c>
      <c r="U38">
        <f t="shared" ca="1" si="8"/>
        <v>1.8060903136855835E-2</v>
      </c>
      <c r="V38">
        <f t="shared" ca="1" si="9"/>
        <v>8.3941882819396696</v>
      </c>
      <c r="Y38">
        <v>33</v>
      </c>
      <c r="Z38">
        <v>7.6604234551219985</v>
      </c>
    </row>
    <row r="39" spans="1:26" x14ac:dyDescent="0.15">
      <c r="A39" s="59">
        <v>40967.75</v>
      </c>
      <c r="B39">
        <v>8.7842300000000009</v>
      </c>
      <c r="C39">
        <v>62.823214999999998</v>
      </c>
      <c r="D39">
        <v>40.174370000000003</v>
      </c>
      <c r="E39">
        <v>9.19</v>
      </c>
      <c r="F39">
        <v>1203.599976</v>
      </c>
      <c r="H39" s="50">
        <f t="shared" si="1"/>
        <v>-2.5396872980206976E-3</v>
      </c>
      <c r="I39" s="50">
        <f t="shared" si="2"/>
        <v>-9.179665142576383E-3</v>
      </c>
      <c r="J39" s="50">
        <f t="shared" si="3"/>
        <v>-1.199502347553839E-2</v>
      </c>
      <c r="K39" s="50">
        <f t="shared" si="4"/>
        <v>2.2872725249039889E-2</v>
      </c>
      <c r="L39" s="50">
        <f t="shared" si="5"/>
        <v>-5.6262405372624552E-3</v>
      </c>
      <c r="P39" s="50">
        <f t="shared" si="0"/>
        <v>-5.6262405372624552E-3</v>
      </c>
      <c r="Q39" s="51">
        <f t="shared" si="6"/>
        <v>98.152693354159766</v>
      </c>
      <c r="R39" s="51">
        <f t="shared" si="7"/>
        <v>101.06630303013782</v>
      </c>
      <c r="T39">
        <v>34</v>
      </c>
      <c r="U39">
        <f t="shared" ca="1" si="8"/>
        <v>-8.4565718634864624E-3</v>
      </c>
      <c r="V39">
        <f t="shared" ca="1" si="9"/>
        <v>8.3232022254978109</v>
      </c>
      <c r="Y39">
        <v>34</v>
      </c>
      <c r="Z39">
        <v>7.445487444080543</v>
      </c>
    </row>
    <row r="40" spans="1:26" x14ac:dyDescent="0.15">
      <c r="A40" s="59">
        <v>40968.75</v>
      </c>
      <c r="B40">
        <v>8.8065960000000008</v>
      </c>
      <c r="C40">
        <v>63.405253999999999</v>
      </c>
      <c r="D40">
        <v>40.662112999999998</v>
      </c>
      <c r="E40">
        <v>8.9845000000000006</v>
      </c>
      <c r="F40">
        <v>1210.410034</v>
      </c>
      <c r="H40" s="50">
        <f t="shared" si="1"/>
        <v>4.4205885670548679E-3</v>
      </c>
      <c r="I40" s="50">
        <f t="shared" si="2"/>
        <v>-1.1607786954346789E-3</v>
      </c>
      <c r="J40" s="50">
        <f t="shared" si="3"/>
        <v>-1.2332629909933015E-3</v>
      </c>
      <c r="K40" s="50">
        <f t="shared" si="4"/>
        <v>-1.9440124416796344E-3</v>
      </c>
      <c r="L40" s="50">
        <f t="shared" si="5"/>
        <v>2.7277371083068969E-4</v>
      </c>
      <c r="P40" s="50">
        <f t="shared" si="0"/>
        <v>2.7277371083068969E-4</v>
      </c>
      <c r="Q40" s="51">
        <f t="shared" si="6"/>
        <v>98.179466828554013</v>
      </c>
      <c r="R40" s="51">
        <f t="shared" si="7"/>
        <v>101.51307557382735</v>
      </c>
      <c r="T40">
        <v>35</v>
      </c>
      <c r="U40">
        <f t="shared" ca="1" si="8"/>
        <v>9.036817980828768E-3</v>
      </c>
      <c r="V40">
        <f t="shared" ca="1" si="9"/>
        <v>8.3984174890272634</v>
      </c>
      <c r="Y40">
        <v>35</v>
      </c>
      <c r="Z40">
        <v>8.6169986470822746</v>
      </c>
    </row>
    <row r="41" spans="1:26" x14ac:dyDescent="0.15">
      <c r="A41" s="59">
        <v>40969.75</v>
      </c>
      <c r="B41">
        <v>8.7678370000000001</v>
      </c>
      <c r="C41">
        <v>63.478938999999997</v>
      </c>
      <c r="D41">
        <v>40.712322</v>
      </c>
      <c r="E41">
        <v>9.0020000000000007</v>
      </c>
      <c r="F41">
        <v>1210.079956</v>
      </c>
      <c r="H41" s="50">
        <f t="shared" si="1"/>
        <v>-3.219474506818633E-3</v>
      </c>
      <c r="I41" s="50">
        <f t="shared" si="2"/>
        <v>-8.1145288173518025E-4</v>
      </c>
      <c r="J41" s="50">
        <f t="shared" si="3"/>
        <v>3.0041599509953408E-3</v>
      </c>
      <c r="K41" s="50">
        <f t="shared" si="4"/>
        <v>4.127161182375997E-3</v>
      </c>
      <c r="L41" s="50">
        <f t="shared" si="5"/>
        <v>-3.2220130143149873E-4</v>
      </c>
      <c r="P41" s="50">
        <f t="shared" si="0"/>
        <v>-3.2220130143149873E-4</v>
      </c>
      <c r="Q41" s="51">
        <f t="shared" si="6"/>
        <v>98.147833276568008</v>
      </c>
      <c r="R41" s="51">
        <f t="shared" si="7"/>
        <v>101.18625681490866</v>
      </c>
      <c r="T41">
        <v>36</v>
      </c>
      <c r="U41">
        <f t="shared" ca="1" si="8"/>
        <v>-4.7271551938459456E-3</v>
      </c>
      <c r="V41">
        <f t="shared" ca="1" si="9"/>
        <v>8.3587168661739213</v>
      </c>
      <c r="Y41">
        <v>36</v>
      </c>
      <c r="Z41">
        <v>5.126193228957943</v>
      </c>
    </row>
    <row r="42" spans="1:26" x14ac:dyDescent="0.15">
      <c r="A42" s="59">
        <v>40970.75</v>
      </c>
      <c r="B42">
        <v>8.7961559999999999</v>
      </c>
      <c r="C42">
        <v>63.530490999999998</v>
      </c>
      <c r="D42">
        <v>40.590381999999998</v>
      </c>
      <c r="E42">
        <v>8.9649999999999999</v>
      </c>
      <c r="F42">
        <v>1210.469971</v>
      </c>
      <c r="H42" s="50">
        <f t="shared" si="1"/>
        <v>-6.5659674917015196E-3</v>
      </c>
      <c r="I42" s="50">
        <f t="shared" si="2"/>
        <v>-1.5976740242837423E-2</v>
      </c>
      <c r="J42" s="50">
        <f t="shared" si="3"/>
        <v>-1.9402109537740124E-3</v>
      </c>
      <c r="K42" s="50">
        <f t="shared" si="4"/>
        <v>-5.3256407411516743E-3</v>
      </c>
      <c r="L42" s="50">
        <f t="shared" si="5"/>
        <v>-9.5326351321173095E-3</v>
      </c>
      <c r="P42" s="50">
        <f t="shared" si="0"/>
        <v>-9.5326351321173095E-3</v>
      </c>
      <c r="Q42" s="51">
        <f t="shared" si="6"/>
        <v>97.212225792934603</v>
      </c>
      <c r="R42" s="51">
        <f t="shared" si="7"/>
        <v>100.52187114205501</v>
      </c>
      <c r="T42">
        <v>37</v>
      </c>
      <c r="U42">
        <f t="shared" ca="1" si="8"/>
        <v>3.0751750571477658E-2</v>
      </c>
      <c r="V42">
        <f t="shared" ca="1" si="9"/>
        <v>8.6157620423401049</v>
      </c>
      <c r="Y42">
        <v>37</v>
      </c>
      <c r="Z42">
        <v>7.2281944153751274</v>
      </c>
    </row>
    <row r="43" spans="1:26" x14ac:dyDescent="0.15">
      <c r="A43" s="59">
        <v>40971.75</v>
      </c>
      <c r="B43">
        <v>8.8542930000000002</v>
      </c>
      <c r="C43">
        <v>64.561981000000003</v>
      </c>
      <c r="D43">
        <v>40.669288999999999</v>
      </c>
      <c r="E43">
        <v>9.0129999999999999</v>
      </c>
      <c r="F43">
        <v>1222.119995</v>
      </c>
      <c r="H43" s="50">
        <f t="shared" si="1"/>
        <v>7.3773671845223264E-3</v>
      </c>
      <c r="I43" s="50">
        <f t="shared" si="2"/>
        <v>5.7156051565105596E-4</v>
      </c>
      <c r="J43" s="50">
        <f t="shared" si="3"/>
        <v>3.7172988086058901E-3</v>
      </c>
      <c r="K43" s="50">
        <f t="shared" si="4"/>
        <v>-4.5833563421504202E-3</v>
      </c>
      <c r="L43" s="50">
        <f t="shared" si="5"/>
        <v>-2.6034749136095137E-3</v>
      </c>
      <c r="P43" s="50">
        <f t="shared" si="0"/>
        <v>-2.6034749136095137E-3</v>
      </c>
      <c r="Q43" s="51">
        <f t="shared" si="6"/>
        <v>96.959136201786563</v>
      </c>
      <c r="R43" s="51">
        <f t="shared" si="7"/>
        <v>101.26345789554519</v>
      </c>
      <c r="T43">
        <v>38</v>
      </c>
      <c r="U43">
        <f t="shared" ca="1" si="8"/>
        <v>5.2483872149798189E-3</v>
      </c>
      <c r="V43">
        <f t="shared" ca="1" si="9"/>
        <v>8.6609808976904308</v>
      </c>
      <c r="Y43">
        <v>38</v>
      </c>
      <c r="Z43">
        <v>6.0004228526407406</v>
      </c>
    </row>
    <row r="44" spans="1:26" x14ac:dyDescent="0.15">
      <c r="A44" s="59">
        <v>40974.75</v>
      </c>
      <c r="B44">
        <v>8.7894500000000004</v>
      </c>
      <c r="C44">
        <v>64.525101000000006</v>
      </c>
      <c r="D44">
        <v>40.518669000000003</v>
      </c>
      <c r="E44">
        <v>9.0545000000000009</v>
      </c>
      <c r="F44">
        <v>1225.3100589999999</v>
      </c>
      <c r="H44" s="50">
        <f t="shared" si="1"/>
        <v>-1.4951704957445253E-2</v>
      </c>
      <c r="I44" s="50">
        <f t="shared" si="2"/>
        <v>-3.5278225715535323E-3</v>
      </c>
      <c r="J44" s="50">
        <f t="shared" si="3"/>
        <v>-2.6478207188260611E-3</v>
      </c>
      <c r="K44" s="50">
        <f t="shared" si="4"/>
        <v>-1.4583446699678791E-2</v>
      </c>
      <c r="L44" s="50">
        <f t="shared" si="5"/>
        <v>4.8219288844917902E-3</v>
      </c>
      <c r="P44" s="50">
        <f t="shared" si="0"/>
        <v>4.8219288844917902E-3</v>
      </c>
      <c r="Q44" s="51">
        <f t="shared" si="6"/>
        <v>97.426666261253331</v>
      </c>
      <c r="R44" s="51">
        <f t="shared" si="7"/>
        <v>99.749396550120323</v>
      </c>
      <c r="T44">
        <v>39</v>
      </c>
      <c r="U44">
        <f t="shared" ca="1" si="8"/>
        <v>-1.5186972631590129E-2</v>
      </c>
      <c r="V44">
        <f t="shared" ca="1" si="9"/>
        <v>8.5294468178344811</v>
      </c>
      <c r="Y44">
        <v>39</v>
      </c>
      <c r="Z44">
        <v>11.414366687753013</v>
      </c>
    </row>
    <row r="45" spans="1:26" x14ac:dyDescent="0.15">
      <c r="A45" s="59">
        <v>40975.75</v>
      </c>
      <c r="B45">
        <v>8.9228620000000003</v>
      </c>
      <c r="C45">
        <v>64.753540000000001</v>
      </c>
      <c r="D45">
        <v>40.626240000000003</v>
      </c>
      <c r="E45">
        <v>9.1884999999999994</v>
      </c>
      <c r="F45">
        <v>1219.4300539999999</v>
      </c>
      <c r="H45" s="50">
        <f t="shared" si="1"/>
        <v>-1.844565280643851E-2</v>
      </c>
      <c r="I45" s="50">
        <f t="shared" si="2"/>
        <v>-4.6431511825354068E-3</v>
      </c>
      <c r="J45" s="50">
        <f t="shared" si="3"/>
        <v>-1.0309302460245933E-2</v>
      </c>
      <c r="K45" s="50">
        <f t="shared" si="4"/>
        <v>-2.0624600298443853E-2</v>
      </c>
      <c r="L45" s="50">
        <f t="shared" si="5"/>
        <v>1.0289926261671982E-2</v>
      </c>
      <c r="P45" s="50">
        <f t="shared" si="0"/>
        <v>1.0289926261671982E-2</v>
      </c>
      <c r="Q45" s="51">
        <f t="shared" si="6"/>
        <v>98.429179473002151</v>
      </c>
      <c r="R45" s="51">
        <f t="shared" si="7"/>
        <v>97.909453813705042</v>
      </c>
      <c r="T45">
        <v>40</v>
      </c>
      <c r="U45">
        <f t="shared" ca="1" si="8"/>
        <v>1.236964886505415E-2</v>
      </c>
      <c r="V45">
        <f t="shared" ca="1" si="9"/>
        <v>8.634953079984248</v>
      </c>
      <c r="Y45">
        <v>40</v>
      </c>
      <c r="Z45">
        <v>8.1211626080771655</v>
      </c>
    </row>
    <row r="46" spans="1:26" x14ac:dyDescent="0.15">
      <c r="A46" s="59">
        <v>40976.75</v>
      </c>
      <c r="B46">
        <v>9.0905430000000003</v>
      </c>
      <c r="C46">
        <v>65.055603000000005</v>
      </c>
      <c r="D46">
        <v>41.049430999999998</v>
      </c>
      <c r="E46">
        <v>9.3819999999999997</v>
      </c>
      <c r="F46">
        <v>1207.01001</v>
      </c>
      <c r="H46" s="50">
        <f t="shared" si="1"/>
        <v>-5.1594013715504875E-3</v>
      </c>
      <c r="I46" s="50">
        <f t="shared" si="2"/>
        <v>-1.1640474736333421E-2</v>
      </c>
      <c r="J46" s="50">
        <f t="shared" si="3"/>
        <v>-7.9737301035861779E-3</v>
      </c>
      <c r="K46" s="50">
        <f t="shared" si="4"/>
        <v>1.8012152777777818E-2</v>
      </c>
      <c r="L46" s="50">
        <f t="shared" si="5"/>
        <v>-1.8523795741162161E-3</v>
      </c>
      <c r="P46" s="50">
        <f t="shared" si="0"/>
        <v>-1.8523795741162161E-3</v>
      </c>
      <c r="Q46" s="51">
        <f t="shared" si="6"/>
        <v>98.246851271449344</v>
      </c>
      <c r="R46" s="51">
        <f t="shared" si="7"/>
        <v>97.404299643410852</v>
      </c>
      <c r="T46">
        <v>41</v>
      </c>
      <c r="U46">
        <f t="shared" ca="1" si="8"/>
        <v>-2.8369536996222739E-3</v>
      </c>
      <c r="V46">
        <f t="shared" ca="1" si="9"/>
        <v>8.6104561178979218</v>
      </c>
      <c r="Y46">
        <v>41</v>
      </c>
      <c r="Z46">
        <v>6.2867537052240534</v>
      </c>
    </row>
    <row r="47" spans="1:26" x14ac:dyDescent="0.15">
      <c r="A47" s="59">
        <v>40977.75</v>
      </c>
      <c r="B47">
        <v>9.1376880000000007</v>
      </c>
      <c r="C47">
        <v>65.821799999999996</v>
      </c>
      <c r="D47">
        <v>41.379379</v>
      </c>
      <c r="E47">
        <v>9.2159999999999993</v>
      </c>
      <c r="F47">
        <v>1209.25</v>
      </c>
      <c r="H47" s="50">
        <f t="shared" si="1"/>
        <v>-9.8878072914532645E-3</v>
      </c>
      <c r="I47" s="50">
        <f t="shared" si="2"/>
        <v>-1.0064789378175869E-3</v>
      </c>
      <c r="J47" s="50">
        <f t="shared" si="3"/>
        <v>-5.0021633953317808E-3</v>
      </c>
      <c r="K47" s="50">
        <f t="shared" si="4"/>
        <v>5.0711598233273338E-3</v>
      </c>
      <c r="L47" s="50">
        <f t="shared" si="5"/>
        <v>7.641194200563718E-3</v>
      </c>
      <c r="P47" s="50">
        <f t="shared" si="0"/>
        <v>7.641194200563718E-3</v>
      </c>
      <c r="Q47" s="51">
        <f t="shared" si="6"/>
        <v>98.997574541608387</v>
      </c>
      <c r="R47" s="51">
        <f t="shared" si="7"/>
        <v>96.441184699177839</v>
      </c>
      <c r="T47">
        <v>42</v>
      </c>
      <c r="U47">
        <f t="shared" ca="1" si="8"/>
        <v>-1.0481093296752281E-2</v>
      </c>
      <c r="V47">
        <f t="shared" ca="1" si="9"/>
        <v>8.5202091239986419</v>
      </c>
      <c r="Y47">
        <v>42</v>
      </c>
      <c r="Z47">
        <v>8.6823157003795401</v>
      </c>
    </row>
    <row r="48" spans="1:26" x14ac:dyDescent="0.15">
      <c r="A48" s="59">
        <v>40978.75</v>
      </c>
      <c r="B48">
        <v>9.228942</v>
      </c>
      <c r="C48">
        <v>65.888114999999999</v>
      </c>
      <c r="D48">
        <v>41.587406000000001</v>
      </c>
      <c r="E48">
        <v>9.1694999999999993</v>
      </c>
      <c r="F48">
        <v>1200.079956</v>
      </c>
      <c r="H48" s="50">
        <f t="shared" si="1"/>
        <v>-5.2460692206066986E-3</v>
      </c>
      <c r="I48" s="50">
        <f t="shared" si="2"/>
        <v>-6.1127548992471288E-3</v>
      </c>
      <c r="J48" s="50">
        <f t="shared" si="3"/>
        <v>-8.5494638800312894E-3</v>
      </c>
      <c r="K48" s="50">
        <f t="shared" si="4"/>
        <v>-6.5008938729075785E-3</v>
      </c>
      <c r="L48" s="50">
        <f t="shared" si="5"/>
        <v>-5.5931657699090122E-3</v>
      </c>
      <c r="P48" s="50">
        <f t="shared" si="0"/>
        <v>-5.5931657699090122E-3</v>
      </c>
      <c r="Q48" s="51">
        <f t="shared" si="6"/>
        <v>98.443864696378256</v>
      </c>
      <c r="R48" s="51">
        <f t="shared" si="7"/>
        <v>95.935247568528638</v>
      </c>
      <c r="T48">
        <v>43</v>
      </c>
      <c r="U48">
        <f t="shared" ca="1" si="8"/>
        <v>3.7209545830755499E-3</v>
      </c>
      <c r="V48">
        <f t="shared" ca="1" si="9"/>
        <v>8.5519124351873472</v>
      </c>
      <c r="Y48">
        <v>43</v>
      </c>
      <c r="Z48">
        <v>7.1075572202935176</v>
      </c>
    </row>
    <row r="49" spans="1:26" x14ac:dyDescent="0.15">
      <c r="A49" s="59">
        <v>40981.75</v>
      </c>
      <c r="B49">
        <v>9.2776130000000006</v>
      </c>
      <c r="C49">
        <v>66.293350000000004</v>
      </c>
      <c r="D49">
        <v>41.946021999999999</v>
      </c>
      <c r="E49">
        <v>9.2294999999999998</v>
      </c>
      <c r="F49">
        <v>1206.829956</v>
      </c>
      <c r="H49" s="50">
        <f t="shared" si="1"/>
        <v>-1.3100413647982249E-3</v>
      </c>
      <c r="I49" s="50">
        <f t="shared" si="2"/>
        <v>-1.0121278429241898E-2</v>
      </c>
      <c r="J49" s="50">
        <f t="shared" si="3"/>
        <v>-2.0479347439709954E-3</v>
      </c>
      <c r="K49" s="50">
        <f t="shared" si="4"/>
        <v>1.2783935037858036E-2</v>
      </c>
      <c r="L49" s="50">
        <f t="shared" si="5"/>
        <v>7.5808440826550102E-3</v>
      </c>
      <c r="P49" s="50">
        <f t="shared" si="0"/>
        <v>7.5808440826550102E-3</v>
      </c>
      <c r="Q49" s="51">
        <f t="shared" si="6"/>
        <v>99.19015228553549</v>
      </c>
      <c r="R49" s="51">
        <f t="shared" si="7"/>
        <v>95.809568425871717</v>
      </c>
      <c r="T49">
        <v>44</v>
      </c>
      <c r="U49">
        <f t="shared" ca="1" si="8"/>
        <v>-1.8248694550252371E-2</v>
      </c>
      <c r="V49">
        <f t="shared" ca="1" si="9"/>
        <v>8.3958511973371088</v>
      </c>
      <c r="Y49">
        <v>44</v>
      </c>
      <c r="Z49">
        <v>6.706932574319393</v>
      </c>
    </row>
    <row r="50" spans="1:26" x14ac:dyDescent="0.15">
      <c r="A50" s="59">
        <v>40982.75</v>
      </c>
      <c r="B50">
        <v>9.2897829999999999</v>
      </c>
      <c r="C50">
        <v>66.971183999999994</v>
      </c>
      <c r="D50">
        <v>42.032100999999997</v>
      </c>
      <c r="E50">
        <v>9.1129999999999995</v>
      </c>
      <c r="F50">
        <v>1197.75</v>
      </c>
      <c r="H50" s="50">
        <f t="shared" si="1"/>
        <v>-2.4497999859760208E-3</v>
      </c>
      <c r="I50" s="50">
        <f t="shared" si="2"/>
        <v>-6.1219696957893945E-3</v>
      </c>
      <c r="J50" s="50">
        <f t="shared" si="3"/>
        <v>-2.5532458778652115E-3</v>
      </c>
      <c r="K50" s="50">
        <f t="shared" si="4"/>
        <v>-1.1765981673263693E-2</v>
      </c>
      <c r="L50" s="50">
        <f t="shared" si="5"/>
        <v>8.1477138888924692E-3</v>
      </c>
      <c r="P50" s="50">
        <f t="shared" si="0"/>
        <v>8.1477138888924692E-3</v>
      </c>
      <c r="Q50" s="51">
        <f t="shared" si="6"/>
        <v>99.998325266953714</v>
      </c>
      <c r="R50" s="51">
        <f t="shared" si="7"/>
        <v>95.574854146485649</v>
      </c>
      <c r="T50">
        <v>45</v>
      </c>
      <c r="U50">
        <f t="shared" ca="1" si="8"/>
        <v>-1.5669885307684681E-2</v>
      </c>
      <c r="V50">
        <f t="shared" ca="1" si="9"/>
        <v>8.2642891720144487</v>
      </c>
      <c r="Y50">
        <v>45</v>
      </c>
      <c r="Z50">
        <v>8.1839176040215769</v>
      </c>
    </row>
    <row r="51" spans="1:26" x14ac:dyDescent="0.15">
      <c r="A51" s="59">
        <v>40983.75</v>
      </c>
      <c r="B51">
        <v>9.3125970000000002</v>
      </c>
      <c r="C51">
        <v>67.383705000000006</v>
      </c>
      <c r="D51">
        <v>42.139693999999999</v>
      </c>
      <c r="E51">
        <v>9.2215000000000007</v>
      </c>
      <c r="F51">
        <v>1188.0699460000001</v>
      </c>
      <c r="H51" s="50">
        <f t="shared" si="1"/>
        <v>6.4103755641242953E-3</v>
      </c>
      <c r="I51" s="50">
        <f t="shared" si="2"/>
        <v>1.127790509437087E-2</v>
      </c>
      <c r="J51" s="50">
        <f t="shared" si="3"/>
        <v>5.8209385609128096E-3</v>
      </c>
      <c r="K51" s="50">
        <f t="shared" si="4"/>
        <v>-3.3504458254524517E-3</v>
      </c>
      <c r="L51" s="50">
        <f t="shared" si="5"/>
        <v>-1.7980146949887175E-3</v>
      </c>
      <c r="P51" s="50">
        <f t="shared" si="0"/>
        <v>-1.7980146949887175E-3</v>
      </c>
      <c r="Q51" s="51">
        <f t="shared" si="6"/>
        <v>99.818526808649466</v>
      </c>
      <c r="R51" s="51">
        <f t="shared" si="7"/>
        <v>96.187524856051027</v>
      </c>
      <c r="T51">
        <v>46</v>
      </c>
      <c r="U51">
        <f t="shared" ca="1" si="8"/>
        <v>9.7695914360781486E-3</v>
      </c>
      <c r="V51">
        <f t="shared" ca="1" si="9"/>
        <v>8.3450279007346353</v>
      </c>
      <c r="Y51">
        <v>46</v>
      </c>
      <c r="Z51">
        <v>7.7293820361510326</v>
      </c>
    </row>
    <row r="52" spans="1:26" x14ac:dyDescent="0.15">
      <c r="A52" s="59">
        <v>40984.75</v>
      </c>
      <c r="B52">
        <v>9.2532800000000002</v>
      </c>
      <c r="C52">
        <v>66.632232999999999</v>
      </c>
      <c r="D52">
        <v>41.895820999999998</v>
      </c>
      <c r="E52">
        <v>9.2524999999999995</v>
      </c>
      <c r="F52">
        <v>1190.209961</v>
      </c>
      <c r="H52" s="50">
        <f t="shared" si="1"/>
        <v>1.6464477969965288E-3</v>
      </c>
      <c r="I52" s="50">
        <f t="shared" si="2"/>
        <v>4.6653327365551922E-3</v>
      </c>
      <c r="J52" s="50">
        <f t="shared" si="3"/>
        <v>6.8528700199882138E-4</v>
      </c>
      <c r="K52" s="50">
        <f t="shared" si="4"/>
        <v>-2.5334195774040858E-3</v>
      </c>
      <c r="L52" s="50">
        <f t="shared" si="5"/>
        <v>4.7067371807155178E-4</v>
      </c>
      <c r="P52" s="50">
        <f t="shared" si="0"/>
        <v>4.7067371807155178E-4</v>
      </c>
      <c r="Q52" s="51">
        <f t="shared" si="6"/>
        <v>99.865508765794914</v>
      </c>
      <c r="R52" s="51">
        <f t="shared" si="7"/>
        <v>96.345892594448827</v>
      </c>
      <c r="T52">
        <v>47</v>
      </c>
      <c r="U52">
        <f t="shared" ca="1" si="8"/>
        <v>-8.1227242946525328E-3</v>
      </c>
      <c r="V52">
        <f t="shared" ca="1" si="9"/>
        <v>8.2772435398657844</v>
      </c>
      <c r="Y52">
        <v>47</v>
      </c>
      <c r="Z52">
        <v>5.7839268137782502</v>
      </c>
    </row>
    <row r="53" spans="1:26" x14ac:dyDescent="0.15">
      <c r="A53" s="59">
        <v>40985.75</v>
      </c>
      <c r="B53">
        <v>9.2380700000000004</v>
      </c>
      <c r="C53">
        <v>66.322815000000006</v>
      </c>
      <c r="D53">
        <v>41.867130000000003</v>
      </c>
      <c r="E53">
        <v>9.2759999999999998</v>
      </c>
      <c r="F53">
        <v>1189.650024</v>
      </c>
      <c r="H53" s="50">
        <f t="shared" si="1"/>
        <v>2.3096998496872547E-3</v>
      </c>
      <c r="I53" s="50">
        <f t="shared" si="2"/>
        <v>-2.6587219995950649E-3</v>
      </c>
      <c r="J53" s="50">
        <f t="shared" si="3"/>
        <v>6.2058097984920178E-3</v>
      </c>
      <c r="K53" s="50">
        <f t="shared" si="4"/>
        <v>-3.5407892684448654E-2</v>
      </c>
      <c r="L53" s="50">
        <f t="shared" si="5"/>
        <v>4.9586873035514078E-3</v>
      </c>
      <c r="P53" s="50">
        <f t="shared" si="0"/>
        <v>4.9586873035514078E-3</v>
      </c>
      <c r="Q53" s="51">
        <f t="shared" si="6"/>
        <v>100.36071059617457</v>
      </c>
      <c r="R53" s="51">
        <f t="shared" si="7"/>
        <v>96.568422688092213</v>
      </c>
      <c r="T53">
        <v>48</v>
      </c>
      <c r="U53">
        <f t="shared" ca="1" si="8"/>
        <v>1.2672402015864071E-2</v>
      </c>
      <c r="V53">
        <f t="shared" ca="1" si="9"/>
        <v>8.3821360975861783</v>
      </c>
      <c r="Y53">
        <v>48</v>
      </c>
      <c r="Z53">
        <v>4.7829063419158322</v>
      </c>
    </row>
    <row r="54" spans="1:26" x14ac:dyDescent="0.15">
      <c r="A54" s="59">
        <v>40988.75</v>
      </c>
      <c r="B54">
        <v>9.2167820000000003</v>
      </c>
      <c r="C54">
        <v>66.499618999999996</v>
      </c>
      <c r="D54">
        <v>41.608913000000001</v>
      </c>
      <c r="E54">
        <v>9.6165000000000003</v>
      </c>
      <c r="F54">
        <v>1183.780029</v>
      </c>
      <c r="H54" s="50">
        <f t="shared" si="1"/>
        <v>6.6075354131759571E-4</v>
      </c>
      <c r="I54" s="50">
        <f t="shared" si="2"/>
        <v>-4.1924188599730457E-3</v>
      </c>
      <c r="J54" s="50">
        <f t="shared" si="3"/>
        <v>7.6430059805331629E-3</v>
      </c>
      <c r="K54" s="50">
        <f t="shared" si="4"/>
        <v>3.1294007197622846E-3</v>
      </c>
      <c r="L54" s="50">
        <f t="shared" si="5"/>
        <v>1.0301242117715504E-2</v>
      </c>
      <c r="P54" s="50">
        <f t="shared" si="0"/>
        <v>1.0301242117715504E-2</v>
      </c>
      <c r="Q54" s="51">
        <f t="shared" si="6"/>
        <v>101.39455057513175</v>
      </c>
      <c r="R54" s="51">
        <f t="shared" si="7"/>
        <v>96.632230615362829</v>
      </c>
      <c r="T54">
        <v>49</v>
      </c>
      <c r="U54">
        <f t="shared" ca="1" si="8"/>
        <v>-8.6404701852673261E-4</v>
      </c>
      <c r="V54">
        <f t="shared" ca="1" si="9"/>
        <v>8.3748935378821745</v>
      </c>
      <c r="Y54">
        <v>49</v>
      </c>
      <c r="Z54">
        <v>6.4014005436035388</v>
      </c>
    </row>
    <row r="55" spans="1:26" x14ac:dyDescent="0.15">
      <c r="A55" s="59">
        <v>40989.75</v>
      </c>
      <c r="B55">
        <v>9.2106960000000004</v>
      </c>
      <c r="C55">
        <v>66.779587000000006</v>
      </c>
      <c r="D55">
        <v>41.293308000000003</v>
      </c>
      <c r="E55">
        <v>9.5864999999999991</v>
      </c>
      <c r="F55">
        <v>1171.709961</v>
      </c>
      <c r="H55" s="50">
        <f t="shared" si="1"/>
        <v>-1.4840013724491548E-3</v>
      </c>
      <c r="I55" s="50">
        <f t="shared" si="2"/>
        <v>1.5467829399984938E-3</v>
      </c>
      <c r="J55" s="50">
        <f t="shared" si="3"/>
        <v>-6.2147395740326248E-3</v>
      </c>
      <c r="K55" s="50">
        <f t="shared" si="4"/>
        <v>-3.4823284823284916E-3</v>
      </c>
      <c r="L55" s="50">
        <f t="shared" si="5"/>
        <v>-6.9940042448157378E-4</v>
      </c>
      <c r="P55" s="50">
        <f t="shared" si="0"/>
        <v>-6.9940042448157378E-4</v>
      </c>
      <c r="Q55" s="51">
        <f t="shared" si="6"/>
        <v>101.32363518341938</v>
      </c>
      <c r="R55" s="51">
        <f t="shared" si="7"/>
        <v>96.488828252506806</v>
      </c>
      <c r="T55">
        <v>50</v>
      </c>
      <c r="U55">
        <f t="shared" ca="1" si="8"/>
        <v>-5.3784687359771629E-3</v>
      </c>
      <c r="V55">
        <f t="shared" ca="1" si="9"/>
        <v>8.3298494348215382</v>
      </c>
      <c r="Y55">
        <v>50</v>
      </c>
      <c r="Z55">
        <v>9.5875878327623099</v>
      </c>
    </row>
    <row r="56" spans="1:26" x14ac:dyDescent="0.15">
      <c r="A56" s="59">
        <v>40990.75</v>
      </c>
      <c r="B56">
        <v>9.2243849999999998</v>
      </c>
      <c r="C56">
        <v>66.676452999999995</v>
      </c>
      <c r="D56">
        <v>41.551540000000003</v>
      </c>
      <c r="E56">
        <v>9.6199999999999992</v>
      </c>
      <c r="F56">
        <v>1172.530029</v>
      </c>
      <c r="H56" s="50">
        <f t="shared" si="1"/>
        <v>-1.6458518947590102E-3</v>
      </c>
      <c r="I56" s="50">
        <f t="shared" si="2"/>
        <v>2.5479575111164877E-3</v>
      </c>
      <c r="J56" s="50">
        <f t="shared" si="3"/>
        <v>-4.4676303446187279E-3</v>
      </c>
      <c r="K56" s="50">
        <f t="shared" si="4"/>
        <v>-1.3535684987694979E-2</v>
      </c>
      <c r="L56" s="50">
        <f t="shared" si="5"/>
        <v>9.4755506847042778E-4</v>
      </c>
      <c r="P56" s="50">
        <f t="shared" si="0"/>
        <v>9.4755506847042778E-4</v>
      </c>
      <c r="Q56" s="51">
        <f t="shared" si="6"/>
        <v>101.41964490749328</v>
      </c>
      <c r="R56" s="51">
        <f t="shared" si="7"/>
        <v>96.330021931704351</v>
      </c>
      <c r="T56">
        <v>51</v>
      </c>
      <c r="U56">
        <f t="shared" ca="1" si="8"/>
        <v>1.2559616299304222E-3</v>
      </c>
      <c r="V56">
        <f t="shared" ca="1" si="9"/>
        <v>8.3403114060947718</v>
      </c>
      <c r="Y56">
        <v>51</v>
      </c>
      <c r="Z56">
        <v>6.9943378184423981</v>
      </c>
    </row>
    <row r="57" spans="1:26" x14ac:dyDescent="0.15">
      <c r="A57" s="59">
        <v>40991.75</v>
      </c>
      <c r="B57">
        <v>9.239592</v>
      </c>
      <c r="C57">
        <v>66.506996000000001</v>
      </c>
      <c r="D57">
        <v>41.738010000000003</v>
      </c>
      <c r="E57">
        <v>9.7520000000000007</v>
      </c>
      <c r="F57">
        <v>1171.420044</v>
      </c>
      <c r="H57" s="50">
        <f t="shared" si="1"/>
        <v>-7.3526828606393447E-3</v>
      </c>
      <c r="I57" s="50">
        <f t="shared" si="2"/>
        <v>-1.3658429746854463E-2</v>
      </c>
      <c r="J57" s="50">
        <f t="shared" si="3"/>
        <v>-1.1383230810576029E-2</v>
      </c>
      <c r="K57" s="50">
        <f t="shared" si="4"/>
        <v>-3.859614531473346E-2</v>
      </c>
      <c r="L57" s="50">
        <f t="shared" si="5"/>
        <v>-2.435522132174532E-3</v>
      </c>
      <c r="P57" s="50">
        <f t="shared" si="0"/>
        <v>-2.435522132174532E-3</v>
      </c>
      <c r="Q57" s="51">
        <f t="shared" si="6"/>
        <v>101.1726351176838</v>
      </c>
      <c r="R57" s="51">
        <f t="shared" si="7"/>
        <v>95.62173783048209</v>
      </c>
      <c r="T57">
        <v>52</v>
      </c>
      <c r="U57">
        <f t="shared" ca="1" si="8"/>
        <v>-2.0224405616360693E-2</v>
      </c>
      <c r="V57">
        <f t="shared" ca="1" si="9"/>
        <v>8.1716335652511507</v>
      </c>
      <c r="Y57">
        <v>52</v>
      </c>
      <c r="Z57">
        <v>8.8386386639602854</v>
      </c>
    </row>
    <row r="58" spans="1:26" x14ac:dyDescent="0.15">
      <c r="A58" s="59">
        <v>40995.75</v>
      </c>
      <c r="B58">
        <v>9.3080309999999997</v>
      </c>
      <c r="C58">
        <v>67.427955999999995</v>
      </c>
      <c r="D58">
        <v>42.218594000000003</v>
      </c>
      <c r="E58">
        <v>10.1435</v>
      </c>
      <c r="F58">
        <v>1174.280029</v>
      </c>
      <c r="H58" s="50">
        <f t="shared" si="1"/>
        <v>1.8002855142829782E-3</v>
      </c>
      <c r="I58" s="50">
        <f t="shared" si="2"/>
        <v>2.6295772587498476E-3</v>
      </c>
      <c r="J58" s="50">
        <f t="shared" si="3"/>
        <v>1.151430075367753E-2</v>
      </c>
      <c r="K58" s="50">
        <f t="shared" si="4"/>
        <v>-1.2509735202492283E-2</v>
      </c>
      <c r="L58" s="50">
        <f t="shared" si="5"/>
        <v>7.6543249423481462E-3</v>
      </c>
      <c r="P58" s="50">
        <f t="shared" si="0"/>
        <v>7.6543249423481462E-3</v>
      </c>
      <c r="Q58" s="51">
        <f t="shared" si="6"/>
        <v>101.94704334214818</v>
      </c>
      <c r="R58" s="51">
        <f t="shared" si="7"/>
        <v>95.793884259948868</v>
      </c>
      <c r="T58">
        <v>53</v>
      </c>
      <c r="U58">
        <f t="shared" ca="1" si="8"/>
        <v>1.0701916345693882E-2</v>
      </c>
      <c r="V58">
        <f t="shared" ca="1" si="9"/>
        <v>8.259085704074133</v>
      </c>
      <c r="Y58">
        <v>53</v>
      </c>
      <c r="Z58">
        <v>5.6657152441601388</v>
      </c>
    </row>
    <row r="59" spans="1:26" x14ac:dyDescent="0.15">
      <c r="A59" s="59">
        <v>40996.75</v>
      </c>
      <c r="B59">
        <v>9.2913040000000002</v>
      </c>
      <c r="C59">
        <v>67.251114000000001</v>
      </c>
      <c r="D59">
        <v>41.738010000000003</v>
      </c>
      <c r="E59">
        <v>10.272</v>
      </c>
      <c r="F59">
        <v>1165.3599850000001</v>
      </c>
      <c r="H59" s="50">
        <f t="shared" si="1"/>
        <v>-1.6341245785745986E-3</v>
      </c>
      <c r="I59" s="50">
        <f t="shared" si="2"/>
        <v>7.2828262680691034E-3</v>
      </c>
      <c r="J59" s="50">
        <f t="shared" si="3"/>
        <v>5.1535949399041808E-4</v>
      </c>
      <c r="K59" s="50">
        <f t="shared" si="4"/>
        <v>2.1276595744680892E-2</v>
      </c>
      <c r="L59" s="50">
        <f t="shared" si="5"/>
        <v>-1.3585502525027602E-2</v>
      </c>
      <c r="P59" s="50">
        <f t="shared" si="0"/>
        <v>-1.3585502525027602E-2</v>
      </c>
      <c r="Q59" s="51">
        <f t="shared" si="6"/>
        <v>100.56204152740433</v>
      </c>
      <c r="R59" s="51">
        <f t="shared" si="7"/>
        <v>95.63734511920255</v>
      </c>
      <c r="T59">
        <v>54</v>
      </c>
      <c r="U59">
        <f t="shared" ca="1" si="8"/>
        <v>6.8342768144246981E-3</v>
      </c>
      <c r="V59">
        <f t="shared" ca="1" si="9"/>
        <v>8.3155305820098331</v>
      </c>
      <c r="Y59">
        <v>54</v>
      </c>
      <c r="Z59">
        <v>7.2714841947035227</v>
      </c>
    </row>
    <row r="60" spans="1:26" x14ac:dyDescent="0.15">
      <c r="A60" s="59">
        <v>40997.75</v>
      </c>
      <c r="B60">
        <v>9.3065119999999997</v>
      </c>
      <c r="C60">
        <v>66.764876999999998</v>
      </c>
      <c r="D60">
        <v>41.716510999999997</v>
      </c>
      <c r="E60">
        <v>10.058</v>
      </c>
      <c r="F60">
        <v>1181.410034</v>
      </c>
      <c r="H60" s="50">
        <f t="shared" si="1"/>
        <v>6.0836279113712878E-3</v>
      </c>
      <c r="I60" s="50">
        <f t="shared" si="2"/>
        <v>8.6821914923629947E-3</v>
      </c>
      <c r="J60" s="50">
        <f t="shared" si="3"/>
        <v>3.1044254118661688E-3</v>
      </c>
      <c r="K60" s="50">
        <f t="shared" si="4"/>
        <v>-1.6861345975269972E-2</v>
      </c>
      <c r="L60" s="50">
        <f t="shared" si="5"/>
        <v>6.9462558857627294E-4</v>
      </c>
      <c r="P60" s="50">
        <f t="shared" si="0"/>
        <v>6.9462558857627294E-4</v>
      </c>
      <c r="Q60" s="51">
        <f t="shared" si="6"/>
        <v>100.63189449468874</v>
      </c>
      <c r="R60" s="51">
        <f t="shared" si="7"/>
        <v>96.21916714133917</v>
      </c>
      <c r="T60">
        <v>55</v>
      </c>
      <c r="U60">
        <f t="shared" ca="1" si="8"/>
        <v>2.3884309649532205E-2</v>
      </c>
      <c r="V60">
        <f t="shared" ca="1" si="9"/>
        <v>8.5141412893307109</v>
      </c>
      <c r="Y60">
        <v>55</v>
      </c>
      <c r="Z60">
        <v>6.3258398314233828</v>
      </c>
    </row>
    <row r="61" spans="1:26" x14ac:dyDescent="0.15">
      <c r="A61" s="59">
        <v>40998.75</v>
      </c>
      <c r="B61">
        <v>9.2502370000000003</v>
      </c>
      <c r="C61">
        <v>66.190201000000002</v>
      </c>
      <c r="D61">
        <v>41.587406000000001</v>
      </c>
      <c r="E61">
        <v>10.230499999999999</v>
      </c>
      <c r="F61">
        <v>1180.589966</v>
      </c>
      <c r="H61" s="50">
        <f t="shared" si="1"/>
        <v>-6.2090467898097308E-3</v>
      </c>
      <c r="I61" s="50">
        <f t="shared" si="2"/>
        <v>-1.0572521450585006E-2</v>
      </c>
      <c r="J61" s="50">
        <f t="shared" si="3"/>
        <v>-4.9763616302704585E-3</v>
      </c>
      <c r="K61" s="50">
        <f t="shared" si="4"/>
        <v>1.0369858278603391E-2</v>
      </c>
      <c r="L61" s="50">
        <f t="shared" si="5"/>
        <v>6.5391686664705365E-3</v>
      </c>
      <c r="P61" s="50">
        <f t="shared" si="0"/>
        <v>6.5391686664705365E-3</v>
      </c>
      <c r="Q61" s="51">
        <f t="shared" si="6"/>
        <v>101.28994342601598</v>
      </c>
      <c r="R61" s="51">
        <f t="shared" si="7"/>
        <v>95.621737830482076</v>
      </c>
      <c r="T61">
        <v>56</v>
      </c>
      <c r="U61">
        <f t="shared" ca="1" si="8"/>
        <v>-5.5060720021453168E-3</v>
      </c>
      <c r="V61">
        <f t="shared" ca="1" si="9"/>
        <v>8.4672618143552167</v>
      </c>
      <c r="Y61">
        <v>56</v>
      </c>
      <c r="Z61">
        <v>6.3381301802104337</v>
      </c>
    </row>
    <row r="62" spans="1:26" x14ac:dyDescent="0.15">
      <c r="A62" s="59">
        <v>40999.75</v>
      </c>
      <c r="B62">
        <v>9.3080309999999997</v>
      </c>
      <c r="C62">
        <v>66.897475999999997</v>
      </c>
      <c r="D62">
        <v>41.795394999999999</v>
      </c>
      <c r="E62">
        <v>10.125500000000001</v>
      </c>
      <c r="F62">
        <v>1172.920044</v>
      </c>
      <c r="H62" s="50">
        <f t="shared" si="1"/>
        <v>-2.6078054358766112E-3</v>
      </c>
      <c r="I62" s="50">
        <f t="shared" si="2"/>
        <v>-1.132394541380069E-2</v>
      </c>
      <c r="J62" s="50">
        <f t="shared" si="3"/>
        <v>-3.4324532849345184E-4</v>
      </c>
      <c r="K62" s="50">
        <f t="shared" si="4"/>
        <v>2.2519565766220728E-2</v>
      </c>
      <c r="L62" s="50">
        <f t="shared" si="5"/>
        <v>-2.7207691507702457E-3</v>
      </c>
      <c r="P62" s="50">
        <f t="shared" si="0"/>
        <v>-2.7207691507702457E-3</v>
      </c>
      <c r="Q62" s="51">
        <f t="shared" si="6"/>
        <v>101.01435687265921</v>
      </c>
      <c r="R62" s="51">
        <f t="shared" si="7"/>
        <v>95.372374942779786</v>
      </c>
      <c r="T62">
        <v>57</v>
      </c>
      <c r="U62">
        <f t="shared" ca="1" si="8"/>
        <v>3.1542386933098372E-5</v>
      </c>
      <c r="V62">
        <f t="shared" ca="1" si="9"/>
        <v>8.467528892003628</v>
      </c>
      <c r="Y62">
        <v>57</v>
      </c>
      <c r="Z62">
        <v>7.5636542066849302</v>
      </c>
    </row>
    <row r="63" spans="1:26" x14ac:dyDescent="0.15">
      <c r="A63" s="59">
        <v>41002.75</v>
      </c>
      <c r="B63">
        <v>9.3323680000000007</v>
      </c>
      <c r="C63">
        <v>67.663696000000002</v>
      </c>
      <c r="D63">
        <v>41.809745999999997</v>
      </c>
      <c r="E63">
        <v>9.9024999999999999</v>
      </c>
      <c r="F63">
        <v>1176.119995</v>
      </c>
      <c r="H63" s="50">
        <f t="shared" si="1"/>
        <v>1.1706254671720753E-2</v>
      </c>
      <c r="I63" s="50">
        <f t="shared" si="2"/>
        <v>1.6041161264103647E-2</v>
      </c>
      <c r="J63" s="50">
        <f t="shared" si="3"/>
        <v>7.0835667893760787E-3</v>
      </c>
      <c r="K63" s="50">
        <f t="shared" si="4"/>
        <v>-8.0637083041170676E-3</v>
      </c>
      <c r="L63" s="50">
        <f t="shared" si="5"/>
        <v>-4.4608638409728996E-3</v>
      </c>
      <c r="P63" s="50">
        <f t="shared" si="0"/>
        <v>-4.4608638409728996E-3</v>
      </c>
      <c r="Q63" s="51">
        <f t="shared" si="6"/>
        <v>100.56374558066683</v>
      </c>
      <c r="R63" s="51">
        <f t="shared" si="7"/>
        <v>96.488828252506806</v>
      </c>
      <c r="T63">
        <v>58</v>
      </c>
      <c r="U63">
        <f t="shared" ca="1" si="8"/>
        <v>1.7284492842250886E-2</v>
      </c>
      <c r="V63">
        <f t="shared" ca="1" si="9"/>
        <v>8.6138858345290163</v>
      </c>
      <c r="Y63">
        <v>58</v>
      </c>
      <c r="Z63">
        <v>7.5355507566983562</v>
      </c>
    </row>
    <row r="64" spans="1:26" x14ac:dyDescent="0.15">
      <c r="A64" s="59">
        <v>41003.75</v>
      </c>
      <c r="B64">
        <v>9.2243849999999998</v>
      </c>
      <c r="C64">
        <v>66.595427999999998</v>
      </c>
      <c r="D64">
        <v>41.515667000000001</v>
      </c>
      <c r="E64">
        <v>9.9830000000000005</v>
      </c>
      <c r="F64">
        <v>1181.3900149999999</v>
      </c>
      <c r="H64" s="50">
        <f t="shared" si="1"/>
        <v>6.4722938165421122E-3</v>
      </c>
      <c r="I64" s="50">
        <f t="shared" si="2"/>
        <v>1.5161827294788958E-2</v>
      </c>
      <c r="J64" s="50">
        <f t="shared" si="3"/>
        <v>1.0375515788880673E-3</v>
      </c>
      <c r="K64" s="50">
        <f t="shared" si="4"/>
        <v>2.9228310737666897E-2</v>
      </c>
      <c r="L64" s="50">
        <f t="shared" si="5"/>
        <v>-2.2633215284733896E-3</v>
      </c>
      <c r="P64" s="50">
        <f t="shared" si="0"/>
        <v>-2.2633215284733896E-3</v>
      </c>
      <c r="Q64" s="51">
        <f t="shared" si="6"/>
        <v>100.33613749031019</v>
      </c>
      <c r="R64" s="51">
        <f t="shared" si="7"/>
        <v>97.113332298970889</v>
      </c>
      <c r="T64">
        <v>59</v>
      </c>
      <c r="U64">
        <f t="shared" ca="1" si="8"/>
        <v>-1.1358202392575602E-2</v>
      </c>
      <c r="V64">
        <f t="shared" ca="1" si="9"/>
        <v>8.5160475758338965</v>
      </c>
      <c r="Y64">
        <v>59</v>
      </c>
      <c r="Z64">
        <v>9.6649252697927572</v>
      </c>
    </row>
    <row r="65" spans="1:26" x14ac:dyDescent="0.15">
      <c r="A65" s="59">
        <v>41004.75</v>
      </c>
      <c r="B65">
        <v>9.1650659999999995</v>
      </c>
      <c r="C65">
        <v>65.600800000000007</v>
      </c>
      <c r="D65">
        <v>41.472636999999999</v>
      </c>
      <c r="E65">
        <v>9.6995000000000005</v>
      </c>
      <c r="F65">
        <v>1184.0699460000001</v>
      </c>
      <c r="H65" s="50">
        <f t="shared" si="1"/>
        <v>-6.7580067028451297E-3</v>
      </c>
      <c r="I65" s="50">
        <f t="shared" si="2"/>
        <v>4.3994917188120795E-3</v>
      </c>
      <c r="J65" s="50">
        <f t="shared" si="3"/>
        <v>1.7326917176827879E-3</v>
      </c>
      <c r="K65" s="50">
        <f t="shared" si="4"/>
        <v>-2.0577190184679845E-3</v>
      </c>
      <c r="L65" s="50">
        <f t="shared" si="5"/>
        <v>-5.9355482235225517E-3</v>
      </c>
      <c r="P65" s="50">
        <f t="shared" ref="P65:P128" si="10">(F65-F66)/F66</f>
        <v>-5.9355482235225517E-3</v>
      </c>
      <c r="Q65" s="51">
        <f t="shared" si="6"/>
        <v>99.740587507674462</v>
      </c>
      <c r="R65" s="51">
        <f t="shared" si="7"/>
        <v>96.457039748358824</v>
      </c>
      <c r="T65">
        <v>60</v>
      </c>
      <c r="U65">
        <f t="shared" ca="1" si="8"/>
        <v>2.6204553725579418E-3</v>
      </c>
      <c r="V65">
        <f t="shared" ca="1" si="9"/>
        <v>8.538363498456949</v>
      </c>
      <c r="Y65">
        <v>60</v>
      </c>
      <c r="Z65">
        <v>8.064129900381694</v>
      </c>
    </row>
    <row r="66" spans="1:26" x14ac:dyDescent="0.15">
      <c r="A66" s="59">
        <v>41005.75</v>
      </c>
      <c r="B66">
        <v>9.2274250000000002</v>
      </c>
      <c r="C66">
        <v>65.313453999999993</v>
      </c>
      <c r="D66">
        <v>41.400902000000002</v>
      </c>
      <c r="E66">
        <v>9.7195</v>
      </c>
      <c r="F66">
        <v>1191.1400149999999</v>
      </c>
      <c r="H66" s="50">
        <f t="shared" ref="H66:H129" si="11">(B66-B67)/B67</f>
        <v>8.9804638362716866E-3</v>
      </c>
      <c r="I66" s="50">
        <f t="shared" ref="I66:I129" si="12">(C66-C67)/C67</f>
        <v>8.7620194604012443E-3</v>
      </c>
      <c r="J66" s="50">
        <f t="shared" ref="J66:J129" si="13">(D66-D67)/D67</f>
        <v>3.4770935651227772E-3</v>
      </c>
      <c r="K66" s="50">
        <f t="shared" ref="K66:K129" si="14">(E66-E67)/E67</f>
        <v>1.31338927398759E-2</v>
      </c>
      <c r="L66" s="50">
        <f t="shared" ref="L66:L129" si="15">(F66-F67)/F67</f>
        <v>8.415225543807945E-3</v>
      </c>
      <c r="P66" s="50">
        <f t="shared" si="10"/>
        <v>8.415225543807945E-3</v>
      </c>
      <c r="Q66" s="51">
        <f t="shared" si="6"/>
        <v>100.57992704742345</v>
      </c>
      <c r="R66" s="51">
        <f t="shared" si="7"/>
        <v>97.323268705572772</v>
      </c>
      <c r="T66">
        <v>61</v>
      </c>
      <c r="U66">
        <f t="shared" ca="1" si="8"/>
        <v>-1.0948217753137608E-3</v>
      </c>
      <c r="V66">
        <f t="shared" ca="1" si="9"/>
        <v>8.5290155121732951</v>
      </c>
      <c r="Y66">
        <v>61</v>
      </c>
      <c r="Z66">
        <v>9.1395914577362412</v>
      </c>
    </row>
    <row r="67" spans="1:26" x14ac:dyDescent="0.15">
      <c r="A67" s="59">
        <v>41006.75</v>
      </c>
      <c r="B67">
        <v>9.1452960000000001</v>
      </c>
      <c r="C67">
        <v>64.746146999999993</v>
      </c>
      <c r="D67">
        <v>41.257446000000002</v>
      </c>
      <c r="E67">
        <v>9.5935000000000006</v>
      </c>
      <c r="F67">
        <v>1181.1999510000001</v>
      </c>
      <c r="H67" s="50">
        <f t="shared" si="11"/>
        <v>3.3372913315232004E-3</v>
      </c>
      <c r="I67" s="50">
        <f t="shared" si="12"/>
        <v>1.1393182588718258E-2</v>
      </c>
      <c r="J67" s="50">
        <f t="shared" si="13"/>
        <v>1.9857982782416468E-2</v>
      </c>
      <c r="K67" s="50">
        <f t="shared" si="14"/>
        <v>2.6152529682319004E-2</v>
      </c>
      <c r="L67" s="50">
        <f t="shared" si="15"/>
        <v>-8.4743613163330394E-6</v>
      </c>
      <c r="P67" s="50">
        <f t="shared" si="10"/>
        <v>-8.4743613163330394E-6</v>
      </c>
      <c r="Q67" s="51">
        <f t="shared" ref="Q67:Q130" si="16">Q66*(1+P67)</f>
        <v>100.57907469678048</v>
      </c>
      <c r="R67" s="51">
        <f t="shared" ref="R67:R130" si="17">R66*(1+H67)</f>
        <v>97.648064806579384</v>
      </c>
      <c r="T67">
        <v>62</v>
      </c>
      <c r="U67">
        <f t="shared" ca="1" si="8"/>
        <v>2.0728132811208545E-2</v>
      </c>
      <c r="V67">
        <f t="shared" ca="1" si="9"/>
        <v>8.7058060784584814</v>
      </c>
      <c r="Y67">
        <v>62</v>
      </c>
      <c r="Z67">
        <v>8.234890533852667</v>
      </c>
    </row>
    <row r="68" spans="1:26" x14ac:dyDescent="0.15">
      <c r="A68" s="59">
        <v>41009.75</v>
      </c>
      <c r="B68">
        <v>9.1148769999999999</v>
      </c>
      <c r="C68">
        <v>64.016791999999995</v>
      </c>
      <c r="D68">
        <v>40.454109000000003</v>
      </c>
      <c r="E68">
        <v>9.3490000000000002</v>
      </c>
      <c r="F68">
        <v>1181.209961</v>
      </c>
      <c r="H68" s="50">
        <f t="shared" si="11"/>
        <v>2.1739166287799514E-3</v>
      </c>
      <c r="I68" s="50">
        <f t="shared" si="12"/>
        <v>-4.9237911716898189E-3</v>
      </c>
      <c r="J68" s="50">
        <f t="shared" si="13"/>
        <v>-1.3986226701392523E-2</v>
      </c>
      <c r="K68" s="50">
        <f t="shared" si="14"/>
        <v>-5.2667978932808531E-3</v>
      </c>
      <c r="L68" s="50">
        <f t="shared" si="15"/>
        <v>-5.5146232781485421E-3</v>
      </c>
      <c r="P68" s="50">
        <f t="shared" si="10"/>
        <v>-5.5146232781485421E-3</v>
      </c>
      <c r="Q68" s="51">
        <f t="shared" si="16"/>
        <v>100.02441899016297</v>
      </c>
      <c r="R68" s="51">
        <f t="shared" si="17"/>
        <v>97.860343558430586</v>
      </c>
      <c r="T68">
        <v>63</v>
      </c>
      <c r="U68">
        <f t="shared" ca="1" si="8"/>
        <v>6.225015355582589E-3</v>
      </c>
      <c r="V68">
        <f t="shared" ca="1" si="9"/>
        <v>8.7599998549796094</v>
      </c>
      <c r="Y68">
        <v>63</v>
      </c>
      <c r="Z68">
        <v>8.5763113094392267</v>
      </c>
    </row>
    <row r="69" spans="1:26" x14ac:dyDescent="0.15">
      <c r="A69" s="59">
        <v>41010.75</v>
      </c>
      <c r="B69">
        <v>9.0951050000000002</v>
      </c>
      <c r="C69">
        <v>64.333556999999999</v>
      </c>
      <c r="D69">
        <v>41.027934999999999</v>
      </c>
      <c r="E69">
        <v>9.3985000000000003</v>
      </c>
      <c r="F69">
        <v>1187.76001</v>
      </c>
      <c r="H69" s="50">
        <f t="shared" si="11"/>
        <v>-5.6535513938892838E-3</v>
      </c>
      <c r="I69" s="50">
        <f t="shared" si="12"/>
        <v>1.6055629457009742E-3</v>
      </c>
      <c r="J69" s="50">
        <f t="shared" si="13"/>
        <v>-1.2601338000950226E-2</v>
      </c>
      <c r="K69" s="50">
        <f t="shared" si="14"/>
        <v>-1.4263988672714797E-2</v>
      </c>
      <c r="L69" s="50">
        <f t="shared" si="15"/>
        <v>1.1901592734507766E-2</v>
      </c>
      <c r="P69" s="50">
        <f t="shared" si="10"/>
        <v>1.1901592734507766E-2</v>
      </c>
      <c r="Q69" s="51">
        <f t="shared" si="16"/>
        <v>101.21486888848966</v>
      </c>
      <c r="R69" s="51">
        <f t="shared" si="17"/>
        <v>97.307085076699337</v>
      </c>
      <c r="T69">
        <v>64</v>
      </c>
      <c r="U69">
        <f t="shared" ca="1" si="8"/>
        <v>1.4048461956948243E-2</v>
      </c>
      <c r="V69">
        <f t="shared" ca="1" si="9"/>
        <v>8.8830643796851625</v>
      </c>
      <c r="Y69">
        <v>64</v>
      </c>
      <c r="Z69">
        <v>10.602916654267268</v>
      </c>
    </row>
    <row r="70" spans="1:26" x14ac:dyDescent="0.15">
      <c r="A70" s="59">
        <v>41011.75</v>
      </c>
      <c r="B70">
        <v>9.1468170000000004</v>
      </c>
      <c r="C70">
        <v>64.230430999999996</v>
      </c>
      <c r="D70">
        <v>41.551540000000003</v>
      </c>
      <c r="E70">
        <v>9.5344999999999995</v>
      </c>
      <c r="F70">
        <v>1173.790039</v>
      </c>
      <c r="H70" s="50">
        <f t="shared" si="11"/>
        <v>6.1903892869766041E-3</v>
      </c>
      <c r="I70" s="50">
        <f t="shared" si="12"/>
        <v>9.9632211066210397E-3</v>
      </c>
      <c r="J70" s="50">
        <f t="shared" si="13"/>
        <v>8.7065996097871346E-3</v>
      </c>
      <c r="K70" s="50">
        <f t="shared" si="14"/>
        <v>1.1832749655099171E-2</v>
      </c>
      <c r="L70" s="50">
        <f t="shared" si="15"/>
        <v>1.0102826474731326E-2</v>
      </c>
      <c r="P70" s="50">
        <f t="shared" si="10"/>
        <v>1.0102826474731326E-2</v>
      </c>
      <c r="Q70" s="51">
        <f t="shared" si="16"/>
        <v>102.23742514553275</v>
      </c>
      <c r="R70" s="51">
        <f t="shared" si="17"/>
        <v>97.909453813705056</v>
      </c>
      <c r="T70">
        <v>65</v>
      </c>
      <c r="U70">
        <f t="shared" ca="1" si="8"/>
        <v>3.581709742473585E-3</v>
      </c>
      <c r="V70">
        <f t="shared" ca="1" si="9"/>
        <v>8.9148809379168998</v>
      </c>
      <c r="Y70">
        <v>65</v>
      </c>
      <c r="Z70">
        <v>8.1491961681104232</v>
      </c>
    </row>
    <row r="71" spans="1:26" x14ac:dyDescent="0.15">
      <c r="A71" s="59">
        <v>41012.75</v>
      </c>
      <c r="B71">
        <v>9.0905430000000003</v>
      </c>
      <c r="C71">
        <v>63.596801999999997</v>
      </c>
      <c r="D71">
        <v>41.192889999999998</v>
      </c>
      <c r="E71">
        <v>9.423</v>
      </c>
      <c r="F71">
        <v>1162.0500489999999</v>
      </c>
      <c r="H71" s="50">
        <f t="shared" si="11"/>
        <v>-1.3370473537604406E-2</v>
      </c>
      <c r="I71" s="50">
        <f t="shared" si="12"/>
        <v>-6.4458814868735949E-3</v>
      </c>
      <c r="J71" s="50">
        <f t="shared" si="13"/>
        <v>6.968675988487579E-4</v>
      </c>
      <c r="K71" s="50">
        <f t="shared" si="14"/>
        <v>1.5956873315363846E-2</v>
      </c>
      <c r="L71" s="50">
        <f t="shared" si="15"/>
        <v>1.7004825825754893E-2</v>
      </c>
      <c r="P71" s="50">
        <f t="shared" si="10"/>
        <v>1.7004825825754893E-2</v>
      </c>
      <c r="Q71" s="51">
        <f t="shared" si="16"/>
        <v>103.97595475300619</v>
      </c>
      <c r="R71" s="51">
        <f t="shared" si="17"/>
        <v>96.600358052407614</v>
      </c>
      <c r="T71">
        <v>66</v>
      </c>
      <c r="U71">
        <f t="shared" ref="U71:U134" ca="1" si="18">_xlfn.NORM.INV(RAND(), $U$3,$U$4)</f>
        <v>-4.3974364970290666E-3</v>
      </c>
      <c r="V71">
        <f t="shared" ref="V71:V134" ca="1" si="19">V70*(1+U71)</f>
        <v>8.8756783151138361</v>
      </c>
      <c r="Y71">
        <v>66</v>
      </c>
      <c r="Z71">
        <v>5.5881066970360953</v>
      </c>
    </row>
    <row r="72" spans="1:26" x14ac:dyDescent="0.15">
      <c r="A72" s="59">
        <v>41013.75</v>
      </c>
      <c r="B72">
        <v>9.2137349999999998</v>
      </c>
      <c r="C72">
        <v>64.009399000000002</v>
      </c>
      <c r="D72">
        <v>41.164203999999998</v>
      </c>
      <c r="E72">
        <v>9.2750000000000004</v>
      </c>
      <c r="F72">
        <v>1142.619995</v>
      </c>
      <c r="H72" s="50">
        <f t="shared" si="11"/>
        <v>-2.0850303429301161E-2</v>
      </c>
      <c r="I72" s="50">
        <f t="shared" si="12"/>
        <v>-9.0112086978204956E-3</v>
      </c>
      <c r="J72" s="50">
        <f t="shared" si="13"/>
        <v>-3.6458336232816752E-3</v>
      </c>
      <c r="K72" s="50">
        <f t="shared" si="14"/>
        <v>-1.5340517012580176E-2</v>
      </c>
      <c r="L72" s="50">
        <f t="shared" si="15"/>
        <v>-2.931975303792001E-3</v>
      </c>
      <c r="P72" s="50">
        <f t="shared" si="10"/>
        <v>-2.931975303792001E-3</v>
      </c>
      <c r="Q72" s="51">
        <f t="shared" si="16"/>
        <v>103.67109982148219</v>
      </c>
      <c r="R72" s="51">
        <f t="shared" si="17"/>
        <v>94.586211275635776</v>
      </c>
      <c r="T72">
        <v>67</v>
      </c>
      <c r="U72">
        <f t="shared" ca="1" si="18"/>
        <v>1.7354388412099339E-2</v>
      </c>
      <c r="V72">
        <f t="shared" ca="1" si="19"/>
        <v>9.0297102840151684</v>
      </c>
      <c r="Y72">
        <v>67</v>
      </c>
      <c r="Z72">
        <v>6.8800501971624684</v>
      </c>
    </row>
    <row r="73" spans="1:26" x14ac:dyDescent="0.15">
      <c r="A73" s="59">
        <v>41016.75</v>
      </c>
      <c r="B73">
        <v>9.4099350000000008</v>
      </c>
      <c r="C73">
        <v>64.591446000000005</v>
      </c>
      <c r="D73">
        <v>41.314830999999998</v>
      </c>
      <c r="E73">
        <v>9.4194999999999993</v>
      </c>
      <c r="F73">
        <v>1145.9799800000001</v>
      </c>
      <c r="H73" s="50">
        <f t="shared" si="11"/>
        <v>-3.0612904353610102E-3</v>
      </c>
      <c r="I73" s="50">
        <f t="shared" si="12"/>
        <v>-4.5420470392438066E-3</v>
      </c>
      <c r="J73" s="50">
        <f t="shared" si="13"/>
        <v>3.8340714170058991E-3</v>
      </c>
      <c r="K73" s="50">
        <f t="shared" si="14"/>
        <v>-1.4026273093630642E-2</v>
      </c>
      <c r="L73" s="50">
        <f t="shared" si="15"/>
        <v>-5.8988261671212077E-3</v>
      </c>
      <c r="P73" s="50">
        <f t="shared" si="10"/>
        <v>-5.8988261671212077E-3</v>
      </c>
      <c r="Q73" s="51">
        <f t="shared" si="16"/>
        <v>103.05956202508099</v>
      </c>
      <c r="R73" s="51">
        <f t="shared" si="17"/>
        <v>94.296655411740645</v>
      </c>
      <c r="T73">
        <v>68</v>
      </c>
      <c r="U73">
        <f t="shared" ca="1" si="18"/>
        <v>-1.6045662704418227E-2</v>
      </c>
      <c r="V73">
        <f t="shared" ca="1" si="19"/>
        <v>8.8848225984792446</v>
      </c>
      <c r="Y73">
        <v>68</v>
      </c>
      <c r="Z73">
        <v>5.2985096732481756</v>
      </c>
    </row>
    <row r="74" spans="1:26" x14ac:dyDescent="0.15">
      <c r="A74" s="59">
        <v>41017.75</v>
      </c>
      <c r="B74">
        <v>9.4388299999999994</v>
      </c>
      <c r="C74">
        <v>64.886161999999999</v>
      </c>
      <c r="D74">
        <v>41.157032000000001</v>
      </c>
      <c r="E74">
        <v>9.5534999999999997</v>
      </c>
      <c r="F74">
        <v>1152.780029</v>
      </c>
      <c r="H74" s="50">
        <f t="shared" si="11"/>
        <v>5.0199729888696946E-3</v>
      </c>
      <c r="I74" s="50">
        <f t="shared" si="12"/>
        <v>1.0905005749599374E-2</v>
      </c>
      <c r="J74" s="50">
        <f t="shared" si="13"/>
        <v>1.038917493687872E-2</v>
      </c>
      <c r="K74" s="50">
        <f t="shared" si="14"/>
        <v>-1.5698587127159152E-4</v>
      </c>
      <c r="L74" s="50">
        <f t="shared" si="15"/>
        <v>1.3432992527472539E-2</v>
      </c>
      <c r="P74" s="50">
        <f t="shared" si="10"/>
        <v>1.3432992527472539E-2</v>
      </c>
      <c r="Q74" s="51">
        <f t="shared" si="16"/>
        <v>104.4439603516485</v>
      </c>
      <c r="R74" s="51">
        <f t="shared" si="17"/>
        <v>94.770022074848342</v>
      </c>
      <c r="T74">
        <v>69</v>
      </c>
      <c r="U74">
        <f t="shared" ca="1" si="18"/>
        <v>8.9332235258565117E-3</v>
      </c>
      <c r="V74">
        <f t="shared" ca="1" si="19"/>
        <v>8.9641927047390411</v>
      </c>
      <c r="Y74">
        <v>69</v>
      </c>
      <c r="Z74">
        <v>6.4340484908824687</v>
      </c>
    </row>
    <row r="75" spans="1:26" x14ac:dyDescent="0.15">
      <c r="A75" s="59">
        <v>41018.75</v>
      </c>
      <c r="B75">
        <v>9.3916839999999997</v>
      </c>
      <c r="C75">
        <v>64.186211</v>
      </c>
      <c r="D75">
        <v>40.733840999999998</v>
      </c>
      <c r="E75">
        <v>9.5549999999999997</v>
      </c>
      <c r="F75">
        <v>1137.5</v>
      </c>
      <c r="H75" s="50">
        <f t="shared" si="11"/>
        <v>-1.1208817888373359E-2</v>
      </c>
      <c r="I75" s="50">
        <f t="shared" si="12"/>
        <v>-5.2520646190078232E-3</v>
      </c>
      <c r="J75" s="50">
        <f t="shared" si="13"/>
        <v>-8.5543734620411298E-3</v>
      </c>
      <c r="K75" s="50">
        <f t="shared" si="14"/>
        <v>5.895357406042653E-3</v>
      </c>
      <c r="L75" s="50">
        <f t="shared" si="15"/>
        <v>-1.9354241086562238E-2</v>
      </c>
      <c r="P75" s="50">
        <f t="shared" si="10"/>
        <v>-1.9354241086562238E-2</v>
      </c>
      <c r="Q75" s="51">
        <f t="shared" si="16"/>
        <v>102.42252676296735</v>
      </c>
      <c r="R75" s="51">
        <f t="shared" si="17"/>
        <v>93.707762156134237</v>
      </c>
      <c r="T75">
        <v>70</v>
      </c>
      <c r="U75">
        <f t="shared" ca="1" si="18"/>
        <v>-7.0680281952512072E-3</v>
      </c>
      <c r="V75">
        <f t="shared" ca="1" si="19"/>
        <v>8.9008335379542807</v>
      </c>
      <c r="Y75">
        <v>70</v>
      </c>
      <c r="Z75">
        <v>6.196537161218016</v>
      </c>
    </row>
    <row r="76" spans="1:26" x14ac:dyDescent="0.15">
      <c r="A76" s="59">
        <v>41019.75</v>
      </c>
      <c r="B76">
        <v>9.4981469999999995</v>
      </c>
      <c r="C76">
        <v>64.525101000000006</v>
      </c>
      <c r="D76">
        <v>41.085299999999997</v>
      </c>
      <c r="E76">
        <v>9.4990000000000006</v>
      </c>
      <c r="F76">
        <v>1159.9499510000001</v>
      </c>
      <c r="H76" s="50">
        <f t="shared" si="11"/>
        <v>4.8874614049269134E-2</v>
      </c>
      <c r="I76" s="50">
        <f t="shared" si="12"/>
        <v>1.1082781859901249E-2</v>
      </c>
      <c r="J76" s="50">
        <f t="shared" si="13"/>
        <v>1.129959356317478E-2</v>
      </c>
      <c r="K76" s="50">
        <f t="shared" si="14"/>
        <v>9.2435189120271717E-3</v>
      </c>
      <c r="L76" s="50">
        <f t="shared" si="15"/>
        <v>6.7961289049584097E-3</v>
      </c>
      <c r="P76" s="50">
        <f t="shared" si="10"/>
        <v>6.7961289049584097E-3</v>
      </c>
      <c r="Q76" s="51">
        <f t="shared" si="16"/>
        <v>103.11860345762004</v>
      </c>
      <c r="R76" s="51">
        <f t="shared" si="17"/>
        <v>98.287692864936005</v>
      </c>
      <c r="T76">
        <v>71</v>
      </c>
      <c r="U76">
        <f t="shared" ca="1" si="18"/>
        <v>1.7187662871750622E-2</v>
      </c>
      <c r="V76">
        <f t="shared" ca="1" si="19"/>
        <v>9.0538180640822112</v>
      </c>
      <c r="Y76">
        <v>71</v>
      </c>
      <c r="Z76">
        <v>9.8141271543293023</v>
      </c>
    </row>
    <row r="77" spans="1:26" x14ac:dyDescent="0.15">
      <c r="A77" s="59">
        <v>41020.75</v>
      </c>
      <c r="B77">
        <v>9.0555599999999998</v>
      </c>
      <c r="C77">
        <v>63.817822</v>
      </c>
      <c r="D77">
        <v>40.626240000000003</v>
      </c>
      <c r="E77">
        <v>9.4120000000000008</v>
      </c>
      <c r="F77">
        <v>1152.119995</v>
      </c>
      <c r="H77" s="50">
        <f t="shared" si="11"/>
        <v>3.0638985108159125E-2</v>
      </c>
      <c r="I77" s="50">
        <f t="shared" si="12"/>
        <v>2.1976076057678966E-3</v>
      </c>
      <c r="J77" s="50">
        <f t="shared" si="13"/>
        <v>-1.5869674765668328E-3</v>
      </c>
      <c r="K77" s="50">
        <f t="shared" si="14"/>
        <v>-1.0980927862134168E-2</v>
      </c>
      <c r="L77" s="50">
        <f t="shared" si="15"/>
        <v>-8.5878850409682409E-3</v>
      </c>
      <c r="P77" s="50">
        <f t="shared" si="10"/>
        <v>-8.5878850409682409E-3</v>
      </c>
      <c r="Q77" s="51">
        <f t="shared" si="16"/>
        <v>102.23303274554081</v>
      </c>
      <c r="R77" s="51">
        <f t="shared" si="17"/>
        <v>101.29912802294011</v>
      </c>
      <c r="T77">
        <v>72</v>
      </c>
      <c r="U77">
        <f t="shared" ca="1" si="18"/>
        <v>1.4601313603681661E-2</v>
      </c>
      <c r="V77">
        <f t="shared" ca="1" si="19"/>
        <v>9.1860157009465517</v>
      </c>
      <c r="Y77">
        <v>72</v>
      </c>
      <c r="Z77">
        <v>8.2780828820376975</v>
      </c>
    </row>
    <row r="78" spans="1:26" x14ac:dyDescent="0.15">
      <c r="A78" s="59">
        <v>41023.75</v>
      </c>
      <c r="B78">
        <v>8.7863550000000004</v>
      </c>
      <c r="C78">
        <v>63.677883000000001</v>
      </c>
      <c r="D78">
        <v>40.690815000000001</v>
      </c>
      <c r="E78">
        <v>9.5165000000000006</v>
      </c>
      <c r="F78">
        <v>1162.099976</v>
      </c>
      <c r="H78" s="50">
        <f t="shared" si="11"/>
        <v>7.1475240715268406E-3</v>
      </c>
      <c r="I78" s="50">
        <f t="shared" si="12"/>
        <v>-9.7385991549684588E-3</v>
      </c>
      <c r="J78" s="50">
        <f t="shared" si="13"/>
        <v>-1.7596546908273175E-3</v>
      </c>
      <c r="K78" s="50">
        <f t="shared" si="14"/>
        <v>-2.1036930356959103E-2</v>
      </c>
      <c r="L78" s="50">
        <f t="shared" si="15"/>
        <v>8.9162640253470978E-3</v>
      </c>
      <c r="P78" s="50">
        <f t="shared" si="10"/>
        <v>8.9162640253470978E-3</v>
      </c>
      <c r="Q78" s="51">
        <f t="shared" si="16"/>
        <v>103.14456945761201</v>
      </c>
      <c r="R78" s="51">
        <f t="shared" si="17"/>
        <v>102.02316597890875</v>
      </c>
      <c r="T78">
        <v>73</v>
      </c>
      <c r="U78">
        <f t="shared" ca="1" si="18"/>
        <v>1.9780658615004335E-2</v>
      </c>
      <c r="V78">
        <f t="shared" ca="1" si="19"/>
        <v>9.3677211415590467</v>
      </c>
      <c r="Y78">
        <v>73</v>
      </c>
      <c r="Z78">
        <v>6.2201905950335359</v>
      </c>
    </row>
    <row r="79" spans="1:26" x14ac:dyDescent="0.15">
      <c r="A79" s="59">
        <v>41024.75</v>
      </c>
      <c r="B79">
        <v>8.7240000000000002</v>
      </c>
      <c r="C79">
        <v>64.304114999999996</v>
      </c>
      <c r="D79">
        <v>40.762543000000001</v>
      </c>
      <c r="E79">
        <v>9.7210000000000001</v>
      </c>
      <c r="F79">
        <v>1151.829956</v>
      </c>
      <c r="H79" s="50">
        <f t="shared" si="11"/>
        <v>-2.6971971126809696E-2</v>
      </c>
      <c r="I79" s="50">
        <f t="shared" si="12"/>
        <v>-9.0826021958404085E-3</v>
      </c>
      <c r="J79" s="50">
        <f t="shared" si="13"/>
        <v>-1.1480443642016291E-2</v>
      </c>
      <c r="K79" s="50">
        <f t="shared" si="14"/>
        <v>-8.0106127863666526E-3</v>
      </c>
      <c r="L79" s="50">
        <f t="shared" si="15"/>
        <v>-3.9347351046596004E-3</v>
      </c>
      <c r="P79" s="50">
        <f t="shared" si="10"/>
        <v>-3.9347351046596004E-3</v>
      </c>
      <c r="Q79" s="51">
        <f t="shared" si="16"/>
        <v>102.73872289931214</v>
      </c>
      <c r="R79" s="51">
        <f t="shared" si="17"/>
        <v>99.271400091859903</v>
      </c>
      <c r="T79">
        <v>74</v>
      </c>
      <c r="U79">
        <f t="shared" ca="1" si="18"/>
        <v>-3.3847837622573351E-3</v>
      </c>
      <c r="V79">
        <f t="shared" ca="1" si="19"/>
        <v>9.3360134311497429</v>
      </c>
      <c r="Y79">
        <v>74</v>
      </c>
      <c r="Z79">
        <v>6.7760613858537528</v>
      </c>
    </row>
    <row r="80" spans="1:26" x14ac:dyDescent="0.15">
      <c r="A80" s="59">
        <v>41025.75</v>
      </c>
      <c r="B80">
        <v>8.9658259999999999</v>
      </c>
      <c r="C80">
        <v>64.893517000000003</v>
      </c>
      <c r="D80">
        <v>41.235950000000003</v>
      </c>
      <c r="E80">
        <v>9.7995000000000001</v>
      </c>
      <c r="F80">
        <v>1156.380005</v>
      </c>
      <c r="H80" s="50">
        <f t="shared" si="11"/>
        <v>-1.3553138930590557E-3</v>
      </c>
      <c r="I80" s="50">
        <f t="shared" si="12"/>
        <v>-6.8779273341858524E-3</v>
      </c>
      <c r="J80" s="50">
        <f t="shared" si="13"/>
        <v>-1.3216185198172199E-2</v>
      </c>
      <c r="K80" s="50">
        <f t="shared" si="14"/>
        <v>-0.13603702887370503</v>
      </c>
      <c r="L80" s="50">
        <f t="shared" si="15"/>
        <v>1.1511375180481339E-2</v>
      </c>
      <c r="P80" s="50">
        <f t="shared" si="10"/>
        <v>1.1511375180481339E-2</v>
      </c>
      <c r="Q80" s="51">
        <f t="shared" si="16"/>
        <v>103.92138688416964</v>
      </c>
      <c r="R80" s="51">
        <f t="shared" si="17"/>
        <v>99.136856184131972</v>
      </c>
      <c r="T80">
        <v>75</v>
      </c>
      <c r="U80">
        <f t="shared" ca="1" si="18"/>
        <v>1.9984114506780584E-2</v>
      </c>
      <c r="V80">
        <f t="shared" ca="1" si="19"/>
        <v>9.5225853925946797</v>
      </c>
      <c r="Y80">
        <v>75</v>
      </c>
      <c r="Z80">
        <v>6.5947863959260609</v>
      </c>
    </row>
    <row r="81" spans="1:26" x14ac:dyDescent="0.15">
      <c r="A81" s="59">
        <v>41026.75</v>
      </c>
      <c r="B81">
        <v>8.9779940000000007</v>
      </c>
      <c r="C81">
        <v>65.342940999999996</v>
      </c>
      <c r="D81">
        <v>41.788231000000003</v>
      </c>
      <c r="E81">
        <v>11.342499999999999</v>
      </c>
      <c r="F81">
        <v>1143.219971</v>
      </c>
      <c r="H81" s="50">
        <f t="shared" si="11"/>
        <v>2.0370003916408237E-3</v>
      </c>
      <c r="I81" s="50">
        <f t="shared" si="12"/>
        <v>5.7837659768732799E-3</v>
      </c>
      <c r="J81" s="50">
        <f t="shared" si="13"/>
        <v>5.5232247077646335E-3</v>
      </c>
      <c r="K81" s="50">
        <f t="shared" si="14"/>
        <v>-2.177662785683495E-2</v>
      </c>
      <c r="L81" s="50">
        <f t="shared" si="15"/>
        <v>-1.1781998774921514E-2</v>
      </c>
      <c r="P81" s="50">
        <f t="shared" si="10"/>
        <v>-1.1781998774921514E-2</v>
      </c>
      <c r="Q81" s="51">
        <f t="shared" si="16"/>
        <v>102.69698523121221</v>
      </c>
      <c r="R81" s="51">
        <f t="shared" si="17"/>
        <v>99.338797999005081</v>
      </c>
      <c r="T81">
        <v>76</v>
      </c>
      <c r="U81">
        <f t="shared" ca="1" si="18"/>
        <v>-1.2175882651344516E-3</v>
      </c>
      <c r="V81">
        <f t="shared" ca="1" si="19"/>
        <v>9.5109908043669158</v>
      </c>
      <c r="Y81">
        <v>76</v>
      </c>
      <c r="Z81">
        <v>7.6056067585053633</v>
      </c>
    </row>
    <row r="82" spans="1:26" x14ac:dyDescent="0.15">
      <c r="A82" s="59">
        <v>41027.75</v>
      </c>
      <c r="B82">
        <v>8.9597429999999996</v>
      </c>
      <c r="C82">
        <v>64.967185999999998</v>
      </c>
      <c r="D82">
        <v>41.558692999999998</v>
      </c>
      <c r="E82">
        <v>11.595000000000001</v>
      </c>
      <c r="F82">
        <v>1156.849976</v>
      </c>
      <c r="H82" s="50">
        <f t="shared" si="11"/>
        <v>-2.7085698397286261E-3</v>
      </c>
      <c r="I82" s="50">
        <f t="shared" si="12"/>
        <v>1.3913028088854683E-2</v>
      </c>
      <c r="J82" s="50">
        <f t="shared" si="13"/>
        <v>-1.2069529429909174E-3</v>
      </c>
      <c r="K82" s="50">
        <f t="shared" si="14"/>
        <v>8.0855503390714623E-3</v>
      </c>
      <c r="L82" s="50">
        <f t="shared" si="15"/>
        <v>-4.5691280414484007E-3</v>
      </c>
      <c r="P82" s="50">
        <f t="shared" si="10"/>
        <v>-4.5691280414484007E-3</v>
      </c>
      <c r="Q82" s="51">
        <f t="shared" si="16"/>
        <v>102.22774955622006</v>
      </c>
      <c r="R82" s="51">
        <f t="shared" si="17"/>
        <v>99.069731926830073</v>
      </c>
      <c r="T82">
        <v>77</v>
      </c>
      <c r="U82">
        <f t="shared" ca="1" si="18"/>
        <v>-2.9119487089088207E-3</v>
      </c>
      <c r="V82">
        <f t="shared" ca="1" si="19"/>
        <v>9.4832952869736946</v>
      </c>
      <c r="Y82">
        <v>77</v>
      </c>
      <c r="Z82">
        <v>7.526983095473188</v>
      </c>
    </row>
    <row r="83" spans="1:26" x14ac:dyDescent="0.15">
      <c r="A83" s="59">
        <v>41030.75</v>
      </c>
      <c r="B83">
        <v>8.9840769999999992</v>
      </c>
      <c r="C83">
        <v>64.075699</v>
      </c>
      <c r="D83">
        <v>41.608913000000001</v>
      </c>
      <c r="E83">
        <v>11.502000000000001</v>
      </c>
      <c r="F83">
        <v>1162.160034</v>
      </c>
      <c r="H83" s="50">
        <f t="shared" si="11"/>
        <v>1.016606995044978E-3</v>
      </c>
      <c r="I83" s="50">
        <f t="shared" si="12"/>
        <v>3.8090436544937051E-3</v>
      </c>
      <c r="J83" s="50">
        <f t="shared" si="13"/>
        <v>5.1715175502890754E-4</v>
      </c>
      <c r="K83" s="50">
        <f t="shared" si="14"/>
        <v>-9.1205211726372401E-4</v>
      </c>
      <c r="L83" s="50">
        <f t="shared" si="15"/>
        <v>8.5257969331495635E-4</v>
      </c>
      <c r="P83" s="50">
        <f t="shared" si="10"/>
        <v>8.5257969331495635E-4</v>
      </c>
      <c r="Q83" s="51">
        <f t="shared" si="16"/>
        <v>102.31490685958498</v>
      </c>
      <c r="R83" s="51">
        <f t="shared" si="17"/>
        <v>99.170446909304118</v>
      </c>
      <c r="T83">
        <v>78</v>
      </c>
      <c r="U83">
        <f t="shared" ca="1" si="18"/>
        <v>-3.1521868297109254E-3</v>
      </c>
      <c r="V83">
        <f t="shared" ca="1" si="19"/>
        <v>9.4534021684678358</v>
      </c>
      <c r="Y83">
        <v>78</v>
      </c>
      <c r="Z83">
        <v>7.0345875950295911</v>
      </c>
    </row>
    <row r="84" spans="1:26" x14ac:dyDescent="0.15">
      <c r="A84" s="59">
        <v>41031.75</v>
      </c>
      <c r="B84">
        <v>8.9749529999999993</v>
      </c>
      <c r="C84">
        <v>63.832557999999999</v>
      </c>
      <c r="D84">
        <v>41.587406000000001</v>
      </c>
      <c r="E84">
        <v>11.512499999999999</v>
      </c>
      <c r="F84">
        <v>1161.170044</v>
      </c>
      <c r="H84" s="50">
        <f t="shared" si="11"/>
        <v>3.3905820064408559E-4</v>
      </c>
      <c r="I84" s="50">
        <f t="shared" si="12"/>
        <v>2.8489980382617717E-2</v>
      </c>
      <c r="J84" s="50">
        <f t="shared" si="13"/>
        <v>2.5287296812683775E-2</v>
      </c>
      <c r="K84" s="50">
        <f t="shared" si="14"/>
        <v>3.4865983874481712E-3</v>
      </c>
      <c r="L84" s="50">
        <f t="shared" si="15"/>
        <v>-1.231657355879922E-2</v>
      </c>
      <c r="P84" s="50">
        <f t="shared" si="10"/>
        <v>-1.231657355879922E-2</v>
      </c>
      <c r="Q84" s="51">
        <f t="shared" si="16"/>
        <v>101.05473778308721</v>
      </c>
      <c r="R84" s="51">
        <f t="shared" si="17"/>
        <v>99.204071462590264</v>
      </c>
      <c r="T84">
        <v>79</v>
      </c>
      <c r="U84">
        <f t="shared" ca="1" si="18"/>
        <v>-7.3405413175632065E-3</v>
      </c>
      <c r="V84">
        <f t="shared" ca="1" si="19"/>
        <v>9.3840090792586555</v>
      </c>
      <c r="Y84">
        <v>79</v>
      </c>
      <c r="Z84">
        <v>8.2707958123746916</v>
      </c>
    </row>
    <row r="85" spans="1:26" x14ac:dyDescent="0.15">
      <c r="A85" s="59">
        <v>41032.75</v>
      </c>
      <c r="B85">
        <v>8.9719110000000004</v>
      </c>
      <c r="C85">
        <v>62.064346</v>
      </c>
      <c r="D85">
        <v>40.561709999999998</v>
      </c>
      <c r="E85">
        <v>11.4725</v>
      </c>
      <c r="F85">
        <v>1175.650024</v>
      </c>
      <c r="H85" s="50">
        <f t="shared" si="11"/>
        <v>4.9405212010165981E-3</v>
      </c>
      <c r="I85" s="50">
        <f t="shared" si="12"/>
        <v>1.01933349584924E-2</v>
      </c>
      <c r="J85" s="50">
        <f t="shared" si="13"/>
        <v>1.6172622412260425E-2</v>
      </c>
      <c r="K85" s="50">
        <f t="shared" si="14"/>
        <v>2.4376088218223999E-2</v>
      </c>
      <c r="L85" s="50">
        <f t="shared" si="15"/>
        <v>2.5754236094274663E-3</v>
      </c>
      <c r="P85" s="50">
        <f t="shared" si="10"/>
        <v>2.5754236094274663E-3</v>
      </c>
      <c r="Q85" s="51">
        <f t="shared" si="16"/>
        <v>101.31499654061828</v>
      </c>
      <c r="R85" s="51">
        <f t="shared" si="17"/>
        <v>99.694191280878343</v>
      </c>
      <c r="T85">
        <v>80</v>
      </c>
      <c r="U85">
        <f t="shared" ca="1" si="18"/>
        <v>-1.7439511001842954E-2</v>
      </c>
      <c r="V85">
        <f t="shared" ca="1" si="19"/>
        <v>9.220356549679531</v>
      </c>
      <c r="Y85">
        <v>80</v>
      </c>
      <c r="Z85">
        <v>6.0215813450591815</v>
      </c>
    </row>
    <row r="86" spans="1:26" x14ac:dyDescent="0.15">
      <c r="A86" s="59">
        <v>41033.75</v>
      </c>
      <c r="B86">
        <v>8.9278030000000008</v>
      </c>
      <c r="C86">
        <v>61.438087000000003</v>
      </c>
      <c r="D86">
        <v>39.916161000000002</v>
      </c>
      <c r="E86">
        <v>11.1995</v>
      </c>
      <c r="F86">
        <v>1172.630005</v>
      </c>
      <c r="H86" s="50">
        <f t="shared" si="11"/>
        <v>-8.2784142057476147E-3</v>
      </c>
      <c r="I86" s="50">
        <f t="shared" si="12"/>
        <v>2.885671374918606E-3</v>
      </c>
      <c r="J86" s="50">
        <f t="shared" si="13"/>
        <v>-1.9723443241530312E-3</v>
      </c>
      <c r="K86" s="50">
        <f t="shared" si="14"/>
        <v>-5.1963048498844082E-3</v>
      </c>
      <c r="L86" s="50">
        <f t="shared" si="15"/>
        <v>1.0927810016022174E-3</v>
      </c>
      <c r="P86" s="50">
        <f t="shared" si="10"/>
        <v>1.0927810016022174E-3</v>
      </c>
      <c r="Q86" s="51">
        <f t="shared" si="16"/>
        <v>101.42571164401525</v>
      </c>
      <c r="R86" s="51">
        <f t="shared" si="17"/>
        <v>98.868881471548207</v>
      </c>
      <c r="T86">
        <v>81</v>
      </c>
      <c r="U86">
        <f t="shared" ca="1" si="18"/>
        <v>-7.60986481241889E-3</v>
      </c>
      <c r="V86">
        <f t="shared" ca="1" si="19"/>
        <v>9.1501908828141687</v>
      </c>
      <c r="Y86">
        <v>81</v>
      </c>
      <c r="Z86">
        <v>11.005202365504768</v>
      </c>
    </row>
    <row r="87" spans="1:26" x14ac:dyDescent="0.15">
      <c r="A87" s="59">
        <v>41034.75</v>
      </c>
      <c r="B87">
        <v>9.0023280000000003</v>
      </c>
      <c r="C87">
        <v>61.261307000000002</v>
      </c>
      <c r="D87">
        <v>39.995044999999998</v>
      </c>
      <c r="E87">
        <v>11.257999999999999</v>
      </c>
      <c r="F87">
        <v>1171.349976</v>
      </c>
      <c r="H87" s="50">
        <f t="shared" si="11"/>
        <v>2.3708848701736499E-3</v>
      </c>
      <c r="I87" s="50">
        <f t="shared" si="12"/>
        <v>6.1716291801548031E-3</v>
      </c>
      <c r="J87" s="50">
        <f t="shared" si="13"/>
        <v>3.7803033955494184E-3</v>
      </c>
      <c r="K87" s="50">
        <f t="shared" si="14"/>
        <v>5.627512282268766E-3</v>
      </c>
      <c r="L87" s="50">
        <f t="shared" si="15"/>
        <v>-6.3536953412046387E-3</v>
      </c>
      <c r="P87" s="50">
        <f t="shared" si="10"/>
        <v>-6.3536953412046387E-3</v>
      </c>
      <c r="Q87" s="51">
        <f t="shared" si="16"/>
        <v>100.7812835724643</v>
      </c>
      <c r="R87" s="51">
        <f t="shared" si="17"/>
        <v>99.103288206760084</v>
      </c>
      <c r="T87">
        <v>82</v>
      </c>
      <c r="U87">
        <f t="shared" ca="1" si="18"/>
        <v>-2.3202245360435348E-2</v>
      </c>
      <c r="V87">
        <f t="shared" ca="1" si="19"/>
        <v>8.9378859088562965</v>
      </c>
      <c r="Y87">
        <v>82</v>
      </c>
      <c r="Z87">
        <v>7.7277272312522571</v>
      </c>
    </row>
    <row r="88" spans="1:26" x14ac:dyDescent="0.15">
      <c r="A88" s="59">
        <v>41037.75</v>
      </c>
      <c r="B88">
        <v>8.9810350000000003</v>
      </c>
      <c r="C88">
        <v>60.885544000000003</v>
      </c>
      <c r="D88">
        <v>39.844420999999997</v>
      </c>
      <c r="E88">
        <v>11.195</v>
      </c>
      <c r="F88">
        <v>1178.839966</v>
      </c>
      <c r="H88" s="50">
        <f t="shared" si="11"/>
        <v>-1.9862842447794796E-2</v>
      </c>
      <c r="I88" s="50">
        <f t="shared" si="12"/>
        <v>2.4197146037888037E-4</v>
      </c>
      <c r="J88" s="50">
        <f t="shared" si="13"/>
        <v>4.8843460803883161E-3</v>
      </c>
      <c r="K88" s="50">
        <f t="shared" si="14"/>
        <v>4.125930576733443E-3</v>
      </c>
      <c r="L88" s="50">
        <f t="shared" si="15"/>
        <v>1.0821281845464142E-2</v>
      </c>
      <c r="P88" s="50">
        <f t="shared" si="10"/>
        <v>1.0821281845464142E-2</v>
      </c>
      <c r="Q88" s="51">
        <f t="shared" si="16"/>
        <v>101.87186624674958</v>
      </c>
      <c r="R88" s="51">
        <f t="shared" si="17"/>
        <v>97.134815207050806</v>
      </c>
      <c r="T88">
        <v>83</v>
      </c>
      <c r="U88">
        <f t="shared" ca="1" si="18"/>
        <v>1.6197462855158839E-2</v>
      </c>
      <c r="V88">
        <f t="shared" ca="1" si="19"/>
        <v>9.0826569838686435</v>
      </c>
      <c r="Y88">
        <v>83</v>
      </c>
      <c r="Z88">
        <v>6.2937667130314061</v>
      </c>
    </row>
    <row r="89" spans="1:26" x14ac:dyDescent="0.15">
      <c r="A89" s="59">
        <v>41038.75</v>
      </c>
      <c r="B89">
        <v>9.1630389999999995</v>
      </c>
      <c r="C89">
        <v>60.870815</v>
      </c>
      <c r="D89">
        <v>39.650753000000002</v>
      </c>
      <c r="E89">
        <v>11.148999999999999</v>
      </c>
      <c r="F89">
        <v>1166.219971</v>
      </c>
      <c r="H89" s="50">
        <f t="shared" si="11"/>
        <v>-2.7031277634927036E-3</v>
      </c>
      <c r="I89" s="50">
        <f t="shared" si="12"/>
        <v>-1.5021426031170744E-2</v>
      </c>
      <c r="J89" s="50">
        <f t="shared" si="13"/>
        <v>-5.4289781248074661E-4</v>
      </c>
      <c r="K89" s="50">
        <f t="shared" si="14"/>
        <v>-1.6365962327407571E-2</v>
      </c>
      <c r="L89" s="50">
        <f t="shared" si="15"/>
        <v>-4.1755377911836897E-3</v>
      </c>
      <c r="P89" s="50">
        <f t="shared" si="10"/>
        <v>-4.1755377911836897E-3</v>
      </c>
      <c r="Q89" s="51">
        <f t="shared" si="16"/>
        <v>101.44649641937785</v>
      </c>
      <c r="R89" s="51">
        <f t="shared" si="17"/>
        <v>96.872247391262903</v>
      </c>
      <c r="T89">
        <v>84</v>
      </c>
      <c r="U89">
        <f t="shared" ca="1" si="18"/>
        <v>-7.6536390754861194E-3</v>
      </c>
      <c r="V89">
        <f t="shared" ca="1" si="19"/>
        <v>9.0131416054676698</v>
      </c>
      <c r="Y89">
        <v>84</v>
      </c>
      <c r="Z89">
        <v>5.0223920689323709</v>
      </c>
    </row>
    <row r="90" spans="1:26" x14ac:dyDescent="0.15">
      <c r="A90" s="59">
        <v>41039.75</v>
      </c>
      <c r="B90">
        <v>9.187875</v>
      </c>
      <c r="C90">
        <v>61.799126000000001</v>
      </c>
      <c r="D90">
        <v>39.672291000000001</v>
      </c>
      <c r="E90">
        <v>11.3345</v>
      </c>
      <c r="F90">
        <v>1171.1099850000001</v>
      </c>
      <c r="H90" s="50">
        <f t="shared" si="11"/>
        <v>-3.8707325802127056E-3</v>
      </c>
      <c r="I90" s="50">
        <f t="shared" si="12"/>
        <v>-8.5108037190867892E-3</v>
      </c>
      <c r="J90" s="50">
        <f t="shared" si="13"/>
        <v>-2.1644763048121502E-3</v>
      </c>
      <c r="K90" s="50">
        <f t="shared" si="14"/>
        <v>-4.3482080112438593E-3</v>
      </c>
      <c r="L90" s="50">
        <f t="shared" si="15"/>
        <v>1.0134902146031889E-2</v>
      </c>
      <c r="P90" s="50">
        <f t="shared" si="10"/>
        <v>1.0134902146031889E-2</v>
      </c>
      <c r="Q90" s="51">
        <f t="shared" si="16"/>
        <v>102.47464673364603</v>
      </c>
      <c r="R90" s="51">
        <f t="shared" si="17"/>
        <v>96.497280827167117</v>
      </c>
      <c r="T90">
        <v>85</v>
      </c>
      <c r="U90">
        <f t="shared" ca="1" si="18"/>
        <v>-2.3679300291214751E-2</v>
      </c>
      <c r="V90">
        <f t="shared" ca="1" si="19"/>
        <v>8.7997167188245591</v>
      </c>
      <c r="Y90">
        <v>85</v>
      </c>
      <c r="Z90">
        <v>8.0380726343102111</v>
      </c>
    </row>
    <row r="91" spans="1:26" x14ac:dyDescent="0.15">
      <c r="A91" s="59">
        <v>41040.75</v>
      </c>
      <c r="B91">
        <v>9.2235770000000006</v>
      </c>
      <c r="C91">
        <v>62.329600999999997</v>
      </c>
      <c r="D91">
        <v>39.758347000000001</v>
      </c>
      <c r="E91">
        <v>11.384</v>
      </c>
      <c r="F91">
        <v>1159.3599850000001</v>
      </c>
      <c r="H91" s="50">
        <f t="shared" si="11"/>
        <v>5.9250217765926009E-3</v>
      </c>
      <c r="I91" s="50">
        <f t="shared" si="12"/>
        <v>3.558848871184587E-3</v>
      </c>
      <c r="J91" s="50">
        <f t="shared" si="13"/>
        <v>3.8236768979386724E-3</v>
      </c>
      <c r="K91" s="50">
        <f t="shared" si="14"/>
        <v>2.130713676938956E-2</v>
      </c>
      <c r="L91" s="50">
        <f t="shared" si="15"/>
        <v>4.6011314713787664E-3</v>
      </c>
      <c r="P91" s="50">
        <f t="shared" si="10"/>
        <v>4.6011314713787664E-3</v>
      </c>
      <c r="Q91" s="51">
        <f t="shared" si="16"/>
        <v>102.94614605575062</v>
      </c>
      <c r="R91" s="51">
        <f t="shared" si="17"/>
        <v>97.06902931745006</v>
      </c>
      <c r="T91">
        <v>86</v>
      </c>
      <c r="U91">
        <f t="shared" ca="1" si="18"/>
        <v>2.8509724293701629E-3</v>
      </c>
      <c r="V91">
        <f t="shared" ca="1" si="19"/>
        <v>8.824804468576195</v>
      </c>
      <c r="Y91">
        <v>86</v>
      </c>
      <c r="Z91">
        <v>7.3452755995266257</v>
      </c>
    </row>
    <row r="92" spans="1:26" x14ac:dyDescent="0.15">
      <c r="A92" s="59">
        <v>41041.75</v>
      </c>
      <c r="B92">
        <v>9.1692490000000006</v>
      </c>
      <c r="C92">
        <v>62.108566000000003</v>
      </c>
      <c r="D92">
        <v>39.606903000000003</v>
      </c>
      <c r="E92">
        <v>11.1465</v>
      </c>
      <c r="F92">
        <v>1154.0500489999999</v>
      </c>
      <c r="H92" s="50">
        <f t="shared" si="11"/>
        <v>-4.7176124378589413E-3</v>
      </c>
      <c r="I92" s="50">
        <f t="shared" si="12"/>
        <v>-3.3102866048966817E-3</v>
      </c>
      <c r="J92" s="50">
        <f t="shared" si="13"/>
        <v>-2.9052191205922217E-3</v>
      </c>
      <c r="K92" s="50">
        <f t="shared" si="14"/>
        <v>-6.5065288114443953E-3</v>
      </c>
      <c r="L92" s="50">
        <f t="shared" si="15"/>
        <v>-9.9854100053524825E-3</v>
      </c>
      <c r="P92" s="50">
        <f t="shared" si="10"/>
        <v>-9.9854100053524825E-3</v>
      </c>
      <c r="Q92" s="51">
        <f t="shared" si="16"/>
        <v>101.91818657891305</v>
      </c>
      <c r="R92" s="51">
        <f t="shared" si="17"/>
        <v>96.611095257411165</v>
      </c>
      <c r="T92">
        <v>87</v>
      </c>
      <c r="U92">
        <f t="shared" ca="1" si="18"/>
        <v>9.8351610943395312E-3</v>
      </c>
      <c r="V92">
        <f t="shared" ca="1" si="19"/>
        <v>8.9115978421506892</v>
      </c>
      <c r="Y92">
        <v>87</v>
      </c>
      <c r="Z92">
        <v>10.379511287957111</v>
      </c>
    </row>
    <row r="93" spans="1:26" x14ac:dyDescent="0.15">
      <c r="A93" s="59">
        <v>41044.75</v>
      </c>
      <c r="B93">
        <v>9.2127110000000005</v>
      </c>
      <c r="C93">
        <v>62.314846000000003</v>
      </c>
      <c r="D93">
        <v>39.722304999999999</v>
      </c>
      <c r="E93">
        <v>11.2195</v>
      </c>
      <c r="F93">
        <v>1165.6899410000001</v>
      </c>
      <c r="H93" s="50">
        <f t="shared" si="11"/>
        <v>2.7031277634927036E-3</v>
      </c>
      <c r="I93" s="50">
        <f t="shared" si="12"/>
        <v>-3.8867136893829981E-3</v>
      </c>
      <c r="J93" s="50">
        <f t="shared" si="13"/>
        <v>-4.337972050390838E-3</v>
      </c>
      <c r="K93" s="50">
        <f t="shared" si="14"/>
        <v>1.4728197804160159E-3</v>
      </c>
      <c r="L93" s="50">
        <f t="shared" si="15"/>
        <v>-6.9092755677673812E-3</v>
      </c>
      <c r="P93" s="50">
        <f t="shared" si="10"/>
        <v>-6.9092755677673812E-3</v>
      </c>
      <c r="Q93" s="51">
        <f t="shared" si="16"/>
        <v>101.21400574247221</v>
      </c>
      <c r="R93" s="51">
        <f t="shared" si="17"/>
        <v>96.872247391262917</v>
      </c>
      <c r="T93">
        <v>88</v>
      </c>
      <c r="U93">
        <f t="shared" ca="1" si="18"/>
        <v>1.5190969594605783E-2</v>
      </c>
      <c r="V93">
        <f t="shared" ca="1" si="19"/>
        <v>9.046973654010154</v>
      </c>
      <c r="Y93">
        <v>88</v>
      </c>
      <c r="Z93">
        <v>8.0856274337186154</v>
      </c>
    </row>
    <row r="94" spans="1:26" x14ac:dyDescent="0.15">
      <c r="A94" s="59">
        <v>41045.75</v>
      </c>
      <c r="B94">
        <v>9.187875</v>
      </c>
      <c r="C94">
        <v>62.557991000000001</v>
      </c>
      <c r="D94">
        <v>39.89537</v>
      </c>
      <c r="E94">
        <v>11.202999999999999</v>
      </c>
      <c r="F94">
        <v>1173.8000489999999</v>
      </c>
      <c r="H94" s="50">
        <f t="shared" si="11"/>
        <v>-4.0369773910424206E-2</v>
      </c>
      <c r="I94" s="50">
        <f t="shared" si="12"/>
        <v>1.7251817993560799E-2</v>
      </c>
      <c r="J94" s="50">
        <f t="shared" si="13"/>
        <v>9.3049233561517536E-3</v>
      </c>
      <c r="K94" s="50">
        <f t="shared" si="14"/>
        <v>2.6103681993039033E-2</v>
      </c>
      <c r="L94" s="50">
        <f t="shared" si="15"/>
        <v>-9.9193709426406776E-3</v>
      </c>
      <c r="P94" s="50">
        <f t="shared" si="10"/>
        <v>-9.9193709426406776E-3</v>
      </c>
      <c r="Q94" s="51">
        <f t="shared" si="16"/>
        <v>100.21002647492206</v>
      </c>
      <c r="R94" s="51">
        <f t="shared" si="17"/>
        <v>92.96153666588296</v>
      </c>
      <c r="T94">
        <v>89</v>
      </c>
      <c r="U94">
        <f t="shared" ca="1" si="18"/>
        <v>-1.8762728795587692E-2</v>
      </c>
      <c r="V94">
        <f t="shared" ca="1" si="19"/>
        <v>8.8772277409191336</v>
      </c>
      <c r="Y94">
        <v>89</v>
      </c>
      <c r="Z94">
        <v>8.3314997807535853</v>
      </c>
    </row>
    <row r="95" spans="1:26" x14ac:dyDescent="0.15">
      <c r="A95" s="59">
        <v>41046.75</v>
      </c>
      <c r="B95">
        <v>9.5743910000000003</v>
      </c>
      <c r="C95">
        <v>61.497055000000003</v>
      </c>
      <c r="D95">
        <v>39.527569</v>
      </c>
      <c r="E95">
        <v>10.917999999999999</v>
      </c>
      <c r="F95">
        <v>1185.5600589999999</v>
      </c>
      <c r="H95" s="50">
        <f t="shared" si="11"/>
        <v>-1.2013544375847866E-2</v>
      </c>
      <c r="I95" s="50">
        <f t="shared" si="12"/>
        <v>6.39059172512914E-3</v>
      </c>
      <c r="J95" s="50">
        <f t="shared" si="13"/>
        <v>-1.1720569795008099E-2</v>
      </c>
      <c r="K95" s="50">
        <f t="shared" si="14"/>
        <v>2.1089548749123072E-2</v>
      </c>
      <c r="L95" s="50">
        <f t="shared" si="15"/>
        <v>-4.6343631023206709E-3</v>
      </c>
      <c r="P95" s="50">
        <f t="shared" si="10"/>
        <v>-4.6343631023206709E-3</v>
      </c>
      <c r="Q95" s="51">
        <f t="shared" si="16"/>
        <v>99.745616825744108</v>
      </c>
      <c r="R95" s="51">
        <f t="shared" si="17"/>
        <v>91.844739119900368</v>
      </c>
      <c r="T95">
        <v>90</v>
      </c>
      <c r="U95">
        <f t="shared" ca="1" si="18"/>
        <v>-2.7351018010485211E-2</v>
      </c>
      <c r="V95">
        <f t="shared" ca="1" si="19"/>
        <v>8.6344265250940744</v>
      </c>
      <c r="Y95">
        <v>90</v>
      </c>
      <c r="Z95">
        <v>8.7076416423995013</v>
      </c>
    </row>
    <row r="96" spans="1:26" x14ac:dyDescent="0.15">
      <c r="A96" s="59">
        <v>41047.75</v>
      </c>
      <c r="B96">
        <v>9.6908119999999993</v>
      </c>
      <c r="C96">
        <v>61.106547999999997</v>
      </c>
      <c r="D96">
        <v>39.996349000000002</v>
      </c>
      <c r="E96">
        <v>10.692500000000001</v>
      </c>
      <c r="F96">
        <v>1191.079956</v>
      </c>
      <c r="H96" s="50">
        <f t="shared" si="11"/>
        <v>-9.6763578764499959E-3</v>
      </c>
      <c r="I96" s="50">
        <f t="shared" si="12"/>
        <v>-9.4353091079278188E-3</v>
      </c>
      <c r="J96" s="50">
        <f t="shared" si="13"/>
        <v>-6.6271715249514888E-3</v>
      </c>
      <c r="K96" s="50">
        <f t="shared" si="14"/>
        <v>-1.9531429095410498E-2</v>
      </c>
      <c r="L96" s="50">
        <f t="shared" si="15"/>
        <v>1.5134593671042172E-3</v>
      </c>
      <c r="P96" s="50">
        <f t="shared" si="10"/>
        <v>1.5134593671042172E-3</v>
      </c>
      <c r="Q96" s="51">
        <f t="shared" si="16"/>
        <v>99.896577763856627</v>
      </c>
      <c r="R96" s="51">
        <f t="shared" si="17"/>
        <v>90.956016555107013</v>
      </c>
      <c r="T96">
        <v>91</v>
      </c>
      <c r="U96">
        <f t="shared" ca="1" si="18"/>
        <v>1.6237864446170903E-2</v>
      </c>
      <c r="V96">
        <f t="shared" ca="1" si="19"/>
        <v>8.7746311725789745</v>
      </c>
      <c r="Y96">
        <v>91</v>
      </c>
      <c r="Z96">
        <v>7.4699270077654036</v>
      </c>
    </row>
    <row r="97" spans="1:26" x14ac:dyDescent="0.15">
      <c r="A97" s="59">
        <v>41048.75</v>
      </c>
      <c r="B97">
        <v>9.7855000000000008</v>
      </c>
      <c r="C97">
        <v>61.688599000000004</v>
      </c>
      <c r="D97">
        <v>40.263179999999998</v>
      </c>
      <c r="E97">
        <v>10.9055</v>
      </c>
      <c r="F97">
        <v>1189.280029</v>
      </c>
      <c r="H97" s="50">
        <f t="shared" si="11"/>
        <v>-1.0826974123201213E-2</v>
      </c>
      <c r="I97" s="50">
        <f t="shared" si="12"/>
        <v>4.1975564676577787E-3</v>
      </c>
      <c r="J97" s="50">
        <f t="shared" si="13"/>
        <v>-1.4822351460230761E-2</v>
      </c>
      <c r="K97" s="50">
        <f t="shared" si="14"/>
        <v>1.2910416569915881E-2</v>
      </c>
      <c r="L97" s="50">
        <f t="shared" si="15"/>
        <v>-3.8362589060224163E-3</v>
      </c>
      <c r="P97" s="50">
        <f t="shared" si="10"/>
        <v>-3.8362589060224163E-3</v>
      </c>
      <c r="Q97" s="51">
        <f t="shared" si="16"/>
        <v>99.51334862772886</v>
      </c>
      <c r="R97" s="51">
        <f t="shared" si="17"/>
        <v>89.971238117515412</v>
      </c>
      <c r="T97">
        <v>92</v>
      </c>
      <c r="U97">
        <f t="shared" ca="1" si="18"/>
        <v>2.8091510710168618E-3</v>
      </c>
      <c r="V97">
        <f t="shared" ca="1" si="19"/>
        <v>8.7992804371352022</v>
      </c>
      <c r="Y97">
        <v>92</v>
      </c>
      <c r="Z97">
        <v>6.2528027685393326</v>
      </c>
    </row>
    <row r="98" spans="1:26" x14ac:dyDescent="0.15">
      <c r="A98" s="59">
        <v>41051.75</v>
      </c>
      <c r="B98">
        <v>9.8926069999999999</v>
      </c>
      <c r="C98">
        <v>61.43074</v>
      </c>
      <c r="D98">
        <v>40.868954000000002</v>
      </c>
      <c r="E98">
        <v>10.766500000000001</v>
      </c>
      <c r="F98">
        <v>1193.8599850000001</v>
      </c>
      <c r="H98" s="50">
        <f t="shared" si="11"/>
        <v>0</v>
      </c>
      <c r="I98" s="50">
        <f t="shared" si="12"/>
        <v>-2.4606432188796655E-3</v>
      </c>
      <c r="J98" s="50">
        <f t="shared" si="13"/>
        <v>-1.9375167100986752E-3</v>
      </c>
      <c r="K98" s="50">
        <f t="shared" si="14"/>
        <v>-8.974594992636243E-3</v>
      </c>
      <c r="L98" s="50">
        <f t="shared" si="15"/>
        <v>-1.7583643295216236E-4</v>
      </c>
      <c r="P98" s="50">
        <f t="shared" si="10"/>
        <v>-1.7583643295216236E-4</v>
      </c>
      <c r="Q98" s="51">
        <f t="shared" si="16"/>
        <v>99.49585055547503</v>
      </c>
      <c r="R98" s="51">
        <f t="shared" si="17"/>
        <v>89.971238117515412</v>
      </c>
      <c r="T98">
        <v>93</v>
      </c>
      <c r="U98">
        <f t="shared" ca="1" si="18"/>
        <v>1.7412919646490561E-2</v>
      </c>
      <c r="V98">
        <f t="shared" ca="1" si="19"/>
        <v>8.9525016003339726</v>
      </c>
      <c r="Y98">
        <v>93</v>
      </c>
      <c r="Z98">
        <v>9.6017972384061618</v>
      </c>
    </row>
    <row r="99" spans="1:26" x14ac:dyDescent="0.15">
      <c r="A99" s="59">
        <v>41052.75</v>
      </c>
      <c r="B99">
        <v>9.8926069999999999</v>
      </c>
      <c r="C99">
        <v>61.582272000000003</v>
      </c>
      <c r="D99">
        <v>40.948292000000002</v>
      </c>
      <c r="E99">
        <v>10.864000000000001</v>
      </c>
      <c r="F99">
        <v>1194.0699460000001</v>
      </c>
      <c r="H99" s="50">
        <f t="shared" si="11"/>
        <v>-2.0593015728061589E-2</v>
      </c>
      <c r="I99" s="50">
        <f t="shared" si="12"/>
        <v>-1.3849838315292328E-2</v>
      </c>
      <c r="J99" s="50">
        <f t="shared" si="13"/>
        <v>-8.2100382437565421E-3</v>
      </c>
      <c r="K99" s="50">
        <f t="shared" si="14"/>
        <v>9.4777922319271794E-3</v>
      </c>
      <c r="L99" s="50">
        <f t="shared" si="15"/>
        <v>3.4116822261017008E-3</v>
      </c>
      <c r="P99" s="50">
        <f t="shared" si="10"/>
        <v>3.4116822261017008E-3</v>
      </c>
      <c r="Q99" s="51">
        <f t="shared" si="16"/>
        <v>99.835298780386012</v>
      </c>
      <c r="R99" s="51">
        <f t="shared" si="17"/>
        <v>88.118458995888247</v>
      </c>
      <c r="T99">
        <v>94</v>
      </c>
      <c r="U99">
        <f t="shared" ca="1" si="18"/>
        <v>-2.3456102172994906E-3</v>
      </c>
      <c r="V99">
        <f t="shared" ca="1" si="19"/>
        <v>8.9315025211098398</v>
      </c>
      <c r="Y99">
        <v>94</v>
      </c>
      <c r="Z99">
        <v>9.0758046366657528</v>
      </c>
    </row>
    <row r="100" spans="1:26" x14ac:dyDescent="0.15">
      <c r="A100" s="59">
        <v>41053.75</v>
      </c>
      <c r="B100">
        <v>10.100609</v>
      </c>
      <c r="C100">
        <v>62.447155000000002</v>
      </c>
      <c r="D100">
        <v>41.287261999999998</v>
      </c>
      <c r="E100">
        <v>10.762</v>
      </c>
      <c r="F100">
        <v>1190.01001</v>
      </c>
      <c r="H100" s="50">
        <f t="shared" si="11"/>
        <v>-3.6750337792983566E-3</v>
      </c>
      <c r="I100" s="50">
        <f t="shared" si="12"/>
        <v>0</v>
      </c>
      <c r="J100" s="50">
        <f t="shared" si="13"/>
        <v>-6.4206472598854827E-3</v>
      </c>
      <c r="K100" s="50">
        <f t="shared" si="14"/>
        <v>1.1038564516886628E-2</v>
      </c>
      <c r="L100" s="50">
        <f t="shared" si="15"/>
        <v>-6.3542568024676739E-3</v>
      </c>
      <c r="P100" s="50">
        <f t="shared" si="10"/>
        <v>-6.3542568024676739E-3</v>
      </c>
      <c r="Q100" s="51">
        <f t="shared" si="16"/>
        <v>99.200919653984343</v>
      </c>
      <c r="R100" s="51">
        <f t="shared" si="17"/>
        <v>87.794620682498646</v>
      </c>
      <c r="T100">
        <v>95</v>
      </c>
      <c r="U100">
        <f t="shared" ca="1" si="18"/>
        <v>1.7371036480096788E-2</v>
      </c>
      <c r="V100">
        <f t="shared" ca="1" si="19"/>
        <v>9.086651977226115</v>
      </c>
      <c r="Y100">
        <v>95</v>
      </c>
      <c r="Z100">
        <v>9.5322609474183206</v>
      </c>
    </row>
    <row r="101" spans="1:26" x14ac:dyDescent="0.15">
      <c r="A101" s="59">
        <v>41054.75</v>
      </c>
      <c r="B101">
        <v>10.137866000000001</v>
      </c>
      <c r="C101">
        <v>62.447155000000002</v>
      </c>
      <c r="D101">
        <v>41.554065999999999</v>
      </c>
      <c r="E101">
        <v>10.644500000000001</v>
      </c>
      <c r="F101">
        <v>1197.619995</v>
      </c>
      <c r="H101" s="50">
        <f t="shared" si="11"/>
        <v>-5.6329899592910387E-3</v>
      </c>
      <c r="I101" s="50">
        <f t="shared" si="12"/>
        <v>-2.493063810321829E-2</v>
      </c>
      <c r="J101" s="50">
        <f t="shared" si="13"/>
        <v>-8.7737718054097281E-3</v>
      </c>
      <c r="K101" s="50">
        <f t="shared" si="14"/>
        <v>-8.661233993015131E-3</v>
      </c>
      <c r="L101" s="50">
        <f t="shared" si="15"/>
        <v>-9.676787833775265E-4</v>
      </c>
      <c r="P101" s="50">
        <f t="shared" si="10"/>
        <v>-9.676787833775265E-4</v>
      </c>
      <c r="Q101" s="51">
        <f t="shared" si="16"/>
        <v>99.104925028743637</v>
      </c>
      <c r="R101" s="51">
        <f t="shared" si="17"/>
        <v>87.30007446571436</v>
      </c>
      <c r="T101">
        <v>96</v>
      </c>
      <c r="U101">
        <f t="shared" ca="1" si="18"/>
        <v>-3.7508280860481594E-3</v>
      </c>
      <c r="V101">
        <f t="shared" ca="1" si="19"/>
        <v>9.05256950778179</v>
      </c>
      <c r="Y101">
        <v>96</v>
      </c>
      <c r="Z101">
        <v>10.528985849499399</v>
      </c>
    </row>
    <row r="102" spans="1:26" x14ac:dyDescent="0.15">
      <c r="A102" s="59">
        <v>41055.75</v>
      </c>
      <c r="B102">
        <v>10.195296000000001</v>
      </c>
      <c r="C102">
        <v>64.043807999999999</v>
      </c>
      <c r="D102">
        <v>41.921878999999997</v>
      </c>
      <c r="E102">
        <v>10.737500000000001</v>
      </c>
      <c r="F102">
        <v>1198.780029</v>
      </c>
      <c r="H102" s="50">
        <f t="shared" si="11"/>
        <v>3.667241449239687E-3</v>
      </c>
      <c r="I102" s="50">
        <f t="shared" si="12"/>
        <v>9.6726851236492179E-3</v>
      </c>
      <c r="J102" s="50">
        <f t="shared" si="13"/>
        <v>5.8834103812207498E-3</v>
      </c>
      <c r="K102" s="50">
        <f t="shared" si="14"/>
        <v>2.6382449935477857E-2</v>
      </c>
      <c r="L102" s="50">
        <f t="shared" si="15"/>
        <v>6.109969785984065E-3</v>
      </c>
      <c r="P102" s="50">
        <f t="shared" si="10"/>
        <v>6.109969785984065E-3</v>
      </c>
      <c r="Q102" s="51">
        <f t="shared" si="16"/>
        <v>99.710453126311478</v>
      </c>
      <c r="R102" s="51">
        <f t="shared" si="17"/>
        <v>87.620224917316733</v>
      </c>
      <c r="T102">
        <v>97</v>
      </c>
      <c r="U102">
        <f t="shared" ca="1" si="18"/>
        <v>1.6689115387830578E-2</v>
      </c>
      <c r="V102">
        <f t="shared" ca="1" si="19"/>
        <v>9.2036488848535178</v>
      </c>
      <c r="Y102">
        <v>97</v>
      </c>
      <c r="Z102">
        <v>8.6992421194406848</v>
      </c>
    </row>
    <row r="103" spans="1:26" x14ac:dyDescent="0.15">
      <c r="A103" s="59">
        <v>41059.75</v>
      </c>
      <c r="B103">
        <v>10.158044</v>
      </c>
      <c r="C103">
        <v>63.430267000000001</v>
      </c>
      <c r="D103">
        <v>41.676678000000003</v>
      </c>
      <c r="E103">
        <v>10.461499999999999</v>
      </c>
      <c r="F103">
        <v>1191.5</v>
      </c>
      <c r="H103" s="50">
        <f t="shared" si="11"/>
        <v>-5.7733993368523718E-3</v>
      </c>
      <c r="I103" s="50">
        <f t="shared" si="12"/>
        <v>-6.7136510168012056E-3</v>
      </c>
      <c r="J103" s="50">
        <f t="shared" si="13"/>
        <v>-2.0719671691902578E-3</v>
      </c>
      <c r="K103" s="50">
        <f t="shared" si="14"/>
        <v>-1.728429852989536E-2</v>
      </c>
      <c r="L103" s="50">
        <f t="shared" si="15"/>
        <v>-8.9168132775927639E-3</v>
      </c>
      <c r="P103" s="50">
        <f t="shared" si="10"/>
        <v>-8.9168132775927639E-3</v>
      </c>
      <c r="Q103" s="51">
        <f t="shared" si="16"/>
        <v>98.821353633960001</v>
      </c>
      <c r="R103" s="51">
        <f t="shared" si="17"/>
        <v>87.11435836888424</v>
      </c>
      <c r="T103">
        <v>98</v>
      </c>
      <c r="U103">
        <f t="shared" ca="1" si="18"/>
        <v>1.5557158789969857E-3</v>
      </c>
      <c r="V103">
        <f t="shared" ca="1" si="19"/>
        <v>9.2179671475683964</v>
      </c>
      <c r="Y103">
        <v>98</v>
      </c>
      <c r="Z103">
        <v>9.4714703563825449</v>
      </c>
    </row>
    <row r="104" spans="1:26" x14ac:dyDescent="0.15">
      <c r="A104" s="59">
        <v>41060.75</v>
      </c>
      <c r="B104">
        <v>10.217031</v>
      </c>
      <c r="C104">
        <v>63.858994000000003</v>
      </c>
      <c r="D104">
        <v>41.763210000000001</v>
      </c>
      <c r="E104">
        <v>10.6455</v>
      </c>
      <c r="F104">
        <v>1202.219971</v>
      </c>
      <c r="H104" s="50">
        <f t="shared" si="11"/>
        <v>4.1191659890333441E-3</v>
      </c>
      <c r="I104" s="50">
        <f t="shared" si="12"/>
        <v>1.0527693341631623E-2</v>
      </c>
      <c r="J104" s="50">
        <f t="shared" si="13"/>
        <v>1.2412346156544537E-2</v>
      </c>
      <c r="K104" s="50">
        <f t="shared" si="14"/>
        <v>2.2524253193737451E-2</v>
      </c>
      <c r="L104" s="50">
        <f t="shared" si="15"/>
        <v>-1.7189115021817366E-3</v>
      </c>
      <c r="P104" s="50">
        <f t="shared" si="10"/>
        <v>-1.7189115021817366E-3</v>
      </c>
      <c r="Q104" s="51">
        <f t="shared" si="16"/>
        <v>98.651488472537423</v>
      </c>
      <c r="R104" s="51">
        <f t="shared" si="17"/>
        <v>87.473196871033821</v>
      </c>
      <c r="T104">
        <v>99</v>
      </c>
      <c r="U104">
        <f t="shared" ca="1" si="18"/>
        <v>-1.0464707941762354E-2</v>
      </c>
      <c r="V104">
        <f t="shared" ca="1" si="19"/>
        <v>9.1215038135523336</v>
      </c>
      <c r="Y104">
        <v>99</v>
      </c>
      <c r="Z104">
        <v>7.5718292017725979</v>
      </c>
    </row>
    <row r="105" spans="1:26" x14ac:dyDescent="0.15">
      <c r="A105" s="59">
        <v>41061.75</v>
      </c>
      <c r="B105">
        <v>10.175117999999999</v>
      </c>
      <c r="C105">
        <v>63.193710000000003</v>
      </c>
      <c r="D105">
        <v>41.251185999999997</v>
      </c>
      <c r="E105">
        <v>10.411</v>
      </c>
      <c r="F105">
        <v>1204.290039</v>
      </c>
      <c r="H105" s="50">
        <f t="shared" si="11"/>
        <v>-6.6678902163536174E-3</v>
      </c>
      <c r="I105" s="50">
        <f t="shared" si="12"/>
        <v>-1.2361695580545925E-2</v>
      </c>
      <c r="J105" s="50">
        <f t="shared" si="13"/>
        <v>-6.4266810096794925E-3</v>
      </c>
      <c r="K105" s="50">
        <f t="shared" si="14"/>
        <v>-2.9594071864659625E-2</v>
      </c>
      <c r="L105" s="50">
        <f t="shared" si="15"/>
        <v>6.9146158606944123E-3</v>
      </c>
      <c r="P105" s="50">
        <f t="shared" si="10"/>
        <v>6.9146158606944123E-3</v>
      </c>
      <c r="Q105" s="51">
        <f t="shared" si="16"/>
        <v>99.333625619410725</v>
      </c>
      <c r="R105" s="51">
        <f t="shared" si="17"/>
        <v>86.889935197424279</v>
      </c>
      <c r="T105">
        <v>100</v>
      </c>
      <c r="U105">
        <f t="shared" ca="1" si="18"/>
        <v>6.6865239017265691E-3</v>
      </c>
      <c r="V105">
        <f t="shared" ca="1" si="19"/>
        <v>9.1824949668213414</v>
      </c>
      <c r="Y105">
        <v>100</v>
      </c>
      <c r="Z105">
        <v>7.6930632061221464</v>
      </c>
    </row>
    <row r="106" spans="1:26" x14ac:dyDescent="0.15">
      <c r="A106" s="59">
        <v>41062.75</v>
      </c>
      <c r="B106">
        <v>10.24342</v>
      </c>
      <c r="C106">
        <v>63.984668999999997</v>
      </c>
      <c r="D106">
        <v>41.518008999999999</v>
      </c>
      <c r="E106">
        <v>10.7285</v>
      </c>
      <c r="F106">
        <v>1196.0200199999999</v>
      </c>
      <c r="H106" s="50">
        <f t="shared" si="11"/>
        <v>7.4810985785194262E-3</v>
      </c>
      <c r="I106" s="50">
        <f t="shared" si="12"/>
        <v>-2.4199606843699518E-3</v>
      </c>
      <c r="J106" s="50">
        <f t="shared" si="13"/>
        <v>4.3615864458484534E-3</v>
      </c>
      <c r="K106" s="50">
        <f t="shared" si="14"/>
        <v>6.3786876788142783E-3</v>
      </c>
      <c r="L106" s="50">
        <f t="shared" si="15"/>
        <v>-1.244240121216218E-3</v>
      </c>
      <c r="P106" s="50">
        <f t="shared" si="10"/>
        <v>-1.244240121216218E-3</v>
      </c>
      <c r="Q106" s="51">
        <f t="shared" si="16"/>
        <v>99.210030737029172</v>
      </c>
      <c r="R106" s="51">
        <f t="shared" si="17"/>
        <v>87.539967368117374</v>
      </c>
      <c r="T106">
        <v>101</v>
      </c>
      <c r="U106">
        <f t="shared" ca="1" si="18"/>
        <v>1.7321444302932271E-2</v>
      </c>
      <c r="V106">
        <f t="shared" ca="1" si="19"/>
        <v>9.3415490419510938</v>
      </c>
      <c r="Y106">
        <v>101</v>
      </c>
      <c r="Z106">
        <v>6.7399898539939729</v>
      </c>
    </row>
    <row r="107" spans="1:26" x14ac:dyDescent="0.15">
      <c r="A107" s="59">
        <v>41065.75</v>
      </c>
      <c r="B107">
        <v>10.167357000000001</v>
      </c>
      <c r="C107">
        <v>64.139885000000007</v>
      </c>
      <c r="D107">
        <v>41.337710999999999</v>
      </c>
      <c r="E107">
        <v>10.660500000000001</v>
      </c>
      <c r="F107">
        <v>1197.51001</v>
      </c>
      <c r="H107" s="50">
        <f t="shared" si="11"/>
        <v>-6.5220169738356617E-3</v>
      </c>
      <c r="I107" s="50">
        <f t="shared" si="12"/>
        <v>-1.1506202478352797E-2</v>
      </c>
      <c r="J107" s="50">
        <f t="shared" si="13"/>
        <v>-3.1307863787521629E-3</v>
      </c>
      <c r="K107" s="50">
        <f t="shared" si="14"/>
        <v>-2.0354714206947153E-2</v>
      </c>
      <c r="L107" s="50">
        <f t="shared" si="15"/>
        <v>2.0881011468845435E-4</v>
      </c>
      <c r="P107" s="50">
        <f t="shared" si="10"/>
        <v>2.0881011468845435E-4</v>
      </c>
      <c r="Q107" s="51">
        <f t="shared" si="16"/>
        <v>99.230746794925608</v>
      </c>
      <c r="R107" s="51">
        <f t="shared" si="17"/>
        <v>86.969030215053493</v>
      </c>
      <c r="T107">
        <v>102</v>
      </c>
      <c r="U107">
        <f t="shared" ca="1" si="18"/>
        <v>-8.051112963169493E-3</v>
      </c>
      <c r="V107">
        <f t="shared" ca="1" si="19"/>
        <v>9.2663391753633579</v>
      </c>
      <c r="Y107">
        <v>102</v>
      </c>
      <c r="Z107">
        <v>6.2174705063370528</v>
      </c>
    </row>
    <row r="108" spans="1:26" x14ac:dyDescent="0.15">
      <c r="A108" s="59">
        <v>41066.75</v>
      </c>
      <c r="B108">
        <v>10.234104</v>
      </c>
      <c r="C108">
        <v>64.886482000000001</v>
      </c>
      <c r="D108">
        <v>41.467537</v>
      </c>
      <c r="E108">
        <v>10.882</v>
      </c>
      <c r="F108">
        <v>1197.26001</v>
      </c>
      <c r="H108" s="50">
        <f t="shared" si="11"/>
        <v>9.106296821852815E-4</v>
      </c>
      <c r="I108" s="50">
        <f t="shared" si="12"/>
        <v>-3.9715583079708381E-3</v>
      </c>
      <c r="J108" s="50">
        <f t="shared" si="13"/>
        <v>3.1406189858940504E-3</v>
      </c>
      <c r="K108" s="50">
        <f t="shared" si="14"/>
        <v>-5.3016453382083942E-3</v>
      </c>
      <c r="L108" s="50">
        <f t="shared" si="15"/>
        <v>2.1679341614093441E-3</v>
      </c>
      <c r="P108" s="50">
        <f t="shared" si="10"/>
        <v>2.1679341614093441E-3</v>
      </c>
      <c r="Q108" s="51">
        <f t="shared" si="16"/>
        <v>99.445872520764496</v>
      </c>
      <c r="R108" s="51">
        <f t="shared" si="17"/>
        <v>87.048226795398193</v>
      </c>
      <c r="T108">
        <v>103</v>
      </c>
      <c r="U108">
        <f t="shared" ca="1" si="18"/>
        <v>2.4617844809612564E-2</v>
      </c>
      <c r="V108">
        <f t="shared" ca="1" si="19"/>
        <v>9.4944564751356868</v>
      </c>
      <c r="Y108">
        <v>103</v>
      </c>
      <c r="Z108">
        <v>7.3542796116318545</v>
      </c>
    </row>
    <row r="109" spans="1:26" x14ac:dyDescent="0.15">
      <c r="A109" s="59">
        <v>41067.75</v>
      </c>
      <c r="B109">
        <v>10.224793</v>
      </c>
      <c r="C109">
        <v>65.145210000000006</v>
      </c>
      <c r="D109">
        <v>41.337710999999999</v>
      </c>
      <c r="E109">
        <v>10.94</v>
      </c>
      <c r="F109">
        <v>1194.670044</v>
      </c>
      <c r="H109" s="50">
        <f t="shared" si="11"/>
        <v>-3.4446818898217789E-2</v>
      </c>
      <c r="I109" s="50">
        <f t="shared" si="12"/>
        <v>-6.8743071428990299E-3</v>
      </c>
      <c r="J109" s="50">
        <f t="shared" si="13"/>
        <v>-3.1757285446122087E-2</v>
      </c>
      <c r="K109" s="50">
        <f t="shared" si="14"/>
        <v>1.4646649578908839E-3</v>
      </c>
      <c r="L109" s="50">
        <f t="shared" si="15"/>
        <v>-5.2126349733270698E-3</v>
      </c>
      <c r="P109" s="50">
        <f t="shared" si="10"/>
        <v>-5.2126349733270698E-3</v>
      </c>
      <c r="Q109" s="51">
        <f t="shared" si="16"/>
        <v>98.927497487709743</v>
      </c>
      <c r="R109" s="51">
        <f t="shared" si="17"/>
        <v>84.049692291566117</v>
      </c>
      <c r="T109">
        <v>104</v>
      </c>
      <c r="U109">
        <f t="shared" ca="1" si="18"/>
        <v>9.1703810047282248E-3</v>
      </c>
      <c r="V109">
        <f t="shared" ca="1" si="19"/>
        <v>9.5815242584454907</v>
      </c>
      <c r="Y109">
        <v>104</v>
      </c>
      <c r="Z109">
        <v>9.261474830261939</v>
      </c>
    </row>
    <row r="110" spans="1:26" x14ac:dyDescent="0.15">
      <c r="A110" s="59">
        <v>41068.75</v>
      </c>
      <c r="B110">
        <v>10.58957</v>
      </c>
      <c r="C110">
        <v>65.596137999999996</v>
      </c>
      <c r="D110">
        <v>42.693542000000001</v>
      </c>
      <c r="E110">
        <v>10.923999999999999</v>
      </c>
      <c r="F110">
        <v>1200.9300539999999</v>
      </c>
      <c r="H110" s="50">
        <f t="shared" si="11"/>
        <v>1.0217153993014443E-2</v>
      </c>
      <c r="I110" s="50">
        <f t="shared" si="12"/>
        <v>9.4419774753766554E-3</v>
      </c>
      <c r="J110" s="50">
        <f t="shared" si="13"/>
        <v>8.5179030974309022E-3</v>
      </c>
      <c r="K110" s="50">
        <f t="shared" si="14"/>
        <v>9.1454965357967849E-3</v>
      </c>
      <c r="L110" s="50">
        <f t="shared" si="15"/>
        <v>2.3537647088383755E-3</v>
      </c>
      <c r="P110" s="50">
        <f t="shared" si="10"/>
        <v>2.3537647088383755E-3</v>
      </c>
      <c r="Q110" s="51">
        <f t="shared" si="16"/>
        <v>99.160349540029998</v>
      </c>
      <c r="R110" s="51">
        <f t="shared" si="17"/>
        <v>84.908440940774526</v>
      </c>
      <c r="T110">
        <v>105</v>
      </c>
      <c r="U110">
        <f t="shared" ca="1" si="18"/>
        <v>-1.142023927006239E-2</v>
      </c>
      <c r="V110">
        <f t="shared" ca="1" si="19"/>
        <v>9.4721009588421357</v>
      </c>
      <c r="Y110">
        <v>105</v>
      </c>
      <c r="Z110">
        <v>5.737718745782729</v>
      </c>
    </row>
    <row r="111" spans="1:26" x14ac:dyDescent="0.15">
      <c r="A111" s="59">
        <v>41069.75</v>
      </c>
      <c r="B111">
        <v>10.482469</v>
      </c>
      <c r="C111">
        <v>64.982574</v>
      </c>
      <c r="D111">
        <v>42.332954000000001</v>
      </c>
      <c r="E111">
        <v>10.824999999999999</v>
      </c>
      <c r="F111">
        <v>1198.1099850000001</v>
      </c>
      <c r="H111" s="50">
        <f t="shared" si="11"/>
        <v>-2.8055659643333349E-3</v>
      </c>
      <c r="I111" s="50">
        <f t="shared" si="12"/>
        <v>-6.6667022324396058E-3</v>
      </c>
      <c r="J111" s="50">
        <f t="shared" si="13"/>
        <v>9.2847238381519107E-3</v>
      </c>
      <c r="K111" s="50">
        <f t="shared" si="14"/>
        <v>3.6965160336378886E-4</v>
      </c>
      <c r="L111" s="50">
        <f t="shared" si="15"/>
        <v>-2.2567588163629831E-3</v>
      </c>
      <c r="P111" s="50">
        <f t="shared" si="10"/>
        <v>-2.2567588163629831E-3</v>
      </c>
      <c r="Q111" s="51">
        <f t="shared" si="16"/>
        <v>98.936568546971898</v>
      </c>
      <c r="R111" s="51">
        <f t="shared" si="17"/>
        <v>84.670224708786478</v>
      </c>
      <c r="T111">
        <v>106</v>
      </c>
      <c r="U111">
        <f t="shared" ca="1" si="18"/>
        <v>1.8526199660448703E-2</v>
      </c>
      <c r="V111">
        <f t="shared" ca="1" si="19"/>
        <v>9.6475829924095731</v>
      </c>
      <c r="Y111">
        <v>106</v>
      </c>
      <c r="Z111">
        <v>5.1463028059163518</v>
      </c>
    </row>
    <row r="112" spans="1:26" x14ac:dyDescent="0.15">
      <c r="A112" s="59">
        <v>41072.75</v>
      </c>
      <c r="B112">
        <v>10.511960999999999</v>
      </c>
      <c r="C112">
        <v>65.418700999999999</v>
      </c>
      <c r="D112">
        <v>41.943519999999999</v>
      </c>
      <c r="E112">
        <v>10.821</v>
      </c>
      <c r="F112">
        <v>1200.8199460000001</v>
      </c>
      <c r="H112" s="50">
        <f t="shared" si="11"/>
        <v>9.6913245370501798E-3</v>
      </c>
      <c r="I112" s="50">
        <f t="shared" si="12"/>
        <v>1.2238503600171573E-2</v>
      </c>
      <c r="J112" s="50">
        <f t="shared" si="13"/>
        <v>1.8948651416736794E-3</v>
      </c>
      <c r="K112" s="50">
        <f t="shared" si="14"/>
        <v>7.8703488101336799E-3</v>
      </c>
      <c r="L112" s="50">
        <f t="shared" si="15"/>
        <v>-2.5667100636524169E-3</v>
      </c>
      <c r="P112" s="50">
        <f t="shared" si="10"/>
        <v>-2.5667100636524169E-3</v>
      </c>
      <c r="Q112" s="51">
        <f t="shared" si="16"/>
        <v>98.682627060819158</v>
      </c>
      <c r="R112" s="51">
        <f t="shared" si="17"/>
        <v>85.490791335064301</v>
      </c>
      <c r="T112">
        <v>107</v>
      </c>
      <c r="U112">
        <f t="shared" ca="1" si="18"/>
        <v>-6.7103582346574094E-3</v>
      </c>
      <c r="V112">
        <f t="shared" ca="1" si="19"/>
        <v>9.582844254431917</v>
      </c>
      <c r="Y112">
        <v>107</v>
      </c>
      <c r="Z112">
        <v>5.7493288290995359</v>
      </c>
    </row>
    <row r="113" spans="1:26" x14ac:dyDescent="0.15">
      <c r="A113" s="59">
        <v>41073.75</v>
      </c>
      <c r="B113">
        <v>10.411064</v>
      </c>
      <c r="C113">
        <v>64.627753999999996</v>
      </c>
      <c r="D113">
        <v>41.864193</v>
      </c>
      <c r="E113">
        <v>10.736499999999999</v>
      </c>
      <c r="F113">
        <v>1203.910034</v>
      </c>
      <c r="H113" s="50">
        <f t="shared" si="11"/>
        <v>-8.2804406785602757E-3</v>
      </c>
      <c r="I113" s="50">
        <f t="shared" si="12"/>
        <v>-2.671720242628883E-2</v>
      </c>
      <c r="J113" s="50">
        <f t="shared" si="13"/>
        <v>-8.5393723673922138E-3</v>
      </c>
      <c r="K113" s="50">
        <f t="shared" si="14"/>
        <v>1.3056656563300859E-3</v>
      </c>
      <c r="L113" s="50">
        <f t="shared" si="15"/>
        <v>-2.2128015526225453E-3</v>
      </c>
      <c r="P113" s="50">
        <f t="shared" si="10"/>
        <v>-2.2128015526225453E-3</v>
      </c>
      <c r="Q113" s="51">
        <f t="shared" si="16"/>
        <v>98.464261990442097</v>
      </c>
      <c r="R113" s="51">
        <f t="shared" si="17"/>
        <v>84.782889908851132</v>
      </c>
      <c r="T113">
        <v>108</v>
      </c>
      <c r="U113">
        <f t="shared" ca="1" si="18"/>
        <v>-4.5352934410805967E-3</v>
      </c>
      <c r="V113">
        <f t="shared" ca="1" si="19"/>
        <v>9.5393832437378947</v>
      </c>
      <c r="Y113">
        <v>108</v>
      </c>
      <c r="Z113">
        <v>6.3700331875974578</v>
      </c>
    </row>
    <row r="114" spans="1:26" x14ac:dyDescent="0.15">
      <c r="A114" s="59">
        <v>41074.75</v>
      </c>
      <c r="B114">
        <v>10.497992</v>
      </c>
      <c r="C114">
        <v>66.401825000000002</v>
      </c>
      <c r="D114">
        <v>42.224766000000002</v>
      </c>
      <c r="E114">
        <v>10.7225</v>
      </c>
      <c r="F114">
        <v>1206.579956</v>
      </c>
      <c r="H114" s="50">
        <f t="shared" si="11"/>
        <v>-1.7710067790811545E-3</v>
      </c>
      <c r="I114" s="50">
        <f t="shared" si="12"/>
        <v>-1.7606929326202864E-2</v>
      </c>
      <c r="J114" s="50">
        <f t="shared" si="13"/>
        <v>8.5447016556596282E-4</v>
      </c>
      <c r="K114" s="50">
        <f t="shared" si="14"/>
        <v>-1.7861231967025444E-2</v>
      </c>
      <c r="L114" s="50">
        <f t="shared" si="15"/>
        <v>-3.616969297963422E-3</v>
      </c>
      <c r="P114" s="50">
        <f t="shared" si="10"/>
        <v>-3.616969297963422E-3</v>
      </c>
      <c r="Q114" s="51">
        <f t="shared" si="16"/>
        <v>98.108119777876041</v>
      </c>
      <c r="R114" s="51">
        <f t="shared" si="17"/>
        <v>84.632738836072463</v>
      </c>
      <c r="T114">
        <v>109</v>
      </c>
      <c r="U114">
        <f t="shared" ca="1" si="18"/>
        <v>-9.2329873641508139E-4</v>
      </c>
      <c r="V114">
        <f t="shared" ca="1" si="19"/>
        <v>9.5305755432427723</v>
      </c>
      <c r="Y114">
        <v>109</v>
      </c>
      <c r="Z114">
        <v>8.3238116186564586</v>
      </c>
    </row>
    <row r="115" spans="1:26" x14ac:dyDescent="0.15">
      <c r="A115" s="59">
        <v>41075.75</v>
      </c>
      <c r="B115">
        <v>10.516617</v>
      </c>
      <c r="C115">
        <v>67.591910999999996</v>
      </c>
      <c r="D115">
        <v>42.188716999999997</v>
      </c>
      <c r="E115">
        <v>10.9175</v>
      </c>
      <c r="F115">
        <v>1210.959961</v>
      </c>
      <c r="H115" s="50">
        <f t="shared" si="11"/>
        <v>-5.4318807148138436E-3</v>
      </c>
      <c r="I115" s="50">
        <f t="shared" si="12"/>
        <v>-6.4108721066890376E-3</v>
      </c>
      <c r="J115" s="50">
        <f t="shared" si="13"/>
        <v>5.1348131533451543E-4</v>
      </c>
      <c r="K115" s="50">
        <f t="shared" si="14"/>
        <v>-1.9356866972064915E-2</v>
      </c>
      <c r="L115" s="50">
        <f t="shared" si="15"/>
        <v>-4.9303183278681427E-3</v>
      </c>
      <c r="P115" s="50">
        <f t="shared" si="10"/>
        <v>-4.9303183278681427E-3</v>
      </c>
      <c r="Q115" s="51">
        <f t="shared" si="16"/>
        <v>97.624415516822495</v>
      </c>
      <c r="R115" s="51">
        <f t="shared" si="17"/>
        <v>84.173023894146922</v>
      </c>
      <c r="T115">
        <v>110</v>
      </c>
      <c r="U115">
        <f t="shared" ca="1" si="18"/>
        <v>6.8412347192100117E-3</v>
      </c>
      <c r="V115">
        <f t="shared" ca="1" si="19"/>
        <v>9.5957764475432583</v>
      </c>
      <c r="Y115">
        <v>110</v>
      </c>
      <c r="Z115">
        <v>9.0363552823919928</v>
      </c>
    </row>
    <row r="116" spans="1:26" x14ac:dyDescent="0.15">
      <c r="A116" s="59">
        <v>41076.75</v>
      </c>
      <c r="B116">
        <v>10.574054</v>
      </c>
      <c r="C116">
        <v>68.028030000000001</v>
      </c>
      <c r="D116">
        <v>42.167065000000001</v>
      </c>
      <c r="E116">
        <v>11.132999999999999</v>
      </c>
      <c r="F116">
        <v>1216.959961</v>
      </c>
      <c r="H116" s="50">
        <f t="shared" si="11"/>
        <v>4.5716612484613083E-3</v>
      </c>
      <c r="I116" s="50">
        <f t="shared" si="12"/>
        <v>1.8501997801345315E-3</v>
      </c>
      <c r="J116" s="50">
        <f t="shared" si="13"/>
        <v>-3.9186729090533098E-3</v>
      </c>
      <c r="K116" s="50">
        <f t="shared" si="14"/>
        <v>-6.1152524215507056E-3</v>
      </c>
      <c r="L116" s="50">
        <f t="shared" si="15"/>
        <v>7.0716636540748645E-4</v>
      </c>
      <c r="P116" s="50">
        <f t="shared" si="10"/>
        <v>7.0716636540748645E-4</v>
      </c>
      <c r="Q116" s="51">
        <f t="shared" si="16"/>
        <v>97.693452219918555</v>
      </c>
      <c r="R116" s="51">
        <f t="shared" si="17"/>
        <v>84.55783444564959</v>
      </c>
      <c r="T116">
        <v>111</v>
      </c>
      <c r="U116">
        <f t="shared" ca="1" si="18"/>
        <v>-1.3133568079806385E-2</v>
      </c>
      <c r="V116">
        <f t="shared" ca="1" si="19"/>
        <v>9.4697496642908465</v>
      </c>
      <c r="Y116">
        <v>111</v>
      </c>
      <c r="Z116">
        <v>8.7403175682643095</v>
      </c>
    </row>
    <row r="117" spans="1:26" x14ac:dyDescent="0.15">
      <c r="A117" s="59">
        <v>41079.75</v>
      </c>
      <c r="B117">
        <v>10.525933</v>
      </c>
      <c r="C117">
        <v>67.902396999999993</v>
      </c>
      <c r="D117">
        <v>42.332954000000001</v>
      </c>
      <c r="E117">
        <v>11.201499999999999</v>
      </c>
      <c r="F117">
        <v>1216.099976</v>
      </c>
      <c r="H117" s="50">
        <f t="shared" si="11"/>
        <v>-1.0361745828515578E-2</v>
      </c>
      <c r="I117" s="50">
        <f t="shared" si="12"/>
        <v>4.0444410165856983E-3</v>
      </c>
      <c r="J117" s="50">
        <f t="shared" si="13"/>
        <v>3.4188524860806731E-3</v>
      </c>
      <c r="K117" s="50">
        <f t="shared" si="14"/>
        <v>4.5287418168773698E-3</v>
      </c>
      <c r="L117" s="50">
        <f t="shared" si="15"/>
        <v>2.0517225721407672E-3</v>
      </c>
      <c r="P117" s="50">
        <f t="shared" si="10"/>
        <v>2.0517225721407672E-3</v>
      </c>
      <c r="Q117" s="51">
        <f t="shared" si="16"/>
        <v>97.893892080988522</v>
      </c>
      <c r="R117" s="51">
        <f t="shared" si="17"/>
        <v>83.681667657314065</v>
      </c>
      <c r="T117">
        <v>112</v>
      </c>
      <c r="U117">
        <f t="shared" ca="1" si="18"/>
        <v>5.0683952295522347E-3</v>
      </c>
      <c r="V117">
        <f t="shared" ca="1" si="19"/>
        <v>9.517746098314392</v>
      </c>
      <c r="Y117">
        <v>112</v>
      </c>
      <c r="Z117">
        <v>6.065180227476394</v>
      </c>
    </row>
    <row r="118" spans="1:26" x14ac:dyDescent="0.15">
      <c r="A118" s="59">
        <v>41080.75</v>
      </c>
      <c r="B118">
        <v>10.636142</v>
      </c>
      <c r="C118">
        <v>67.628876000000005</v>
      </c>
      <c r="D118">
        <v>42.188716999999997</v>
      </c>
      <c r="E118">
        <v>11.151</v>
      </c>
      <c r="F118">
        <v>1213.6099850000001</v>
      </c>
      <c r="H118" s="50">
        <f t="shared" si="11"/>
        <v>1.2111971432864431E-2</v>
      </c>
      <c r="I118" s="50">
        <f t="shared" si="12"/>
        <v>1.2057224339568349E-2</v>
      </c>
      <c r="J118" s="50">
        <f t="shared" si="13"/>
        <v>1.9163981828326102E-2</v>
      </c>
      <c r="K118" s="50">
        <f t="shared" si="14"/>
        <v>1.110758489368459E-2</v>
      </c>
      <c r="L118" s="50">
        <f t="shared" si="15"/>
        <v>-2.224437332254528E-4</v>
      </c>
      <c r="P118" s="50">
        <f t="shared" si="10"/>
        <v>-2.224437332254528E-4</v>
      </c>
      <c r="Q118" s="51">
        <f t="shared" si="16"/>
        <v>97.872116198174055</v>
      </c>
      <c r="R118" s="51">
        <f t="shared" si="17"/>
        <v>84.695217625433898</v>
      </c>
      <c r="T118">
        <v>113</v>
      </c>
      <c r="U118">
        <f t="shared" ca="1" si="18"/>
        <v>-3.428499539941595E-2</v>
      </c>
      <c r="V118">
        <f t="shared" ca="1" si="19"/>
        <v>9.1914302171208728</v>
      </c>
      <c r="Y118">
        <v>113</v>
      </c>
      <c r="Z118">
        <v>8.4589080698623551</v>
      </c>
    </row>
    <row r="119" spans="1:26" x14ac:dyDescent="0.15">
      <c r="A119" s="59">
        <v>41081.75</v>
      </c>
      <c r="B119">
        <v>10.508858999999999</v>
      </c>
      <c r="C119">
        <v>66.823173999999995</v>
      </c>
      <c r="D119">
        <v>41.395415999999997</v>
      </c>
      <c r="E119">
        <v>11.028499999999999</v>
      </c>
      <c r="F119">
        <v>1213.880005</v>
      </c>
      <c r="H119" s="50">
        <f t="shared" si="11"/>
        <v>5.9435607261498274E-3</v>
      </c>
      <c r="I119" s="50">
        <f t="shared" si="12"/>
        <v>-5.8283778865314845E-3</v>
      </c>
      <c r="J119" s="50">
        <f t="shared" si="13"/>
        <v>-2.779686049436467E-3</v>
      </c>
      <c r="K119" s="50">
        <f t="shared" si="14"/>
        <v>-7.1570039611092212E-3</v>
      </c>
      <c r="L119" s="50">
        <f t="shared" si="15"/>
        <v>1.0951692069852302E-2</v>
      </c>
      <c r="P119" s="50">
        <f t="shared" si="10"/>
        <v>1.0951692069852302E-2</v>
      </c>
      <c r="Q119" s="51">
        <f t="shared" si="16"/>
        <v>98.943981477001259</v>
      </c>
      <c r="R119" s="51">
        <f t="shared" si="17"/>
        <v>85.198608794605136</v>
      </c>
      <c r="T119">
        <v>114</v>
      </c>
      <c r="U119">
        <f t="shared" ca="1" si="18"/>
        <v>-1.8656050253304416E-2</v>
      </c>
      <c r="V119">
        <f t="shared" ca="1" si="19"/>
        <v>9.0199544330905255</v>
      </c>
      <c r="Y119">
        <v>114</v>
      </c>
      <c r="Z119">
        <v>5.8926045784797694</v>
      </c>
    </row>
    <row r="120" spans="1:26" x14ac:dyDescent="0.15">
      <c r="A120" s="59">
        <v>41082.75</v>
      </c>
      <c r="B120">
        <v>10.446768</v>
      </c>
      <c r="C120">
        <v>67.214928</v>
      </c>
      <c r="D120">
        <v>41.510803000000003</v>
      </c>
      <c r="E120">
        <v>11.108000000000001</v>
      </c>
      <c r="F120">
        <v>1200.7299800000001</v>
      </c>
      <c r="H120" s="50">
        <f t="shared" si="11"/>
        <v>-1.2906577994159304E-2</v>
      </c>
      <c r="I120" s="50">
        <f t="shared" si="12"/>
        <v>6.6014013931634192E-4</v>
      </c>
      <c r="J120" s="50">
        <f t="shared" si="13"/>
        <v>5.7664848746405038E-3</v>
      </c>
      <c r="K120" s="50">
        <f t="shared" si="14"/>
        <v>9.4969782341981918E-3</v>
      </c>
      <c r="L120" s="50">
        <f t="shared" si="15"/>
        <v>7.6873657570413374E-3</v>
      </c>
      <c r="P120" s="50">
        <f t="shared" si="10"/>
        <v>7.6873657570413374E-3</v>
      </c>
      <c r="Q120" s="51">
        <f t="shared" si="16"/>
        <v>99.704600052072891</v>
      </c>
      <c r="R120" s="51">
        <f t="shared" si="17"/>
        <v>84.098986305203695</v>
      </c>
      <c r="T120">
        <v>115</v>
      </c>
      <c r="U120">
        <f t="shared" ca="1" si="18"/>
        <v>-1.0071371882018926E-2</v>
      </c>
      <c r="V120">
        <f t="shared" ca="1" si="19"/>
        <v>8.9291111176360065</v>
      </c>
      <c r="Y120">
        <v>115</v>
      </c>
      <c r="Z120">
        <v>6.7549053257446419</v>
      </c>
    </row>
    <row r="121" spans="1:26" x14ac:dyDescent="0.15">
      <c r="A121" s="59">
        <v>41083.75</v>
      </c>
      <c r="B121">
        <v>10.583363</v>
      </c>
      <c r="C121">
        <v>67.170586</v>
      </c>
      <c r="D121">
        <v>41.272804000000001</v>
      </c>
      <c r="E121">
        <v>11.003500000000001</v>
      </c>
      <c r="F121">
        <v>1191.5699460000001</v>
      </c>
      <c r="H121" s="50">
        <f t="shared" si="11"/>
        <v>-5.8325371405049216E-3</v>
      </c>
      <c r="I121" s="50">
        <f t="shared" si="12"/>
        <v>-8.9437436110109923E-3</v>
      </c>
      <c r="J121" s="50">
        <f t="shared" si="13"/>
        <v>-6.9411469380146812E-3</v>
      </c>
      <c r="K121" s="50">
        <f t="shared" si="14"/>
        <v>-2.4555649129027902E-2</v>
      </c>
      <c r="L121" s="50">
        <f t="shared" si="15"/>
        <v>7.3907149938707911E-4</v>
      </c>
      <c r="P121" s="50">
        <f t="shared" si="10"/>
        <v>7.3907149938707911E-4</v>
      </c>
      <c r="Q121" s="51">
        <f t="shared" si="16"/>
        <v>99.778288880329171</v>
      </c>
      <c r="R121" s="51">
        <f t="shared" si="17"/>
        <v>83.608475844099786</v>
      </c>
      <c r="T121">
        <v>116</v>
      </c>
      <c r="U121">
        <f t="shared" ca="1" si="18"/>
        <v>-2.5712257030774269E-3</v>
      </c>
      <c r="V121">
        <f t="shared" ca="1" si="19"/>
        <v>8.9061523576247055</v>
      </c>
      <c r="Y121">
        <v>116</v>
      </c>
      <c r="Z121">
        <v>7.5941794856663298</v>
      </c>
    </row>
    <row r="122" spans="1:26" x14ac:dyDescent="0.15">
      <c r="A122" s="59">
        <v>41086.75</v>
      </c>
      <c r="B122">
        <v>10.645453</v>
      </c>
      <c r="C122">
        <v>67.776764</v>
      </c>
      <c r="D122">
        <v>41.561287</v>
      </c>
      <c r="E122">
        <v>11.2805</v>
      </c>
      <c r="F122">
        <v>1190.6899410000001</v>
      </c>
      <c r="H122" s="50">
        <f t="shared" si="11"/>
        <v>-1.45674783253671E-4</v>
      </c>
      <c r="I122" s="50">
        <f t="shared" si="12"/>
        <v>4.0523103934893938E-3</v>
      </c>
      <c r="J122" s="50">
        <f t="shared" si="13"/>
        <v>1.2161653437539454E-3</v>
      </c>
      <c r="K122" s="50">
        <f t="shared" si="14"/>
        <v>-4.4322311851840351E-5</v>
      </c>
      <c r="L122" s="50">
        <f t="shared" si="15"/>
        <v>-9.0548245120638041E-3</v>
      </c>
      <c r="P122" s="50">
        <f t="shared" si="10"/>
        <v>-9.0548245120638041E-3</v>
      </c>
      <c r="Q122" s="51">
        <f t="shared" si="16"/>
        <v>98.874813984403772</v>
      </c>
      <c r="R122" s="51">
        <f t="shared" si="17"/>
        <v>83.596296197503023</v>
      </c>
      <c r="T122">
        <v>117</v>
      </c>
      <c r="U122">
        <f t="shared" ca="1" si="18"/>
        <v>1.3956131867996675E-2</v>
      </c>
      <c r="V122">
        <f t="shared" ca="1" si="19"/>
        <v>9.0304477943641839</v>
      </c>
      <c r="Y122">
        <v>117</v>
      </c>
      <c r="Z122">
        <v>5.613702475007055</v>
      </c>
    </row>
    <row r="123" spans="1:26" x14ac:dyDescent="0.15">
      <c r="A123" s="59">
        <v>41087.75</v>
      </c>
      <c r="B123">
        <v>10.647004000000001</v>
      </c>
      <c r="C123">
        <v>67.503219999999999</v>
      </c>
      <c r="D123">
        <v>41.510803000000003</v>
      </c>
      <c r="E123">
        <v>11.281000000000001</v>
      </c>
      <c r="F123">
        <v>1201.5699460000001</v>
      </c>
      <c r="H123" s="50">
        <f t="shared" si="11"/>
        <v>4.2453330717473732E-3</v>
      </c>
      <c r="I123" s="50">
        <f t="shared" si="12"/>
        <v>-1.7219187345718041E-2</v>
      </c>
      <c r="J123" s="50">
        <f t="shared" si="13"/>
        <v>1.7402335836389047E-3</v>
      </c>
      <c r="K123" s="50">
        <f t="shared" si="14"/>
        <v>1.9474944647779175E-2</v>
      </c>
      <c r="L123" s="50">
        <f t="shared" si="15"/>
        <v>1.4334875479466635E-3</v>
      </c>
      <c r="P123" s="50">
        <f t="shared" si="10"/>
        <v>1.4334875479466635E-3</v>
      </c>
      <c r="Q123" s="51">
        <f t="shared" si="16"/>
        <v>99.016549799055966</v>
      </c>
      <c r="R123" s="51">
        <f t="shared" si="17"/>
        <v>83.951190318425873</v>
      </c>
      <c r="T123">
        <v>118</v>
      </c>
      <c r="U123">
        <f t="shared" ca="1" si="18"/>
        <v>1.1102672887830853E-2</v>
      </c>
      <c r="V123">
        <f t="shared" ca="1" si="19"/>
        <v>9.1307099022556439</v>
      </c>
      <c r="Y123">
        <v>118</v>
      </c>
      <c r="Z123">
        <v>7.1189364929292154</v>
      </c>
    </row>
    <row r="124" spans="1:26" x14ac:dyDescent="0.15">
      <c r="A124" s="59">
        <v>41088.75</v>
      </c>
      <c r="B124">
        <v>10.601995000000001</v>
      </c>
      <c r="C124">
        <v>68.685935999999998</v>
      </c>
      <c r="D124">
        <v>41.438690000000001</v>
      </c>
      <c r="E124">
        <v>11.0655</v>
      </c>
      <c r="F124">
        <v>1199.849976</v>
      </c>
      <c r="H124" s="50">
        <f t="shared" si="11"/>
        <v>-2.0366988329314571E-2</v>
      </c>
      <c r="I124" s="50">
        <f t="shared" si="12"/>
        <v>-2.1894483611327502E-2</v>
      </c>
      <c r="J124" s="50">
        <f t="shared" si="13"/>
        <v>-1.2545053758303434E-2</v>
      </c>
      <c r="K124" s="50">
        <f t="shared" si="14"/>
        <v>-3.08298664331071E-2</v>
      </c>
      <c r="L124" s="50">
        <f t="shared" si="15"/>
        <v>7.1516878737832483E-3</v>
      </c>
      <c r="P124" s="50">
        <f t="shared" si="10"/>
        <v>7.1516878737832483E-3</v>
      </c>
      <c r="Q124" s="51">
        <f t="shared" si="16"/>
        <v>99.724685257557724</v>
      </c>
      <c r="R124" s="51">
        <f t="shared" si="17"/>
        <v>82.24135740497843</v>
      </c>
      <c r="T124">
        <v>119</v>
      </c>
      <c r="U124">
        <f t="shared" ca="1" si="18"/>
        <v>-1.8619480325909859E-2</v>
      </c>
      <c r="V124">
        <f t="shared" ca="1" si="19"/>
        <v>8.9607008288690047</v>
      </c>
      <c r="Y124">
        <v>119</v>
      </c>
      <c r="Z124">
        <v>4.8904428525992722</v>
      </c>
    </row>
    <row r="125" spans="1:26" x14ac:dyDescent="0.15">
      <c r="A125" s="59">
        <v>41089.75</v>
      </c>
      <c r="B125">
        <v>10.822414999999999</v>
      </c>
      <c r="C125">
        <v>70.223442000000006</v>
      </c>
      <c r="D125">
        <v>41.965145</v>
      </c>
      <c r="E125">
        <v>11.4175</v>
      </c>
      <c r="F125">
        <v>1191.329956</v>
      </c>
      <c r="H125" s="50">
        <f t="shared" si="11"/>
        <v>5.3355427201059015E-3</v>
      </c>
      <c r="I125" s="50">
        <f t="shared" si="12"/>
        <v>6.3554205769763266E-3</v>
      </c>
      <c r="J125" s="50">
        <f t="shared" si="13"/>
        <v>-1.3729200923335502E-3</v>
      </c>
      <c r="K125" s="50">
        <f t="shared" si="14"/>
        <v>-4.2298970870398465E-3</v>
      </c>
      <c r="L125" s="50">
        <f t="shared" si="15"/>
        <v>-2.6037181889583608E-3</v>
      </c>
      <c r="P125" s="50">
        <f t="shared" si="10"/>
        <v>-2.6037181889583608E-3</v>
      </c>
      <c r="Q125" s="51">
        <f t="shared" si="16"/>
        <v>99.465030280664479</v>
      </c>
      <c r="R125" s="51">
        <f t="shared" si="17"/>
        <v>82.680159680772178</v>
      </c>
      <c r="T125">
        <v>120</v>
      </c>
      <c r="U125">
        <f t="shared" ca="1" si="18"/>
        <v>-1.0471733785227286E-3</v>
      </c>
      <c r="V125">
        <f t="shared" ca="1" si="19"/>
        <v>8.9513174215081062</v>
      </c>
      <c r="Y125">
        <v>120</v>
      </c>
      <c r="Z125">
        <v>5.9391363030256077</v>
      </c>
    </row>
    <row r="126" spans="1:26" x14ac:dyDescent="0.15">
      <c r="A126" s="59">
        <v>41090.75</v>
      </c>
      <c r="B126">
        <v>10.764977999999999</v>
      </c>
      <c r="C126">
        <v>69.779961</v>
      </c>
      <c r="D126">
        <v>42.022838999999998</v>
      </c>
      <c r="E126">
        <v>11.465999999999999</v>
      </c>
      <c r="F126">
        <v>1194.4399410000001</v>
      </c>
      <c r="H126" s="50">
        <f t="shared" si="11"/>
        <v>-1.9788208260238509E-2</v>
      </c>
      <c r="I126" s="50">
        <f t="shared" si="12"/>
        <v>-2.1183542956089242E-4</v>
      </c>
      <c r="J126" s="50">
        <f t="shared" si="13"/>
        <v>8.4802370426003641E-3</v>
      </c>
      <c r="K126" s="50">
        <f t="shared" si="14"/>
        <v>-9.1491308325712532E-4</v>
      </c>
      <c r="L126" s="50">
        <f t="shared" si="15"/>
        <v>-8.7553001166424168E-3</v>
      </c>
      <c r="P126" s="50">
        <f t="shared" si="10"/>
        <v>-8.7553001166424168E-3</v>
      </c>
      <c r="Q126" s="51">
        <f t="shared" si="16"/>
        <v>98.594184089446344</v>
      </c>
      <c r="R126" s="51">
        <f t="shared" si="17"/>
        <v>81.044067462019285</v>
      </c>
      <c r="T126">
        <v>121</v>
      </c>
      <c r="U126">
        <f t="shared" ca="1" si="18"/>
        <v>2.9474987367262059E-3</v>
      </c>
      <c r="V126">
        <f t="shared" ca="1" si="19"/>
        <v>8.9777014183000361</v>
      </c>
      <c r="Y126">
        <v>121</v>
      </c>
      <c r="Z126">
        <v>5.7044761817589098</v>
      </c>
    </row>
    <row r="127" spans="1:26" x14ac:dyDescent="0.15">
      <c r="A127" s="59">
        <v>41094.75</v>
      </c>
      <c r="B127">
        <v>10.982298</v>
      </c>
      <c r="C127">
        <v>69.794746000000004</v>
      </c>
      <c r="D127">
        <v>41.669471999999999</v>
      </c>
      <c r="E127">
        <v>11.4765</v>
      </c>
      <c r="F127">
        <v>1204.98999</v>
      </c>
      <c r="H127" s="50">
        <f t="shared" si="11"/>
        <v>-4.6425792235697261E-3</v>
      </c>
      <c r="I127" s="50">
        <f t="shared" si="12"/>
        <v>4.4683208003285487E-3</v>
      </c>
      <c r="J127" s="50">
        <f t="shared" si="13"/>
        <v>1.1023572069424788E-2</v>
      </c>
      <c r="K127" s="50">
        <f t="shared" si="14"/>
        <v>1.0878181978331713E-2</v>
      </c>
      <c r="L127" s="50">
        <f t="shared" si="15"/>
        <v>8.4105055452322053E-3</v>
      </c>
      <c r="P127" s="50">
        <f t="shared" si="10"/>
        <v>8.4105055452322053E-3</v>
      </c>
      <c r="Q127" s="51">
        <f t="shared" si="16"/>
        <v>99.423411021458278</v>
      </c>
      <c r="R127" s="51">
        <f t="shared" si="17"/>
        <v>80.667813958226532</v>
      </c>
      <c r="T127">
        <v>122</v>
      </c>
      <c r="U127">
        <f t="shared" ca="1" si="18"/>
        <v>-8.1203469105149226E-3</v>
      </c>
      <c r="V127">
        <f t="shared" ca="1" si="19"/>
        <v>8.9047993683244187</v>
      </c>
      <c r="Y127">
        <v>122</v>
      </c>
      <c r="Z127">
        <v>6.391236057223777</v>
      </c>
    </row>
    <row r="128" spans="1:26" x14ac:dyDescent="0.15">
      <c r="A128" s="59">
        <v>41095.75</v>
      </c>
      <c r="B128">
        <v>11.033522</v>
      </c>
      <c r="C128">
        <v>69.484268</v>
      </c>
      <c r="D128">
        <v>41.215133999999999</v>
      </c>
      <c r="E128">
        <v>11.353</v>
      </c>
      <c r="F128">
        <v>1194.9399410000001</v>
      </c>
      <c r="H128" s="50">
        <f t="shared" si="11"/>
        <v>-3.924170735912981E-3</v>
      </c>
      <c r="I128" s="50">
        <f t="shared" si="12"/>
        <v>3.4159825538801728E-3</v>
      </c>
      <c r="J128" s="50">
        <f t="shared" si="13"/>
        <v>-1.5842719689445273E-2</v>
      </c>
      <c r="K128" s="50">
        <f t="shared" si="14"/>
        <v>8.9313485892024234E-3</v>
      </c>
      <c r="L128" s="50">
        <f t="shared" si="15"/>
        <v>-2.4460534216819807E-3</v>
      </c>
      <c r="P128" s="50">
        <f t="shared" si="10"/>
        <v>-2.4460534216819807E-3</v>
      </c>
      <c r="Q128" s="51">
        <f t="shared" si="16"/>
        <v>99.180216046733946</v>
      </c>
      <c r="R128" s="51">
        <f t="shared" si="17"/>
        <v>80.35125968336159</v>
      </c>
      <c r="T128">
        <v>123</v>
      </c>
      <c r="U128">
        <f t="shared" ca="1" si="18"/>
        <v>3.1890457114514235E-2</v>
      </c>
      <c r="V128">
        <f t="shared" ca="1" si="19"/>
        <v>9.1887774906933224</v>
      </c>
      <c r="Y128">
        <v>123</v>
      </c>
      <c r="Z128">
        <v>7.8038383260536417</v>
      </c>
    </row>
    <row r="129" spans="1:26" x14ac:dyDescent="0.15">
      <c r="A129" s="59">
        <v>41096.75</v>
      </c>
      <c r="B129">
        <v>11.07699</v>
      </c>
      <c r="C129">
        <v>69.247719000000004</v>
      </c>
      <c r="D129">
        <v>41.878605</v>
      </c>
      <c r="E129">
        <v>11.2525</v>
      </c>
      <c r="F129">
        <v>1197.869995</v>
      </c>
      <c r="H129" s="50">
        <f t="shared" si="11"/>
        <v>-5.573979680007681E-3</v>
      </c>
      <c r="I129" s="50">
        <f t="shared" si="12"/>
        <v>-3.0865887767317665E-3</v>
      </c>
      <c r="J129" s="50">
        <f t="shared" si="13"/>
        <v>5.1683146119603073E-4</v>
      </c>
      <c r="K129" s="50">
        <f t="shared" si="14"/>
        <v>0</v>
      </c>
      <c r="L129" s="50">
        <f t="shared" si="15"/>
        <v>-1.1544229674354693E-2</v>
      </c>
      <c r="P129" s="50">
        <f t="shared" ref="P129:P192" si="20">(F129-F130)/F130</f>
        <v>-1.1544229674354693E-2</v>
      </c>
      <c r="Q129" s="51">
        <f t="shared" si="16"/>
        <v>98.035256853538328</v>
      </c>
      <c r="R129" s="51">
        <f t="shared" si="17"/>
        <v>79.903383394623503</v>
      </c>
      <c r="T129">
        <v>124</v>
      </c>
      <c r="U129">
        <f t="shared" ca="1" si="18"/>
        <v>5.014381013545074E-3</v>
      </c>
      <c r="V129">
        <f t="shared" ca="1" si="19"/>
        <v>9.2348535220803445</v>
      </c>
      <c r="Y129">
        <v>124</v>
      </c>
      <c r="Z129">
        <v>6.93073355017175</v>
      </c>
    </row>
    <row r="130" spans="1:26" x14ac:dyDescent="0.15">
      <c r="A130" s="59">
        <v>41097.75</v>
      </c>
      <c r="B130">
        <v>11.139079000000001</v>
      </c>
      <c r="C130">
        <v>69.462119999999999</v>
      </c>
      <c r="D130">
        <v>41.856971999999999</v>
      </c>
      <c r="E130">
        <v>11.2525</v>
      </c>
      <c r="F130">
        <v>1211.8599850000001</v>
      </c>
      <c r="H130" s="50">
        <f t="shared" ref="H130:H193" si="21">(B130-B131)/B131</f>
        <v>-4.8533935830964436E-3</v>
      </c>
      <c r="I130" s="50">
        <f t="shared" ref="I130:I193" si="22">(C130-C131)/C131</f>
        <v>1.8125966401997071E-3</v>
      </c>
      <c r="J130" s="50">
        <f t="shared" ref="J130:J193" si="23">(D130-D131)/D131</f>
        <v>-2.0091130157793118E-2</v>
      </c>
      <c r="K130" s="50">
        <f t="shared" ref="K130:K193" si="24">(E130-E131)/E131</f>
        <v>2.5284738041002265E-2</v>
      </c>
      <c r="L130" s="50">
        <f t="shared" ref="L130:L193" si="25">(F130-F131)/F131</f>
        <v>-6.2159322039133024E-3</v>
      </c>
      <c r="P130" s="50">
        <f t="shared" si="20"/>
        <v>-6.2159322039133024E-3</v>
      </c>
      <c r="Q130" s="51">
        <f t="shared" si="16"/>
        <v>97.425876343343518</v>
      </c>
      <c r="R130" s="51">
        <f t="shared" si="17"/>
        <v>79.515580826388344</v>
      </c>
      <c r="T130">
        <v>125</v>
      </c>
      <c r="U130">
        <f t="shared" ca="1" si="18"/>
        <v>1.0908140478268727E-3</v>
      </c>
      <c r="V130">
        <f t="shared" ca="1" si="19"/>
        <v>9.2449270300318549</v>
      </c>
      <c r="Y130">
        <v>125</v>
      </c>
      <c r="Z130">
        <v>9.6557709955940147</v>
      </c>
    </row>
    <row r="131" spans="1:26" x14ac:dyDescent="0.15">
      <c r="A131" s="59">
        <v>41100.75</v>
      </c>
      <c r="B131">
        <v>11.193405</v>
      </c>
      <c r="C131">
        <v>69.336440999999994</v>
      </c>
      <c r="D131">
        <v>42.715167999999998</v>
      </c>
      <c r="E131">
        <v>10.975</v>
      </c>
      <c r="F131">
        <v>1219.4399410000001</v>
      </c>
      <c r="H131" s="50">
        <f t="shared" si="21"/>
        <v>-2.0760133269250784E-3</v>
      </c>
      <c r="I131" s="50">
        <f t="shared" si="22"/>
        <v>-7.4076897957462539E-3</v>
      </c>
      <c r="J131" s="50">
        <f t="shared" si="23"/>
        <v>-9.3661206540240401E-3</v>
      </c>
      <c r="K131" s="50">
        <f t="shared" si="24"/>
        <v>5.1747034849109102E-3</v>
      </c>
      <c r="L131" s="50">
        <f t="shared" si="25"/>
        <v>-2.2664027363461584E-3</v>
      </c>
      <c r="P131" s="50">
        <f t="shared" si="20"/>
        <v>-2.2664027363461584E-3</v>
      </c>
      <c r="Q131" s="51">
        <f t="shared" ref="Q131:Q194" si="26">Q130*(1+P131)</f>
        <v>97.205070070608045</v>
      </c>
      <c r="R131" s="51">
        <f t="shared" ref="R131:R194" si="27">R130*(1+H131)</f>
        <v>79.350505420894578</v>
      </c>
      <c r="T131">
        <v>126</v>
      </c>
      <c r="U131">
        <f t="shared" ca="1" si="18"/>
        <v>-1.7161571947651656E-2</v>
      </c>
      <c r="V131">
        <f t="shared" ca="1" si="19"/>
        <v>9.0862695496551744</v>
      </c>
      <c r="Y131">
        <v>126</v>
      </c>
      <c r="Z131">
        <v>9.6081665649151304</v>
      </c>
    </row>
    <row r="132" spans="1:26" x14ac:dyDescent="0.15">
      <c r="A132" s="59">
        <v>41101.75</v>
      </c>
      <c r="B132">
        <v>11.216691000000001</v>
      </c>
      <c r="C132">
        <v>69.853897000000003</v>
      </c>
      <c r="D132">
        <v>43.119025999999998</v>
      </c>
      <c r="E132">
        <v>10.9185</v>
      </c>
      <c r="F132">
        <v>1222.209961</v>
      </c>
      <c r="H132" s="50">
        <f t="shared" si="21"/>
        <v>-6.9143687371094596E-4</v>
      </c>
      <c r="I132" s="50">
        <f t="shared" si="22"/>
        <v>5.1058398700896766E-3</v>
      </c>
      <c r="J132" s="50">
        <f t="shared" si="23"/>
        <v>-1.5028740091857678E-3</v>
      </c>
      <c r="K132" s="50">
        <f t="shared" si="24"/>
        <v>1.3976597325408542E-2</v>
      </c>
      <c r="L132" s="50">
        <f t="shared" si="25"/>
        <v>-8.8292879494292827E-4</v>
      </c>
      <c r="P132" s="50">
        <f t="shared" si="20"/>
        <v>-8.8292879494292827E-4</v>
      </c>
      <c r="Q132" s="51">
        <f t="shared" si="26"/>
        <v>97.119244915228265</v>
      </c>
      <c r="R132" s="51">
        <f t="shared" si="27"/>
        <v>79.295639555498965</v>
      </c>
      <c r="T132">
        <v>127</v>
      </c>
      <c r="U132">
        <f t="shared" ca="1" si="18"/>
        <v>3.2800454847167612E-3</v>
      </c>
      <c r="V132">
        <f t="shared" ca="1" si="19"/>
        <v>9.1160729270644403</v>
      </c>
      <c r="Y132">
        <v>127</v>
      </c>
      <c r="Z132">
        <v>9.7808064665135142</v>
      </c>
    </row>
    <row r="133" spans="1:26" x14ac:dyDescent="0.15">
      <c r="A133" s="59">
        <v>41102.75</v>
      </c>
      <c r="B133">
        <v>11.224451999999999</v>
      </c>
      <c r="C133">
        <v>69.499046000000007</v>
      </c>
      <c r="D133">
        <v>43.183926</v>
      </c>
      <c r="E133">
        <v>10.768000000000001</v>
      </c>
      <c r="F133">
        <v>1223.290039</v>
      </c>
      <c r="H133" s="50">
        <f t="shared" si="21"/>
        <v>-1.1888725403631378E-2</v>
      </c>
      <c r="I133" s="50">
        <f t="shared" si="22"/>
        <v>-8.3326456965189741E-3</v>
      </c>
      <c r="J133" s="50">
        <f t="shared" si="23"/>
        <v>-3.3414214301326503E-2</v>
      </c>
      <c r="K133" s="50">
        <f t="shared" si="24"/>
        <v>-1.3874261642016451E-2</v>
      </c>
      <c r="L133" s="50">
        <f t="shared" si="25"/>
        <v>-2.6171716265797154E-3</v>
      </c>
      <c r="P133" s="50">
        <f t="shared" si="20"/>
        <v>-2.6171716265797154E-3</v>
      </c>
      <c r="Q133" s="51">
        <f t="shared" si="26"/>
        <v>96.86506718304129</v>
      </c>
      <c r="R133" s="51">
        <f t="shared" si="27"/>
        <v>78.352915471118308</v>
      </c>
      <c r="T133">
        <v>128</v>
      </c>
      <c r="U133">
        <f t="shared" ca="1" si="18"/>
        <v>5.5456029288106605E-3</v>
      </c>
      <c r="V133">
        <f t="shared" ca="1" si="19"/>
        <v>9.166627047788019</v>
      </c>
      <c r="Y133">
        <v>128</v>
      </c>
      <c r="Z133">
        <v>6.460397234305046</v>
      </c>
    </row>
    <row r="134" spans="1:26" x14ac:dyDescent="0.15">
      <c r="A134" s="59">
        <v>41103.75</v>
      </c>
      <c r="B134">
        <v>11.359502000000001</v>
      </c>
      <c r="C134">
        <v>70.083022999999997</v>
      </c>
      <c r="D134">
        <v>44.676765000000003</v>
      </c>
      <c r="E134">
        <v>10.919499999999999</v>
      </c>
      <c r="F134">
        <v>1226.5</v>
      </c>
      <c r="H134" s="50">
        <f t="shared" si="21"/>
        <v>2.7409749135165521E-3</v>
      </c>
      <c r="I134" s="50">
        <f t="shared" si="22"/>
        <v>-3.5733321830182367E-3</v>
      </c>
      <c r="J134" s="50">
        <f t="shared" si="23"/>
        <v>7.3174011439608505E-3</v>
      </c>
      <c r="K134" s="50">
        <f t="shared" si="24"/>
        <v>1.1018008425535835E-2</v>
      </c>
      <c r="L134" s="50">
        <f t="shared" si="25"/>
        <v>-1.1564629203169533E-3</v>
      </c>
      <c r="P134" s="50">
        <f t="shared" si="20"/>
        <v>-1.1564629203169533E-3</v>
      </c>
      <c r="Q134" s="51">
        <f t="shared" si="26"/>
        <v>96.753046324570093</v>
      </c>
      <c r="R134" s="51">
        <f t="shared" si="27"/>
        <v>78.56767884682553</v>
      </c>
      <c r="T134">
        <v>129</v>
      </c>
      <c r="U134">
        <f t="shared" ca="1" si="18"/>
        <v>-1.4109726774946315E-2</v>
      </c>
      <c r="V134">
        <f t="shared" ca="1" si="19"/>
        <v>9.0372884446958981</v>
      </c>
      <c r="Y134">
        <v>129</v>
      </c>
      <c r="Z134">
        <v>6.0120342032092644</v>
      </c>
    </row>
    <row r="135" spans="1:26" x14ac:dyDescent="0.15">
      <c r="A135" s="59">
        <v>41104.75</v>
      </c>
      <c r="B135">
        <v>11.328450999999999</v>
      </c>
      <c r="C135">
        <v>70.334350999999998</v>
      </c>
      <c r="D135">
        <v>44.352221999999998</v>
      </c>
      <c r="E135">
        <v>10.8005</v>
      </c>
      <c r="F135">
        <v>1227.920044</v>
      </c>
      <c r="H135" s="50">
        <f t="shared" si="21"/>
        <v>-1.6419199226727146E-3</v>
      </c>
      <c r="I135" s="50">
        <f t="shared" si="22"/>
        <v>-9.4731490669281593E-3</v>
      </c>
      <c r="J135" s="50">
        <f t="shared" si="23"/>
        <v>3.9173450050212855E-3</v>
      </c>
      <c r="K135" s="50">
        <f t="shared" si="24"/>
        <v>-4.2409994007284518E-3</v>
      </c>
      <c r="L135" s="50">
        <f t="shared" si="25"/>
        <v>5.5604554569928686E-3</v>
      </c>
      <c r="P135" s="50">
        <f t="shared" si="20"/>
        <v>5.5604554569928686E-3</v>
      </c>
      <c r="Q135" s="51">
        <f t="shared" si="26"/>
        <v>97.291037328986221</v>
      </c>
      <c r="R135" s="51">
        <f t="shared" si="27"/>
        <v>78.438677009648771</v>
      </c>
      <c r="T135">
        <v>130</v>
      </c>
      <c r="U135">
        <f t="shared" ref="U135:U198" ca="1" si="28">_xlfn.NORM.INV(RAND(), $U$3,$U$4)</f>
        <v>-1.3364678024044173E-2</v>
      </c>
      <c r="V135">
        <f t="shared" ref="V135:V198" ca="1" si="29">V134*(1+U135)</f>
        <v>8.9165079944221226</v>
      </c>
      <c r="Y135">
        <v>130</v>
      </c>
      <c r="Z135">
        <v>7.6974646498035</v>
      </c>
    </row>
    <row r="136" spans="1:26" x14ac:dyDescent="0.15">
      <c r="A136" s="59">
        <v>41107.75</v>
      </c>
      <c r="B136">
        <v>11.347082</v>
      </c>
      <c r="C136">
        <v>71.007011000000006</v>
      </c>
      <c r="D136">
        <v>44.179156999999996</v>
      </c>
      <c r="E136">
        <v>10.846500000000001</v>
      </c>
      <c r="F136">
        <v>1221.130005</v>
      </c>
      <c r="H136" s="50">
        <f t="shared" si="21"/>
        <v>3.4319121938425558E-3</v>
      </c>
      <c r="I136" s="50">
        <f t="shared" si="22"/>
        <v>1.042010035992007E-3</v>
      </c>
      <c r="J136" s="50">
        <f t="shared" si="23"/>
        <v>-2.1172999389966821E-3</v>
      </c>
      <c r="K136" s="50">
        <f t="shared" si="24"/>
        <v>-2.4831011173954334E-3</v>
      </c>
      <c r="L136" s="50">
        <f t="shared" si="25"/>
        <v>-6.6864368653959177E-3</v>
      </c>
      <c r="P136" s="50">
        <f t="shared" si="20"/>
        <v>-6.6864368653959177E-3</v>
      </c>
      <c r="Q136" s="51">
        <f t="shared" si="26"/>
        <v>96.640506950317075</v>
      </c>
      <c r="R136" s="51">
        <f t="shared" si="27"/>
        <v>78.707871661747063</v>
      </c>
      <c r="T136">
        <v>131</v>
      </c>
      <c r="U136">
        <f t="shared" ca="1" si="28"/>
        <v>-1.5663741228881044E-2</v>
      </c>
      <c r="V136">
        <f t="shared" ca="1" si="29"/>
        <v>8.7768421205322458</v>
      </c>
      <c r="Y136">
        <v>131</v>
      </c>
      <c r="Z136">
        <v>8.4293947039775148</v>
      </c>
    </row>
    <row r="137" spans="1:26" x14ac:dyDescent="0.15">
      <c r="A137" s="59">
        <v>41108.75</v>
      </c>
      <c r="B137">
        <v>11.308273</v>
      </c>
      <c r="C137">
        <v>70.933098000000001</v>
      </c>
      <c r="D137">
        <v>44.272896000000003</v>
      </c>
      <c r="E137">
        <v>10.8735</v>
      </c>
      <c r="F137">
        <v>1229.349976</v>
      </c>
      <c r="H137" s="50">
        <f t="shared" si="21"/>
        <v>1.8453943540754966E-2</v>
      </c>
      <c r="I137" s="50">
        <f t="shared" si="22"/>
        <v>1.0444734481960037E-4</v>
      </c>
      <c r="J137" s="50">
        <f t="shared" si="23"/>
        <v>2.2854325813688315E-3</v>
      </c>
      <c r="K137" s="50">
        <f t="shared" si="24"/>
        <v>-3.8466640137949371E-2</v>
      </c>
      <c r="L137" s="50">
        <f t="shared" si="25"/>
        <v>-4.7360550777742752E-3</v>
      </c>
      <c r="P137" s="50">
        <f t="shared" si="20"/>
        <v>-4.7360550777742752E-3</v>
      </c>
      <c r="Q137" s="51">
        <f t="shared" si="26"/>
        <v>96.182812186656349</v>
      </c>
      <c r="R137" s="51">
        <f t="shared" si="27"/>
        <v>80.160342281605921</v>
      </c>
      <c r="T137">
        <v>132</v>
      </c>
      <c r="U137">
        <f t="shared" ca="1" si="28"/>
        <v>-1.7435463865176845E-2</v>
      </c>
      <c r="V137">
        <f t="shared" ca="1" si="29"/>
        <v>8.6238138068893448</v>
      </c>
      <c r="Y137">
        <v>132</v>
      </c>
      <c r="Z137">
        <v>9.1770468491897486</v>
      </c>
    </row>
    <row r="138" spans="1:26" x14ac:dyDescent="0.15">
      <c r="A138" s="59">
        <v>41109.75</v>
      </c>
      <c r="B138">
        <v>11.103372</v>
      </c>
      <c r="C138">
        <v>70.925690000000003</v>
      </c>
      <c r="D138">
        <v>44.171944000000003</v>
      </c>
      <c r="E138">
        <v>11.3085</v>
      </c>
      <c r="F138">
        <v>1235.1999510000001</v>
      </c>
      <c r="H138" s="50">
        <f t="shared" si="21"/>
        <v>-9.9654609627559659E-3</v>
      </c>
      <c r="I138" s="50">
        <f t="shared" si="22"/>
        <v>3.5561410515456918E-3</v>
      </c>
      <c r="J138" s="50">
        <f t="shared" si="23"/>
        <v>-1.9554215227595754E-3</v>
      </c>
      <c r="K138" s="50">
        <f t="shared" si="24"/>
        <v>-9.2864339217661636E-3</v>
      </c>
      <c r="L138" s="50">
        <f t="shared" si="25"/>
        <v>6.6500780256935664E-3</v>
      </c>
      <c r="P138" s="50">
        <f t="shared" si="20"/>
        <v>6.6500780256935664E-3</v>
      </c>
      <c r="Q138" s="51">
        <f t="shared" si="26"/>
        <v>96.822435392428233</v>
      </c>
      <c r="R138" s="51">
        <f t="shared" si="27"/>
        <v>79.361507519837417</v>
      </c>
      <c r="T138">
        <v>133</v>
      </c>
      <c r="U138">
        <f t="shared" ca="1" si="28"/>
        <v>2.5436906869367188E-3</v>
      </c>
      <c r="V138">
        <f t="shared" ca="1" si="29"/>
        <v>8.645750121755805</v>
      </c>
      <c r="Y138">
        <v>133</v>
      </c>
      <c r="Z138">
        <v>7.3329167034048188</v>
      </c>
    </row>
    <row r="139" spans="1:26" x14ac:dyDescent="0.15">
      <c r="A139" s="59">
        <v>41110.75</v>
      </c>
      <c r="B139">
        <v>11.215135999999999</v>
      </c>
      <c r="C139">
        <v>70.674362000000002</v>
      </c>
      <c r="D139">
        <v>44.258488</v>
      </c>
      <c r="E139">
        <v>11.4145</v>
      </c>
      <c r="F139">
        <v>1227.040039</v>
      </c>
      <c r="H139" s="50">
        <f t="shared" si="21"/>
        <v>5.5669087051359641E-3</v>
      </c>
      <c r="I139" s="50">
        <f t="shared" si="22"/>
        <v>1.2924996637646241E-2</v>
      </c>
      <c r="J139" s="50">
        <f t="shared" si="23"/>
        <v>1.5387337389086972E-2</v>
      </c>
      <c r="K139" s="50">
        <f t="shared" si="24"/>
        <v>1.008804920136284E-2</v>
      </c>
      <c r="L139" s="50">
        <f t="shared" si="25"/>
        <v>-5.3822828524063577E-3</v>
      </c>
      <c r="P139" s="50">
        <f t="shared" si="20"/>
        <v>-5.3822828524063577E-3</v>
      </c>
      <c r="Q139" s="51">
        <f t="shared" si="26"/>
        <v>96.301309658687344</v>
      </c>
      <c r="R139" s="51">
        <f t="shared" si="27"/>
        <v>79.803305786902314</v>
      </c>
      <c r="T139">
        <v>134</v>
      </c>
      <c r="U139">
        <f t="shared" ca="1" si="28"/>
        <v>-4.8145895019033646E-3</v>
      </c>
      <c r="V139">
        <f t="shared" ca="1" si="29"/>
        <v>8.6041243839835193</v>
      </c>
      <c r="Y139">
        <v>134</v>
      </c>
      <c r="Z139">
        <v>7.2556615746040762</v>
      </c>
    </row>
    <row r="140" spans="1:26" x14ac:dyDescent="0.15">
      <c r="A140" s="59">
        <v>41111.75</v>
      </c>
      <c r="B140">
        <v>11.153048</v>
      </c>
      <c r="C140">
        <v>69.772552000000005</v>
      </c>
      <c r="D140">
        <v>43.587788000000003</v>
      </c>
      <c r="E140">
        <v>11.3005</v>
      </c>
      <c r="F140">
        <v>1233.6800539999999</v>
      </c>
      <c r="H140" s="50">
        <f t="shared" si="21"/>
        <v>-4.0197137700892218E-3</v>
      </c>
      <c r="I140" s="50">
        <f t="shared" si="22"/>
        <v>3.2949347278924592E-3</v>
      </c>
      <c r="J140" s="50">
        <f t="shared" si="23"/>
        <v>-1.8166987800751766E-3</v>
      </c>
      <c r="K140" s="50">
        <f t="shared" si="24"/>
        <v>1.3315997130559568E-2</v>
      </c>
      <c r="L140" s="50">
        <f t="shared" si="25"/>
        <v>3.7834917701591113E-3</v>
      </c>
      <c r="P140" s="50">
        <f t="shared" si="20"/>
        <v>3.7834917701591113E-3</v>
      </c>
      <c r="Q140" s="51">
        <f t="shared" si="26"/>
        <v>96.66566487123653</v>
      </c>
      <c r="R140" s="51">
        <f t="shared" si="27"/>
        <v>79.482519339732065</v>
      </c>
      <c r="T140">
        <v>135</v>
      </c>
      <c r="U140">
        <f t="shared" ca="1" si="28"/>
        <v>-3.626596079722497E-3</v>
      </c>
      <c r="V140">
        <f t="shared" ca="1" si="29"/>
        <v>8.5729207002231202</v>
      </c>
      <c r="Y140">
        <v>135</v>
      </c>
      <c r="Z140">
        <v>9.222604424324004</v>
      </c>
    </row>
    <row r="141" spans="1:26" x14ac:dyDescent="0.15">
      <c r="A141" s="59">
        <v>41114.75</v>
      </c>
      <c r="B141">
        <v>11.198060999999999</v>
      </c>
      <c r="C141">
        <v>69.543411000000006</v>
      </c>
      <c r="D141">
        <v>43.667118000000002</v>
      </c>
      <c r="E141">
        <v>11.151999999999999</v>
      </c>
      <c r="F141">
        <v>1229.030029</v>
      </c>
      <c r="H141" s="50">
        <f t="shared" si="21"/>
        <v>8.3181737662654234E-4</v>
      </c>
      <c r="I141" s="50">
        <f t="shared" si="22"/>
        <v>3.5201135523852873E-3</v>
      </c>
      <c r="J141" s="50">
        <f t="shared" si="23"/>
        <v>3.1478914929879724E-3</v>
      </c>
      <c r="K141" s="50">
        <f t="shared" si="24"/>
        <v>2.7597327804653318E-2</v>
      </c>
      <c r="L141" s="50">
        <f t="shared" si="25"/>
        <v>-1.7300797143972129E-3</v>
      </c>
      <c r="P141" s="50">
        <f t="shared" si="20"/>
        <v>-1.7300797143972129E-3</v>
      </c>
      <c r="Q141" s="51">
        <f t="shared" si="26"/>
        <v>96.498425565364087</v>
      </c>
      <c r="R141" s="51">
        <f t="shared" si="27"/>
        <v>79.548634280456909</v>
      </c>
      <c r="T141">
        <v>136</v>
      </c>
      <c r="U141">
        <f t="shared" ca="1" si="28"/>
        <v>1.5888321292459283E-2</v>
      </c>
      <c r="V141">
        <f t="shared" ca="1" si="29"/>
        <v>8.7091300187230392</v>
      </c>
      <c r="Y141">
        <v>136</v>
      </c>
      <c r="Z141">
        <v>6.9376223800845933</v>
      </c>
    </row>
    <row r="142" spans="1:26" x14ac:dyDescent="0.15">
      <c r="A142" s="59">
        <v>41115.75</v>
      </c>
      <c r="B142">
        <v>11.188753999999999</v>
      </c>
      <c r="C142">
        <v>69.299469000000002</v>
      </c>
      <c r="D142">
        <v>43.530090000000001</v>
      </c>
      <c r="E142">
        <v>10.852499999999999</v>
      </c>
      <c r="F142">
        <v>1231.160034</v>
      </c>
      <c r="H142" s="50">
        <f t="shared" si="21"/>
        <v>-2.1582498525214565E-2</v>
      </c>
      <c r="I142" s="50">
        <f t="shared" si="22"/>
        <v>-2.2521392523026776E-2</v>
      </c>
      <c r="J142" s="50">
        <f t="shared" si="23"/>
        <v>-1.1464220801511266E-2</v>
      </c>
      <c r="K142" s="50">
        <f t="shared" si="24"/>
        <v>-1.3453933912095038E-2</v>
      </c>
      <c r="L142" s="50">
        <f t="shared" si="25"/>
        <v>-4.5521105623975546E-3</v>
      </c>
      <c r="P142" s="50">
        <f t="shared" si="20"/>
        <v>-4.5521105623975546E-3</v>
      </c>
      <c r="Q142" s="51">
        <f t="shared" si="26"/>
        <v>96.05915406309326</v>
      </c>
      <c r="R142" s="51">
        <f t="shared" si="27"/>
        <v>77.83177599841612</v>
      </c>
      <c r="T142">
        <v>137</v>
      </c>
      <c r="U142">
        <f t="shared" ca="1" si="28"/>
        <v>-1.3543009613231721E-2</v>
      </c>
      <c r="V142">
        <f t="shared" ca="1" si="29"/>
        <v>8.5911821871565888</v>
      </c>
      <c r="Y142">
        <v>137</v>
      </c>
      <c r="Z142">
        <v>9.3620085075812369</v>
      </c>
    </row>
    <row r="143" spans="1:26" x14ac:dyDescent="0.15">
      <c r="A143" s="59">
        <v>41116.75</v>
      </c>
      <c r="B143">
        <v>11.435561999999999</v>
      </c>
      <c r="C143">
        <v>70.896148999999994</v>
      </c>
      <c r="D143">
        <v>44.034916000000003</v>
      </c>
      <c r="E143">
        <v>11.000500000000001</v>
      </c>
      <c r="F143">
        <v>1236.790039</v>
      </c>
      <c r="H143" s="50">
        <f t="shared" si="21"/>
        <v>-1.1406092689674933E-2</v>
      </c>
      <c r="I143" s="50">
        <f t="shared" si="22"/>
        <v>-1.2356990683596709E-2</v>
      </c>
      <c r="J143" s="50">
        <f t="shared" si="23"/>
        <v>-7.4772593301314968E-3</v>
      </c>
      <c r="K143" s="50">
        <f t="shared" si="24"/>
        <v>-7.2939490982639396E-2</v>
      </c>
      <c r="L143" s="50">
        <f t="shared" si="25"/>
        <v>-5.5719391515664648E-3</v>
      </c>
      <c r="P143" s="50">
        <f t="shared" si="20"/>
        <v>-5.5719391515664648E-3</v>
      </c>
      <c r="Q143" s="51">
        <f t="shared" si="26"/>
        <v>95.52391830170275</v>
      </c>
      <c r="R143" s="51">
        <f t="shared" si="27"/>
        <v>76.944019547176168</v>
      </c>
      <c r="T143">
        <v>138</v>
      </c>
      <c r="U143">
        <f t="shared" ca="1" si="28"/>
        <v>6.5209007688750856E-3</v>
      </c>
      <c r="V143">
        <f t="shared" ca="1" si="29"/>
        <v>8.6472044336863636</v>
      </c>
      <c r="Y143">
        <v>138</v>
      </c>
      <c r="Z143">
        <v>6.2459137646761036</v>
      </c>
    </row>
    <row r="144" spans="1:26" x14ac:dyDescent="0.15">
      <c r="A144" s="59">
        <v>41117.75</v>
      </c>
      <c r="B144">
        <v>11.567501999999999</v>
      </c>
      <c r="C144">
        <v>71.783173000000005</v>
      </c>
      <c r="D144">
        <v>44.366656999999996</v>
      </c>
      <c r="E144">
        <v>11.866</v>
      </c>
      <c r="F144">
        <v>1243.719971</v>
      </c>
      <c r="H144" s="50">
        <f t="shared" si="21"/>
        <v>-6.1350262528947425E-3</v>
      </c>
      <c r="I144" s="50">
        <f t="shared" si="22"/>
        <v>6.7385530555535743E-3</v>
      </c>
      <c r="J144" s="50">
        <f t="shared" si="23"/>
        <v>-8.3817168286682651E-3</v>
      </c>
      <c r="K144" s="50">
        <f t="shared" si="24"/>
        <v>5.2098775890549176E-3</v>
      </c>
      <c r="L144" s="50">
        <f t="shared" si="25"/>
        <v>7.7297611228450951E-3</v>
      </c>
      <c r="P144" s="50">
        <f t="shared" si="20"/>
        <v>7.7297611228450951E-3</v>
      </c>
      <c r="Q144" s="51">
        <f t="shared" si="26"/>
        <v>96.262295371693085</v>
      </c>
      <c r="R144" s="51">
        <f t="shared" si="27"/>
        <v>76.471965967250995</v>
      </c>
      <c r="T144">
        <v>139</v>
      </c>
      <c r="U144">
        <f t="shared" ca="1" si="28"/>
        <v>-1.5245346834720988E-2</v>
      </c>
      <c r="V144">
        <f t="shared" ca="1" si="29"/>
        <v>8.515374802944077</v>
      </c>
      <c r="Y144">
        <v>139</v>
      </c>
      <c r="Z144">
        <v>9.4764173275606449</v>
      </c>
    </row>
    <row r="145" spans="1:26" x14ac:dyDescent="0.15">
      <c r="A145" s="59">
        <v>41118.75</v>
      </c>
      <c r="B145">
        <v>11.638907</v>
      </c>
      <c r="C145">
        <v>71.302695999999997</v>
      </c>
      <c r="D145">
        <v>44.741669000000002</v>
      </c>
      <c r="E145">
        <v>11.804500000000001</v>
      </c>
      <c r="F145">
        <v>1234.1800539999999</v>
      </c>
      <c r="H145" s="50">
        <f t="shared" si="21"/>
        <v>7.3893407852522706E-3</v>
      </c>
      <c r="I145" s="50">
        <f t="shared" si="22"/>
        <v>2.9113570578118714E-3</v>
      </c>
      <c r="J145" s="50">
        <f t="shared" si="23"/>
        <v>2.2918159128760478E-2</v>
      </c>
      <c r="K145" s="50">
        <f t="shared" si="24"/>
        <v>1.1958851264466502E-2</v>
      </c>
      <c r="L145" s="50">
        <f t="shared" si="25"/>
        <v>-9.4703689054027418E-4</v>
      </c>
      <c r="P145" s="50">
        <f t="shared" si="20"/>
        <v>-9.4703689054027418E-4</v>
      </c>
      <c r="Q145" s="51">
        <f t="shared" si="26"/>
        <v>96.171131426808003</v>
      </c>
      <c r="R145" s="51">
        <f t="shared" si="27"/>
        <v>77.037043384301228</v>
      </c>
      <c r="T145">
        <v>140</v>
      </c>
      <c r="U145">
        <f t="shared" ca="1" si="28"/>
        <v>-3.3098902758931939E-3</v>
      </c>
      <c r="V145">
        <f t="shared" ca="1" si="29"/>
        <v>8.4871898466882261</v>
      </c>
      <c r="Y145">
        <v>140</v>
      </c>
      <c r="Z145">
        <v>6.5331353088478767</v>
      </c>
    </row>
    <row r="146" spans="1:26" x14ac:dyDescent="0.15">
      <c r="A146" s="59">
        <v>41121.75</v>
      </c>
      <c r="B146">
        <v>11.553534000000001</v>
      </c>
      <c r="C146">
        <v>71.095710999999994</v>
      </c>
      <c r="D146">
        <v>43.739246000000001</v>
      </c>
      <c r="E146">
        <v>11.664999999999999</v>
      </c>
      <c r="F146">
        <v>1235.349976</v>
      </c>
      <c r="H146" s="50">
        <f t="shared" si="21"/>
        <v>1.1002290729223438E-2</v>
      </c>
      <c r="I146" s="50">
        <f t="shared" si="22"/>
        <v>2.5013423893854238E-3</v>
      </c>
      <c r="J146" s="50">
        <f t="shared" si="23"/>
        <v>4.9517816600992118E-4</v>
      </c>
      <c r="K146" s="50">
        <f t="shared" si="24"/>
        <v>5.2134947649618108E-3</v>
      </c>
      <c r="L146" s="50">
        <f t="shared" si="25"/>
        <v>-7.0491745452576282E-3</v>
      </c>
      <c r="P146" s="50">
        <f t="shared" si="20"/>
        <v>-7.0491745452576282E-3</v>
      </c>
      <c r="Q146" s="51">
        <f t="shared" si="26"/>
        <v>95.493204335165515</v>
      </c>
      <c r="R146" s="51">
        <f t="shared" si="27"/>
        <v>77.884627332535118</v>
      </c>
      <c r="T146">
        <v>141</v>
      </c>
      <c r="U146">
        <f t="shared" ca="1" si="28"/>
        <v>-1.2096379929210229E-2</v>
      </c>
      <c r="V146">
        <f t="shared" ca="1" si="29"/>
        <v>8.3845255737713504</v>
      </c>
      <c r="Y146">
        <v>141</v>
      </c>
      <c r="Z146">
        <v>6.6269452879817958</v>
      </c>
    </row>
    <row r="147" spans="1:26" x14ac:dyDescent="0.15">
      <c r="A147" s="59">
        <v>41122.75</v>
      </c>
      <c r="B147">
        <v>11.427802</v>
      </c>
      <c r="C147">
        <v>70.918319999999994</v>
      </c>
      <c r="D147">
        <v>43.717598000000002</v>
      </c>
      <c r="E147">
        <v>11.6045</v>
      </c>
      <c r="F147">
        <v>1244.119995</v>
      </c>
      <c r="H147" s="50">
        <f t="shared" si="21"/>
        <v>-5.8063204426657402E-3</v>
      </c>
      <c r="I147" s="50">
        <f t="shared" si="22"/>
        <v>2.5078415371877954E-3</v>
      </c>
      <c r="J147" s="50">
        <f t="shared" si="23"/>
        <v>-2.1784853385753485E-2</v>
      </c>
      <c r="K147" s="50">
        <f t="shared" si="24"/>
        <v>5.5456869286426118E-3</v>
      </c>
      <c r="L147" s="50">
        <f t="shared" si="25"/>
        <v>-7.3896739958574274E-4</v>
      </c>
      <c r="P147" s="50">
        <f t="shared" si="20"/>
        <v>-7.3896739958574274E-4</v>
      </c>
      <c r="Q147" s="51">
        <f t="shared" si="26"/>
        <v>95.422637970279837</v>
      </c>
      <c r="R147" s="51">
        <f t="shared" si="27"/>
        <v>77.432404228684817</v>
      </c>
      <c r="T147">
        <v>142</v>
      </c>
      <c r="U147">
        <f t="shared" ca="1" si="28"/>
        <v>1.6262355313999258E-3</v>
      </c>
      <c r="V147">
        <f t="shared" ca="1" si="29"/>
        <v>8.3981607871733477</v>
      </c>
      <c r="Y147">
        <v>142</v>
      </c>
      <c r="Z147">
        <v>6.8693078614588288</v>
      </c>
    </row>
    <row r="148" spans="1:26" x14ac:dyDescent="0.15">
      <c r="A148" s="59">
        <v>41123.75</v>
      </c>
      <c r="B148">
        <v>11.494543</v>
      </c>
      <c r="C148">
        <v>70.740913000000006</v>
      </c>
      <c r="D148">
        <v>44.691189000000001</v>
      </c>
      <c r="E148">
        <v>11.5405</v>
      </c>
      <c r="F148">
        <v>1245.040039</v>
      </c>
      <c r="H148" s="50">
        <f t="shared" si="21"/>
        <v>-6.7072180128861028E-3</v>
      </c>
      <c r="I148" s="50">
        <f t="shared" si="22"/>
        <v>-1.5533234954726515E-2</v>
      </c>
      <c r="J148" s="50">
        <f t="shared" si="23"/>
        <v>-6.2540733271147257E-3</v>
      </c>
      <c r="K148" s="50">
        <f t="shared" si="24"/>
        <v>-1.7704387794186507E-2</v>
      </c>
      <c r="L148" s="50">
        <f t="shared" si="25"/>
        <v>7.4280696125944455E-3</v>
      </c>
      <c r="P148" s="50">
        <f t="shared" si="20"/>
        <v>7.4280696125944455E-3</v>
      </c>
      <c r="Q148" s="51">
        <f t="shared" si="26"/>
        <v>96.131443967740466</v>
      </c>
      <c r="R148" s="51">
        <f t="shared" si="27"/>
        <v>76.913048212261103</v>
      </c>
      <c r="T148">
        <v>143</v>
      </c>
      <c r="U148">
        <f t="shared" ca="1" si="28"/>
        <v>-1.5309668298466771E-2</v>
      </c>
      <c r="V148">
        <f t="shared" ca="1" si="29"/>
        <v>8.2695877312045329</v>
      </c>
      <c r="Y148">
        <v>143</v>
      </c>
      <c r="Z148">
        <v>7.6833549952398688</v>
      </c>
    </row>
    <row r="149" spans="1:26" x14ac:dyDescent="0.15">
      <c r="A149" s="59">
        <v>41124.75</v>
      </c>
      <c r="B149">
        <v>11.57216</v>
      </c>
      <c r="C149">
        <v>71.857085999999995</v>
      </c>
      <c r="D149">
        <v>44.972450000000002</v>
      </c>
      <c r="E149">
        <v>11.7485</v>
      </c>
      <c r="F149">
        <v>1235.8599850000001</v>
      </c>
      <c r="H149" s="50">
        <f t="shared" si="21"/>
        <v>3.634612669350105E-3</v>
      </c>
      <c r="I149" s="50">
        <f t="shared" si="22"/>
        <v>7.3573715614929872E-3</v>
      </c>
      <c r="J149" s="50">
        <f t="shared" si="23"/>
        <v>-4.8072990935684671E-4</v>
      </c>
      <c r="K149" s="50">
        <f t="shared" si="24"/>
        <v>4.188213171503012E-3</v>
      </c>
      <c r="L149" s="50">
        <f t="shared" si="25"/>
        <v>7.6971515967820319E-3</v>
      </c>
      <c r="P149" s="50">
        <f t="shared" si="20"/>
        <v>7.6971515967820319E-3</v>
      </c>
      <c r="Q149" s="51">
        <f t="shared" si="26"/>
        <v>96.871382265177729</v>
      </c>
      <c r="R149" s="51">
        <f t="shared" si="27"/>
        <v>77.19259735173172</v>
      </c>
      <c r="T149">
        <v>144</v>
      </c>
      <c r="U149">
        <f t="shared" ca="1" si="28"/>
        <v>-2.7942298196255658E-3</v>
      </c>
      <c r="V149">
        <f t="shared" ca="1" si="29"/>
        <v>8.2464806025699922</v>
      </c>
      <c r="Y149">
        <v>144</v>
      </c>
      <c r="Z149">
        <v>8.3486570649621701</v>
      </c>
    </row>
    <row r="150" spans="1:26" x14ac:dyDescent="0.15">
      <c r="A150" s="59">
        <v>41125.75</v>
      </c>
      <c r="B150">
        <v>11.530252000000001</v>
      </c>
      <c r="C150">
        <v>71.332267999999999</v>
      </c>
      <c r="D150">
        <v>44.994079999999997</v>
      </c>
      <c r="E150">
        <v>11.6995</v>
      </c>
      <c r="F150">
        <v>1226.420044</v>
      </c>
      <c r="H150" s="50">
        <f t="shared" si="21"/>
        <v>3.9195541057715768E-3</v>
      </c>
      <c r="I150" s="50">
        <f t="shared" si="22"/>
        <v>7.3070722668937297E-3</v>
      </c>
      <c r="J150" s="50">
        <f t="shared" si="23"/>
        <v>-3.9908916485956302E-3</v>
      </c>
      <c r="K150" s="50">
        <f t="shared" si="24"/>
        <v>-1.0864051403449353E-2</v>
      </c>
      <c r="L150" s="50">
        <f t="shared" si="25"/>
        <v>2.6898522532770169E-3</v>
      </c>
      <c r="P150" s="50">
        <f t="shared" si="20"/>
        <v>2.6898522532770169E-3</v>
      </c>
      <c r="Q150" s="51">
        <f t="shared" si="26"/>
        <v>97.131951971041772</v>
      </c>
      <c r="R150" s="51">
        <f t="shared" si="27"/>
        <v>77.495157913616865</v>
      </c>
      <c r="T150">
        <v>145</v>
      </c>
      <c r="U150">
        <f t="shared" ca="1" si="28"/>
        <v>7.3172080992994952E-3</v>
      </c>
      <c r="V150">
        <f t="shared" ca="1" si="29"/>
        <v>8.3068218172258348</v>
      </c>
      <c r="Y150">
        <v>145</v>
      </c>
      <c r="Z150">
        <v>10.316788941341315</v>
      </c>
    </row>
    <row r="151" spans="1:26" x14ac:dyDescent="0.15">
      <c r="A151" s="59">
        <v>41128.75</v>
      </c>
      <c r="B151">
        <v>11.485234999999999</v>
      </c>
      <c r="C151">
        <v>70.814819</v>
      </c>
      <c r="D151">
        <v>45.174365999999999</v>
      </c>
      <c r="E151">
        <v>11.827999999999999</v>
      </c>
      <c r="F151">
        <v>1223.130005</v>
      </c>
      <c r="H151" s="50">
        <f t="shared" si="21"/>
        <v>-2.0353958448163328E-2</v>
      </c>
      <c r="I151" s="50">
        <f t="shared" si="22"/>
        <v>-1.0978289469145747E-3</v>
      </c>
      <c r="J151" s="50">
        <f t="shared" si="23"/>
        <v>-4.7664809018231613E-3</v>
      </c>
      <c r="K151" s="50">
        <f t="shared" si="24"/>
        <v>9.3011349091219383E-3</v>
      </c>
      <c r="L151" s="50">
        <f t="shared" si="25"/>
        <v>-6.6998001969343331E-3</v>
      </c>
      <c r="P151" s="50">
        <f t="shared" si="20"/>
        <v>-6.6998001969343331E-3</v>
      </c>
      <c r="Q151" s="51">
        <f t="shared" si="26"/>
        <v>96.481187300097574</v>
      </c>
      <c r="R151" s="51">
        <f t="shared" si="27"/>
        <v>75.917824689509246</v>
      </c>
      <c r="T151">
        <v>146</v>
      </c>
      <c r="U151">
        <f t="shared" ca="1" si="28"/>
        <v>-6.7636482444650573E-3</v>
      </c>
      <c r="V151">
        <f t="shared" ca="1" si="29"/>
        <v>8.250637396424672</v>
      </c>
      <c r="Y151">
        <v>146</v>
      </c>
      <c r="Z151">
        <v>7.4484998872924759</v>
      </c>
    </row>
    <row r="152" spans="1:26" x14ac:dyDescent="0.15">
      <c r="A152" s="59">
        <v>41129.75</v>
      </c>
      <c r="B152">
        <v>11.723862</v>
      </c>
      <c r="C152">
        <v>70.892646999999997</v>
      </c>
      <c r="D152">
        <v>45.390720000000002</v>
      </c>
      <c r="E152">
        <v>11.718999999999999</v>
      </c>
      <c r="F152">
        <v>1231.380005</v>
      </c>
      <c r="H152" s="50">
        <f t="shared" si="21"/>
        <v>6.2291846975835478E-3</v>
      </c>
      <c r="I152" s="50">
        <f t="shared" si="22"/>
        <v>2.7262981341216654E-3</v>
      </c>
      <c r="J152" s="50">
        <f t="shared" si="23"/>
        <v>3.9880408982717027E-3</v>
      </c>
      <c r="K152" s="50">
        <f t="shared" si="24"/>
        <v>1.3671708109031886E-3</v>
      </c>
      <c r="L152" s="50">
        <f t="shared" si="25"/>
        <v>1.8305630737571979E-3</v>
      </c>
      <c r="P152" s="50">
        <f t="shared" si="20"/>
        <v>1.8305630737571979E-3</v>
      </c>
      <c r="Q152" s="51">
        <f t="shared" si="26"/>
        <v>96.657802198881384</v>
      </c>
      <c r="R152" s="51">
        <f t="shared" si="27"/>
        <v>76.390730841338964</v>
      </c>
      <c r="T152">
        <v>147</v>
      </c>
      <c r="U152">
        <f t="shared" ca="1" si="28"/>
        <v>-2.1194839634072784E-2</v>
      </c>
      <c r="V152">
        <f t="shared" ca="1" si="29"/>
        <v>8.0757664599285679</v>
      </c>
      <c r="Y152">
        <v>147</v>
      </c>
      <c r="Z152">
        <v>11.978518046349077</v>
      </c>
    </row>
    <row r="153" spans="1:26" x14ac:dyDescent="0.15">
      <c r="A153" s="59">
        <v>41130.75</v>
      </c>
      <c r="B153">
        <v>11.651284</v>
      </c>
      <c r="C153">
        <v>70.699898000000005</v>
      </c>
      <c r="D153">
        <v>45.210419000000002</v>
      </c>
      <c r="E153">
        <v>11.702999999999999</v>
      </c>
      <c r="F153">
        <v>1229.130005</v>
      </c>
      <c r="H153" s="50">
        <f t="shared" si="21"/>
        <v>2.307461825541869E-3</v>
      </c>
      <c r="I153" s="50">
        <f t="shared" si="22"/>
        <v>7.3413225814802929E-4</v>
      </c>
      <c r="J153" s="50">
        <f t="shared" si="23"/>
        <v>-2.3872094559664473E-3</v>
      </c>
      <c r="K153" s="50">
        <f t="shared" si="24"/>
        <v>5.6283566058002252E-3</v>
      </c>
      <c r="L153" s="50">
        <f t="shared" si="25"/>
        <v>-7.012428067527869E-3</v>
      </c>
      <c r="P153" s="50">
        <f t="shared" si="20"/>
        <v>-7.012428067527869E-3</v>
      </c>
      <c r="Q153" s="51">
        <f t="shared" si="26"/>
        <v>95.979996313796391</v>
      </c>
      <c r="R153" s="51">
        <f t="shared" si="27"/>
        <v>76.566999536580596</v>
      </c>
      <c r="T153">
        <v>148</v>
      </c>
      <c r="U153">
        <f t="shared" ca="1" si="28"/>
        <v>8.4459852489738793E-3</v>
      </c>
      <c r="V153">
        <f t="shared" ca="1" si="29"/>
        <v>8.1439742643232815</v>
      </c>
      <c r="Y153">
        <v>148</v>
      </c>
      <c r="Z153">
        <v>6.6489436708650862</v>
      </c>
    </row>
    <row r="154" spans="1:26" x14ac:dyDescent="0.15">
      <c r="A154" s="59">
        <v>41131.75</v>
      </c>
      <c r="B154">
        <v>11.624461</v>
      </c>
      <c r="C154">
        <v>70.648032999999998</v>
      </c>
      <c r="D154">
        <v>45.318604000000001</v>
      </c>
      <c r="E154">
        <v>11.637499999999999</v>
      </c>
      <c r="F154">
        <v>1237.8100589999999</v>
      </c>
      <c r="H154" s="50">
        <f t="shared" si="21"/>
        <v>3.814499259431258E-3</v>
      </c>
      <c r="I154" s="50">
        <f t="shared" si="22"/>
        <v>-3.4504847872304525E-3</v>
      </c>
      <c r="J154" s="50">
        <f t="shared" si="23"/>
        <v>-4.7996965882460014E-4</v>
      </c>
      <c r="K154" s="50">
        <f t="shared" si="24"/>
        <v>1.3336775081741012E-3</v>
      </c>
      <c r="L154" s="50">
        <f t="shared" si="25"/>
        <v>6.030643868643523E-3</v>
      </c>
      <c r="P154" s="50">
        <f t="shared" si="20"/>
        <v>6.030643868643523E-3</v>
      </c>
      <c r="Q154" s="51">
        <f t="shared" si="26"/>
        <v>96.55881749007861</v>
      </c>
      <c r="R154" s="51">
        <f t="shared" si="27"/>
        <v>76.859064299609756</v>
      </c>
      <c r="T154">
        <v>149</v>
      </c>
      <c r="U154">
        <f t="shared" ca="1" si="28"/>
        <v>5.1856704357493323E-3</v>
      </c>
      <c r="V154">
        <f t="shared" ca="1" si="29"/>
        <v>8.1862062308952872</v>
      </c>
      <c r="Y154">
        <v>149</v>
      </c>
      <c r="Z154">
        <v>7.2186112039224133</v>
      </c>
    </row>
    <row r="155" spans="1:26" x14ac:dyDescent="0.15">
      <c r="A155" s="59">
        <v>41132.75</v>
      </c>
      <c r="B155">
        <v>11.580287999999999</v>
      </c>
      <c r="C155">
        <v>70.892646999999997</v>
      </c>
      <c r="D155">
        <v>45.340366000000003</v>
      </c>
      <c r="E155">
        <v>11.622</v>
      </c>
      <c r="F155">
        <v>1230.3900149999999</v>
      </c>
      <c r="H155" s="50">
        <f t="shared" si="21"/>
        <v>-8.242091162894637E-3</v>
      </c>
      <c r="I155" s="50">
        <f t="shared" si="22"/>
        <v>-4.1845779872563528E-4</v>
      </c>
      <c r="J155" s="50">
        <f t="shared" si="23"/>
        <v>-1.3726686293506632E-2</v>
      </c>
      <c r="K155" s="50">
        <f t="shared" si="24"/>
        <v>-3.2162614177280026E-3</v>
      </c>
      <c r="L155" s="50">
        <f t="shared" si="25"/>
        <v>-2.8203781712027682E-3</v>
      </c>
      <c r="P155" s="50">
        <f t="shared" si="20"/>
        <v>-2.8203781712027682E-3</v>
      </c>
      <c r="Q155" s="51">
        <f t="shared" si="26"/>
        <v>96.286485108992437</v>
      </c>
      <c r="R155" s="51">
        <f t="shared" si="27"/>
        <v>76.225584884957584</v>
      </c>
      <c r="T155">
        <v>150</v>
      </c>
      <c r="U155">
        <f t="shared" ca="1" si="28"/>
        <v>2.0365666853501618E-2</v>
      </c>
      <c r="V155">
        <f t="shared" ca="1" si="29"/>
        <v>8.3529237797877602</v>
      </c>
      <c r="Y155">
        <v>150</v>
      </c>
      <c r="Z155">
        <v>8.9568760536846046</v>
      </c>
    </row>
    <row r="156" spans="1:26" x14ac:dyDescent="0.15">
      <c r="A156" s="59">
        <v>41135.75</v>
      </c>
      <c r="B156">
        <v>11.676527</v>
      </c>
      <c r="C156">
        <v>70.922325000000001</v>
      </c>
      <c r="D156">
        <v>45.971401</v>
      </c>
      <c r="E156">
        <v>11.6595</v>
      </c>
      <c r="F156">
        <v>1233.869995</v>
      </c>
      <c r="H156" s="50">
        <f t="shared" si="21"/>
        <v>-5.909869824000491E-3</v>
      </c>
      <c r="I156" s="50">
        <f t="shared" si="22"/>
        <v>-8.2924975871618897E-3</v>
      </c>
      <c r="J156" s="50">
        <f t="shared" si="23"/>
        <v>-1.7364291820188612E-2</v>
      </c>
      <c r="K156" s="50">
        <f t="shared" si="24"/>
        <v>-1.7816527672479227E-2</v>
      </c>
      <c r="L156" s="50">
        <f t="shared" si="25"/>
        <v>1.1916306694731938E-2</v>
      </c>
      <c r="P156" s="50">
        <f t="shared" si="20"/>
        <v>1.1916306694731938E-2</v>
      </c>
      <c r="Q156" s="51">
        <f t="shared" si="26"/>
        <v>97.43386439610893</v>
      </c>
      <c r="R156" s="51">
        <f t="shared" si="27"/>
        <v>75.775101601029178</v>
      </c>
      <c r="T156">
        <v>151</v>
      </c>
      <c r="U156">
        <f t="shared" ca="1" si="28"/>
        <v>2.3218556674702859E-3</v>
      </c>
      <c r="V156">
        <f t="shared" ca="1" si="29"/>
        <v>8.3723180632058067</v>
      </c>
      <c r="Y156">
        <v>151</v>
      </c>
      <c r="Z156">
        <v>7.4582447777370104</v>
      </c>
    </row>
    <row r="157" spans="1:26" x14ac:dyDescent="0.15">
      <c r="A157" s="59">
        <v>41136.75</v>
      </c>
      <c r="B157">
        <v>11.745944</v>
      </c>
      <c r="C157">
        <v>71.515366</v>
      </c>
      <c r="D157">
        <v>46.783768000000002</v>
      </c>
      <c r="E157">
        <v>11.871</v>
      </c>
      <c r="F157">
        <v>1219.339966</v>
      </c>
      <c r="H157" s="50">
        <f t="shared" si="21"/>
        <v>3.1877669642604606E-2</v>
      </c>
      <c r="I157" s="50">
        <f t="shared" si="22"/>
        <v>-1.0378510267549611E-4</v>
      </c>
      <c r="J157" s="50">
        <f t="shared" si="23"/>
        <v>9.2317202688491449E-3</v>
      </c>
      <c r="K157" s="50">
        <f t="shared" si="24"/>
        <v>-1.7097909335541304E-2</v>
      </c>
      <c r="L157" s="50">
        <f t="shared" si="25"/>
        <v>-7.3757949860341022E-4</v>
      </c>
      <c r="P157" s="50">
        <f t="shared" si="20"/>
        <v>-7.3757949860341022E-4</v>
      </c>
      <c r="Q157" s="51">
        <f t="shared" si="26"/>
        <v>97.36199917526065</v>
      </c>
      <c r="R157" s="51">
        <f t="shared" si="27"/>
        <v>78.190635257001588</v>
      </c>
      <c r="T157">
        <v>152</v>
      </c>
      <c r="U157">
        <f t="shared" ca="1" si="28"/>
        <v>4.037353173729448E-3</v>
      </c>
      <c r="V157">
        <f t="shared" ca="1" si="29"/>
        <v>8.4061200681097628</v>
      </c>
      <c r="Y157">
        <v>152</v>
      </c>
      <c r="Z157">
        <v>8.6242824784815664</v>
      </c>
    </row>
    <row r="158" spans="1:26" x14ac:dyDescent="0.15">
      <c r="A158" s="59">
        <v>41137.75</v>
      </c>
      <c r="B158">
        <v>11.383077999999999</v>
      </c>
      <c r="C158">
        <v>71.522789000000003</v>
      </c>
      <c r="D158">
        <v>46.355823999999998</v>
      </c>
      <c r="E158">
        <v>12.077500000000001</v>
      </c>
      <c r="F158">
        <v>1220.23999</v>
      </c>
      <c r="H158" s="50">
        <f t="shared" si="21"/>
        <v>2.2225186402161754E-3</v>
      </c>
      <c r="I158" s="50">
        <f t="shared" si="22"/>
        <v>3.5364440702346203E-3</v>
      </c>
      <c r="J158" s="50">
        <f t="shared" si="23"/>
        <v>-3.5861019895702642E-3</v>
      </c>
      <c r="K158" s="50">
        <f t="shared" si="24"/>
        <v>1.5756520296886119E-3</v>
      </c>
      <c r="L158" s="50">
        <f t="shared" si="25"/>
        <v>1.0007792981120221E-3</v>
      </c>
      <c r="P158" s="50">
        <f t="shared" si="20"/>
        <v>1.0007792981120221E-3</v>
      </c>
      <c r="Q158" s="51">
        <f t="shared" si="26"/>
        <v>97.459437048458042</v>
      </c>
      <c r="R158" s="51">
        <f t="shared" si="27"/>
        <v>78.364415401350627</v>
      </c>
      <c r="T158">
        <v>153</v>
      </c>
      <c r="U158">
        <f t="shared" ca="1" si="28"/>
        <v>-1.0086247426419427E-2</v>
      </c>
      <c r="V158">
        <f t="shared" ca="1" si="29"/>
        <v>8.3213338612066181</v>
      </c>
      <c r="Y158">
        <v>153</v>
      </c>
      <c r="Z158">
        <v>5.4825957679773056</v>
      </c>
    </row>
    <row r="159" spans="1:26" x14ac:dyDescent="0.15">
      <c r="A159" s="59">
        <v>41138.75</v>
      </c>
      <c r="B159">
        <v>11.357835</v>
      </c>
      <c r="C159">
        <v>71.270743999999993</v>
      </c>
      <c r="D159">
        <v>46.522658999999997</v>
      </c>
      <c r="E159">
        <v>12.0585</v>
      </c>
      <c r="F159">
        <v>1219.0200199999999</v>
      </c>
      <c r="H159" s="50">
        <f t="shared" si="21"/>
        <v>-4.2879012121423907E-3</v>
      </c>
      <c r="I159" s="50">
        <f t="shared" si="22"/>
        <v>1.2498423402685897E-3</v>
      </c>
      <c r="J159" s="50">
        <f t="shared" si="23"/>
        <v>7.8571536426157891E-3</v>
      </c>
      <c r="K159" s="50">
        <f t="shared" si="24"/>
        <v>3.4116912835448613E-3</v>
      </c>
      <c r="L159" s="50">
        <f t="shared" si="25"/>
        <v>-5.6565988805603424E-4</v>
      </c>
      <c r="P159" s="50">
        <f t="shared" si="20"/>
        <v>-5.6565988805603424E-4</v>
      </c>
      <c r="Q159" s="51">
        <f t="shared" si="26"/>
        <v>97.404308154207214</v>
      </c>
      <c r="R159" s="51">
        <f t="shared" si="27"/>
        <v>78.028396529562343</v>
      </c>
      <c r="T159">
        <v>154</v>
      </c>
      <c r="U159">
        <f t="shared" ca="1" si="28"/>
        <v>-2.2097784279824428E-3</v>
      </c>
      <c r="V159">
        <f t="shared" ca="1" si="29"/>
        <v>8.3029455571480835</v>
      </c>
      <c r="Y159">
        <v>154</v>
      </c>
      <c r="Z159">
        <v>7.8316101672227214</v>
      </c>
    </row>
    <row r="160" spans="1:26" x14ac:dyDescent="0.15">
      <c r="A160" s="59">
        <v>41139.75</v>
      </c>
      <c r="B160">
        <v>11.406746</v>
      </c>
      <c r="C160">
        <v>71.181777999999994</v>
      </c>
      <c r="D160">
        <v>46.159973000000001</v>
      </c>
      <c r="E160">
        <v>12.0175</v>
      </c>
      <c r="F160">
        <v>1219.709961</v>
      </c>
      <c r="H160" s="50">
        <f t="shared" si="21"/>
        <v>1.218006185376923E-2</v>
      </c>
      <c r="I160" s="50">
        <f t="shared" si="22"/>
        <v>7.66086249821454E-3</v>
      </c>
      <c r="J160" s="50">
        <f t="shared" si="23"/>
        <v>-7.6412314818350069E-3</v>
      </c>
      <c r="K160" s="50">
        <f t="shared" si="24"/>
        <v>3.7586134892461831E-3</v>
      </c>
      <c r="L160" s="50">
        <f t="shared" si="25"/>
        <v>-1.6534087180213482E-3</v>
      </c>
      <c r="P160" s="50">
        <f t="shared" si="20"/>
        <v>-1.6534087180213482E-3</v>
      </c>
      <c r="Q160" s="51">
        <f t="shared" si="26"/>
        <v>97.243259021932218</v>
      </c>
      <c r="R160" s="51">
        <f t="shared" si="27"/>
        <v>78.978787225642847</v>
      </c>
      <c r="T160">
        <v>155</v>
      </c>
      <c r="U160">
        <f t="shared" ca="1" si="28"/>
        <v>-5.9564232828471361E-3</v>
      </c>
      <c r="V160">
        <f t="shared" ca="1" si="29"/>
        <v>8.2534896989152742</v>
      </c>
      <c r="Y160">
        <v>155</v>
      </c>
      <c r="Z160">
        <v>13.680509099075111</v>
      </c>
    </row>
    <row r="161" spans="1:26" x14ac:dyDescent="0.15">
      <c r="A161" s="59">
        <v>41142.75</v>
      </c>
      <c r="B161">
        <v>11.269482999999999</v>
      </c>
      <c r="C161">
        <v>70.640609999999995</v>
      </c>
      <c r="D161">
        <v>46.515408000000001</v>
      </c>
      <c r="E161">
        <v>11.9725</v>
      </c>
      <c r="F161">
        <v>1221.7299800000001</v>
      </c>
      <c r="H161" s="50">
        <f t="shared" si="21"/>
        <v>-4.7373847767290369E-3</v>
      </c>
      <c r="I161" s="50">
        <f t="shared" si="22"/>
        <v>-2.5122945581741323E-3</v>
      </c>
      <c r="J161" s="50">
        <f t="shared" si="23"/>
        <v>7.06655095949121E-3</v>
      </c>
      <c r="K161" s="50">
        <f t="shared" si="24"/>
        <v>-1.501439736733848E-2</v>
      </c>
      <c r="L161" s="50">
        <f t="shared" si="25"/>
        <v>3.4001709242075543E-3</v>
      </c>
      <c r="P161" s="50">
        <f t="shared" si="20"/>
        <v>3.4001709242075543E-3</v>
      </c>
      <c r="Q161" s="51">
        <f t="shared" si="26"/>
        <v>97.573902723833768</v>
      </c>
      <c r="R161" s="51">
        <f t="shared" si="27"/>
        <v>78.604634321355562</v>
      </c>
      <c r="T161">
        <v>156</v>
      </c>
      <c r="U161">
        <f t="shared" ca="1" si="28"/>
        <v>1.2122805024061734E-2</v>
      </c>
      <c r="V161">
        <f t="shared" ca="1" si="29"/>
        <v>8.3535451453033271</v>
      </c>
      <c r="Y161">
        <v>156</v>
      </c>
      <c r="Z161">
        <v>10.985526456737047</v>
      </c>
    </row>
    <row r="162" spans="1:26" x14ac:dyDescent="0.15">
      <c r="A162" s="59">
        <v>41143.75</v>
      </c>
      <c r="B162">
        <v>11.323124999999999</v>
      </c>
      <c r="C162">
        <v>70.818527000000003</v>
      </c>
      <c r="D162">
        <v>46.189011000000001</v>
      </c>
      <c r="E162">
        <v>12.154999999999999</v>
      </c>
      <c r="F162">
        <v>1217.589966</v>
      </c>
      <c r="H162" s="50">
        <f t="shared" si="21"/>
        <v>2.9349895735061339E-3</v>
      </c>
      <c r="I162" s="50">
        <f t="shared" si="22"/>
        <v>8.3386442361470681E-3</v>
      </c>
      <c r="J162" s="50">
        <f t="shared" si="23"/>
        <v>1.0954193536101962E-2</v>
      </c>
      <c r="K162" s="50">
        <f t="shared" si="24"/>
        <v>7.877280265339872E-3</v>
      </c>
      <c r="L162" s="50">
        <f t="shared" si="25"/>
        <v>6.613811477334957E-3</v>
      </c>
      <c r="P162" s="50">
        <f t="shared" si="20"/>
        <v>6.613811477334957E-3</v>
      </c>
      <c r="Q162" s="51">
        <f t="shared" si="26"/>
        <v>98.219238121557012</v>
      </c>
      <c r="R162" s="51">
        <f t="shared" si="27"/>
        <v>78.835338103518012</v>
      </c>
      <c r="T162">
        <v>157</v>
      </c>
      <c r="U162">
        <f t="shared" ca="1" si="28"/>
        <v>3.3940540974496808E-3</v>
      </c>
      <c r="V162">
        <f t="shared" ca="1" si="29"/>
        <v>8.381897529431976</v>
      </c>
      <c r="Y162">
        <v>157</v>
      </c>
      <c r="Z162">
        <v>7.6337601618450304</v>
      </c>
    </row>
    <row r="163" spans="1:26" x14ac:dyDescent="0.15">
      <c r="A163" s="59">
        <v>41144.75</v>
      </c>
      <c r="B163">
        <v>11.289989</v>
      </c>
      <c r="C163">
        <v>70.232879999999994</v>
      </c>
      <c r="D163">
        <v>45.68853</v>
      </c>
      <c r="E163">
        <v>12.06</v>
      </c>
      <c r="F163">
        <v>1209.589966</v>
      </c>
      <c r="H163" s="50">
        <f t="shared" si="21"/>
        <v>-7.6273885966166993E-3</v>
      </c>
      <c r="I163" s="50">
        <f t="shared" si="22"/>
        <v>-1.5688452985396385E-2</v>
      </c>
      <c r="J163" s="50">
        <f t="shared" si="23"/>
        <v>-1.099069515564015E-2</v>
      </c>
      <c r="K163" s="50">
        <f t="shared" si="24"/>
        <v>-1.8474810775616531E-2</v>
      </c>
      <c r="L163" s="50">
        <f t="shared" si="25"/>
        <v>-2.2930532852720536E-3</v>
      </c>
      <c r="P163" s="50">
        <f t="shared" si="20"/>
        <v>-2.2930532852720536E-3</v>
      </c>
      <c r="Q163" s="51">
        <f t="shared" si="26"/>
        <v>97.994016174905454</v>
      </c>
      <c r="R163" s="51">
        <f t="shared" si="27"/>
        <v>78.234030344656816</v>
      </c>
      <c r="T163">
        <v>158</v>
      </c>
      <c r="U163">
        <f t="shared" ca="1" si="28"/>
        <v>1.191479193409546E-2</v>
      </c>
      <c r="V163">
        <f t="shared" ca="1" si="29"/>
        <v>8.4817660945080657</v>
      </c>
      <c r="Y163">
        <v>158</v>
      </c>
      <c r="Z163">
        <v>8.0089900908897675</v>
      </c>
    </row>
    <row r="164" spans="1:26" x14ac:dyDescent="0.15">
      <c r="A164" s="59">
        <v>41145.75</v>
      </c>
      <c r="B164">
        <v>11.376764</v>
      </c>
      <c r="C164">
        <v>71.352287000000004</v>
      </c>
      <c r="D164">
        <v>46.196258999999998</v>
      </c>
      <c r="E164">
        <v>12.287000000000001</v>
      </c>
      <c r="F164">
        <v>1212.369995</v>
      </c>
      <c r="H164" s="50">
        <f t="shared" si="21"/>
        <v>-5.3793856514454683E-3</v>
      </c>
      <c r="I164" s="50">
        <f t="shared" si="22"/>
        <v>-4.0355993586556763E-3</v>
      </c>
      <c r="J164" s="50">
        <f t="shared" si="23"/>
        <v>5.2082927609001638E-3</v>
      </c>
      <c r="K164" s="50">
        <f t="shared" si="24"/>
        <v>7.4614627746803115E-3</v>
      </c>
      <c r="L164" s="50">
        <f t="shared" si="25"/>
        <v>6.0327102686790262E-3</v>
      </c>
      <c r="P164" s="50">
        <f t="shared" si="20"/>
        <v>6.0327102686790262E-3</v>
      </c>
      <c r="Q164" s="51">
        <f t="shared" si="26"/>
        <v>98.585185682552904</v>
      </c>
      <c r="R164" s="51">
        <f t="shared" si="27"/>
        <v>77.813179324366018</v>
      </c>
      <c r="T164">
        <v>159</v>
      </c>
      <c r="U164">
        <f t="shared" ca="1" si="28"/>
        <v>-9.6900189226847393E-3</v>
      </c>
      <c r="V164">
        <f t="shared" ca="1" si="29"/>
        <v>8.3995776205544974</v>
      </c>
      <c r="Y164">
        <v>159</v>
      </c>
      <c r="Z164">
        <v>6.4883116318410936</v>
      </c>
    </row>
    <row r="165" spans="1:26" x14ac:dyDescent="0.15">
      <c r="A165" s="59">
        <v>41146.75</v>
      </c>
      <c r="B165">
        <v>11.438295</v>
      </c>
      <c r="C165">
        <v>71.641402999999997</v>
      </c>
      <c r="D165">
        <v>45.956901999999999</v>
      </c>
      <c r="E165">
        <v>12.196</v>
      </c>
      <c r="F165">
        <v>1205.099976</v>
      </c>
      <c r="H165" s="50">
        <f t="shared" si="21"/>
        <v>1.2433374348995853E-3</v>
      </c>
      <c r="I165" s="50">
        <f t="shared" si="22"/>
        <v>7.2457521756921458E-4</v>
      </c>
      <c r="J165" s="50">
        <f t="shared" si="23"/>
        <v>-7.0522193943725019E-3</v>
      </c>
      <c r="K165" s="50">
        <f t="shared" si="24"/>
        <v>-8.8984600381943509E-3</v>
      </c>
      <c r="L165" s="50">
        <f t="shared" si="25"/>
        <v>-5.9227677007290232E-3</v>
      </c>
      <c r="P165" s="50">
        <f t="shared" si="20"/>
        <v>-5.9227677007290232E-3</v>
      </c>
      <c r="Q165" s="51">
        <f t="shared" si="26"/>
        <v>98.001288529021906</v>
      </c>
      <c r="R165" s="51">
        <f t="shared" si="27"/>
        <v>77.909927363148569</v>
      </c>
      <c r="T165">
        <v>160</v>
      </c>
      <c r="U165">
        <f t="shared" ca="1" si="28"/>
        <v>1.0116445994673592E-2</v>
      </c>
      <c r="V165">
        <f t="shared" ca="1" si="29"/>
        <v>8.4845514939309066</v>
      </c>
      <c r="Y165">
        <v>160</v>
      </c>
      <c r="Z165">
        <v>5.3305112000483739</v>
      </c>
    </row>
    <row r="166" spans="1:26" x14ac:dyDescent="0.15">
      <c r="A166" s="59">
        <v>41149.75</v>
      </c>
      <c r="B166">
        <v>11.424091000000001</v>
      </c>
      <c r="C166">
        <v>71.589530999999994</v>
      </c>
      <c r="D166">
        <v>46.283301999999999</v>
      </c>
      <c r="E166">
        <v>12.3055</v>
      </c>
      <c r="F166">
        <v>1212.280029</v>
      </c>
      <c r="H166" s="50">
        <f t="shared" si="21"/>
        <v>-4.9477845631559492E-3</v>
      </c>
      <c r="I166" s="50">
        <f t="shared" si="22"/>
        <v>-5.5603832441759602E-3</v>
      </c>
      <c r="J166" s="50">
        <f t="shared" si="23"/>
        <v>-7.0029403960853295E-3</v>
      </c>
      <c r="K166" s="50">
        <f t="shared" si="24"/>
        <v>-4.0870831984460626E-3</v>
      </c>
      <c r="L166" s="50">
        <f t="shared" si="25"/>
        <v>3.2025511962937053E-3</v>
      </c>
      <c r="P166" s="50">
        <f t="shared" si="20"/>
        <v>3.2025511962937053E-3</v>
      </c>
      <c r="Q166" s="51">
        <f t="shared" si="26"/>
        <v>98.315142672838846</v>
      </c>
      <c r="R166" s="51">
        <f t="shared" si="27"/>
        <v>77.524445827224582</v>
      </c>
      <c r="T166">
        <v>161</v>
      </c>
      <c r="U166">
        <f t="shared" ca="1" si="28"/>
        <v>-6.6264178139409389E-3</v>
      </c>
      <c r="V166">
        <f t="shared" ca="1" si="29"/>
        <v>8.4283293107682233</v>
      </c>
      <c r="Y166">
        <v>161</v>
      </c>
      <c r="Z166">
        <v>6.1146842164167552</v>
      </c>
    </row>
    <row r="167" spans="1:26" x14ac:dyDescent="0.15">
      <c r="A167" s="59">
        <v>41150.75</v>
      </c>
      <c r="B167">
        <v>11.480896</v>
      </c>
      <c r="C167">
        <v>71.989822000000004</v>
      </c>
      <c r="D167">
        <v>46.609707</v>
      </c>
      <c r="E167">
        <v>12.356</v>
      </c>
      <c r="F167">
        <v>1208.410034</v>
      </c>
      <c r="H167" s="50">
        <f t="shared" si="21"/>
        <v>7.1976552724479894E-3</v>
      </c>
      <c r="I167" s="50">
        <f t="shared" si="22"/>
        <v>-1.5011405591366791E-2</v>
      </c>
      <c r="J167" s="50">
        <f t="shared" si="23"/>
        <v>1.5589262765266271E-3</v>
      </c>
      <c r="K167" s="50">
        <f t="shared" si="24"/>
        <v>3.6552676468199112E-3</v>
      </c>
      <c r="L167" s="50">
        <f t="shared" si="25"/>
        <v>-9.7677861150530024E-3</v>
      </c>
      <c r="P167" s="50">
        <f t="shared" si="20"/>
        <v>-9.7677861150530024E-3</v>
      </c>
      <c r="Q167" s="51">
        <f t="shared" si="26"/>
        <v>97.354821387339641</v>
      </c>
      <c r="R167" s="51">
        <f t="shared" si="27"/>
        <v>78.082440063476511</v>
      </c>
      <c r="T167">
        <v>162</v>
      </c>
      <c r="U167">
        <f t="shared" ca="1" si="28"/>
        <v>-7.9002146370903657E-3</v>
      </c>
      <c r="V167">
        <f t="shared" ca="1" si="29"/>
        <v>8.3617437001810746</v>
      </c>
      <c r="Y167">
        <v>162</v>
      </c>
      <c r="Z167">
        <v>5.7614180306976097</v>
      </c>
    </row>
    <row r="168" spans="1:26" x14ac:dyDescent="0.15">
      <c r="A168" s="59">
        <v>41151.75</v>
      </c>
      <c r="B168">
        <v>11.398851000000001</v>
      </c>
      <c r="C168">
        <v>73.086960000000005</v>
      </c>
      <c r="D168">
        <v>46.537159000000003</v>
      </c>
      <c r="E168">
        <v>12.311</v>
      </c>
      <c r="F168">
        <v>1220.329956</v>
      </c>
      <c r="H168" s="50">
        <f t="shared" si="21"/>
        <v>-4.8210802236968234E-3</v>
      </c>
      <c r="I168" s="50">
        <f t="shared" si="22"/>
        <v>7.3567113304861126E-3</v>
      </c>
      <c r="J168" s="50">
        <f t="shared" si="23"/>
        <v>1.0920614985121125E-3</v>
      </c>
      <c r="K168" s="50">
        <f t="shared" si="24"/>
        <v>-8.2571394046804629E-3</v>
      </c>
      <c r="L168" s="50">
        <f t="shared" si="25"/>
        <v>-1.0314508428108402E-3</v>
      </c>
      <c r="P168" s="50">
        <f t="shared" si="20"/>
        <v>-1.0314508428108402E-3</v>
      </c>
      <c r="Q168" s="51">
        <f t="shared" si="26"/>
        <v>97.254404674767969</v>
      </c>
      <c r="R168" s="51">
        <f t="shared" si="27"/>
        <v>77.705998355868488</v>
      </c>
      <c r="T168">
        <v>163</v>
      </c>
      <c r="U168">
        <f t="shared" ca="1" si="28"/>
        <v>-5.9178991825999186E-3</v>
      </c>
      <c r="V168">
        <f t="shared" ca="1" si="29"/>
        <v>8.312259743972664</v>
      </c>
      <c r="Y168">
        <v>163</v>
      </c>
      <c r="Z168">
        <v>7.950931584707817</v>
      </c>
    </row>
    <row r="169" spans="1:26" x14ac:dyDescent="0.15">
      <c r="A169" s="59">
        <v>41152.75</v>
      </c>
      <c r="B169">
        <v>11.454072</v>
      </c>
      <c r="C169">
        <v>72.553207</v>
      </c>
      <c r="D169">
        <v>46.486393</v>
      </c>
      <c r="E169">
        <v>12.413500000000001</v>
      </c>
      <c r="F169">
        <v>1221.589966</v>
      </c>
      <c r="H169" s="50">
        <f t="shared" si="21"/>
        <v>-1.2379410852756016E-2</v>
      </c>
      <c r="I169" s="50">
        <f t="shared" si="22"/>
        <v>-2.8527184558635723E-3</v>
      </c>
      <c r="J169" s="50">
        <f t="shared" si="23"/>
        <v>3.9159431047122084E-3</v>
      </c>
      <c r="K169" s="50">
        <f t="shared" si="24"/>
        <v>1.5733419396482765E-3</v>
      </c>
      <c r="L169" s="50">
        <f t="shared" si="25"/>
        <v>2.9309419725301994E-3</v>
      </c>
      <c r="P169" s="50">
        <f t="shared" si="20"/>
        <v>2.9309419725301994E-3</v>
      </c>
      <c r="Q169" s="51">
        <f t="shared" si="26"/>
        <v>97.539451691442693</v>
      </c>
      <c r="R169" s="51">
        <f t="shared" si="27"/>
        <v>76.744043876497599</v>
      </c>
      <c r="T169">
        <v>164</v>
      </c>
      <c r="U169">
        <f t="shared" ca="1" si="28"/>
        <v>-5.7704750063716963E-3</v>
      </c>
      <c r="V169">
        <f t="shared" ca="1" si="29"/>
        <v>8.2642940568736005</v>
      </c>
      <c r="Y169">
        <v>164</v>
      </c>
      <c r="Z169">
        <v>6.7284813307576954</v>
      </c>
    </row>
    <row r="170" spans="1:26" x14ac:dyDescent="0.15">
      <c r="A170" s="59">
        <v>41153.75</v>
      </c>
      <c r="B170">
        <v>11.597644000000001</v>
      </c>
      <c r="C170">
        <v>72.760773</v>
      </c>
      <c r="D170">
        <v>46.305064999999999</v>
      </c>
      <c r="E170">
        <v>12.394</v>
      </c>
      <c r="F170">
        <v>1218.0200199999999</v>
      </c>
      <c r="H170" s="50">
        <f t="shared" si="21"/>
        <v>-5.4360790185954493E-4</v>
      </c>
      <c r="I170" s="50">
        <f t="shared" si="22"/>
        <v>-7.1292524682831093E-4</v>
      </c>
      <c r="J170" s="50">
        <f t="shared" si="23"/>
        <v>1.7264803584222809E-3</v>
      </c>
      <c r="K170" s="50">
        <f t="shared" si="24"/>
        <v>6.7419381041345285E-3</v>
      </c>
      <c r="L170" s="50">
        <f t="shared" si="25"/>
        <v>-1.2461585397219239E-2</v>
      </c>
      <c r="P170" s="50">
        <f t="shared" si="20"/>
        <v>-1.2461585397219239E-2</v>
      </c>
      <c r="Q170" s="51">
        <f t="shared" si="26"/>
        <v>96.323955484591849</v>
      </c>
      <c r="R170" s="51">
        <f t="shared" si="27"/>
        <v>76.70232520782568</v>
      </c>
      <c r="T170">
        <v>165</v>
      </c>
      <c r="U170">
        <f t="shared" ca="1" si="28"/>
        <v>-3.7643353802699057E-2</v>
      </c>
      <c r="V170">
        <f t="shared" ca="1" si="29"/>
        <v>7.9531983117611649</v>
      </c>
      <c r="Y170">
        <v>165</v>
      </c>
      <c r="Z170">
        <v>8.7717175316662086</v>
      </c>
    </row>
    <row r="171" spans="1:26" x14ac:dyDescent="0.15">
      <c r="A171" s="59">
        <v>41157.75</v>
      </c>
      <c r="B171">
        <v>11.603952</v>
      </c>
      <c r="C171">
        <v>72.812683000000007</v>
      </c>
      <c r="D171">
        <v>46.225257999999997</v>
      </c>
      <c r="E171">
        <v>12.311</v>
      </c>
      <c r="F171">
        <v>1233.3900149999999</v>
      </c>
      <c r="H171" s="50">
        <f t="shared" si="21"/>
        <v>-1.6843112878722259E-2</v>
      </c>
      <c r="I171" s="50">
        <f t="shared" si="22"/>
        <v>-1.7603502572519612E-2</v>
      </c>
      <c r="J171" s="50">
        <f t="shared" si="23"/>
        <v>-1.7422213220889365E-2</v>
      </c>
      <c r="K171" s="50">
        <f t="shared" si="24"/>
        <v>-2.0526692656535991E-2</v>
      </c>
      <c r="L171" s="50">
        <f t="shared" si="25"/>
        <v>-2.4021887120522613E-3</v>
      </c>
      <c r="P171" s="50">
        <f t="shared" si="20"/>
        <v>-2.4021887120522613E-3</v>
      </c>
      <c r="Q171" s="51">
        <f t="shared" si="26"/>
        <v>96.092567166026541</v>
      </c>
      <c r="R171" s="51">
        <f t="shared" si="27"/>
        <v>75.410419286289809</v>
      </c>
      <c r="T171">
        <v>166</v>
      </c>
      <c r="U171">
        <f t="shared" ca="1" si="28"/>
        <v>-1.1589159353402271E-2</v>
      </c>
      <c r="V171">
        <f t="shared" ca="1" si="29"/>
        <v>7.8610274291569544</v>
      </c>
      <c r="Y171">
        <v>166</v>
      </c>
      <c r="Z171">
        <v>8.8428111249399883</v>
      </c>
    </row>
    <row r="172" spans="1:26" x14ac:dyDescent="0.15">
      <c r="A172" s="59">
        <v>41158.75</v>
      </c>
      <c r="B172">
        <v>11.802747</v>
      </c>
      <c r="C172">
        <v>74.117408999999995</v>
      </c>
      <c r="D172">
        <v>47.044884000000003</v>
      </c>
      <c r="E172">
        <v>12.569000000000001</v>
      </c>
      <c r="F172">
        <v>1236.3599850000001</v>
      </c>
      <c r="H172" s="50">
        <f t="shared" si="21"/>
        <v>1.3411178397591053E-2</v>
      </c>
      <c r="I172" s="50">
        <f t="shared" si="22"/>
        <v>2.6072758636842496E-3</v>
      </c>
      <c r="J172" s="50">
        <f t="shared" si="23"/>
        <v>1.343748826638134E-2</v>
      </c>
      <c r="K172" s="50">
        <f t="shared" si="24"/>
        <v>-2.9945203364976452E-2</v>
      </c>
      <c r="L172" s="50">
        <f t="shared" si="25"/>
        <v>3.8077900999921453E-3</v>
      </c>
      <c r="P172" s="50">
        <f t="shared" si="20"/>
        <v>3.8077900999921453E-3</v>
      </c>
      <c r="Q172" s="51">
        <f t="shared" si="26"/>
        <v>96.458467491964171</v>
      </c>
      <c r="R172" s="51">
        <f t="shared" si="27"/>
        <v>76.42176187237537</v>
      </c>
      <c r="T172">
        <v>167</v>
      </c>
      <c r="U172">
        <f t="shared" ca="1" si="28"/>
        <v>-1.0808829177133999E-2</v>
      </c>
      <c r="V172">
        <f t="shared" ca="1" si="29"/>
        <v>7.7760589265184317</v>
      </c>
      <c r="Y172">
        <v>167</v>
      </c>
      <c r="Z172">
        <v>6.9101950551525819</v>
      </c>
    </row>
    <row r="173" spans="1:26" x14ac:dyDescent="0.15">
      <c r="A173" s="59">
        <v>41159.75</v>
      </c>
      <c r="B173">
        <v>11.646553000000001</v>
      </c>
      <c r="C173">
        <v>73.924666999999999</v>
      </c>
      <c r="D173">
        <v>46.421101</v>
      </c>
      <c r="E173">
        <v>12.957000000000001</v>
      </c>
      <c r="F173">
        <v>1231.670044</v>
      </c>
      <c r="H173" s="50">
        <f t="shared" si="21"/>
        <v>4.21714962107822E-3</v>
      </c>
      <c r="I173" s="50">
        <f t="shared" si="22"/>
        <v>-7.2672394108073629E-3</v>
      </c>
      <c r="J173" s="50">
        <f t="shared" si="23"/>
        <v>-1.2345936162678761E-2</v>
      </c>
      <c r="K173" s="50">
        <f t="shared" si="24"/>
        <v>7.9738612937104453E-3</v>
      </c>
      <c r="L173" s="50">
        <f t="shared" si="25"/>
        <v>-7.9018076473533674E-3</v>
      </c>
      <c r="P173" s="50">
        <f t="shared" si="20"/>
        <v>-7.9018076473533674E-3</v>
      </c>
      <c r="Q173" s="51">
        <f t="shared" si="26"/>
        <v>95.696271235884183</v>
      </c>
      <c r="R173" s="51">
        <f t="shared" si="27"/>
        <v>76.744043876497599</v>
      </c>
      <c r="T173">
        <v>168</v>
      </c>
      <c r="U173">
        <f t="shared" ca="1" si="28"/>
        <v>1.4384129933355656E-2</v>
      </c>
      <c r="V173">
        <f t="shared" ca="1" si="29"/>
        <v>7.8879107684869023</v>
      </c>
      <c r="Y173">
        <v>168</v>
      </c>
      <c r="Z173">
        <v>9.9547699600419577</v>
      </c>
    </row>
    <row r="174" spans="1:26" x14ac:dyDescent="0.15">
      <c r="A174" s="59">
        <v>41160.75</v>
      </c>
      <c r="B174">
        <v>11.597644000000001</v>
      </c>
      <c r="C174">
        <v>74.465828000000002</v>
      </c>
      <c r="D174">
        <v>47.001376999999998</v>
      </c>
      <c r="E174">
        <v>12.8545</v>
      </c>
      <c r="F174">
        <v>1241.4799800000001</v>
      </c>
      <c r="H174" s="50">
        <f t="shared" si="21"/>
        <v>-7.4264717335514804E-3</v>
      </c>
      <c r="I174" s="50">
        <f t="shared" si="22"/>
        <v>9.34517316688439E-3</v>
      </c>
      <c r="J174" s="50">
        <f t="shared" si="23"/>
        <v>4.962767006507972E-3</v>
      </c>
      <c r="K174" s="50">
        <f t="shared" si="24"/>
        <v>5.5540344975945344E-3</v>
      </c>
      <c r="L174" s="50">
        <f t="shared" si="25"/>
        <v>7.4153685130060965E-4</v>
      </c>
      <c r="P174" s="50">
        <f t="shared" si="20"/>
        <v>7.4153685130060965E-4</v>
      </c>
      <c r="Q174" s="51">
        <f t="shared" si="26"/>
        <v>95.767233547537657</v>
      </c>
      <c r="R174" s="51">
        <f t="shared" si="27"/>
        <v>76.174106403930352</v>
      </c>
      <c r="T174">
        <v>169</v>
      </c>
      <c r="U174">
        <f t="shared" ca="1" si="28"/>
        <v>6.8258622357329638E-3</v>
      </c>
      <c r="V174">
        <f t="shared" ca="1" si="29"/>
        <v>7.9417525607203476</v>
      </c>
      <c r="Y174">
        <v>169</v>
      </c>
      <c r="Z174">
        <v>8.8128078528604004</v>
      </c>
    </row>
    <row r="175" spans="1:26" x14ac:dyDescent="0.15">
      <c r="A175" s="59">
        <v>41163.75</v>
      </c>
      <c r="B175">
        <v>11.684418000000001</v>
      </c>
      <c r="C175">
        <v>73.776375000000002</v>
      </c>
      <c r="D175">
        <v>46.769272000000001</v>
      </c>
      <c r="E175">
        <v>12.7835</v>
      </c>
      <c r="F175">
        <v>1240.5600589999999</v>
      </c>
      <c r="H175" s="50">
        <f t="shared" si="21"/>
        <v>-1.3486229755038567E-4</v>
      </c>
      <c r="I175" s="50">
        <f t="shared" si="22"/>
        <v>-1.3579524498704905E-2</v>
      </c>
      <c r="J175" s="50">
        <f t="shared" si="23"/>
        <v>1.5535135566671953E-3</v>
      </c>
      <c r="K175" s="50">
        <f t="shared" si="24"/>
        <v>1.5647615694563768E-4</v>
      </c>
      <c r="L175" s="50">
        <f t="shared" si="25"/>
        <v>7.6024272031504116E-3</v>
      </c>
      <c r="P175" s="50">
        <f t="shared" si="20"/>
        <v>7.6024272031504116E-3</v>
      </c>
      <c r="Q175" s="51">
        <f t="shared" si="26"/>
        <v>96.495296969029923</v>
      </c>
      <c r="R175" s="51">
        <f t="shared" si="27"/>
        <v>76.163833388926875</v>
      </c>
      <c r="T175">
        <v>170</v>
      </c>
      <c r="U175">
        <f t="shared" ca="1" si="28"/>
        <v>-2.6785183359062957E-2</v>
      </c>
      <c r="V175">
        <f t="shared" ca="1" si="29"/>
        <v>7.729031262189145</v>
      </c>
      <c r="Y175">
        <v>170</v>
      </c>
      <c r="Z175">
        <v>7.7932814749864061</v>
      </c>
    </row>
    <row r="176" spans="1:26" x14ac:dyDescent="0.15">
      <c r="A176" s="59">
        <v>41164.75</v>
      </c>
      <c r="B176">
        <v>11.685994000000001</v>
      </c>
      <c r="C176">
        <v>74.792015000000006</v>
      </c>
      <c r="D176">
        <v>46.696728</v>
      </c>
      <c r="E176">
        <v>12.781499999999999</v>
      </c>
      <c r="F176">
        <v>1231.1999510000001</v>
      </c>
      <c r="H176" s="50">
        <f t="shared" si="21"/>
        <v>-1.4240212558464553E-2</v>
      </c>
      <c r="I176" s="50">
        <f t="shared" si="22"/>
        <v>-1.8101910976367663E-2</v>
      </c>
      <c r="J176" s="50">
        <f t="shared" si="23"/>
        <v>-1.0452053784321898E-2</v>
      </c>
      <c r="K176" s="50">
        <f t="shared" si="24"/>
        <v>-1.7714417460805491E-2</v>
      </c>
      <c r="L176" s="50">
        <f t="shared" si="25"/>
        <v>3.2920865152621646E-3</v>
      </c>
      <c r="P176" s="50">
        <f t="shared" si="20"/>
        <v>3.2920865152621646E-3</v>
      </c>
      <c r="Q176" s="51">
        <f t="shared" si="26"/>
        <v>96.812967834967878</v>
      </c>
      <c r="R176" s="51">
        <f t="shared" si="27"/>
        <v>75.079244212201075</v>
      </c>
      <c r="T176">
        <v>171</v>
      </c>
      <c r="U176">
        <f t="shared" ca="1" si="28"/>
        <v>7.9989190495215138E-3</v>
      </c>
      <c r="V176">
        <f t="shared" ca="1" si="29"/>
        <v>7.7908551575866172</v>
      </c>
      <c r="Y176">
        <v>171</v>
      </c>
      <c r="Z176">
        <v>9.3731663677645631</v>
      </c>
    </row>
    <row r="177" spans="1:26" x14ac:dyDescent="0.15">
      <c r="A177" s="59">
        <v>41165.75</v>
      </c>
      <c r="B177">
        <v>11.854808999999999</v>
      </c>
      <c r="C177">
        <v>76.170852999999994</v>
      </c>
      <c r="D177">
        <v>47.189959999999999</v>
      </c>
      <c r="E177">
        <v>13.012</v>
      </c>
      <c r="F177">
        <v>1227.160034</v>
      </c>
      <c r="H177" s="50">
        <f t="shared" si="21"/>
        <v>8.591071285608886E-3</v>
      </c>
      <c r="I177" s="50">
        <f t="shared" si="22"/>
        <v>5.5779976347728501E-3</v>
      </c>
      <c r="J177" s="50">
        <f t="shared" si="23"/>
        <v>6.0306890145662186E-3</v>
      </c>
      <c r="K177" s="50">
        <f t="shared" si="24"/>
        <v>-3.9422819305698319E-3</v>
      </c>
      <c r="L177" s="50">
        <f t="shared" si="25"/>
        <v>-4.6422748428776874E-4</v>
      </c>
      <c r="P177" s="50">
        <f t="shared" si="20"/>
        <v>-4.6422748428776874E-4</v>
      </c>
      <c r="Q177" s="51">
        <f t="shared" si="26"/>
        <v>96.768024594463412</v>
      </c>
      <c r="R177" s="51">
        <f t="shared" si="27"/>
        <v>75.724255351297742</v>
      </c>
      <c r="T177">
        <v>172</v>
      </c>
      <c r="U177">
        <f t="shared" ca="1" si="28"/>
        <v>-2.5306274421102264E-2</v>
      </c>
      <c r="V177">
        <f t="shared" ca="1" si="29"/>
        <v>7.593697638993671</v>
      </c>
      <c r="Y177">
        <v>172</v>
      </c>
      <c r="Z177">
        <v>7.6066457645301995</v>
      </c>
    </row>
    <row r="178" spans="1:26" x14ac:dyDescent="0.15">
      <c r="A178" s="59">
        <v>41166.75</v>
      </c>
      <c r="B178">
        <v>11.753831</v>
      </c>
      <c r="C178">
        <v>75.748328999999998</v>
      </c>
      <c r="D178">
        <v>46.907077999999998</v>
      </c>
      <c r="E178">
        <v>13.063499999999999</v>
      </c>
      <c r="F178">
        <v>1227.7299800000001</v>
      </c>
      <c r="H178" s="50">
        <f t="shared" si="21"/>
        <v>6.8922655187552756E-3</v>
      </c>
      <c r="I178" s="50">
        <f t="shared" si="22"/>
        <v>-6.8453629888691827E-4</v>
      </c>
      <c r="J178" s="50">
        <f t="shared" si="23"/>
        <v>4.0364307913810602E-3</v>
      </c>
      <c r="K178" s="50">
        <f t="shared" si="24"/>
        <v>1.2674418604651091E-2</v>
      </c>
      <c r="L178" s="50">
        <f t="shared" si="25"/>
        <v>-8.2235814561625303E-3</v>
      </c>
      <c r="P178" s="50">
        <f t="shared" si="20"/>
        <v>-8.2235814561625303E-3</v>
      </c>
      <c r="Q178" s="51">
        <f t="shared" si="26"/>
        <v>95.972244861858897</v>
      </c>
      <c r="R178" s="51">
        <f t="shared" si="27"/>
        <v>76.246167025388914</v>
      </c>
      <c r="T178">
        <v>173</v>
      </c>
      <c r="U178">
        <f t="shared" ca="1" si="28"/>
        <v>1.0799798561690038E-2</v>
      </c>
      <c r="V178">
        <f t="shared" ca="1" si="29"/>
        <v>7.6757080438331844</v>
      </c>
      <c r="Y178">
        <v>173</v>
      </c>
      <c r="Z178">
        <v>6.3395947990417199</v>
      </c>
    </row>
    <row r="179" spans="1:26" x14ac:dyDescent="0.15">
      <c r="A179" s="59">
        <v>41167.75</v>
      </c>
      <c r="B179">
        <v>11.673375</v>
      </c>
      <c r="C179">
        <v>75.800217000000004</v>
      </c>
      <c r="D179">
        <v>46.718502000000001</v>
      </c>
      <c r="E179">
        <v>12.9</v>
      </c>
      <c r="F179">
        <v>1237.910034</v>
      </c>
      <c r="H179" s="50">
        <f t="shared" si="21"/>
        <v>5.4101019253941017E-4</v>
      </c>
      <c r="I179" s="50">
        <f t="shared" si="22"/>
        <v>2.5491392168153714E-3</v>
      </c>
      <c r="J179" s="50">
        <f t="shared" si="23"/>
        <v>2.0223827921160044E-3</v>
      </c>
      <c r="K179" s="50">
        <f t="shared" si="24"/>
        <v>-2.8985507246376539E-3</v>
      </c>
      <c r="L179" s="50">
        <f t="shared" si="25"/>
        <v>5.5969958961350321E-3</v>
      </c>
      <c r="P179" s="50">
        <f t="shared" si="20"/>
        <v>5.5969958961350321E-3</v>
      </c>
      <c r="Q179" s="51">
        <f t="shared" si="26"/>
        <v>96.509401122493585</v>
      </c>
      <c r="R179" s="51">
        <f t="shared" si="27"/>
        <v>76.287416978891713</v>
      </c>
      <c r="T179">
        <v>174</v>
      </c>
      <c r="U179">
        <f t="shared" ca="1" si="28"/>
        <v>6.9031139073913615E-3</v>
      </c>
      <c r="V179">
        <f t="shared" ca="1" si="29"/>
        <v>7.7286943307796454</v>
      </c>
      <c r="Y179">
        <v>174</v>
      </c>
      <c r="Z179">
        <v>9.9699597169588348</v>
      </c>
    </row>
    <row r="180" spans="1:26" x14ac:dyDescent="0.15">
      <c r="A180" s="59">
        <v>41170.75</v>
      </c>
      <c r="B180">
        <v>11.667063000000001</v>
      </c>
      <c r="C180">
        <v>75.607483000000002</v>
      </c>
      <c r="D180">
        <v>46.624209999999998</v>
      </c>
      <c r="E180">
        <v>12.9375</v>
      </c>
      <c r="F180">
        <v>1231.0200199999999</v>
      </c>
      <c r="H180" s="50">
        <f t="shared" si="21"/>
        <v>-5.6475030483679996E-3</v>
      </c>
      <c r="I180" s="50">
        <f t="shared" si="22"/>
        <v>1.0804773288371615E-3</v>
      </c>
      <c r="J180" s="50">
        <f t="shared" si="23"/>
        <v>-1.1228897570570051E-2</v>
      </c>
      <c r="K180" s="50">
        <f t="shared" si="24"/>
        <v>-1.1196881687557295E-2</v>
      </c>
      <c r="L180" s="50">
        <f t="shared" si="25"/>
        <v>7.9257653638429501E-3</v>
      </c>
      <c r="P180" s="50">
        <f t="shared" si="20"/>
        <v>7.9257653638429501E-3</v>
      </c>
      <c r="Q180" s="51">
        <f t="shared" si="26"/>
        <v>97.274311991195475</v>
      </c>
      <c r="R180" s="51">
        <f t="shared" si="27"/>
        <v>75.8565835589513</v>
      </c>
      <c r="T180">
        <v>175</v>
      </c>
      <c r="U180">
        <f t="shared" ca="1" si="28"/>
        <v>6.5342131608302646E-3</v>
      </c>
      <c r="V180">
        <f t="shared" ca="1" si="29"/>
        <v>7.7791952669918611</v>
      </c>
      <c r="Y180">
        <v>175</v>
      </c>
      <c r="Z180">
        <v>7.9011959012823461</v>
      </c>
    </row>
    <row r="181" spans="1:26" x14ac:dyDescent="0.15">
      <c r="A181" s="59">
        <v>41171.75</v>
      </c>
      <c r="B181">
        <v>11.733326999999999</v>
      </c>
      <c r="C181">
        <v>75.525879000000003</v>
      </c>
      <c r="D181">
        <v>47.153694000000002</v>
      </c>
      <c r="E181">
        <v>13.084</v>
      </c>
      <c r="F181">
        <v>1221.339966</v>
      </c>
      <c r="H181" s="50">
        <f t="shared" si="21"/>
        <v>-5.0832359967863325E-3</v>
      </c>
      <c r="I181" s="50">
        <f t="shared" si="22"/>
        <v>-7.4049554157516071E-3</v>
      </c>
      <c r="J181" s="50">
        <f t="shared" si="23"/>
        <v>-5.9632263876419293E-3</v>
      </c>
      <c r="K181" s="50">
        <f t="shared" si="24"/>
        <v>3.3357616655802979E-3</v>
      </c>
      <c r="L181" s="50">
        <f t="shared" si="25"/>
        <v>9.205102835109889E-3</v>
      </c>
      <c r="P181" s="50">
        <f t="shared" si="20"/>
        <v>9.205102835109889E-3</v>
      </c>
      <c r="Q181" s="51">
        <f t="shared" si="26"/>
        <v>98.169732036288991</v>
      </c>
      <c r="R181" s="51">
        <f t="shared" si="27"/>
        <v>75.470986642811212</v>
      </c>
      <c r="T181">
        <v>176</v>
      </c>
      <c r="U181">
        <f t="shared" ca="1" si="28"/>
        <v>1.0351936152210738E-2</v>
      </c>
      <c r="V181">
        <f t="shared" ca="1" si="29"/>
        <v>7.8597249997113403</v>
      </c>
      <c r="Y181">
        <v>176</v>
      </c>
      <c r="Z181">
        <v>7.4674880180407781</v>
      </c>
    </row>
    <row r="182" spans="1:26" x14ac:dyDescent="0.15">
      <c r="A182" s="59">
        <v>41172.75</v>
      </c>
      <c r="B182">
        <v>11.793275</v>
      </c>
      <c r="C182">
        <v>76.089316999999994</v>
      </c>
      <c r="D182">
        <v>47.436568999999999</v>
      </c>
      <c r="E182">
        <v>13.0405</v>
      </c>
      <c r="F182">
        <v>1210.1999510000001</v>
      </c>
      <c r="H182" s="50">
        <f t="shared" si="21"/>
        <v>4.029561182992171E-3</v>
      </c>
      <c r="I182" s="50">
        <f t="shared" si="22"/>
        <v>2.7352686600837172E-3</v>
      </c>
      <c r="J182" s="50">
        <f t="shared" si="23"/>
        <v>-6.1128501020868344E-4</v>
      </c>
      <c r="K182" s="50">
        <f t="shared" si="24"/>
        <v>1.2972385132248403E-2</v>
      </c>
      <c r="L182" s="50">
        <f t="shared" si="25"/>
        <v>-3.6390344455015837E-3</v>
      </c>
      <c r="P182" s="50">
        <f t="shared" si="20"/>
        <v>-3.6390344455015837E-3</v>
      </c>
      <c r="Q182" s="51">
        <f t="shared" si="26"/>
        <v>97.812488999903266</v>
      </c>
      <c r="R182" s="51">
        <f t="shared" si="27"/>
        <v>75.775101601029206</v>
      </c>
      <c r="T182">
        <v>177</v>
      </c>
      <c r="U182">
        <f t="shared" ca="1" si="28"/>
        <v>1.4877125338590496E-3</v>
      </c>
      <c r="V182">
        <f t="shared" ca="1" si="29"/>
        <v>7.8714180111060958</v>
      </c>
      <c r="Y182">
        <v>177</v>
      </c>
      <c r="Z182">
        <v>5.379707664281332</v>
      </c>
    </row>
    <row r="183" spans="1:26" x14ac:dyDescent="0.15">
      <c r="A183" s="59">
        <v>41173.75</v>
      </c>
      <c r="B183">
        <v>11.745944</v>
      </c>
      <c r="C183">
        <v>75.88176</v>
      </c>
      <c r="D183">
        <v>47.465584</v>
      </c>
      <c r="E183">
        <v>12.8735</v>
      </c>
      <c r="F183">
        <v>1214.619995</v>
      </c>
      <c r="H183" s="50">
        <f t="shared" si="21"/>
        <v>-3.8806099509121226E-3</v>
      </c>
      <c r="I183" s="50">
        <f t="shared" si="22"/>
        <v>-2.4364412085525599E-3</v>
      </c>
      <c r="J183" s="50">
        <f t="shared" si="23"/>
        <v>4.45112494919871E-3</v>
      </c>
      <c r="K183" s="50">
        <f t="shared" si="24"/>
        <v>1.0478806907378315E-2</v>
      </c>
      <c r="L183" s="50">
        <f t="shared" si="25"/>
        <v>-5.5134492878038122E-4</v>
      </c>
      <c r="P183" s="50">
        <f t="shared" si="20"/>
        <v>-5.5134492878038122E-4</v>
      </c>
      <c r="Q183" s="51">
        <f t="shared" si="26"/>
        <v>97.758560580121781</v>
      </c>
      <c r="R183" s="51">
        <f t="shared" si="27"/>
        <v>75.481047987724878</v>
      </c>
      <c r="T183">
        <v>178</v>
      </c>
      <c r="U183">
        <f t="shared" ca="1" si="28"/>
        <v>4.4335140331382911E-3</v>
      </c>
      <c r="V183">
        <f t="shared" ca="1" si="29"/>
        <v>7.9063160533190313</v>
      </c>
      <c r="Y183">
        <v>178</v>
      </c>
      <c r="Z183">
        <v>6.385229820411495</v>
      </c>
    </row>
    <row r="184" spans="1:26" x14ac:dyDescent="0.15">
      <c r="A184" s="59">
        <v>41174.75</v>
      </c>
      <c r="B184">
        <v>11.791703</v>
      </c>
      <c r="C184">
        <v>76.067093</v>
      </c>
      <c r="D184">
        <v>47.255245000000002</v>
      </c>
      <c r="E184">
        <v>12.74</v>
      </c>
      <c r="F184">
        <v>1215.290039</v>
      </c>
      <c r="H184" s="50">
        <f t="shared" si="21"/>
        <v>6.4637391650067526E-3</v>
      </c>
      <c r="I184" s="50">
        <f t="shared" si="22"/>
        <v>1.1534123859221269E-2</v>
      </c>
      <c r="J184" s="50">
        <f t="shared" si="23"/>
        <v>1.1960516805374499E-2</v>
      </c>
      <c r="K184" s="50">
        <f t="shared" si="24"/>
        <v>9.268795056642706E-3</v>
      </c>
      <c r="L184" s="50">
        <f t="shared" si="25"/>
        <v>-2.7966239612521246E-4</v>
      </c>
      <c r="P184" s="50">
        <f t="shared" si="20"/>
        <v>-2.7966239612521246E-4</v>
      </c>
      <c r="Q184" s="51">
        <f t="shared" si="26"/>
        <v>97.731221186828193</v>
      </c>
      <c r="R184" s="51">
        <f t="shared" si="27"/>
        <v>75.968937793818881</v>
      </c>
      <c r="T184">
        <v>179</v>
      </c>
      <c r="U184">
        <f t="shared" ca="1" si="28"/>
        <v>-6.5839826804528262E-4</v>
      </c>
      <c r="V184">
        <f t="shared" ca="1" si="29"/>
        <v>7.9011105485229081</v>
      </c>
      <c r="Y184">
        <v>179</v>
      </c>
      <c r="Z184">
        <v>5.4598635915999267</v>
      </c>
    </row>
    <row r="185" spans="1:26" x14ac:dyDescent="0.15">
      <c r="A185" s="59">
        <v>41177.75</v>
      </c>
      <c r="B185">
        <v>11.715973999999999</v>
      </c>
      <c r="C185">
        <v>75.199730000000002</v>
      </c>
      <c r="D185">
        <v>46.696728</v>
      </c>
      <c r="E185">
        <v>12.622999999999999</v>
      </c>
      <c r="F185">
        <v>1215.630005</v>
      </c>
      <c r="H185" s="50">
        <f t="shared" si="21"/>
        <v>9.4387610822988855E-4</v>
      </c>
      <c r="I185" s="50">
        <f t="shared" si="22"/>
        <v>4.3561969520725871E-3</v>
      </c>
      <c r="J185" s="50">
        <f t="shared" si="23"/>
        <v>8.6166085047932519E-3</v>
      </c>
      <c r="K185" s="50">
        <f t="shared" si="24"/>
        <v>1.1174750670885567E-2</v>
      </c>
      <c r="L185" s="50">
        <f t="shared" si="25"/>
        <v>-2.4701807380477876E-5</v>
      </c>
      <c r="P185" s="50">
        <f t="shared" si="20"/>
        <v>-2.4701807380477876E-5</v>
      </c>
      <c r="Q185" s="51">
        <f t="shared" si="26"/>
        <v>97.728807049027381</v>
      </c>
      <c r="R185" s="51">
        <f t="shared" si="27"/>
        <v>76.040643059170065</v>
      </c>
      <c r="T185">
        <v>180</v>
      </c>
      <c r="U185">
        <f t="shared" ca="1" si="28"/>
        <v>1.17082004214297E-3</v>
      </c>
      <c r="V185">
        <f t="shared" ca="1" si="29"/>
        <v>7.9103613271083058</v>
      </c>
      <c r="Y185">
        <v>180</v>
      </c>
      <c r="Z185">
        <v>7.9552965791757604</v>
      </c>
    </row>
    <row r="186" spans="1:26" x14ac:dyDescent="0.15">
      <c r="A186" s="59">
        <v>41178.75</v>
      </c>
      <c r="B186">
        <v>11.704926</v>
      </c>
      <c r="C186">
        <v>74.873565999999997</v>
      </c>
      <c r="D186">
        <v>46.297798</v>
      </c>
      <c r="E186">
        <v>12.483499999999999</v>
      </c>
      <c r="F186">
        <v>1215.660034</v>
      </c>
      <c r="H186" s="50">
        <f t="shared" si="21"/>
        <v>2.8384663337158978E-3</v>
      </c>
      <c r="I186" s="50">
        <f t="shared" si="22"/>
        <v>6.9791074361643373E-3</v>
      </c>
      <c r="J186" s="50">
        <f t="shared" si="23"/>
        <v>3.7742840916930621E-3</v>
      </c>
      <c r="K186" s="50">
        <f t="shared" si="24"/>
        <v>-2.6969094664640095E-2</v>
      </c>
      <c r="L186" s="50">
        <f t="shared" si="25"/>
        <v>-1.0107577388577327E-3</v>
      </c>
      <c r="P186" s="50">
        <f t="shared" si="20"/>
        <v>-1.0107577388577327E-3</v>
      </c>
      <c r="Q186" s="51">
        <f t="shared" si="26"/>
        <v>97.630026900993244</v>
      </c>
      <c r="R186" s="51">
        <f t="shared" si="27"/>
        <v>76.25648186448764</v>
      </c>
      <c r="T186">
        <v>181</v>
      </c>
      <c r="U186">
        <f t="shared" ca="1" si="28"/>
        <v>-4.268068860467716E-3</v>
      </c>
      <c r="V186">
        <f t="shared" ca="1" si="29"/>
        <v>7.8765993602530271</v>
      </c>
      <c r="Y186">
        <v>181</v>
      </c>
      <c r="Z186">
        <v>8.5305174408634237</v>
      </c>
    </row>
    <row r="187" spans="1:26" x14ac:dyDescent="0.15">
      <c r="A187" s="59">
        <v>41179.75</v>
      </c>
      <c r="B187">
        <v>11.671796000000001</v>
      </c>
      <c r="C187">
        <v>74.354636999999997</v>
      </c>
      <c r="D187">
        <v>46.123714</v>
      </c>
      <c r="E187">
        <v>12.829499999999999</v>
      </c>
      <c r="F187">
        <v>1216.8900149999999</v>
      </c>
      <c r="H187" s="50">
        <f t="shared" si="21"/>
        <v>2.4392370094805309E-3</v>
      </c>
      <c r="I187" s="50">
        <f t="shared" si="22"/>
        <v>1.3977347654478538E-3</v>
      </c>
      <c r="J187" s="50">
        <f t="shared" si="23"/>
        <v>1.8904924555596919E-3</v>
      </c>
      <c r="K187" s="50">
        <f t="shared" si="24"/>
        <v>8.9257628184963959E-3</v>
      </c>
      <c r="L187" s="50">
        <f t="shared" si="25"/>
        <v>-8.7889666080703307E-3</v>
      </c>
      <c r="P187" s="50">
        <f t="shared" si="20"/>
        <v>-8.7889666080703307E-3</v>
      </c>
      <c r="Q187" s="51">
        <f t="shared" si="26"/>
        <v>96.771959854615403</v>
      </c>
      <c r="R187" s="51">
        <f t="shared" si="27"/>
        <v>76.442489497264276</v>
      </c>
      <c r="T187">
        <v>182</v>
      </c>
      <c r="U187">
        <f t="shared" ca="1" si="28"/>
        <v>4.276921718610726E-3</v>
      </c>
      <c r="V187">
        <f t="shared" ca="1" si="29"/>
        <v>7.9102869591256884</v>
      </c>
      <c r="Y187">
        <v>182</v>
      </c>
      <c r="Z187">
        <v>6.5236676196630645</v>
      </c>
    </row>
    <row r="188" spans="1:26" x14ac:dyDescent="0.15">
      <c r="A188" s="59">
        <v>41180.75</v>
      </c>
      <c r="B188">
        <v>11.643395</v>
      </c>
      <c r="C188">
        <v>74.250854000000004</v>
      </c>
      <c r="D188">
        <v>46.036681999999999</v>
      </c>
      <c r="E188">
        <v>12.715999999999999</v>
      </c>
      <c r="F188">
        <v>1227.6800539999999</v>
      </c>
      <c r="H188" s="50">
        <f t="shared" si="21"/>
        <v>-3.3760635366220817E-3</v>
      </c>
      <c r="I188" s="50">
        <f t="shared" si="22"/>
        <v>-3.4822158515905037E-3</v>
      </c>
      <c r="J188" s="50">
        <f t="shared" si="23"/>
        <v>7.6201182222321202E-3</v>
      </c>
      <c r="K188" s="50">
        <f t="shared" si="24"/>
        <v>9.1663029244870471E-3</v>
      </c>
      <c r="L188" s="50">
        <f t="shared" si="25"/>
        <v>-9.1959289535729861E-4</v>
      </c>
      <c r="P188" s="50">
        <f t="shared" si="20"/>
        <v>-9.1959289535729861E-4</v>
      </c>
      <c r="Q188" s="51">
        <f t="shared" si="26"/>
        <v>96.682969047863295</v>
      </c>
      <c r="R188" s="51">
        <f t="shared" si="27"/>
        <v>76.18441479582394</v>
      </c>
      <c r="T188">
        <v>183</v>
      </c>
      <c r="U188">
        <f t="shared" ca="1" si="28"/>
        <v>-2.6286275795524045E-5</v>
      </c>
      <c r="V188">
        <f t="shared" ca="1" si="29"/>
        <v>7.9100790271410597</v>
      </c>
      <c r="Y188">
        <v>183</v>
      </c>
      <c r="Z188">
        <v>7.0034930819804968</v>
      </c>
    </row>
    <row r="189" spans="1:26" x14ac:dyDescent="0.15">
      <c r="A189" s="59">
        <v>41181.75</v>
      </c>
      <c r="B189">
        <v>11.682836999999999</v>
      </c>
      <c r="C189">
        <v>74.510315000000006</v>
      </c>
      <c r="D189">
        <v>45.68853</v>
      </c>
      <c r="E189">
        <v>12.6005</v>
      </c>
      <c r="F189">
        <v>1228.8100589999999</v>
      </c>
      <c r="H189" s="50">
        <f t="shared" si="21"/>
        <v>4.0675487423883633E-3</v>
      </c>
      <c r="I189" s="50">
        <f t="shared" si="22"/>
        <v>1.0252507824983544E-2</v>
      </c>
      <c r="J189" s="50">
        <f t="shared" si="23"/>
        <v>1.590805403081522E-4</v>
      </c>
      <c r="K189" s="50">
        <f t="shared" si="24"/>
        <v>5.6264964086193857E-3</v>
      </c>
      <c r="L189" s="50">
        <f t="shared" si="25"/>
        <v>1.7201500646345544E-3</v>
      </c>
      <c r="P189" s="50">
        <f t="shared" si="20"/>
        <v>1.7201500646345544E-3</v>
      </c>
      <c r="Q189" s="51">
        <f t="shared" si="26"/>
        <v>96.849278263320045</v>
      </c>
      <c r="R189" s="51">
        <f t="shared" si="27"/>
        <v>76.494298616416302</v>
      </c>
      <c r="T189">
        <v>184</v>
      </c>
      <c r="U189">
        <f t="shared" ca="1" si="28"/>
        <v>1.4988604479630682E-2</v>
      </c>
      <c r="V189">
        <f t="shared" ca="1" si="29"/>
        <v>8.0286400730814975</v>
      </c>
      <c r="Y189">
        <v>184</v>
      </c>
      <c r="Z189">
        <v>7.2898717839752214</v>
      </c>
    </row>
    <row r="190" spans="1:26" x14ac:dyDescent="0.15">
      <c r="A190" s="59">
        <v>41184.75</v>
      </c>
      <c r="B190">
        <v>11.635509000000001</v>
      </c>
      <c r="C190">
        <v>73.754149999999996</v>
      </c>
      <c r="D190">
        <v>45.681263000000001</v>
      </c>
      <c r="E190">
        <v>12.53</v>
      </c>
      <c r="F190">
        <v>1226.6999510000001</v>
      </c>
      <c r="H190" s="50">
        <f t="shared" si="21"/>
        <v>-6.0647472439683053E-3</v>
      </c>
      <c r="I190" s="50">
        <f t="shared" si="22"/>
        <v>-1.3050008784637479E-3</v>
      </c>
      <c r="J190" s="50">
        <f t="shared" si="23"/>
        <v>-1.743666093362525E-3</v>
      </c>
      <c r="K190" s="50">
        <f t="shared" si="24"/>
        <v>-2.0787746170678339E-2</v>
      </c>
      <c r="L190" s="50">
        <f t="shared" si="25"/>
        <v>1.0070220171792184E-2</v>
      </c>
      <c r="P190" s="50">
        <f t="shared" si="20"/>
        <v>1.0070220171792184E-2</v>
      </c>
      <c r="Q190" s="51">
        <f t="shared" si="26"/>
        <v>97.82457181891084</v>
      </c>
      <c r="R190" s="51">
        <f t="shared" si="27"/>
        <v>76.030380029703096</v>
      </c>
      <c r="T190">
        <v>185</v>
      </c>
      <c r="U190">
        <f t="shared" ca="1" si="28"/>
        <v>-1.127364421870841E-2</v>
      </c>
      <c r="V190">
        <f t="shared" ca="1" si="29"/>
        <v>7.9381280413375119</v>
      </c>
      <c r="Y190">
        <v>185</v>
      </c>
      <c r="Z190">
        <v>5.8528426641477527</v>
      </c>
    </row>
    <row r="191" spans="1:26" x14ac:dyDescent="0.15">
      <c r="A191" s="59">
        <v>41185.75</v>
      </c>
      <c r="B191">
        <v>11.706505999999999</v>
      </c>
      <c r="C191">
        <v>73.850525000000005</v>
      </c>
      <c r="D191">
        <v>45.761054999999999</v>
      </c>
      <c r="E191">
        <v>12.795999999999999</v>
      </c>
      <c r="F191">
        <v>1214.469971</v>
      </c>
      <c r="H191" s="50">
        <f t="shared" si="21"/>
        <v>-6.9592976097307508E-3</v>
      </c>
      <c r="I191" s="50">
        <f t="shared" si="22"/>
        <v>-1.8329042280912297E-2</v>
      </c>
      <c r="J191" s="50">
        <f t="shared" si="23"/>
        <v>-8.7983794227128528E-3</v>
      </c>
      <c r="K191" s="50">
        <f t="shared" si="24"/>
        <v>-1.7468422467078814E-2</v>
      </c>
      <c r="L191" s="50">
        <f t="shared" si="25"/>
        <v>1.5112092021262848E-2</v>
      </c>
      <c r="P191" s="50">
        <f t="shared" si="20"/>
        <v>1.5112092021262848E-2</v>
      </c>
      <c r="Q191" s="51">
        <f t="shared" si="26"/>
        <v>99.302905750178851</v>
      </c>
      <c r="R191" s="51">
        <f t="shared" si="27"/>
        <v>75.501261987695457</v>
      </c>
      <c r="T191">
        <v>186</v>
      </c>
      <c r="U191">
        <f t="shared" ca="1" si="28"/>
        <v>-1.4919354974187201E-2</v>
      </c>
      <c r="V191">
        <f t="shared" ca="1" si="29"/>
        <v>7.8196962912582482</v>
      </c>
      <c r="Y191">
        <v>186</v>
      </c>
      <c r="Z191">
        <v>9.6891417185659989</v>
      </c>
    </row>
    <row r="192" spans="1:26" x14ac:dyDescent="0.15">
      <c r="A192" s="59">
        <v>41186.75</v>
      </c>
      <c r="B192">
        <v>11.788546</v>
      </c>
      <c r="C192">
        <v>75.229408000000006</v>
      </c>
      <c r="D192">
        <v>46.167251999999998</v>
      </c>
      <c r="E192">
        <v>13.0235</v>
      </c>
      <c r="F192">
        <v>1196.3900149999999</v>
      </c>
      <c r="H192" s="50">
        <f t="shared" si="21"/>
        <v>-5.4573296584990169E-3</v>
      </c>
      <c r="I192" s="50">
        <f t="shared" si="22"/>
        <v>-3.045116174716428E-3</v>
      </c>
      <c r="J192" s="50">
        <f t="shared" si="23"/>
        <v>-8.2579629682060576E-3</v>
      </c>
      <c r="K192" s="50">
        <f t="shared" si="24"/>
        <v>7.581911724884976E-3</v>
      </c>
      <c r="L192" s="50">
        <f t="shared" si="25"/>
        <v>4.1125188135234889E-3</v>
      </c>
      <c r="P192" s="50">
        <f t="shared" si="20"/>
        <v>4.1125188135234889E-3</v>
      </c>
      <c r="Q192" s="51">
        <f t="shared" si="26"/>
        <v>99.711290818314026</v>
      </c>
      <c r="R192" s="51">
        <f t="shared" si="27"/>
        <v>75.089226711395909</v>
      </c>
      <c r="T192">
        <v>187</v>
      </c>
      <c r="U192">
        <f t="shared" ca="1" si="28"/>
        <v>-1.9973700134913435E-3</v>
      </c>
      <c r="V192">
        <f t="shared" ca="1" si="29"/>
        <v>7.8040774643714794</v>
      </c>
      <c r="Y192">
        <v>187</v>
      </c>
      <c r="Z192">
        <v>10.405410980251574</v>
      </c>
    </row>
    <row r="193" spans="1:26" x14ac:dyDescent="0.15">
      <c r="A193" s="59">
        <v>41187.75</v>
      </c>
      <c r="B193">
        <v>11.853232999999999</v>
      </c>
      <c r="C193">
        <v>75.459190000000007</v>
      </c>
      <c r="D193">
        <v>46.551673999999998</v>
      </c>
      <c r="E193">
        <v>12.9255</v>
      </c>
      <c r="F193">
        <v>1191.48999</v>
      </c>
      <c r="H193" s="50">
        <f t="shared" si="21"/>
        <v>-1.5941498088090332E-3</v>
      </c>
      <c r="I193" s="50">
        <f t="shared" si="22"/>
        <v>4.3409530036192853E-3</v>
      </c>
      <c r="J193" s="50">
        <f t="shared" si="23"/>
        <v>2.9691559401303406E-3</v>
      </c>
      <c r="K193" s="50">
        <f t="shared" si="24"/>
        <v>-2.1230602949123645E-3</v>
      </c>
      <c r="L193" s="50">
        <f t="shared" si="25"/>
        <v>-3.6876276540655007E-3</v>
      </c>
      <c r="P193" s="50">
        <f t="shared" ref="P193:P256" si="30">(F193-F194)/F194</f>
        <v>-3.6876276540655007E-3</v>
      </c>
      <c r="Q193" s="51">
        <f t="shared" si="26"/>
        <v>99.343592704869849</v>
      </c>
      <c r="R193" s="51">
        <f t="shared" si="27"/>
        <v>74.969523234990319</v>
      </c>
      <c r="T193">
        <v>188</v>
      </c>
      <c r="U193">
        <f t="shared" ca="1" si="28"/>
        <v>-2.6897576452500082E-2</v>
      </c>
      <c r="V193">
        <f t="shared" ca="1" si="29"/>
        <v>7.5941666941323138</v>
      </c>
      <c r="Y193">
        <v>188</v>
      </c>
      <c r="Z193">
        <v>8.8838415132963444</v>
      </c>
    </row>
    <row r="194" spans="1:26" x14ac:dyDescent="0.15">
      <c r="A194" s="59">
        <v>41188.75</v>
      </c>
      <c r="B194">
        <v>11.872159</v>
      </c>
      <c r="C194">
        <v>75.133041000000006</v>
      </c>
      <c r="D194">
        <v>46.413863999999997</v>
      </c>
      <c r="E194">
        <v>12.952999999999999</v>
      </c>
      <c r="F194">
        <v>1195.900024</v>
      </c>
      <c r="H194" s="50">
        <f t="shared" ref="H194:H257" si="31">(B194-B195)/B195</f>
        <v>1.4971397032308585E-2</v>
      </c>
      <c r="I194" s="50">
        <f t="shared" ref="I194:I257" si="32">(C194-C195)/C195</f>
        <v>1.7161884732673008E-2</v>
      </c>
      <c r="J194" s="50">
        <f t="shared" ref="J194:J257" si="33">(D194-D195)/D195</f>
        <v>1.7491036531858323E-2</v>
      </c>
      <c r="K194" s="50">
        <f t="shared" ref="K194:K257" si="34">(E194-E195)/E195</f>
        <v>3.2276059929869254E-2</v>
      </c>
      <c r="L194" s="50">
        <f t="shared" ref="L194:L257" si="35">(F194-F195)/F195</f>
        <v>7.2179329399484904E-3</v>
      </c>
      <c r="P194" s="50">
        <f t="shared" si="30"/>
        <v>7.2179329399484904E-3</v>
      </c>
      <c r="Q194" s="51">
        <f t="shared" si="26"/>
        <v>100.06064809502715</v>
      </c>
      <c r="R194" s="51">
        <f t="shared" si="27"/>
        <v>76.091921732664247</v>
      </c>
      <c r="T194">
        <v>189</v>
      </c>
      <c r="U194">
        <f t="shared" ca="1" si="28"/>
        <v>-2.9620596859393456E-4</v>
      </c>
      <c r="V194">
        <f t="shared" ca="1" si="29"/>
        <v>7.5919172566310147</v>
      </c>
      <c r="Y194">
        <v>189</v>
      </c>
      <c r="Z194">
        <v>5.3366067614985475</v>
      </c>
    </row>
    <row r="195" spans="1:26" x14ac:dyDescent="0.15">
      <c r="A195" s="59">
        <v>41191.75</v>
      </c>
      <c r="B195">
        <v>11.697037999999999</v>
      </c>
      <c r="C195">
        <v>73.865371999999994</v>
      </c>
      <c r="D195">
        <v>45.615993000000003</v>
      </c>
      <c r="E195">
        <v>12.548</v>
      </c>
      <c r="F195">
        <v>1187.329956</v>
      </c>
      <c r="H195" s="50">
        <f t="shared" si="31"/>
        <v>-1.6971453269822013E-2</v>
      </c>
      <c r="I195" s="50">
        <f t="shared" si="32"/>
        <v>-1.8904883144742049E-2</v>
      </c>
      <c r="J195" s="50">
        <f t="shared" si="33"/>
        <v>3.6708050785012581E-3</v>
      </c>
      <c r="K195" s="50">
        <f t="shared" si="34"/>
        <v>2.4368341564961891E-2</v>
      </c>
      <c r="L195" s="50">
        <f t="shared" si="35"/>
        <v>2.0761442271141494E-3</v>
      </c>
      <c r="P195" s="50">
        <f t="shared" si="30"/>
        <v>2.0761442271141494E-3</v>
      </c>
      <c r="Q195" s="51">
        <f t="shared" ref="Q195:Q258" si="36">Q194*(1+P195)</f>
        <v>100.26838843193094</v>
      </c>
      <c r="R195" s="51">
        <f t="shared" ref="R195:R258" si="37">R194*(1+H195)</f>
        <v>74.800531238767391</v>
      </c>
      <c r="T195">
        <v>190</v>
      </c>
      <c r="U195">
        <f t="shared" ca="1" si="28"/>
        <v>-3.8198496994500267E-3</v>
      </c>
      <c r="V195">
        <f t="shared" ca="1" si="29"/>
        <v>7.5629172737800232</v>
      </c>
      <c r="Y195">
        <v>190</v>
      </c>
      <c r="Z195">
        <v>6.3558369723753882</v>
      </c>
    </row>
    <row r="196" spans="1:26" x14ac:dyDescent="0.15">
      <c r="A196" s="59">
        <v>41192.75</v>
      </c>
      <c r="B196">
        <v>11.898980999999999</v>
      </c>
      <c r="C196">
        <v>75.288696000000002</v>
      </c>
      <c r="D196">
        <v>45.449157999999997</v>
      </c>
      <c r="E196">
        <v>12.249499999999999</v>
      </c>
      <c r="F196">
        <v>1184.869995</v>
      </c>
      <c r="H196" s="50">
        <f t="shared" si="31"/>
        <v>5.4659783282400877E-3</v>
      </c>
      <c r="I196" s="50">
        <f t="shared" si="32"/>
        <v>3.2953318193973472E-2</v>
      </c>
      <c r="J196" s="50">
        <f t="shared" si="33"/>
        <v>2.3020112160195613E-2</v>
      </c>
      <c r="K196" s="50">
        <f t="shared" si="34"/>
        <v>3.1528949308000237E-3</v>
      </c>
      <c r="L196" s="50">
        <f t="shared" si="35"/>
        <v>6.1051734514645101E-3</v>
      </c>
      <c r="P196" s="50">
        <f t="shared" si="30"/>
        <v>6.1051734514645101E-3</v>
      </c>
      <c r="Q196" s="51">
        <f t="shared" si="36"/>
        <v>100.8805443350067</v>
      </c>
      <c r="R196" s="51">
        <f t="shared" si="37"/>
        <v>75.209389321459341</v>
      </c>
      <c r="T196">
        <v>191</v>
      </c>
      <c r="U196">
        <f t="shared" ca="1" si="28"/>
        <v>1.8841233250158197E-3</v>
      </c>
      <c r="V196">
        <f t="shared" ca="1" si="29"/>
        <v>7.577166742620717</v>
      </c>
      <c r="Y196">
        <v>191</v>
      </c>
      <c r="Z196">
        <v>7.9471038699001584</v>
      </c>
    </row>
    <row r="197" spans="1:26" x14ac:dyDescent="0.15">
      <c r="A197" s="59">
        <v>41193.75</v>
      </c>
      <c r="B197">
        <v>11.834294999999999</v>
      </c>
      <c r="C197">
        <v>72.886832999999996</v>
      </c>
      <c r="D197">
        <v>44.426456000000002</v>
      </c>
      <c r="E197">
        <v>12.211</v>
      </c>
      <c r="F197">
        <v>1177.6800539999999</v>
      </c>
      <c r="H197" s="50">
        <f t="shared" si="31"/>
        <v>-1.0552809110513034E-2</v>
      </c>
      <c r="I197" s="50">
        <f t="shared" si="32"/>
        <v>7.8935641381280772E-3</v>
      </c>
      <c r="J197" s="50">
        <f t="shared" si="33"/>
        <v>-4.3887481171966669E-3</v>
      </c>
      <c r="K197" s="50">
        <f t="shared" si="34"/>
        <v>7.6745337514441299E-3</v>
      </c>
      <c r="L197" s="50">
        <f t="shared" si="35"/>
        <v>7.1385067151936217E-4</v>
      </c>
      <c r="P197" s="50">
        <f t="shared" si="30"/>
        <v>7.1385067151936217E-4</v>
      </c>
      <c r="Q197" s="51">
        <f t="shared" si="36"/>
        <v>100.95255797932349</v>
      </c>
      <c r="R197" s="51">
        <f t="shared" si="37"/>
        <v>74.415718992631724</v>
      </c>
      <c r="T197">
        <v>192</v>
      </c>
      <c r="U197">
        <f t="shared" ca="1" si="28"/>
        <v>1.2082622950476008E-2</v>
      </c>
      <c r="V197">
        <f t="shared" ca="1" si="29"/>
        <v>7.6687187914046895</v>
      </c>
      <c r="Y197">
        <v>192</v>
      </c>
      <c r="Z197">
        <v>5.7864481904012157</v>
      </c>
    </row>
    <row r="198" spans="1:26" x14ac:dyDescent="0.15">
      <c r="A198" s="59">
        <v>41194.75</v>
      </c>
      <c r="B198">
        <v>11.960512</v>
      </c>
      <c r="C198">
        <v>72.316001999999997</v>
      </c>
      <c r="D198">
        <v>44.622292000000002</v>
      </c>
      <c r="E198">
        <v>12.118</v>
      </c>
      <c r="F198">
        <v>1176.839966</v>
      </c>
      <c r="H198" s="50">
        <f t="shared" si="31"/>
        <v>-1.7368823531924864E-2</v>
      </c>
      <c r="I198" s="50">
        <f t="shared" si="32"/>
        <v>1.0775953764283541E-2</v>
      </c>
      <c r="J198" s="50">
        <f t="shared" si="33"/>
        <v>-4.6921381163858161E-3</v>
      </c>
      <c r="K198" s="50">
        <f t="shared" si="34"/>
        <v>-7.4535178966335745E-3</v>
      </c>
      <c r="L198" s="50">
        <f t="shared" si="35"/>
        <v>-8.200089706300439E-3</v>
      </c>
      <c r="P198" s="50">
        <f t="shared" si="30"/>
        <v>-8.200089706300439E-3</v>
      </c>
      <c r="Q198" s="51">
        <f t="shared" si="36"/>
        <v>100.12473794781253</v>
      </c>
      <c r="R198" s="51">
        <f t="shared" si="37"/>
        <v>73.123205501447401</v>
      </c>
      <c r="T198">
        <v>193</v>
      </c>
      <c r="U198">
        <f t="shared" ca="1" si="28"/>
        <v>1.9004771218365482E-2</v>
      </c>
      <c r="V198">
        <f t="shared" ca="1" si="29"/>
        <v>7.8144610375733157</v>
      </c>
      <c r="Y198">
        <v>193</v>
      </c>
      <c r="Z198">
        <v>7.6500908550597888</v>
      </c>
    </row>
    <row r="199" spans="1:26" x14ac:dyDescent="0.15">
      <c r="A199" s="59">
        <v>41195.75</v>
      </c>
      <c r="B199">
        <v>12.171924000000001</v>
      </c>
      <c r="C199">
        <v>71.545035999999996</v>
      </c>
      <c r="D199">
        <v>44.832653000000001</v>
      </c>
      <c r="E199">
        <v>12.209</v>
      </c>
      <c r="F199">
        <v>1186.5699460000001</v>
      </c>
      <c r="H199" s="50">
        <f t="shared" si="31"/>
        <v>3.1205551250410137E-3</v>
      </c>
      <c r="I199" s="50">
        <f t="shared" si="32"/>
        <v>-5.0513799024401616E-3</v>
      </c>
      <c r="J199" s="50">
        <f t="shared" si="33"/>
        <v>-1.7328968863402319E-2</v>
      </c>
      <c r="K199" s="50">
        <f t="shared" si="34"/>
        <v>9.8384848733298804E-4</v>
      </c>
      <c r="L199" s="50">
        <f t="shared" si="35"/>
        <v>-2.9661625671689763E-3</v>
      </c>
      <c r="P199" s="50">
        <f t="shared" si="30"/>
        <v>-2.9661625671689763E-3</v>
      </c>
      <c r="Q199" s="51">
        <f t="shared" si="36"/>
        <v>99.827751698064134</v>
      </c>
      <c r="R199" s="51">
        <f t="shared" si="37"/>
        <v>73.351390495134368</v>
      </c>
      <c r="T199">
        <v>194</v>
      </c>
      <c r="U199">
        <f t="shared" ref="U199:U260" ca="1" si="38">_xlfn.NORM.INV(RAND(), $U$3,$U$4)</f>
        <v>-1.6938802282736507E-2</v>
      </c>
      <c r="V199">
        <f t="shared" ref="V199:V260" ca="1" si="39">V198*(1+U199)</f>
        <v>7.6820934271117132</v>
      </c>
      <c r="Y199">
        <v>194</v>
      </c>
      <c r="Z199">
        <v>7.7969893418550891</v>
      </c>
    </row>
    <row r="200" spans="1:26" x14ac:dyDescent="0.15">
      <c r="A200" s="59">
        <v>41198.75</v>
      </c>
      <c r="B200">
        <v>12.134059000000001</v>
      </c>
      <c r="C200">
        <v>71.908271999999997</v>
      </c>
      <c r="D200">
        <v>45.623257000000002</v>
      </c>
      <c r="E200">
        <v>12.196999999999999</v>
      </c>
      <c r="F200">
        <v>1190.099976</v>
      </c>
      <c r="H200" s="50">
        <f t="shared" si="31"/>
        <v>-1.5578879670124655E-3</v>
      </c>
      <c r="I200" s="50">
        <f t="shared" si="32"/>
        <v>2.2733376717437542E-3</v>
      </c>
      <c r="J200" s="50">
        <f t="shared" si="33"/>
        <v>-2.22065506864143E-3</v>
      </c>
      <c r="K200" s="50">
        <f t="shared" si="34"/>
        <v>-1.4344013899551516E-2</v>
      </c>
      <c r="L200" s="50">
        <f t="shared" si="35"/>
        <v>1.0151561654579758E-2</v>
      </c>
      <c r="P200" s="50">
        <f t="shared" si="30"/>
        <v>1.0151561654579758E-2</v>
      </c>
      <c r="Q200" s="51">
        <f t="shared" si="36"/>
        <v>100.84115927426511</v>
      </c>
      <c r="R200" s="51">
        <f t="shared" si="37"/>
        <v>73.237117246518366</v>
      </c>
      <c r="T200">
        <v>195</v>
      </c>
      <c r="U200">
        <f t="shared" ca="1" si="38"/>
        <v>-1.4195956611688619E-2</v>
      </c>
      <c r="V200">
        <f t="shared" ca="1" si="39"/>
        <v>7.5730387621334971</v>
      </c>
      <c r="Y200">
        <v>195</v>
      </c>
      <c r="Z200">
        <v>5.6058117302529666</v>
      </c>
    </row>
    <row r="201" spans="1:26" x14ac:dyDescent="0.15">
      <c r="A201" s="59">
        <v>41199.75</v>
      </c>
      <c r="B201">
        <v>12.152991999999999</v>
      </c>
      <c r="C201">
        <v>71.745170999999999</v>
      </c>
      <c r="D201">
        <v>45.724795999999998</v>
      </c>
      <c r="E201">
        <v>12.374499999999999</v>
      </c>
      <c r="F201">
        <v>1178.1400149999999</v>
      </c>
      <c r="H201" s="50">
        <f t="shared" si="31"/>
        <v>6.1388335073841926E-3</v>
      </c>
      <c r="I201" s="50">
        <f t="shared" si="32"/>
        <v>4.6711319917529534E-3</v>
      </c>
      <c r="J201" s="50">
        <f t="shared" si="33"/>
        <v>1.5888808133485504E-3</v>
      </c>
      <c r="K201" s="50">
        <f t="shared" si="34"/>
        <v>1.078211149683477E-2</v>
      </c>
      <c r="L201" s="50">
        <f t="shared" si="35"/>
        <v>-1.4735394103035791E-2</v>
      </c>
      <c r="P201" s="50">
        <f t="shared" si="30"/>
        <v>-1.4735394103035791E-2</v>
      </c>
      <c r="Q201" s="51">
        <f t="shared" si="36"/>
        <v>99.355225050551809</v>
      </c>
      <c r="R201" s="51">
        <f t="shared" si="37"/>
        <v>73.686707715855519</v>
      </c>
      <c r="T201">
        <v>196</v>
      </c>
      <c r="U201">
        <f t="shared" ca="1" si="38"/>
        <v>-1.3838168704360908E-2</v>
      </c>
      <c r="V201">
        <f t="shared" ca="1" si="39"/>
        <v>7.4682417741384288</v>
      </c>
      <c r="Y201">
        <v>196</v>
      </c>
      <c r="Z201">
        <v>7.7683123727680474</v>
      </c>
    </row>
    <row r="202" spans="1:26" x14ac:dyDescent="0.15">
      <c r="A202" s="59">
        <v>41200.75</v>
      </c>
      <c r="B202">
        <v>12.078842</v>
      </c>
      <c r="C202">
        <v>71.411597999999998</v>
      </c>
      <c r="D202">
        <v>45.652259999999998</v>
      </c>
      <c r="E202">
        <v>12.2425</v>
      </c>
      <c r="F202">
        <v>1195.76001</v>
      </c>
      <c r="H202" s="50">
        <f t="shared" si="31"/>
        <v>1.2430536457740953E-2</v>
      </c>
      <c r="I202" s="50">
        <f t="shared" si="32"/>
        <v>1.6353633621324495E-2</v>
      </c>
      <c r="J202" s="50">
        <f t="shared" si="33"/>
        <v>1.140928398071692E-2</v>
      </c>
      <c r="K202" s="50">
        <f t="shared" si="34"/>
        <v>2.0208333333333311E-2</v>
      </c>
      <c r="L202" s="50">
        <f t="shared" si="35"/>
        <v>1.5248735144177279E-2</v>
      </c>
      <c r="P202" s="50">
        <f t="shared" si="30"/>
        <v>1.5248735144177279E-2</v>
      </c>
      <c r="Q202" s="51">
        <f t="shared" si="36"/>
        <v>100.87026656253779</v>
      </c>
      <c r="R202" s="51">
        <f t="shared" si="37"/>
        <v>74.602673022568368</v>
      </c>
      <c r="T202">
        <v>197</v>
      </c>
      <c r="U202">
        <f t="shared" ca="1" si="38"/>
        <v>3.4548053249656629E-3</v>
      </c>
      <c r="V202">
        <f t="shared" ca="1" si="39"/>
        <v>7.4940430955878536</v>
      </c>
      <c r="Y202">
        <v>197</v>
      </c>
      <c r="Z202">
        <v>7.4752463559302278</v>
      </c>
    </row>
    <row r="203" spans="1:26" x14ac:dyDescent="0.15">
      <c r="A203" s="59">
        <v>41201.75</v>
      </c>
      <c r="B203">
        <v>11.930539</v>
      </c>
      <c r="C203">
        <v>70.262550000000005</v>
      </c>
      <c r="D203">
        <v>45.137276</v>
      </c>
      <c r="E203">
        <v>12</v>
      </c>
      <c r="F203">
        <v>1177.8000489999999</v>
      </c>
      <c r="H203" s="50">
        <f t="shared" si="31"/>
        <v>-3.9630443184819256E-4</v>
      </c>
      <c r="I203" s="50">
        <f t="shared" si="32"/>
        <v>-2.31529424113152E-3</v>
      </c>
      <c r="J203" s="50">
        <f t="shared" si="33"/>
        <v>3.2143415302593318E-4</v>
      </c>
      <c r="K203" s="50">
        <f t="shared" si="34"/>
        <v>2.6606210967576351E-2</v>
      </c>
      <c r="L203" s="50">
        <f t="shared" si="35"/>
        <v>-1.517406091601206E-3</v>
      </c>
      <c r="P203" s="50">
        <f t="shared" si="30"/>
        <v>-1.517406091601206E-3</v>
      </c>
      <c r="Q203" s="51">
        <f t="shared" si="36"/>
        <v>100.71720540559436</v>
      </c>
      <c r="R203" s="51">
        <f t="shared" si="37"/>
        <v>74.5731076526218</v>
      </c>
      <c r="T203">
        <v>198</v>
      </c>
      <c r="U203">
        <f t="shared" ca="1" si="38"/>
        <v>1.2982771930693756E-3</v>
      </c>
      <c r="V203">
        <f t="shared" ca="1" si="39"/>
        <v>7.5037724408227344</v>
      </c>
      <c r="Y203">
        <v>198</v>
      </c>
      <c r="Z203">
        <v>8.2004794149947227</v>
      </c>
    </row>
    <row r="204" spans="1:26" x14ac:dyDescent="0.15">
      <c r="A204" s="59">
        <v>41202.75</v>
      </c>
      <c r="B204">
        <v>11.935269</v>
      </c>
      <c r="C204">
        <v>70.425606000000002</v>
      </c>
      <c r="D204">
        <v>45.122771999999998</v>
      </c>
      <c r="E204">
        <v>11.689</v>
      </c>
      <c r="F204">
        <v>1179.589966</v>
      </c>
      <c r="H204" s="50">
        <f t="shared" si="31"/>
        <v>1.190459637658998E-2</v>
      </c>
      <c r="I204" s="50">
        <f t="shared" si="32"/>
        <v>-1.8912669064770342E-3</v>
      </c>
      <c r="J204" s="50">
        <f t="shared" si="33"/>
        <v>-6.8644079472907219E-3</v>
      </c>
      <c r="K204" s="50">
        <f t="shared" si="34"/>
        <v>-2.2619606504204184E-3</v>
      </c>
      <c r="L204" s="50">
        <f t="shared" si="35"/>
        <v>-1.650022421375949E-2</v>
      </c>
      <c r="P204" s="50">
        <f t="shared" si="30"/>
        <v>-1.650022421375949E-2</v>
      </c>
      <c r="Q204" s="51">
        <f t="shared" si="36"/>
        <v>99.05534893421877</v>
      </c>
      <c r="R204" s="51">
        <f t="shared" si="37"/>
        <v>75.460870399774265</v>
      </c>
      <c r="T204">
        <v>199</v>
      </c>
      <c r="U204">
        <f t="shared" ca="1" si="38"/>
        <v>-1.4911443422771177E-2</v>
      </c>
      <c r="V204">
        <f t="shared" ca="1" si="39"/>
        <v>7.3918803626140566</v>
      </c>
      <c r="Y204">
        <v>199</v>
      </c>
      <c r="Z204">
        <v>9.089809446380352</v>
      </c>
    </row>
    <row r="205" spans="1:26" x14ac:dyDescent="0.15">
      <c r="A205" s="59">
        <v>41205.75</v>
      </c>
      <c r="B205">
        <v>11.794855999999999</v>
      </c>
      <c r="C205">
        <v>70.559051999999994</v>
      </c>
      <c r="D205">
        <v>45.434654000000002</v>
      </c>
      <c r="E205">
        <v>11.7155</v>
      </c>
      <c r="F205">
        <v>1199.380005</v>
      </c>
      <c r="H205" s="50">
        <f t="shared" si="31"/>
        <v>-8.0182502661529627E-4</v>
      </c>
      <c r="I205" s="50">
        <f t="shared" si="32"/>
        <v>-4.6017192350577578E-3</v>
      </c>
      <c r="J205" s="50">
        <f t="shared" si="33"/>
        <v>-3.0242158232572473E-3</v>
      </c>
      <c r="K205" s="50">
        <f t="shared" si="34"/>
        <v>2.5471574248325999E-2</v>
      </c>
      <c r="L205" s="50">
        <f t="shared" si="35"/>
        <v>2.3734817953718337E-3</v>
      </c>
      <c r="P205" s="50">
        <f t="shared" si="30"/>
        <v>2.3734817953718337E-3</v>
      </c>
      <c r="Q205" s="51">
        <f t="shared" si="36"/>
        <v>99.29045500164834</v>
      </c>
      <c r="R205" s="51">
        <f t="shared" si="37"/>
        <v>75.400363985357558</v>
      </c>
      <c r="T205">
        <v>200</v>
      </c>
      <c r="U205">
        <f t="shared" ca="1" si="38"/>
        <v>6.0556142367234264E-3</v>
      </c>
      <c r="V205">
        <f t="shared" ca="1" si="39"/>
        <v>7.4366427385740588</v>
      </c>
      <c r="Y205">
        <v>200</v>
      </c>
      <c r="Z205">
        <v>10.092466960998886</v>
      </c>
    </row>
    <row r="206" spans="1:26" x14ac:dyDescent="0.15">
      <c r="A206" s="59">
        <v>41206.75</v>
      </c>
      <c r="B206">
        <v>11.804321</v>
      </c>
      <c r="C206">
        <v>70.885245999999995</v>
      </c>
      <c r="D206">
        <v>45.572474999999997</v>
      </c>
      <c r="E206">
        <v>11.4245</v>
      </c>
      <c r="F206">
        <v>1196.540039</v>
      </c>
      <c r="H206" s="50">
        <f t="shared" si="31"/>
        <v>-6.6381928644832968E-3</v>
      </c>
      <c r="I206" s="50">
        <f t="shared" si="32"/>
        <v>-1.0350191852621218E-2</v>
      </c>
      <c r="J206" s="50">
        <f t="shared" si="33"/>
        <v>-4.5944524782680681E-3</v>
      </c>
      <c r="K206" s="50">
        <f t="shared" si="34"/>
        <v>2.4986542257311974E-2</v>
      </c>
      <c r="L206" s="50">
        <f t="shared" si="35"/>
        <v>4.3311403400630314E-3</v>
      </c>
      <c r="P206" s="50">
        <f t="shared" si="30"/>
        <v>4.3311403400630314E-3</v>
      </c>
      <c r="Q206" s="51">
        <f t="shared" si="36"/>
        <v>99.720495896689187</v>
      </c>
      <c r="R206" s="51">
        <f t="shared" si="37"/>
        <v>74.899841827170519</v>
      </c>
      <c r="T206">
        <v>201</v>
      </c>
      <c r="U206">
        <f t="shared" ca="1" si="38"/>
        <v>8.113541606278479E-3</v>
      </c>
      <c r="V206">
        <f t="shared" ca="1" si="39"/>
        <v>7.4969802488445083</v>
      </c>
      <c r="Y206">
        <v>201</v>
      </c>
      <c r="Z206">
        <v>8.0598894480138821</v>
      </c>
    </row>
    <row r="207" spans="1:26" x14ac:dyDescent="0.15">
      <c r="A207" s="59">
        <v>41207.75</v>
      </c>
      <c r="B207">
        <v>11.883203999999999</v>
      </c>
      <c r="C207">
        <v>71.626594999999995</v>
      </c>
      <c r="D207">
        <v>45.782822000000003</v>
      </c>
      <c r="E207">
        <v>11.146000000000001</v>
      </c>
      <c r="F207">
        <v>1191.380005</v>
      </c>
      <c r="H207" s="50">
        <f t="shared" si="31"/>
        <v>2.7954246377111885E-3</v>
      </c>
      <c r="I207" s="50">
        <f t="shared" si="32"/>
        <v>-3.3004388288692958E-3</v>
      </c>
      <c r="J207" s="50">
        <f t="shared" si="33"/>
        <v>-1.2515816998753227E-2</v>
      </c>
      <c r="K207" s="50">
        <f t="shared" si="34"/>
        <v>-6.4304902619207516E-2</v>
      </c>
      <c r="L207" s="50">
        <f t="shared" si="35"/>
        <v>1.0586123289450329E-2</v>
      </c>
      <c r="P207" s="50">
        <f t="shared" si="30"/>
        <v>1.0586123289450329E-2</v>
      </c>
      <c r="Q207" s="51">
        <f t="shared" si="36"/>
        <v>100.77614936073667</v>
      </c>
      <c r="R207" s="51">
        <f t="shared" si="37"/>
        <v>75.10921869037486</v>
      </c>
      <c r="T207">
        <v>202</v>
      </c>
      <c r="U207">
        <f t="shared" ca="1" si="38"/>
        <v>-2.6706798899541993E-3</v>
      </c>
      <c r="V207">
        <f t="shared" ca="1" si="39"/>
        <v>7.476958214458536</v>
      </c>
      <c r="Y207">
        <v>202</v>
      </c>
      <c r="Z207">
        <v>11.461509388794736</v>
      </c>
    </row>
    <row r="208" spans="1:26" x14ac:dyDescent="0.15">
      <c r="A208" s="59">
        <v>41208.75</v>
      </c>
      <c r="B208">
        <v>11.850078</v>
      </c>
      <c r="C208">
        <v>71.863776999999999</v>
      </c>
      <c r="D208">
        <v>46.363093999999997</v>
      </c>
      <c r="E208">
        <v>11.912000000000001</v>
      </c>
      <c r="F208">
        <v>1178.900024</v>
      </c>
      <c r="H208" s="50">
        <f t="shared" si="31"/>
        <v>1.1999111852810183E-3</v>
      </c>
      <c r="I208" s="50">
        <f t="shared" si="32"/>
        <v>-1.5137430170047688E-2</v>
      </c>
      <c r="J208" s="50">
        <f t="shared" si="33"/>
        <v>2.6669029999863564E-3</v>
      </c>
      <c r="K208" s="50">
        <f t="shared" si="34"/>
        <v>2.2972218643995023E-2</v>
      </c>
      <c r="L208" s="50">
        <f t="shared" si="35"/>
        <v>-1.6279912088920281E-2</v>
      </c>
      <c r="P208" s="50">
        <f t="shared" si="30"/>
        <v>-1.6279912088920281E-2</v>
      </c>
      <c r="Q208" s="51">
        <f t="shared" si="36"/>
        <v>99.135522508483973</v>
      </c>
      <c r="R208" s="51">
        <f t="shared" si="37"/>
        <v>75.19934308199916</v>
      </c>
      <c r="T208">
        <v>203</v>
      </c>
      <c r="U208">
        <f t="shared" ca="1" si="38"/>
        <v>-1.2627599771448833E-2</v>
      </c>
      <c r="V208">
        <f t="shared" ca="1" si="39"/>
        <v>7.3825421786185075</v>
      </c>
      <c r="Y208">
        <v>203</v>
      </c>
      <c r="Z208">
        <v>9.9020920271526709</v>
      </c>
    </row>
    <row r="209" spans="1:26" x14ac:dyDescent="0.15">
      <c r="A209" s="59">
        <v>41209.75</v>
      </c>
      <c r="B209">
        <v>11.835876000000001</v>
      </c>
      <c r="C209">
        <v>72.968329999999995</v>
      </c>
      <c r="D209">
        <v>46.239776999999997</v>
      </c>
      <c r="E209">
        <v>11.644500000000001</v>
      </c>
      <c r="F209">
        <v>1198.410034</v>
      </c>
      <c r="H209" s="50">
        <f t="shared" si="31"/>
        <v>2.137505999648966E-2</v>
      </c>
      <c r="I209" s="50">
        <f t="shared" si="32"/>
        <v>1.3383734900747121E-2</v>
      </c>
      <c r="J209" s="50">
        <f t="shared" si="33"/>
        <v>1.2869395731996582E-2</v>
      </c>
      <c r="K209" s="50">
        <f t="shared" si="34"/>
        <v>3.2308089945723636E-3</v>
      </c>
      <c r="L209" s="50">
        <f t="shared" si="35"/>
        <v>-7.1250245886527236E-3</v>
      </c>
      <c r="P209" s="50">
        <f t="shared" si="30"/>
        <v>-7.1250245886527236E-3</v>
      </c>
      <c r="Q209" s="51">
        <f t="shared" si="36"/>
        <v>98.429179473002094</v>
      </c>
      <c r="R209" s="51">
        <f t="shared" si="37"/>
        <v>76.80673355207351</v>
      </c>
      <c r="T209">
        <v>204</v>
      </c>
      <c r="U209">
        <f t="shared" ca="1" si="38"/>
        <v>2.5836258705968437E-2</v>
      </c>
      <c r="V209">
        <f t="shared" ca="1" si="39"/>
        <v>7.573279448253019</v>
      </c>
      <c r="Y209">
        <v>204</v>
      </c>
      <c r="Z209">
        <v>7.3527111639116836</v>
      </c>
    </row>
    <row r="210" spans="1:26" x14ac:dyDescent="0.15">
      <c r="A210" s="59">
        <v>41212.75</v>
      </c>
      <c r="B210">
        <v>11.588177999999999</v>
      </c>
      <c r="C210">
        <v>72.004638999999997</v>
      </c>
      <c r="D210">
        <v>45.652259999999998</v>
      </c>
      <c r="E210">
        <v>11.606999999999999</v>
      </c>
      <c r="F210">
        <v>1207.01001</v>
      </c>
      <c r="H210" s="50">
        <f t="shared" si="31"/>
        <v>9.344392632770095E-3</v>
      </c>
      <c r="I210" s="50">
        <f t="shared" si="32"/>
        <v>1.0507463800902355E-2</v>
      </c>
      <c r="J210" s="50">
        <f t="shared" si="33"/>
        <v>3.6675693071797941E-3</v>
      </c>
      <c r="K210" s="50">
        <f t="shared" si="34"/>
        <v>-1.2047156010671304E-3</v>
      </c>
      <c r="L210" s="50">
        <f t="shared" si="35"/>
        <v>3.533539496378833E-3</v>
      </c>
      <c r="P210" s="50">
        <f t="shared" si="30"/>
        <v>3.533539496378833E-3</v>
      </c>
      <c r="Q210" s="51">
        <f t="shared" si="36"/>
        <v>98.77698286626611</v>
      </c>
      <c r="R210" s="51">
        <f t="shared" si="37"/>
        <v>77.524445827224639</v>
      </c>
      <c r="T210">
        <v>205</v>
      </c>
      <c r="U210">
        <f t="shared" ca="1" si="38"/>
        <v>2.1303488757496592E-2</v>
      </c>
      <c r="V210">
        <f t="shared" ca="1" si="39"/>
        <v>7.7346167218362565</v>
      </c>
      <c r="Y210">
        <v>205</v>
      </c>
      <c r="Z210">
        <v>6.9161291425487139</v>
      </c>
    </row>
    <row r="211" spans="1:26" x14ac:dyDescent="0.15">
      <c r="A211" s="59">
        <v>41213.75</v>
      </c>
      <c r="B211">
        <v>11.480896</v>
      </c>
      <c r="C211">
        <v>71.255920000000003</v>
      </c>
      <c r="D211">
        <v>45.485439</v>
      </c>
      <c r="E211">
        <v>11.621</v>
      </c>
      <c r="F211">
        <v>1202.76001</v>
      </c>
      <c r="H211" s="50">
        <f t="shared" si="31"/>
        <v>-5.0583806630335095E-3</v>
      </c>
      <c r="I211" s="50">
        <f t="shared" si="32"/>
        <v>-1.6473412502233102E-2</v>
      </c>
      <c r="J211" s="50">
        <f t="shared" si="33"/>
        <v>-1.0883180918538694E-2</v>
      </c>
      <c r="K211" s="50">
        <f t="shared" si="34"/>
        <v>-8.1508983058080041E-3</v>
      </c>
      <c r="L211" s="50">
        <f t="shared" si="35"/>
        <v>-9.8784944361149981E-3</v>
      </c>
      <c r="P211" s="50">
        <f t="shared" si="30"/>
        <v>-9.8784944361149981E-3</v>
      </c>
      <c r="Q211" s="51">
        <f t="shared" si="36"/>
        <v>97.801214990605473</v>
      </c>
      <c r="R211" s="51">
        <f t="shared" si="37"/>
        <v>77.13229766953981</v>
      </c>
      <c r="T211">
        <v>206</v>
      </c>
      <c r="U211">
        <f t="shared" ca="1" si="38"/>
        <v>1.0714578685949059E-2</v>
      </c>
      <c r="V211">
        <f t="shared" ca="1" si="39"/>
        <v>7.8174898813080285</v>
      </c>
      <c r="Y211">
        <v>206</v>
      </c>
      <c r="Z211">
        <v>9.416009146364992</v>
      </c>
    </row>
    <row r="212" spans="1:26" x14ac:dyDescent="0.15">
      <c r="A212" s="59">
        <v>41214.75</v>
      </c>
      <c r="B212">
        <v>11.539266</v>
      </c>
      <c r="C212">
        <v>72.449409000000003</v>
      </c>
      <c r="D212">
        <v>45.985911999999999</v>
      </c>
      <c r="E212">
        <v>11.7165</v>
      </c>
      <c r="F212">
        <v>1214.76001</v>
      </c>
      <c r="H212" s="50">
        <f t="shared" si="31"/>
        <v>-8.4058844284557541E-3</v>
      </c>
      <c r="I212" s="50">
        <f t="shared" si="32"/>
        <v>-1.0730081829880002E-2</v>
      </c>
      <c r="J212" s="50">
        <f t="shared" si="33"/>
        <v>1.57638334162929E-4</v>
      </c>
      <c r="K212" s="50">
        <f t="shared" si="34"/>
        <v>-1.3596565078296026E-2</v>
      </c>
      <c r="L212" s="50">
        <f t="shared" si="35"/>
        <v>-4.2460541096425363E-3</v>
      </c>
      <c r="P212" s="50">
        <f t="shared" si="30"/>
        <v>-4.2460541096425363E-3</v>
      </c>
      <c r="Q212" s="51">
        <f t="shared" si="36"/>
        <v>97.385945739766584</v>
      </c>
      <c r="R212" s="51">
        <f t="shared" si="37"/>
        <v>76.483932489628401</v>
      </c>
      <c r="T212">
        <v>207</v>
      </c>
      <c r="U212">
        <f t="shared" ca="1" si="38"/>
        <v>-2.3239640102510419E-2</v>
      </c>
      <c r="V212">
        <f t="shared" ca="1" si="39"/>
        <v>7.6358142299614125</v>
      </c>
      <c r="Y212">
        <v>207</v>
      </c>
      <c r="Z212">
        <v>10.70445310155363</v>
      </c>
    </row>
    <row r="213" spans="1:26" x14ac:dyDescent="0.15">
      <c r="A213" s="59">
        <v>41215.75</v>
      </c>
      <c r="B213">
        <v>11.637086</v>
      </c>
      <c r="C213">
        <v>73.235229000000004</v>
      </c>
      <c r="D213">
        <v>45.978664000000002</v>
      </c>
      <c r="E213">
        <v>11.878</v>
      </c>
      <c r="F213">
        <v>1219.9399410000001</v>
      </c>
      <c r="H213" s="50">
        <f t="shared" si="31"/>
        <v>8.8904289976391333E-3</v>
      </c>
      <c r="I213" s="50">
        <f t="shared" si="32"/>
        <v>1.5313221243067374E-2</v>
      </c>
      <c r="J213" s="50">
        <f t="shared" si="33"/>
        <v>9.5555297145549344E-3</v>
      </c>
      <c r="K213" s="50">
        <f t="shared" si="34"/>
        <v>2.3700767043006152E-2</v>
      </c>
      <c r="L213" s="50">
        <f t="shared" si="35"/>
        <v>-1.6397626300278224E-4</v>
      </c>
      <c r="P213" s="50">
        <f t="shared" si="30"/>
        <v>-1.6397626300278224E-4</v>
      </c>
      <c r="Q213" s="51">
        <f t="shared" si="36"/>
        <v>97.369976756315182</v>
      </c>
      <c r="R213" s="51">
        <f t="shared" si="37"/>
        <v>77.163907460887657</v>
      </c>
      <c r="T213">
        <v>208</v>
      </c>
      <c r="U213">
        <f t="shared" ca="1" si="38"/>
        <v>-1.085676760534552E-2</v>
      </c>
      <c r="V213">
        <f t="shared" ca="1" si="39"/>
        <v>7.552913969389131</v>
      </c>
      <c r="Y213">
        <v>208</v>
      </c>
      <c r="Z213">
        <v>6.096438391965636</v>
      </c>
    </row>
    <row r="214" spans="1:26" x14ac:dyDescent="0.15">
      <c r="A214" s="59">
        <v>41216.75</v>
      </c>
      <c r="B214">
        <v>11.534539000000001</v>
      </c>
      <c r="C214">
        <v>72.130675999999994</v>
      </c>
      <c r="D214">
        <v>45.543472000000001</v>
      </c>
      <c r="E214">
        <v>11.603</v>
      </c>
      <c r="F214">
        <v>1220.1400149999999</v>
      </c>
      <c r="H214" s="50">
        <f t="shared" si="31"/>
        <v>8.6925047434929341E-3</v>
      </c>
      <c r="I214" s="50">
        <f t="shared" si="32"/>
        <v>2.7021474841982841E-2</v>
      </c>
      <c r="J214" s="50">
        <f t="shared" si="33"/>
        <v>1.5691165288971954E-2</v>
      </c>
      <c r="K214" s="50">
        <f t="shared" si="34"/>
        <v>2.0716956234880145E-2</v>
      </c>
      <c r="L214" s="50">
        <f t="shared" si="35"/>
        <v>-2.183531269102818E-3</v>
      </c>
      <c r="P214" s="50">
        <f t="shared" si="30"/>
        <v>-2.183531269102818E-3</v>
      </c>
      <c r="Q214" s="51">
        <f t="shared" si="36"/>
        <v>97.157366367395952</v>
      </c>
      <c r="R214" s="51">
        <f t="shared" si="37"/>
        <v>77.834655092517878</v>
      </c>
      <c r="T214">
        <v>209</v>
      </c>
      <c r="U214">
        <f t="shared" ca="1" si="38"/>
        <v>1.0648912950651322E-2</v>
      </c>
      <c r="V214">
        <f t="shared" ca="1" si="39"/>
        <v>7.6333442927729136</v>
      </c>
      <c r="Y214">
        <v>209</v>
      </c>
      <c r="Z214">
        <v>6.591889804232868</v>
      </c>
    </row>
    <row r="215" spans="1:26" x14ac:dyDescent="0.15">
      <c r="A215" s="59">
        <v>41219.75</v>
      </c>
      <c r="B215">
        <v>11.435138999999999</v>
      </c>
      <c r="C215">
        <v>70.232879999999994</v>
      </c>
      <c r="D215">
        <v>44.839882000000003</v>
      </c>
      <c r="E215">
        <v>11.3675</v>
      </c>
      <c r="F215">
        <v>1222.8100589999999</v>
      </c>
      <c r="H215" s="50">
        <f t="shared" si="31"/>
        <v>2.3507403061325742E-3</v>
      </c>
      <c r="I215" s="50">
        <f t="shared" si="32"/>
        <v>-7.5427473574949336E-3</v>
      </c>
      <c r="J215" s="50">
        <f t="shared" si="33"/>
        <v>-3.225255012951973E-3</v>
      </c>
      <c r="K215" s="50">
        <f t="shared" si="34"/>
        <v>4.5954663956519464E-3</v>
      </c>
      <c r="L215" s="50">
        <f t="shared" si="35"/>
        <v>3.4630951491027673E-3</v>
      </c>
      <c r="P215" s="50">
        <f t="shared" si="30"/>
        <v>3.4630951491027673E-3</v>
      </c>
      <c r="Q215" s="51">
        <f t="shared" si="36"/>
        <v>97.493831571562481</v>
      </c>
      <c r="R215" s="51">
        <f t="shared" si="37"/>
        <v>78.017624153457774</v>
      </c>
      <c r="T215">
        <v>210</v>
      </c>
      <c r="U215">
        <f t="shared" ca="1" si="38"/>
        <v>6.1330173159427001E-3</v>
      </c>
      <c r="V215">
        <f t="shared" ca="1" si="39"/>
        <v>7.6801597254990419</v>
      </c>
      <c r="Y215">
        <v>210</v>
      </c>
      <c r="Z215">
        <v>4.420135243494653</v>
      </c>
    </row>
    <row r="216" spans="1:26" x14ac:dyDescent="0.15">
      <c r="A216" s="59">
        <v>41220.75</v>
      </c>
      <c r="B216">
        <v>11.408321000000001</v>
      </c>
      <c r="C216">
        <v>70.766655</v>
      </c>
      <c r="D216">
        <v>44.984969999999997</v>
      </c>
      <c r="E216">
        <v>11.3155</v>
      </c>
      <c r="F216">
        <v>1218.589966</v>
      </c>
      <c r="H216" s="50">
        <f t="shared" si="31"/>
        <v>-2.3452272858247442E-3</v>
      </c>
      <c r="I216" s="50">
        <f t="shared" si="32"/>
        <v>-5.4172956536621018E-3</v>
      </c>
      <c r="J216" s="50">
        <f t="shared" si="33"/>
        <v>6.4556529872304464E-4</v>
      </c>
      <c r="K216" s="50">
        <f t="shared" si="34"/>
        <v>-7.0649534154626395E-4</v>
      </c>
      <c r="L216" s="50">
        <f t="shared" si="35"/>
        <v>-1.6876729279448458E-3</v>
      </c>
      <c r="P216" s="50">
        <f t="shared" si="30"/>
        <v>-1.6876729279448458E-3</v>
      </c>
      <c r="Q216" s="51">
        <f t="shared" si="36"/>
        <v>97.329293871377544</v>
      </c>
      <c r="R216" s="51">
        <f t="shared" si="37"/>
        <v>77.834655092517863</v>
      </c>
      <c r="T216">
        <v>211</v>
      </c>
      <c r="U216">
        <f t="shared" ca="1" si="38"/>
        <v>2.2616706725061598E-2</v>
      </c>
      <c r="V216">
        <f t="shared" ca="1" si="39"/>
        <v>7.8538596456122827</v>
      </c>
      <c r="Y216">
        <v>211</v>
      </c>
      <c r="Z216">
        <v>8.3316230183312285</v>
      </c>
    </row>
    <row r="217" spans="1:26" x14ac:dyDescent="0.15">
      <c r="A217" s="59">
        <v>41221.75</v>
      </c>
      <c r="B217">
        <v>11.435138999999999</v>
      </c>
      <c r="C217">
        <v>71.152107000000001</v>
      </c>
      <c r="D217">
        <v>44.955947999999999</v>
      </c>
      <c r="E217">
        <v>11.323499999999999</v>
      </c>
      <c r="F217">
        <v>1220.650024</v>
      </c>
      <c r="H217" s="50">
        <f t="shared" si="31"/>
        <v>9.329943697109027E-3</v>
      </c>
      <c r="I217" s="50">
        <f t="shared" si="32"/>
        <v>3.0301468100843365E-3</v>
      </c>
      <c r="J217" s="50">
        <f t="shared" si="33"/>
        <v>-1.7714159148098534E-3</v>
      </c>
      <c r="K217" s="50">
        <f t="shared" si="34"/>
        <v>-5.7369814651375445E-4</v>
      </c>
      <c r="L217" s="50">
        <f t="shared" si="35"/>
        <v>-8.3755258713894033E-3</v>
      </c>
      <c r="P217" s="50">
        <f t="shared" si="30"/>
        <v>-8.3755258713894033E-3</v>
      </c>
      <c r="Q217" s="51">
        <f t="shared" si="36"/>
        <v>96.514109852513755</v>
      </c>
      <c r="R217" s="51">
        <f t="shared" si="37"/>
        <v>78.560848042214957</v>
      </c>
      <c r="T217">
        <v>212</v>
      </c>
      <c r="U217">
        <f t="shared" ca="1" si="38"/>
        <v>-2.6781108268553004E-2</v>
      </c>
      <c r="V217">
        <f t="shared" ca="1" si="39"/>
        <v>7.6435245801171208</v>
      </c>
      <c r="Y217">
        <v>212</v>
      </c>
      <c r="Z217">
        <v>5.1222612024735401</v>
      </c>
    </row>
    <row r="218" spans="1:26" x14ac:dyDescent="0.15">
      <c r="A218" s="59">
        <v>41222.75</v>
      </c>
      <c r="B218">
        <v>11.329435999999999</v>
      </c>
      <c r="C218">
        <v>70.937156999999999</v>
      </c>
      <c r="D218">
        <v>45.035724999999999</v>
      </c>
      <c r="E218">
        <v>11.33</v>
      </c>
      <c r="F218">
        <v>1230.959961</v>
      </c>
      <c r="H218" s="50">
        <f t="shared" si="31"/>
        <v>7.0117460924131614E-3</v>
      </c>
      <c r="I218" s="50">
        <f t="shared" si="32"/>
        <v>1.0003723238776364E-2</v>
      </c>
      <c r="J218" s="50">
        <f t="shared" si="33"/>
        <v>1.1566941945011013E-2</v>
      </c>
      <c r="K218" s="50">
        <f t="shared" si="34"/>
        <v>1.6371383718322422E-2</v>
      </c>
      <c r="L218" s="50">
        <f t="shared" si="35"/>
        <v>-3.0452329988270399E-3</v>
      </c>
      <c r="P218" s="50">
        <f t="shared" si="30"/>
        <v>-3.0452329988270399E-3</v>
      </c>
      <c r="Q218" s="51">
        <f t="shared" si="36"/>
        <v>96.220201900338452</v>
      </c>
      <c r="R218" s="51">
        <f t="shared" si="37"/>
        <v>79.111696761491615</v>
      </c>
      <c r="T218">
        <v>213</v>
      </c>
      <c r="U218">
        <f t="shared" ca="1" si="38"/>
        <v>7.849611337879198E-3</v>
      </c>
      <c r="V218">
        <f t="shared" ca="1" si="39"/>
        <v>7.7035232773225664</v>
      </c>
      <c r="Y218">
        <v>213</v>
      </c>
      <c r="Z218">
        <v>6.5839869561359023</v>
      </c>
    </row>
    <row r="219" spans="1:26" x14ac:dyDescent="0.15">
      <c r="A219" s="59">
        <v>41223.75</v>
      </c>
      <c r="B219">
        <v>11.25055</v>
      </c>
      <c r="C219">
        <v>70.234549999999999</v>
      </c>
      <c r="D219">
        <v>44.520755999999999</v>
      </c>
      <c r="E219">
        <v>11.147500000000001</v>
      </c>
      <c r="F219">
        <v>1234.719971</v>
      </c>
      <c r="H219" s="50">
        <f t="shared" si="31"/>
        <v>3.7689053090926371E-2</v>
      </c>
      <c r="I219" s="50">
        <f t="shared" si="32"/>
        <v>-1.285306295027234E-2</v>
      </c>
      <c r="J219" s="50">
        <f t="shared" si="33"/>
        <v>-1.6976171129795836E-2</v>
      </c>
      <c r="K219" s="50">
        <f t="shared" si="34"/>
        <v>1.065276518585689E-2</v>
      </c>
      <c r="L219" s="50">
        <f t="shared" si="35"/>
        <v>7.7807757766441236E-4</v>
      </c>
      <c r="P219" s="50">
        <f t="shared" si="30"/>
        <v>7.7807757766441236E-4</v>
      </c>
      <c r="Q219" s="51">
        <f t="shared" si="36"/>
        <v>96.295068681955456</v>
      </c>
      <c r="R219" s="51">
        <f t="shared" si="37"/>
        <v>82.09334170084874</v>
      </c>
      <c r="T219">
        <v>214</v>
      </c>
      <c r="U219">
        <f t="shared" ca="1" si="38"/>
        <v>-3.0291642933258141E-3</v>
      </c>
      <c r="V219">
        <f t="shared" ca="1" si="39"/>
        <v>7.6801880396780966</v>
      </c>
      <c r="Y219">
        <v>214</v>
      </c>
      <c r="Z219">
        <v>4.2079970605820138</v>
      </c>
    </row>
    <row r="220" spans="1:26" x14ac:dyDescent="0.15">
      <c r="A220" s="59">
        <v>41226.75</v>
      </c>
      <c r="B220">
        <v>10.841927999999999</v>
      </c>
      <c r="C220">
        <v>71.149033000000003</v>
      </c>
      <c r="D220">
        <v>45.2896</v>
      </c>
      <c r="E220">
        <v>11.03</v>
      </c>
      <c r="F220">
        <v>1233.76001</v>
      </c>
      <c r="H220" s="50">
        <f t="shared" si="31"/>
        <v>1.0142769097177692E-2</v>
      </c>
      <c r="I220" s="50">
        <f t="shared" si="32"/>
        <v>1.0435524448147242E-4</v>
      </c>
      <c r="J220" s="50">
        <f t="shared" si="33"/>
        <v>-9.599604421650158E-4</v>
      </c>
      <c r="K220" s="50">
        <f t="shared" si="34"/>
        <v>-2.0556764196599076E-2</v>
      </c>
      <c r="L220" s="50">
        <f t="shared" si="35"/>
        <v>3.8648993591191339E-3</v>
      </c>
      <c r="P220" s="50">
        <f t="shared" si="30"/>
        <v>3.8648993591191339E-3</v>
      </c>
      <c r="Q220" s="51">
        <f t="shared" si="36"/>
        <v>96.667239431190666</v>
      </c>
      <c r="R220" s="51">
        <f t="shared" si="37"/>
        <v>82.925995510136147</v>
      </c>
      <c r="T220">
        <v>215</v>
      </c>
      <c r="U220">
        <f t="shared" ca="1" si="38"/>
        <v>-1.8956800498170376E-2</v>
      </c>
      <c r="V220">
        <f t="shared" ca="1" si="39"/>
        <v>7.5345962472214847</v>
      </c>
      <c r="Y220">
        <v>215</v>
      </c>
      <c r="Z220">
        <v>9.2963412202644218</v>
      </c>
    </row>
    <row r="221" spans="1:26" x14ac:dyDescent="0.15">
      <c r="A221" s="59">
        <v>41227.75</v>
      </c>
      <c r="B221">
        <v>10.733065</v>
      </c>
      <c r="C221">
        <v>71.141609000000003</v>
      </c>
      <c r="D221">
        <v>45.333117999999999</v>
      </c>
      <c r="E221">
        <v>11.2615</v>
      </c>
      <c r="F221">
        <v>1229.01001</v>
      </c>
      <c r="H221" s="50">
        <f t="shared" si="31"/>
        <v>-1.4343768877548868E-2</v>
      </c>
      <c r="I221" s="50">
        <f t="shared" si="32"/>
        <v>-9.1126563565086076E-3</v>
      </c>
      <c r="J221" s="50">
        <f t="shared" si="33"/>
        <v>-1.380718556840353E-2</v>
      </c>
      <c r="K221" s="50">
        <f t="shared" si="34"/>
        <v>-1.9502851421357381E-2</v>
      </c>
      <c r="L221" s="50">
        <f t="shared" si="35"/>
        <v>-1.7868203390859793E-3</v>
      </c>
      <c r="P221" s="50">
        <f t="shared" si="30"/>
        <v>-1.7868203390859793E-3</v>
      </c>
      <c r="Q221" s="51">
        <f t="shared" si="36"/>
        <v>96.494512441651722</v>
      </c>
      <c r="R221" s="51">
        <f t="shared" si="37"/>
        <v>81.736524196598097</v>
      </c>
      <c r="T221">
        <v>216</v>
      </c>
      <c r="U221">
        <f t="shared" ca="1" si="38"/>
        <v>-1.2240070940083538E-2</v>
      </c>
      <c r="V221">
        <f t="shared" ca="1" si="39"/>
        <v>7.442372254650607</v>
      </c>
      <c r="Y221">
        <v>216</v>
      </c>
      <c r="Z221">
        <v>12.495591631406171</v>
      </c>
    </row>
    <row r="222" spans="1:26" x14ac:dyDescent="0.15">
      <c r="A222" s="59">
        <v>41228.75</v>
      </c>
      <c r="B222">
        <v>10.889258</v>
      </c>
      <c r="C222">
        <v>71.795860000000005</v>
      </c>
      <c r="D222">
        <v>45.967804000000001</v>
      </c>
      <c r="E222">
        <v>11.4855</v>
      </c>
      <c r="F222">
        <v>1231.209961</v>
      </c>
      <c r="H222" s="50">
        <f t="shared" si="31"/>
        <v>2.9009470793021431E-4</v>
      </c>
      <c r="I222" s="50">
        <f t="shared" si="32"/>
        <v>-5.6628136694954374E-3</v>
      </c>
      <c r="J222" s="50">
        <f t="shared" si="33"/>
        <v>1.5852736907796751E-4</v>
      </c>
      <c r="K222" s="50">
        <f t="shared" si="34"/>
        <v>-1.7409530327658483E-2</v>
      </c>
      <c r="L222" s="50">
        <f t="shared" si="35"/>
        <v>-9.3257865650437574E-3</v>
      </c>
      <c r="P222" s="50">
        <f t="shared" si="30"/>
        <v>-9.3257865650437574E-3</v>
      </c>
      <c r="Q222" s="51">
        <f t="shared" si="36"/>
        <v>95.59462521392291</v>
      </c>
      <c r="R222" s="51">
        <f t="shared" si="37"/>
        <v>81.760235529712148</v>
      </c>
      <c r="T222">
        <v>217</v>
      </c>
      <c r="U222">
        <f t="shared" ca="1" si="38"/>
        <v>-1.6674674581802582E-2</v>
      </c>
      <c r="V222">
        <f t="shared" ca="1" si="39"/>
        <v>7.3182731191876718</v>
      </c>
      <c r="Y222">
        <v>217</v>
      </c>
      <c r="Z222">
        <v>10.64476710937535</v>
      </c>
    </row>
    <row r="223" spans="1:26" x14ac:dyDescent="0.15">
      <c r="A223" s="59">
        <v>41229.75</v>
      </c>
      <c r="B223">
        <v>10.886100000000001</v>
      </c>
      <c r="C223">
        <v>72.204741999999996</v>
      </c>
      <c r="D223">
        <v>45.960518</v>
      </c>
      <c r="E223">
        <v>11.689</v>
      </c>
      <c r="F223">
        <v>1242.8000489999999</v>
      </c>
      <c r="H223" s="50">
        <f t="shared" si="31"/>
        <v>1.5965961853744457E-3</v>
      </c>
      <c r="I223" s="50">
        <f t="shared" si="32"/>
        <v>3.9278670418514397E-3</v>
      </c>
      <c r="J223" s="50">
        <f t="shared" si="33"/>
        <v>-1.1299306078042075E-2</v>
      </c>
      <c r="K223" s="50">
        <f t="shared" si="34"/>
        <v>-1.7854892240473919E-2</v>
      </c>
      <c r="L223" s="50">
        <f t="shared" si="35"/>
        <v>-4.3820414752891263E-3</v>
      </c>
      <c r="P223" s="50">
        <f t="shared" si="30"/>
        <v>-4.3820414752891263E-3</v>
      </c>
      <c r="Q223" s="51">
        <f t="shared" si="36"/>
        <v>95.17572560142078</v>
      </c>
      <c r="R223" s="51">
        <f t="shared" si="37"/>
        <v>81.890773609874216</v>
      </c>
      <c r="T223">
        <v>218</v>
      </c>
      <c r="U223">
        <f t="shared" ca="1" si="38"/>
        <v>-3.1270412785096811E-2</v>
      </c>
      <c r="V223">
        <f t="shared" ca="1" si="39"/>
        <v>7.0894276978765953</v>
      </c>
      <c r="Y223">
        <v>218</v>
      </c>
      <c r="Z223">
        <v>7.0183759127352374</v>
      </c>
    </row>
    <row r="224" spans="1:26" x14ac:dyDescent="0.15">
      <c r="A224" s="59">
        <v>41230.75</v>
      </c>
      <c r="B224">
        <v>10.868747000000001</v>
      </c>
      <c r="C224">
        <v>71.922241</v>
      </c>
      <c r="D224">
        <v>46.485774999999997</v>
      </c>
      <c r="E224">
        <v>11.9015</v>
      </c>
      <c r="F224">
        <v>1248.2700199999999</v>
      </c>
      <c r="H224" s="50">
        <f t="shared" si="31"/>
        <v>-1.8661397345294938E-2</v>
      </c>
      <c r="I224" s="50">
        <f t="shared" si="32"/>
        <v>-1.2050750877100506E-2</v>
      </c>
      <c r="J224" s="50">
        <f t="shared" si="33"/>
        <v>-1.1786657809565679E-2</v>
      </c>
      <c r="K224" s="50">
        <f t="shared" si="34"/>
        <v>-7.7121894280473037E-3</v>
      </c>
      <c r="L224" s="50">
        <f t="shared" si="35"/>
        <v>-5.2436196564106547E-3</v>
      </c>
      <c r="P224" s="50">
        <f t="shared" si="30"/>
        <v>-5.2436196564106547E-3</v>
      </c>
      <c r="Q224" s="51">
        <f t="shared" si="36"/>
        <v>94.67666029584403</v>
      </c>
      <c r="R224" s="51">
        <f t="shared" si="37"/>
        <v>80.362577344626757</v>
      </c>
      <c r="T224">
        <v>219</v>
      </c>
      <c r="U224">
        <f t="shared" ca="1" si="38"/>
        <v>3.1613617951346228E-2</v>
      </c>
      <c r="V224">
        <f t="shared" ca="1" si="39"/>
        <v>7.3135501566109582</v>
      </c>
      <c r="Y224">
        <v>219</v>
      </c>
      <c r="Z224">
        <v>7.1422212961046956</v>
      </c>
    </row>
    <row r="225" spans="1:26" x14ac:dyDescent="0.15">
      <c r="A225" s="59">
        <v>41233.75</v>
      </c>
      <c r="B225">
        <v>11.075430000000001</v>
      </c>
      <c r="C225">
        <v>72.799530000000004</v>
      </c>
      <c r="D225">
        <v>47.040222</v>
      </c>
      <c r="E225">
        <v>11.994</v>
      </c>
      <c r="F225">
        <v>1254.849976</v>
      </c>
      <c r="H225" s="50">
        <f t="shared" si="31"/>
        <v>4.1485364071990206E-3</v>
      </c>
      <c r="I225" s="50">
        <f t="shared" si="32"/>
        <v>1.7245553455439159E-2</v>
      </c>
      <c r="J225" s="50">
        <f t="shared" si="33"/>
        <v>2.7078769015223506E-2</v>
      </c>
      <c r="K225" s="50">
        <f t="shared" si="34"/>
        <v>-1.5351777358180723E-2</v>
      </c>
      <c r="L225" s="50">
        <f t="shared" si="35"/>
        <v>-5.0585572030250178E-3</v>
      </c>
      <c r="P225" s="50">
        <f t="shared" si="30"/>
        <v>-5.0585572030250178E-3</v>
      </c>
      <c r="Q225" s="51">
        <f t="shared" si="36"/>
        <v>94.197732993946133</v>
      </c>
      <c r="R225" s="51">
        <f t="shared" si="37"/>
        <v>80.695964422517278</v>
      </c>
      <c r="T225">
        <v>220</v>
      </c>
      <c r="U225">
        <f t="shared" ca="1" si="38"/>
        <v>8.9025606016874068E-3</v>
      </c>
      <c r="V225">
        <f t="shared" ca="1" si="39"/>
        <v>7.3786594800936678</v>
      </c>
      <c r="Y225">
        <v>220</v>
      </c>
      <c r="Z225">
        <v>7.4403638482781718</v>
      </c>
    </row>
    <row r="226" spans="1:26" x14ac:dyDescent="0.15">
      <c r="A226" s="59">
        <v>41234.75</v>
      </c>
      <c r="B226">
        <v>11.029673000000001</v>
      </c>
      <c r="C226">
        <v>71.565346000000005</v>
      </c>
      <c r="D226">
        <v>45.800013999999997</v>
      </c>
      <c r="E226">
        <v>12.180999999999999</v>
      </c>
      <c r="F226">
        <v>1261.2299800000001</v>
      </c>
      <c r="H226" s="50">
        <f t="shared" si="31"/>
        <v>5.8991395249007109E-3</v>
      </c>
      <c r="I226" s="50">
        <f t="shared" si="32"/>
        <v>-2.5907567641064821E-3</v>
      </c>
      <c r="J226" s="50">
        <f t="shared" si="33"/>
        <v>3.3560716825399703E-3</v>
      </c>
      <c r="K226" s="50">
        <f t="shared" si="34"/>
        <v>9.0386195562853187E-4</v>
      </c>
      <c r="L226" s="50">
        <f t="shared" si="35"/>
        <v>-3.4607857490947204E-3</v>
      </c>
      <c r="P226" s="50">
        <f t="shared" si="30"/>
        <v>-3.4607857490947204E-3</v>
      </c>
      <c r="Q226" s="51">
        <f t="shared" si="36"/>
        <v>93.87173482200366</v>
      </c>
      <c r="R226" s="51">
        <f t="shared" si="37"/>
        <v>81.172001175742125</v>
      </c>
      <c r="T226">
        <v>221</v>
      </c>
      <c r="U226">
        <f t="shared" ca="1" si="38"/>
        <v>1.5689424123321791E-2</v>
      </c>
      <c r="V226">
        <f t="shared" ca="1" si="39"/>
        <v>7.4944263981384269</v>
      </c>
      <c r="Y226">
        <v>221</v>
      </c>
      <c r="Z226">
        <v>8.3332416555942057</v>
      </c>
    </row>
    <row r="227" spans="1:26" x14ac:dyDescent="0.15">
      <c r="A227" s="59">
        <v>41235.75</v>
      </c>
      <c r="B227">
        <v>10.964988999999999</v>
      </c>
      <c r="C227">
        <v>71.751236000000006</v>
      </c>
      <c r="D227">
        <v>45.646819999999998</v>
      </c>
      <c r="E227">
        <v>12.17</v>
      </c>
      <c r="F227">
        <v>1265.6099850000001</v>
      </c>
      <c r="H227" s="50">
        <f t="shared" si="31"/>
        <v>-1.5022339207962209E-2</v>
      </c>
      <c r="I227" s="50">
        <f t="shared" si="32"/>
        <v>-5.9173110673493845E-2</v>
      </c>
      <c r="J227" s="50">
        <f t="shared" si="33"/>
        <v>-3.8210325903722179E-3</v>
      </c>
      <c r="K227" s="50">
        <f t="shared" si="34"/>
        <v>-1.5013556715632662E-2</v>
      </c>
      <c r="L227" s="50">
        <f t="shared" si="35"/>
        <v>-2.0816203429922715E-3</v>
      </c>
      <c r="P227" s="50">
        <f t="shared" si="30"/>
        <v>-2.0816203429922715E-3</v>
      </c>
      <c r="Q227" s="51">
        <f t="shared" si="36"/>
        <v>93.676329509166194</v>
      </c>
      <c r="R227" s="51">
        <f t="shared" si="37"/>
        <v>79.952607839891016</v>
      </c>
      <c r="T227">
        <v>222</v>
      </c>
      <c r="U227">
        <f t="shared" ca="1" si="38"/>
        <v>1.8828978142800643E-2</v>
      </c>
      <c r="V227">
        <f t="shared" ca="1" si="39"/>
        <v>7.6355387889818029</v>
      </c>
      <c r="Y227">
        <v>222</v>
      </c>
      <c r="Z227">
        <v>13.682378453411621</v>
      </c>
    </row>
    <row r="228" spans="1:26" x14ac:dyDescent="0.15">
      <c r="A228" s="59">
        <v>41237.75</v>
      </c>
      <c r="B228">
        <v>11.132220999999999</v>
      </c>
      <c r="C228">
        <v>76.264015000000001</v>
      </c>
      <c r="D228">
        <v>45.821907000000003</v>
      </c>
      <c r="E228">
        <v>12.355499999999999</v>
      </c>
      <c r="F228">
        <v>1268.25</v>
      </c>
      <c r="H228" s="50">
        <f t="shared" si="31"/>
        <v>-3.8124981822982239E-3</v>
      </c>
      <c r="I228" s="50">
        <f t="shared" si="32"/>
        <v>6.8713702933897863E-3</v>
      </c>
      <c r="J228" s="50">
        <f t="shared" si="33"/>
        <v>3.1879195509958478E-4</v>
      </c>
      <c r="K228" s="50">
        <f t="shared" si="34"/>
        <v>-1.655589604807579E-2</v>
      </c>
      <c r="L228" s="50">
        <f t="shared" si="35"/>
        <v>8.5808211272342672E-3</v>
      </c>
      <c r="P228" s="50">
        <f t="shared" si="30"/>
        <v>8.5808211272342672E-3</v>
      </c>
      <c r="Q228" s="51">
        <f t="shared" si="36"/>
        <v>94.480149336540208</v>
      </c>
      <c r="R228" s="51">
        <f t="shared" si="37"/>
        <v>79.647788667831435</v>
      </c>
      <c r="T228">
        <v>223</v>
      </c>
      <c r="U228">
        <f t="shared" ca="1" si="38"/>
        <v>-1.2722510137963145E-2</v>
      </c>
      <c r="V228">
        <f t="shared" ca="1" si="39"/>
        <v>7.5383955693301719</v>
      </c>
      <c r="Y228">
        <v>223</v>
      </c>
      <c r="Z228">
        <v>7.7305013192806475</v>
      </c>
    </row>
    <row r="229" spans="1:26" x14ac:dyDescent="0.15">
      <c r="A229" s="59">
        <v>41240.75</v>
      </c>
      <c r="B229">
        <v>11.174825</v>
      </c>
      <c r="C229">
        <v>75.743553000000006</v>
      </c>
      <c r="D229">
        <v>45.807304000000002</v>
      </c>
      <c r="E229">
        <v>12.563499999999999</v>
      </c>
      <c r="F229">
        <v>1257.459961</v>
      </c>
      <c r="H229" s="50">
        <f t="shared" si="31"/>
        <v>-1.6522850866357935E-2</v>
      </c>
      <c r="I229" s="50">
        <f t="shared" si="32"/>
        <v>-1.963077226626463E-2</v>
      </c>
      <c r="J229" s="50">
        <f t="shared" si="33"/>
        <v>-5.3858453928621597E-3</v>
      </c>
      <c r="K229" s="50">
        <f t="shared" si="34"/>
        <v>-3.0946240825232853E-3</v>
      </c>
      <c r="L229" s="50">
        <f t="shared" si="35"/>
        <v>-1.5919935361553451E-5</v>
      </c>
      <c r="P229" s="50">
        <f t="shared" si="30"/>
        <v>-1.5919935361553451E-5</v>
      </c>
      <c r="Q229" s="51">
        <f t="shared" si="36"/>
        <v>94.478645218669826</v>
      </c>
      <c r="R229" s="51">
        <f t="shared" si="37"/>
        <v>78.331780133837654</v>
      </c>
      <c r="T229">
        <v>224</v>
      </c>
      <c r="U229">
        <f t="shared" ca="1" si="38"/>
        <v>3.8957617358020133E-3</v>
      </c>
      <c r="V229">
        <f t="shared" ca="1" si="39"/>
        <v>7.5677633623385079</v>
      </c>
      <c r="Y229">
        <v>224</v>
      </c>
      <c r="Z229">
        <v>8.37344720664756</v>
      </c>
    </row>
    <row r="230" spans="1:26" x14ac:dyDescent="0.15">
      <c r="A230" s="59">
        <v>41241.75</v>
      </c>
      <c r="B230">
        <v>11.362567</v>
      </c>
      <c r="C230">
        <v>77.260231000000005</v>
      </c>
      <c r="D230">
        <v>46.055351000000002</v>
      </c>
      <c r="E230">
        <v>12.602499999999999</v>
      </c>
      <c r="F230">
        <v>1257.4799800000001</v>
      </c>
      <c r="H230" s="50">
        <f t="shared" si="31"/>
        <v>9.5317896909576597E-3</v>
      </c>
      <c r="I230" s="50">
        <f t="shared" si="32"/>
        <v>-6.4065239414929781E-3</v>
      </c>
      <c r="J230" s="50">
        <f t="shared" si="33"/>
        <v>1.3322688043963709E-2</v>
      </c>
      <c r="K230" s="50">
        <f t="shared" si="34"/>
        <v>6.8709303719089619E-3</v>
      </c>
      <c r="L230" s="50">
        <f t="shared" si="35"/>
        <v>6.4026636105045873E-3</v>
      </c>
      <c r="P230" s="50">
        <f t="shared" si="30"/>
        <v>6.4026636105045873E-3</v>
      </c>
      <c r="Q230" s="51">
        <f t="shared" si="36"/>
        <v>95.083560202381179</v>
      </c>
      <c r="R230" s="51">
        <f t="shared" si="37"/>
        <v>79.078422188191738</v>
      </c>
      <c r="T230">
        <v>225</v>
      </c>
      <c r="U230">
        <f t="shared" ca="1" si="38"/>
        <v>-4.4220703830374172E-2</v>
      </c>
      <c r="V230">
        <f t="shared" ca="1" si="39"/>
        <v>7.2331115400341801</v>
      </c>
      <c r="Y230">
        <v>225</v>
      </c>
      <c r="Z230">
        <v>8.1618314045433689</v>
      </c>
    </row>
    <row r="231" spans="1:26" x14ac:dyDescent="0.15">
      <c r="A231" s="59">
        <v>41242.75</v>
      </c>
      <c r="B231">
        <v>11.255284</v>
      </c>
      <c r="C231">
        <v>77.758392000000001</v>
      </c>
      <c r="D231">
        <v>45.449837000000002</v>
      </c>
      <c r="E231">
        <v>12.516500000000001</v>
      </c>
      <c r="F231">
        <v>1249.4799800000001</v>
      </c>
      <c r="H231" s="50">
        <f t="shared" si="31"/>
        <v>-1.0815369018956612E-2</v>
      </c>
      <c r="I231" s="50">
        <f t="shared" si="32"/>
        <v>1.8203204283427396E-3</v>
      </c>
      <c r="J231" s="50">
        <f t="shared" si="33"/>
        <v>5.0006313062911176E-3</v>
      </c>
      <c r="K231" s="50">
        <f t="shared" si="34"/>
        <v>-8.5547942492771017E-3</v>
      </c>
      <c r="L231" s="50">
        <f t="shared" si="35"/>
        <v>-1.201108864091976E-2</v>
      </c>
      <c r="P231" s="50">
        <f t="shared" si="30"/>
        <v>-1.201108864091976E-2</v>
      </c>
      <c r="Q231" s="51">
        <f t="shared" si="36"/>
        <v>93.941503132496152</v>
      </c>
      <c r="R231" s="51">
        <f t="shared" si="37"/>
        <v>78.223159870789601</v>
      </c>
      <c r="T231">
        <v>226</v>
      </c>
      <c r="U231">
        <f t="shared" ca="1" si="38"/>
        <v>9.3932242124401787E-3</v>
      </c>
      <c r="V231">
        <f t="shared" ca="1" si="39"/>
        <v>7.3010537784833094</v>
      </c>
      <c r="Y231">
        <v>226</v>
      </c>
      <c r="Z231">
        <v>9.2356703022748583</v>
      </c>
    </row>
    <row r="232" spans="1:26" x14ac:dyDescent="0.15">
      <c r="A232" s="59">
        <v>41243.75</v>
      </c>
      <c r="B232">
        <v>11.378344999999999</v>
      </c>
      <c r="C232">
        <v>77.617103999999998</v>
      </c>
      <c r="D232">
        <v>45.223689999999998</v>
      </c>
      <c r="E232">
        <v>12.624499999999999</v>
      </c>
      <c r="F232">
        <v>1264.670044</v>
      </c>
      <c r="H232" s="50">
        <f t="shared" si="31"/>
        <v>-1.0083479152657861E-2</v>
      </c>
      <c r="I232" s="50">
        <f t="shared" si="32"/>
        <v>-1.46297021290405E-2</v>
      </c>
      <c r="J232" s="50">
        <f t="shared" si="33"/>
        <v>-8.0618330754257358E-4</v>
      </c>
      <c r="K232" s="50">
        <f t="shared" si="34"/>
        <v>-5.7883131201764849E-3</v>
      </c>
      <c r="L232" s="50">
        <f t="shared" si="35"/>
        <v>-3.2402062656668689E-4</v>
      </c>
      <c r="P232" s="50">
        <f t="shared" si="30"/>
        <v>-3.2402062656668689E-4</v>
      </c>
      <c r="Q232" s="51">
        <f t="shared" si="36"/>
        <v>93.91106414779054</v>
      </c>
      <c r="R232" s="51">
        <f t="shared" si="37"/>
        <v>77.434398268977475</v>
      </c>
      <c r="T232">
        <v>227</v>
      </c>
      <c r="U232">
        <f t="shared" ca="1" si="38"/>
        <v>-1.9481176158097253E-3</v>
      </c>
      <c r="V232">
        <f t="shared" ca="1" si="39"/>
        <v>7.2868304670034716</v>
      </c>
      <c r="Y232">
        <v>227</v>
      </c>
      <c r="Z232">
        <v>9.4665812530946223</v>
      </c>
    </row>
    <row r="233" spans="1:26" x14ac:dyDescent="0.15">
      <c r="A233" s="59">
        <v>41244.75</v>
      </c>
      <c r="B233">
        <v>11.494247</v>
      </c>
      <c r="C233">
        <v>78.769478000000007</v>
      </c>
      <c r="D233">
        <v>45.260178000000003</v>
      </c>
      <c r="E233">
        <v>12.698</v>
      </c>
      <c r="F233">
        <v>1265.079956</v>
      </c>
      <c r="H233" s="50">
        <f t="shared" si="31"/>
        <v>8.379029213319907E-4</v>
      </c>
      <c r="I233" s="50">
        <f t="shared" si="32"/>
        <v>4.8745477189407185E-3</v>
      </c>
      <c r="J233" s="50">
        <f t="shared" si="33"/>
        <v>-2.5721021175270148E-3</v>
      </c>
      <c r="K233" s="50">
        <f t="shared" si="34"/>
        <v>2.3286103327150435E-3</v>
      </c>
      <c r="L233" s="50">
        <f t="shared" si="35"/>
        <v>2.3690783387466012E-3</v>
      </c>
      <c r="P233" s="50">
        <f t="shared" si="30"/>
        <v>2.3690783387466012E-3</v>
      </c>
      <c r="Q233" s="51">
        <f t="shared" si="36"/>
        <v>94.133546815631718</v>
      </c>
      <c r="R233" s="51">
        <f t="shared" si="37"/>
        <v>77.499280777498626</v>
      </c>
      <c r="T233">
        <v>228</v>
      </c>
      <c r="U233">
        <f t="shared" ca="1" si="38"/>
        <v>4.7655711574477828E-3</v>
      </c>
      <c r="V233">
        <f t="shared" ca="1" si="39"/>
        <v>7.3215563761062343</v>
      </c>
      <c r="Y233">
        <v>228</v>
      </c>
      <c r="Z233">
        <v>7.1384336458528468</v>
      </c>
    </row>
    <row r="234" spans="1:26" x14ac:dyDescent="0.15">
      <c r="A234" s="59">
        <v>41247.75</v>
      </c>
      <c r="B234">
        <v>11.484624</v>
      </c>
      <c r="C234">
        <v>78.387375000000006</v>
      </c>
      <c r="D234">
        <v>45.376891999999998</v>
      </c>
      <c r="E234">
        <v>12.6685</v>
      </c>
      <c r="F234">
        <v>1262.089966</v>
      </c>
      <c r="H234" s="50">
        <f t="shared" si="31"/>
        <v>-9.6833461226475438E-3</v>
      </c>
      <c r="I234" s="50">
        <f t="shared" si="32"/>
        <v>-9.129863190849958E-4</v>
      </c>
      <c r="J234" s="50">
        <f t="shared" si="33"/>
        <v>-1.2842453881945725E-3</v>
      </c>
      <c r="K234" s="50">
        <f t="shared" si="34"/>
        <v>3.9483555099293282E-4</v>
      </c>
      <c r="L234" s="50">
        <f t="shared" si="35"/>
        <v>-1.2740247388045133E-3</v>
      </c>
      <c r="P234" s="50">
        <f t="shared" si="30"/>
        <v>-1.2740247388045133E-3</v>
      </c>
      <c r="Q234" s="51">
        <f t="shared" si="36"/>
        <v>94.013618348237188</v>
      </c>
      <c r="R234" s="51">
        <f t="shared" si="37"/>
        <v>76.74882841747386</v>
      </c>
      <c r="T234">
        <v>229</v>
      </c>
      <c r="U234">
        <f t="shared" ca="1" si="38"/>
        <v>-4.6162105045004372E-4</v>
      </c>
      <c r="V234">
        <f t="shared" ca="1" si="39"/>
        <v>7.3181765915609676</v>
      </c>
      <c r="Y234">
        <v>229</v>
      </c>
      <c r="Z234">
        <v>7.0597192988688615</v>
      </c>
    </row>
    <row r="235" spans="1:26" x14ac:dyDescent="0.15">
      <c r="A235" s="59">
        <v>41248.75</v>
      </c>
      <c r="B235">
        <v>11.596921</v>
      </c>
      <c r="C235">
        <v>78.459007</v>
      </c>
      <c r="D235">
        <v>45.435242000000002</v>
      </c>
      <c r="E235">
        <v>12.663500000000001</v>
      </c>
      <c r="F235">
        <v>1263.6999510000001</v>
      </c>
      <c r="H235" s="50">
        <f t="shared" si="31"/>
        <v>1.9407388233643531E-3</v>
      </c>
      <c r="I235" s="50">
        <f t="shared" si="32"/>
        <v>-3.941412834185613E-3</v>
      </c>
      <c r="J235" s="50">
        <f t="shared" si="33"/>
        <v>5.1644181168798804E-3</v>
      </c>
      <c r="K235" s="50">
        <f t="shared" si="34"/>
        <v>2.2198006215441768E-2</v>
      </c>
      <c r="L235" s="50">
        <f t="shared" si="35"/>
        <v>5.0342826894004562E-3</v>
      </c>
      <c r="P235" s="50">
        <f t="shared" si="30"/>
        <v>5.0342826894004562E-3</v>
      </c>
      <c r="Q235" s="51">
        <f t="shared" si="36"/>
        <v>94.486909479655623</v>
      </c>
      <c r="R235" s="51">
        <f t="shared" si="37"/>
        <v>76.897777848431375</v>
      </c>
      <c r="T235">
        <v>230</v>
      </c>
      <c r="U235">
        <f t="shared" ca="1" si="38"/>
        <v>-8.415234940941178E-3</v>
      </c>
      <c r="V235">
        <f t="shared" ca="1" si="39"/>
        <v>7.2565924162036861</v>
      </c>
      <c r="Y235">
        <v>230</v>
      </c>
      <c r="Z235">
        <v>9.9083143194969239</v>
      </c>
    </row>
    <row r="236" spans="1:26" x14ac:dyDescent="0.15">
      <c r="A236" s="59">
        <v>41249.75</v>
      </c>
      <c r="B236">
        <v>11.574458</v>
      </c>
      <c r="C236">
        <v>78.769469999999998</v>
      </c>
      <c r="D236">
        <v>45.201801000000003</v>
      </c>
      <c r="E236">
        <v>12.388500000000001</v>
      </c>
      <c r="F236">
        <v>1257.369995</v>
      </c>
      <c r="H236" s="50">
        <f t="shared" si="31"/>
        <v>1.7773666434231162E-2</v>
      </c>
      <c r="I236" s="50">
        <f t="shared" si="32"/>
        <v>6.5097481386950564E-3</v>
      </c>
      <c r="J236" s="50">
        <f t="shared" si="33"/>
        <v>8.6280001470931764E-3</v>
      </c>
      <c r="K236" s="50">
        <f t="shared" si="34"/>
        <v>-1.1647851928676773E-2</v>
      </c>
      <c r="L236" s="50">
        <f t="shared" si="35"/>
        <v>1.2183311898197808E-3</v>
      </c>
      <c r="P236" s="50">
        <f t="shared" si="30"/>
        <v>1.2183311898197808E-3</v>
      </c>
      <c r="Q236" s="51">
        <f t="shared" si="36"/>
        <v>94.602025828504367</v>
      </c>
      <c r="R236" s="51">
        <f t="shared" si="37"/>
        <v>78.264533301443009</v>
      </c>
      <c r="T236">
        <v>231</v>
      </c>
      <c r="U236">
        <f t="shared" ca="1" si="38"/>
        <v>5.5577592162533362E-3</v>
      </c>
      <c r="V236">
        <f t="shared" ca="1" si="39"/>
        <v>7.2969228095834353</v>
      </c>
      <c r="Y236">
        <v>231</v>
      </c>
      <c r="Z236">
        <v>6.7729214683747765</v>
      </c>
    </row>
    <row r="237" spans="1:26" x14ac:dyDescent="0.15">
      <c r="A237" s="59">
        <v>41250.75</v>
      </c>
      <c r="B237">
        <v>11.37233</v>
      </c>
      <c r="C237">
        <v>78.260017000000005</v>
      </c>
      <c r="D237">
        <v>44.815136000000003</v>
      </c>
      <c r="E237">
        <v>12.5345</v>
      </c>
      <c r="F237">
        <v>1255.839966</v>
      </c>
      <c r="H237" s="50">
        <f t="shared" si="31"/>
        <v>2.8285716972478999E-2</v>
      </c>
      <c r="I237" s="50">
        <f t="shared" si="32"/>
        <v>6.0377679042579674E-3</v>
      </c>
      <c r="J237" s="50">
        <f t="shared" si="33"/>
        <v>1.4701040976182267E-2</v>
      </c>
      <c r="K237" s="50">
        <f t="shared" si="34"/>
        <v>-4.2500794407371832E-3</v>
      </c>
      <c r="L237" s="50">
        <f t="shared" si="35"/>
        <v>-2.8030118345006411E-3</v>
      </c>
      <c r="P237" s="50">
        <f t="shared" si="30"/>
        <v>-2.8030118345006411E-3</v>
      </c>
      <c r="Q237" s="51">
        <f t="shared" si="36"/>
        <v>94.336855230539342</v>
      </c>
      <c r="R237" s="51">
        <f t="shared" si="37"/>
        <v>80.478301739390787</v>
      </c>
      <c r="T237">
        <v>232</v>
      </c>
      <c r="U237">
        <f t="shared" ca="1" si="38"/>
        <v>6.9012828343339647E-3</v>
      </c>
      <c r="V237">
        <f t="shared" ca="1" si="39"/>
        <v>7.3472809377126733</v>
      </c>
      <c r="Y237">
        <v>232</v>
      </c>
      <c r="Z237">
        <v>8.8192100734162349</v>
      </c>
    </row>
    <row r="238" spans="1:26" x14ac:dyDescent="0.15">
      <c r="A238" s="59">
        <v>41251.75</v>
      </c>
      <c r="B238">
        <v>11.059504</v>
      </c>
      <c r="C238">
        <v>77.790336999999994</v>
      </c>
      <c r="D238">
        <v>44.165852000000001</v>
      </c>
      <c r="E238">
        <v>12.587999999999999</v>
      </c>
      <c r="F238">
        <v>1259.369995</v>
      </c>
      <c r="H238" s="50">
        <f t="shared" si="31"/>
        <v>-1.4484161774055003E-3</v>
      </c>
      <c r="I238" s="50">
        <f t="shared" si="32"/>
        <v>-1.3286289983254361E-3</v>
      </c>
      <c r="J238" s="50">
        <f t="shared" si="33"/>
        <v>-1.1592068092641105E-2</v>
      </c>
      <c r="K238" s="50">
        <f t="shared" si="34"/>
        <v>2.0298507462685922E-3</v>
      </c>
      <c r="L238" s="50">
        <f t="shared" si="35"/>
        <v>-8.4102961258008071E-4</v>
      </c>
      <c r="P238" s="50">
        <f t="shared" si="30"/>
        <v>-8.4102961258008071E-4</v>
      </c>
      <c r="Q238" s="51">
        <f t="shared" si="36"/>
        <v>94.257515141732782</v>
      </c>
      <c r="R238" s="51">
        <f t="shared" si="37"/>
        <v>80.361735665221332</v>
      </c>
      <c r="T238">
        <v>233</v>
      </c>
      <c r="U238">
        <f t="shared" ca="1" si="38"/>
        <v>-1.5687343676761979E-2</v>
      </c>
      <c r="V238">
        <f t="shared" ca="1" si="39"/>
        <v>7.2320216165530526</v>
      </c>
      <c r="Y238">
        <v>233</v>
      </c>
      <c r="Z238">
        <v>6.9400289797463071</v>
      </c>
    </row>
    <row r="239" spans="1:26" x14ac:dyDescent="0.15">
      <c r="A239" s="59">
        <v>41254.75</v>
      </c>
      <c r="B239">
        <v>11.075545999999999</v>
      </c>
      <c r="C239">
        <v>77.893828999999997</v>
      </c>
      <c r="D239">
        <v>44.68383</v>
      </c>
      <c r="E239">
        <v>12.5625</v>
      </c>
      <c r="F239">
        <v>1260.4300539999999</v>
      </c>
      <c r="H239" s="50">
        <f t="shared" si="31"/>
        <v>4.2179608607323281E-3</v>
      </c>
      <c r="I239" s="50">
        <f t="shared" si="32"/>
        <v>9.5957822045643973E-3</v>
      </c>
      <c r="J239" s="50">
        <f t="shared" si="33"/>
        <v>1.2396695619228763E-2</v>
      </c>
      <c r="K239" s="50">
        <f t="shared" si="34"/>
        <v>8.2667843813957025E-3</v>
      </c>
      <c r="L239" s="50">
        <f t="shared" si="35"/>
        <v>-5.5229872275066004E-3</v>
      </c>
      <c r="P239" s="50">
        <f t="shared" si="30"/>
        <v>-5.5229872275066004E-3</v>
      </c>
      <c r="Q239" s="51">
        <f t="shared" si="36"/>
        <v>93.736932089508485</v>
      </c>
      <c r="R239" s="51">
        <f t="shared" si="37"/>
        <v>80.700698320957741</v>
      </c>
      <c r="T239">
        <v>234</v>
      </c>
      <c r="U239">
        <f t="shared" ca="1" si="38"/>
        <v>-9.7893320782367396E-3</v>
      </c>
      <c r="V239">
        <f t="shared" ca="1" si="39"/>
        <v>7.1612249553516287</v>
      </c>
      <c r="Y239">
        <v>234</v>
      </c>
      <c r="Z239">
        <v>8.2435890939571781</v>
      </c>
    </row>
    <row r="240" spans="1:26" x14ac:dyDescent="0.15">
      <c r="A240" s="59">
        <v>41255.75</v>
      </c>
      <c r="B240">
        <v>11.029026</v>
      </c>
      <c r="C240">
        <v>77.153480999999999</v>
      </c>
      <c r="D240">
        <v>44.136681000000003</v>
      </c>
      <c r="E240">
        <v>12.4595</v>
      </c>
      <c r="F240">
        <v>1267.4300539999999</v>
      </c>
      <c r="H240" s="50">
        <f t="shared" si="31"/>
        <v>-6.5027122258881397E-3</v>
      </c>
      <c r="I240" s="50">
        <f t="shared" si="32"/>
        <v>-1.8829722052024767E-2</v>
      </c>
      <c r="J240" s="50">
        <f t="shared" si="33"/>
        <v>-9.6578633424329648E-3</v>
      </c>
      <c r="K240" s="50">
        <f t="shared" si="34"/>
        <v>-1.839596628062707E-2</v>
      </c>
      <c r="L240" s="50">
        <f t="shared" si="35"/>
        <v>-4.1720508837002181E-3</v>
      </c>
      <c r="P240" s="50">
        <f t="shared" si="30"/>
        <v>-4.1720508837002181E-3</v>
      </c>
      <c r="Q240" s="51">
        <f t="shared" si="36"/>
        <v>93.345856839149107</v>
      </c>
      <c r="R240" s="51">
        <f t="shared" si="37"/>
        <v>80.175924903348331</v>
      </c>
      <c r="T240">
        <v>235</v>
      </c>
      <c r="U240">
        <f t="shared" ca="1" si="38"/>
        <v>3.2171943735766475E-3</v>
      </c>
      <c r="V240">
        <f t="shared" ca="1" si="39"/>
        <v>7.1842640079859024</v>
      </c>
      <c r="Y240">
        <v>235</v>
      </c>
      <c r="Z240">
        <v>11.20218908715481</v>
      </c>
    </row>
    <row r="241" spans="1:26" x14ac:dyDescent="0.15">
      <c r="A241" s="59">
        <v>41256.75</v>
      </c>
      <c r="B241">
        <v>11.101214000000001</v>
      </c>
      <c r="C241">
        <v>78.634140000000002</v>
      </c>
      <c r="D241">
        <v>44.567104</v>
      </c>
      <c r="E241">
        <v>12.693</v>
      </c>
      <c r="F241">
        <v>1272.73999</v>
      </c>
      <c r="H241" s="50">
        <f t="shared" si="31"/>
        <v>-4.316667297496136E-3</v>
      </c>
      <c r="I241" s="50">
        <f t="shared" si="32"/>
        <v>-1.0815284178636595E-2</v>
      </c>
      <c r="J241" s="50">
        <f t="shared" si="33"/>
        <v>-1.9107150348181303E-2</v>
      </c>
      <c r="K241" s="50">
        <f t="shared" si="34"/>
        <v>-2.5115207373271886E-2</v>
      </c>
      <c r="L241" s="50">
        <f t="shared" si="35"/>
        <v>1.4163131883192146E-3</v>
      </c>
      <c r="P241" s="50">
        <f t="shared" si="30"/>
        <v>1.4163131883192146E-3</v>
      </c>
      <c r="Q241" s="51">
        <f t="shared" si="36"/>
        <v>93.478063807265343</v>
      </c>
      <c r="R241" s="51">
        <f t="shared" si="37"/>
        <v>79.829832110271539</v>
      </c>
      <c r="T241">
        <v>236</v>
      </c>
      <c r="U241">
        <f t="shared" ca="1" si="38"/>
        <v>2.8621994970380323E-2</v>
      </c>
      <c r="V241">
        <f t="shared" ca="1" si="39"/>
        <v>7.389891976288359</v>
      </c>
      <c r="Y241">
        <v>236</v>
      </c>
      <c r="Z241">
        <v>7.4167855293563987</v>
      </c>
    </row>
    <row r="242" spans="1:26" x14ac:dyDescent="0.15">
      <c r="A242" s="59">
        <v>41257.75</v>
      </c>
      <c r="B242">
        <v>11.149342000000001</v>
      </c>
      <c r="C242">
        <v>79.493888999999996</v>
      </c>
      <c r="D242">
        <v>45.435242000000002</v>
      </c>
      <c r="E242">
        <v>13.02</v>
      </c>
      <c r="F242">
        <v>1270.9399410000001</v>
      </c>
      <c r="H242" s="50">
        <f t="shared" si="31"/>
        <v>1.4302417147980948E-2</v>
      </c>
      <c r="I242" s="50">
        <f t="shared" si="32"/>
        <v>1.1957792387582765E-2</v>
      </c>
      <c r="J242" s="50">
        <f t="shared" si="33"/>
        <v>1.2353431232636079E-2</v>
      </c>
      <c r="K242" s="50">
        <f t="shared" si="34"/>
        <v>9.3414473429202557E-3</v>
      </c>
      <c r="L242" s="50">
        <f t="shared" si="35"/>
        <v>2.8564176011161881E-3</v>
      </c>
      <c r="P242" s="50">
        <f t="shared" si="30"/>
        <v>2.8564176011161881E-3</v>
      </c>
      <c r="Q242" s="51">
        <f t="shared" si="36"/>
        <v>93.745076194042667</v>
      </c>
      <c r="R242" s="51">
        <f t="shared" si="37"/>
        <v>80.971591669965918</v>
      </c>
      <c r="T242">
        <v>237</v>
      </c>
      <c r="U242">
        <f t="shared" ca="1" si="38"/>
        <v>1.6523962088939789E-2</v>
      </c>
      <c r="V242">
        <f t="shared" ca="1" si="39"/>
        <v>7.5120022711459074</v>
      </c>
      <c r="Y242">
        <v>237</v>
      </c>
      <c r="Z242">
        <v>7.5419854312937931</v>
      </c>
    </row>
    <row r="243" spans="1:26" x14ac:dyDescent="0.15">
      <c r="A243" s="59">
        <v>41258.75</v>
      </c>
      <c r="B243">
        <v>10.992127999999999</v>
      </c>
      <c r="C243">
        <v>78.554550000000006</v>
      </c>
      <c r="D243">
        <v>44.880809999999997</v>
      </c>
      <c r="E243">
        <v>12.8995</v>
      </c>
      <c r="F243">
        <v>1267.3199460000001</v>
      </c>
      <c r="H243" s="50">
        <f t="shared" si="31"/>
        <v>-6.9565533193166893E-3</v>
      </c>
      <c r="I243" s="50">
        <f t="shared" si="32"/>
        <v>-5.241560466894145E-3</v>
      </c>
      <c r="J243" s="50">
        <f t="shared" si="33"/>
        <v>1.9218091248803353E-2</v>
      </c>
      <c r="K243" s="50">
        <f t="shared" si="34"/>
        <v>-1.3422562141491361E-2</v>
      </c>
      <c r="L243" s="50">
        <f t="shared" si="35"/>
        <v>5.8733107987605851E-3</v>
      </c>
      <c r="P243" s="50">
        <f t="shared" si="30"/>
        <v>5.8733107987605851E-3</v>
      </c>
      <c r="Q243" s="51">
        <f t="shared" si="36"/>
        <v>94.295670162383772</v>
      </c>
      <c r="R243" s="51">
        <f t="shared" si="37"/>
        <v>80.408308475163864</v>
      </c>
      <c r="T243">
        <v>238</v>
      </c>
      <c r="U243">
        <f t="shared" ca="1" si="38"/>
        <v>-5.6618968053918266E-3</v>
      </c>
      <c r="V243">
        <f t="shared" ca="1" si="39"/>
        <v>7.4694700894848101</v>
      </c>
      <c r="Y243">
        <v>238</v>
      </c>
      <c r="Z243">
        <v>12.878947209353553</v>
      </c>
    </row>
    <row r="244" spans="1:26" x14ac:dyDescent="0.15">
      <c r="A244" s="59">
        <v>41261.75</v>
      </c>
      <c r="B244">
        <v>11.069131</v>
      </c>
      <c r="C244">
        <v>78.968468000000001</v>
      </c>
      <c r="D244">
        <v>44.034550000000003</v>
      </c>
      <c r="E244">
        <v>13.074999999999999</v>
      </c>
      <c r="F244">
        <v>1259.920044</v>
      </c>
      <c r="H244" s="50">
        <f t="shared" si="31"/>
        <v>5.098072402888806E-3</v>
      </c>
      <c r="I244" s="50">
        <f t="shared" si="32"/>
        <v>-2.9146971103661832E-3</v>
      </c>
      <c r="J244" s="50">
        <f t="shared" si="33"/>
        <v>1.2751577675401455E-2</v>
      </c>
      <c r="K244" s="50">
        <f t="shared" si="34"/>
        <v>1.7826560797135235E-2</v>
      </c>
      <c r="L244" s="50">
        <f t="shared" si="35"/>
        <v>2.3820596782440286E-4</v>
      </c>
      <c r="P244" s="50">
        <f t="shared" si="30"/>
        <v>2.3820596782440286E-4</v>
      </c>
      <c r="Q244" s="51">
        <f t="shared" si="36"/>
        <v>94.318131953756449</v>
      </c>
      <c r="R244" s="51">
        <f t="shared" si="37"/>
        <v>80.818235853564076</v>
      </c>
      <c r="T244">
        <v>239</v>
      </c>
      <c r="U244">
        <f t="shared" ca="1" si="38"/>
        <v>-3.268031838493269E-2</v>
      </c>
      <c r="V244">
        <f t="shared" ca="1" si="39"/>
        <v>7.2253654287937152</v>
      </c>
      <c r="Y244">
        <v>239</v>
      </c>
      <c r="Z244">
        <v>6.3647738383216863</v>
      </c>
    </row>
    <row r="245" spans="1:26" x14ac:dyDescent="0.15">
      <c r="A245" s="59">
        <v>41262.75</v>
      </c>
      <c r="B245">
        <v>11.012986</v>
      </c>
      <c r="C245">
        <v>79.199309999999997</v>
      </c>
      <c r="D245">
        <v>43.480110000000003</v>
      </c>
      <c r="E245">
        <v>12.846</v>
      </c>
      <c r="F245">
        <v>1259.619995</v>
      </c>
      <c r="H245" s="50">
        <f t="shared" si="31"/>
        <v>1.1669841926686012E-3</v>
      </c>
      <c r="I245" s="50">
        <f t="shared" si="32"/>
        <v>5.0232728722308516E-4</v>
      </c>
      <c r="J245" s="50">
        <f t="shared" si="33"/>
        <v>1.0079350858587229E-3</v>
      </c>
      <c r="K245" s="50">
        <f t="shared" si="34"/>
        <v>-6.5733508622688947E-3</v>
      </c>
      <c r="L245" s="50">
        <f t="shared" si="35"/>
        <v>-2.5103492283723673E-3</v>
      </c>
      <c r="P245" s="50">
        <f t="shared" si="30"/>
        <v>-2.5103492283723673E-3</v>
      </c>
      <c r="Q245" s="51">
        <f t="shared" si="36"/>
        <v>94.081360503984811</v>
      </c>
      <c r="R245" s="51">
        <f t="shared" si="37"/>
        <v>80.912549457284555</v>
      </c>
      <c r="T245">
        <v>240</v>
      </c>
      <c r="U245">
        <f t="shared" ca="1" si="38"/>
        <v>-1.7937465116114985E-2</v>
      </c>
      <c r="V245">
        <f t="shared" ca="1" si="39"/>
        <v>7.0957606884635451</v>
      </c>
      <c r="Y245">
        <v>240</v>
      </c>
      <c r="Z245">
        <v>7.8788025865588214</v>
      </c>
    </row>
    <row r="246" spans="1:26" x14ac:dyDescent="0.15">
      <c r="A246" s="59">
        <v>41263.75</v>
      </c>
      <c r="B246">
        <v>11.000149</v>
      </c>
      <c r="C246">
        <v>79.159546000000006</v>
      </c>
      <c r="D246">
        <v>43.436329000000001</v>
      </c>
      <c r="E246">
        <v>12.930999999999999</v>
      </c>
      <c r="F246">
        <v>1262.790039</v>
      </c>
      <c r="H246" s="50">
        <f t="shared" si="31"/>
        <v>8.5310485830331264E-3</v>
      </c>
      <c r="I246" s="50">
        <f t="shared" si="32"/>
        <v>7.7016035353776428E-3</v>
      </c>
      <c r="J246" s="50">
        <f t="shared" si="33"/>
        <v>5.5731145733726633E-3</v>
      </c>
      <c r="K246" s="50">
        <f t="shared" si="34"/>
        <v>4.0180187427100465E-2</v>
      </c>
      <c r="L246" s="50">
        <f t="shared" si="35"/>
        <v>-4.2030375839945955E-3</v>
      </c>
      <c r="P246" s="50">
        <f t="shared" si="30"/>
        <v>-4.2030375839945955E-3</v>
      </c>
      <c r="Q246" s="51">
        <f t="shared" si="36"/>
        <v>93.685933009833221</v>
      </c>
      <c r="R246" s="51">
        <f t="shared" si="37"/>
        <v>81.602818347681733</v>
      </c>
      <c r="T246">
        <v>241</v>
      </c>
      <c r="U246">
        <f t="shared" ca="1" si="38"/>
        <v>-2.8359269412685795E-3</v>
      </c>
      <c r="V246">
        <f t="shared" ca="1" si="39"/>
        <v>7.0756376295583374</v>
      </c>
      <c r="Y246">
        <v>241</v>
      </c>
      <c r="Z246">
        <v>9.0387317262037978</v>
      </c>
    </row>
    <row r="247" spans="1:26" x14ac:dyDescent="0.15">
      <c r="A247" s="59">
        <v>41264.75</v>
      </c>
      <c r="B247">
        <v>10.9071</v>
      </c>
      <c r="C247">
        <v>78.554550000000006</v>
      </c>
      <c r="D247">
        <v>43.195594999999997</v>
      </c>
      <c r="E247">
        <v>12.4315</v>
      </c>
      <c r="F247">
        <v>1268.119995</v>
      </c>
      <c r="H247" s="50">
        <f t="shared" si="31"/>
        <v>-2.9334895910940548E-3</v>
      </c>
      <c r="I247" s="50">
        <f t="shared" si="32"/>
        <v>7.7613785962136464E-3</v>
      </c>
      <c r="J247" s="50">
        <f t="shared" si="33"/>
        <v>4.7514938014699944E-3</v>
      </c>
      <c r="K247" s="50">
        <f t="shared" si="34"/>
        <v>1.2887116910313733E-3</v>
      </c>
      <c r="L247" s="50">
        <f t="shared" si="35"/>
        <v>-4.2567668684042334E-4</v>
      </c>
      <c r="P247" s="50">
        <f t="shared" si="30"/>
        <v>-4.2567668684042334E-4</v>
      </c>
      <c r="Q247" s="51">
        <f t="shared" si="36"/>
        <v>93.646053092266044</v>
      </c>
      <c r="R247" s="51">
        <f t="shared" si="37"/>
        <v>81.363437329454868</v>
      </c>
      <c r="T247">
        <v>242</v>
      </c>
      <c r="U247">
        <f t="shared" ca="1" si="38"/>
        <v>1.4466272972485587E-2</v>
      </c>
      <c r="V247">
        <f t="shared" ca="1" si="39"/>
        <v>7.177995734961919</v>
      </c>
      <c r="Y247">
        <v>242</v>
      </c>
      <c r="Z247">
        <v>5.6242253559818467</v>
      </c>
    </row>
    <row r="248" spans="1:26" x14ac:dyDescent="0.15">
      <c r="A248" s="59">
        <v>41265.75</v>
      </c>
      <c r="B248">
        <v>10.93919</v>
      </c>
      <c r="C248">
        <v>77.949554000000006</v>
      </c>
      <c r="D248">
        <v>42.991321999999997</v>
      </c>
      <c r="E248">
        <v>12.4155</v>
      </c>
      <c r="F248">
        <v>1268.660034</v>
      </c>
      <c r="H248" s="50">
        <f t="shared" si="31"/>
        <v>8.5784380388722152E-3</v>
      </c>
      <c r="I248" s="50">
        <f t="shared" si="32"/>
        <v>9.7968080289241571E-3</v>
      </c>
      <c r="J248" s="50">
        <f t="shared" si="33"/>
        <v>6.1464789548549229E-3</v>
      </c>
      <c r="K248" s="50">
        <f t="shared" si="34"/>
        <v>1.2766131005791615E-2</v>
      </c>
      <c r="L248" s="50">
        <f t="shared" si="35"/>
        <v>9.6455302846103867E-3</v>
      </c>
      <c r="P248" s="50">
        <f t="shared" si="30"/>
        <v>9.6455302846103867E-3</v>
      </c>
      <c r="Q248" s="51">
        <f t="shared" si="36"/>
        <v>94.549318933401722</v>
      </c>
      <c r="R248" s="51">
        <f t="shared" si="37"/>
        <v>82.061408535215264</v>
      </c>
      <c r="T248">
        <v>243</v>
      </c>
      <c r="U248">
        <f t="shared" ca="1" si="38"/>
        <v>1.323554656898314E-3</v>
      </c>
      <c r="V248">
        <f t="shared" ca="1" si="39"/>
        <v>7.1874962046441242</v>
      </c>
      <c r="Y248">
        <v>243</v>
      </c>
      <c r="Z248">
        <v>10.640502403022651</v>
      </c>
    </row>
    <row r="249" spans="1:26" x14ac:dyDescent="0.15">
      <c r="A249" s="59">
        <v>41269.75</v>
      </c>
      <c r="B249">
        <v>10.846147</v>
      </c>
      <c r="C249">
        <v>77.193306000000007</v>
      </c>
      <c r="D249">
        <v>42.728690999999998</v>
      </c>
      <c r="E249">
        <v>12.259</v>
      </c>
      <c r="F249">
        <v>1256.540039</v>
      </c>
      <c r="H249" s="50">
        <f t="shared" si="31"/>
        <v>-9.0866599802696645E-3</v>
      </c>
      <c r="I249" s="50">
        <f t="shared" si="32"/>
        <v>-1.7826306172403904E-2</v>
      </c>
      <c r="J249" s="50">
        <f t="shared" si="33"/>
        <v>-1.0140154131436235E-2</v>
      </c>
      <c r="K249" s="50">
        <f t="shared" si="34"/>
        <v>-2.2681069876828597E-2</v>
      </c>
      <c r="L249" s="50">
        <f t="shared" si="35"/>
        <v>-1.2955363289510833E-3</v>
      </c>
      <c r="P249" s="50">
        <f t="shared" si="30"/>
        <v>-1.2955363289510833E-3</v>
      </c>
      <c r="Q249" s="51">
        <f t="shared" si="36"/>
        <v>94.426826855845917</v>
      </c>
      <c r="R249" s="51">
        <f t="shared" si="37"/>
        <v>81.315744418353759</v>
      </c>
      <c r="T249">
        <v>244</v>
      </c>
      <c r="U249">
        <f t="shared" ca="1" si="38"/>
        <v>-5.1011784195732876E-5</v>
      </c>
      <c r="V249">
        <f t="shared" ca="1" si="39"/>
        <v>7.1871295576388254</v>
      </c>
      <c r="Y249">
        <v>244</v>
      </c>
      <c r="Z249">
        <v>8.7129809465646986</v>
      </c>
    </row>
    <row r="250" spans="1:26" x14ac:dyDescent="0.15">
      <c r="A250" s="59">
        <v>41270.75</v>
      </c>
      <c r="B250">
        <v>10.945606</v>
      </c>
      <c r="C250">
        <v>78.594352999999998</v>
      </c>
      <c r="D250">
        <v>43.166404999999997</v>
      </c>
      <c r="E250">
        <v>12.5435</v>
      </c>
      <c r="F250">
        <v>1258.170044</v>
      </c>
      <c r="H250" s="50">
        <f t="shared" si="31"/>
        <v>-1.458673002251611E-2</v>
      </c>
      <c r="I250" s="50">
        <f t="shared" si="32"/>
        <v>-2.6810992793698637E-2</v>
      </c>
      <c r="J250" s="50">
        <f t="shared" si="33"/>
        <v>5.9502824818732161E-3</v>
      </c>
      <c r="K250" s="50">
        <f t="shared" si="34"/>
        <v>-2.5028176129960042E-2</v>
      </c>
      <c r="L250" s="50">
        <f t="shared" si="35"/>
        <v>2.9894292728632451E-3</v>
      </c>
      <c r="P250" s="50">
        <f t="shared" si="30"/>
        <v>2.9894292728632451E-3</v>
      </c>
      <c r="Q250" s="51">
        <f t="shared" si="36"/>
        <v>94.709109176192371</v>
      </c>
      <c r="R250" s="51">
        <f t="shared" si="37"/>
        <v>80.129613607943313</v>
      </c>
      <c r="T250">
        <v>245</v>
      </c>
      <c r="U250">
        <f t="shared" ca="1" si="38"/>
        <v>7.8099039272381049E-3</v>
      </c>
      <c r="V250">
        <f t="shared" ca="1" si="39"/>
        <v>7.2432603489965981</v>
      </c>
      <c r="Y250">
        <v>245</v>
      </c>
      <c r="Z250">
        <v>11.198611107177529</v>
      </c>
    </row>
    <row r="251" spans="1:26" x14ac:dyDescent="0.15">
      <c r="A251" s="59">
        <v>41271.75</v>
      </c>
      <c r="B251">
        <v>11.10763</v>
      </c>
      <c r="C251">
        <v>80.759597999999997</v>
      </c>
      <c r="D251">
        <v>42.911071999999997</v>
      </c>
      <c r="E251">
        <v>12.865500000000001</v>
      </c>
      <c r="F251">
        <v>1254.420044</v>
      </c>
      <c r="H251" s="50">
        <f t="shared" si="31"/>
        <v>6.3952806208545359E-3</v>
      </c>
      <c r="I251" s="50">
        <f t="shared" si="32"/>
        <v>-1.0147436552230804E-2</v>
      </c>
      <c r="J251" s="50">
        <f t="shared" si="33"/>
        <v>-2.2273938965306394E-2</v>
      </c>
      <c r="K251" s="50">
        <f t="shared" si="34"/>
        <v>-4.5264623955430724E-3</v>
      </c>
      <c r="L251" s="50">
        <f t="shared" si="35"/>
        <v>4.9107217140903449E-3</v>
      </c>
      <c r="P251" s="50">
        <f t="shared" si="30"/>
        <v>4.9107217140903449E-3</v>
      </c>
      <c r="Q251" s="51">
        <f t="shared" si="36"/>
        <v>95.174199255146036</v>
      </c>
      <c r="R251" s="51">
        <f t="shared" si="37"/>
        <v>80.642064973006754</v>
      </c>
      <c r="T251">
        <v>246</v>
      </c>
      <c r="U251">
        <f t="shared" ca="1" si="38"/>
        <v>-2.2587560746774957E-3</v>
      </c>
      <c r="V251">
        <f t="shared" ca="1" si="39"/>
        <v>7.2268995906828311</v>
      </c>
      <c r="Y251">
        <v>246</v>
      </c>
      <c r="Z251">
        <v>5.1845992442530831</v>
      </c>
    </row>
    <row r="252" spans="1:26" x14ac:dyDescent="0.15">
      <c r="A252" s="59">
        <v>41272.75</v>
      </c>
      <c r="B252">
        <v>11.037045000000001</v>
      </c>
      <c r="C252">
        <v>81.587502000000001</v>
      </c>
      <c r="D252">
        <v>43.888644999999997</v>
      </c>
      <c r="E252">
        <v>12.923999999999999</v>
      </c>
      <c r="F252">
        <v>1248.290039</v>
      </c>
      <c r="H252" s="50">
        <f t="shared" si="31"/>
        <v>-3.7648634706696159E-3</v>
      </c>
      <c r="I252" s="50">
        <f t="shared" si="32"/>
        <v>3.230392562582742E-3</v>
      </c>
      <c r="J252" s="50">
        <f t="shared" si="33"/>
        <v>-6.9332634250692804E-3</v>
      </c>
      <c r="K252" s="50">
        <f t="shared" si="34"/>
        <v>-2.5853752652903791E-3</v>
      </c>
      <c r="L252" s="50">
        <f t="shared" si="35"/>
        <v>-1.6164887458953722E-2</v>
      </c>
      <c r="P252" s="50">
        <f t="shared" si="30"/>
        <v>-1.6164887458953722E-2</v>
      </c>
      <c r="Q252" s="51">
        <f t="shared" si="36"/>
        <v>93.635719035190561</v>
      </c>
      <c r="R252" s="51">
        <f t="shared" si="37"/>
        <v>80.338458608390511</v>
      </c>
      <c r="T252">
        <v>247</v>
      </c>
      <c r="U252">
        <f t="shared" ca="1" si="38"/>
        <v>7.0898810373626825E-3</v>
      </c>
      <c r="V252">
        <f t="shared" ca="1" si="39"/>
        <v>7.2781374490497379</v>
      </c>
      <c r="Y252">
        <v>247</v>
      </c>
      <c r="Z252">
        <v>8.2687994972382342</v>
      </c>
    </row>
    <row r="253" spans="1:26" x14ac:dyDescent="0.15">
      <c r="A253" s="59">
        <v>41276.75</v>
      </c>
      <c r="B253">
        <v>11.078754999999999</v>
      </c>
      <c r="C253">
        <v>81.324791000000005</v>
      </c>
      <c r="D253">
        <v>44.195061000000003</v>
      </c>
      <c r="E253">
        <v>12.9575</v>
      </c>
      <c r="F253">
        <v>1268.8000489999999</v>
      </c>
      <c r="H253" s="50">
        <f t="shared" si="31"/>
        <v>9.6489726760836635E-3</v>
      </c>
      <c r="I253" s="50">
        <f t="shared" si="32"/>
        <v>7.7929704757104916E-3</v>
      </c>
      <c r="J253" s="50">
        <f t="shared" si="33"/>
        <v>-1.1745200335149628E-2</v>
      </c>
      <c r="K253" s="50">
        <f t="shared" si="34"/>
        <v>-3.4679281829695333E-2</v>
      </c>
      <c r="L253" s="50">
        <f t="shared" si="35"/>
        <v>-3.6592528565568905E-3</v>
      </c>
      <c r="P253" s="50">
        <f t="shared" si="30"/>
        <v>-3.6592528565568905E-3</v>
      </c>
      <c r="Q253" s="51">
        <f t="shared" si="36"/>
        <v>93.293082262835284</v>
      </c>
      <c r="R253" s="51">
        <f t="shared" si="37"/>
        <v>81.113642200341545</v>
      </c>
      <c r="T253">
        <v>248</v>
      </c>
      <c r="U253">
        <f t="shared" ca="1" si="38"/>
        <v>1.3304210155785028E-2</v>
      </c>
      <c r="V253">
        <f t="shared" ca="1" si="39"/>
        <v>7.3749673192145844</v>
      </c>
      <c r="Y253">
        <v>248</v>
      </c>
      <c r="Z253">
        <v>8.7779988287070676</v>
      </c>
    </row>
    <row r="254" spans="1:26" x14ac:dyDescent="0.15">
      <c r="A254" s="59">
        <v>41277.75</v>
      </c>
      <c r="B254">
        <v>10.972878</v>
      </c>
      <c r="C254">
        <v>80.695930000000004</v>
      </c>
      <c r="D254">
        <v>44.720309999999998</v>
      </c>
      <c r="E254">
        <v>13.423</v>
      </c>
      <c r="F254">
        <v>1273.459961</v>
      </c>
      <c r="H254" s="50">
        <f t="shared" si="31"/>
        <v>-2.7696103178731896E-3</v>
      </c>
      <c r="I254" s="50">
        <f t="shared" si="32"/>
        <v>1.8777775342966822E-3</v>
      </c>
      <c r="J254" s="50">
        <f t="shared" si="33"/>
        <v>1.0883902664761424E-2</v>
      </c>
      <c r="K254" s="50">
        <f t="shared" si="34"/>
        <v>7.808394023575283E-3</v>
      </c>
      <c r="L254" s="50">
        <f t="shared" si="35"/>
        <v>-1.5719917324532676E-5</v>
      </c>
      <c r="P254" s="50">
        <f t="shared" si="30"/>
        <v>-1.5719917324532676E-5</v>
      </c>
      <c r="Q254" s="51">
        <f t="shared" si="36"/>
        <v>93.291615703295165</v>
      </c>
      <c r="R254" s="51">
        <f t="shared" si="37"/>
        <v>80.888989019983214</v>
      </c>
      <c r="T254">
        <v>249</v>
      </c>
      <c r="U254">
        <f t="shared" ca="1" si="38"/>
        <v>1.9780979963908762E-2</v>
      </c>
      <c r="V254">
        <f t="shared" ca="1" si="39"/>
        <v>7.52085139999045</v>
      </c>
      <c r="Y254">
        <v>249</v>
      </c>
      <c r="Z254">
        <v>4.0942190958646343</v>
      </c>
    </row>
    <row r="255" spans="1:26" x14ac:dyDescent="0.15">
      <c r="A255" s="59">
        <v>41278.75</v>
      </c>
      <c r="B255">
        <v>11.003353000000001</v>
      </c>
      <c r="C255">
        <v>80.544685000000001</v>
      </c>
      <c r="D255">
        <v>44.238818999999999</v>
      </c>
      <c r="E255">
        <v>13.319000000000001</v>
      </c>
      <c r="F255">
        <v>1273.4799800000001</v>
      </c>
      <c r="H255" s="50">
        <f t="shared" si="31"/>
        <v>2.9126878190470024E-4</v>
      </c>
      <c r="I255" s="50">
        <f t="shared" si="32"/>
        <v>-4.9392880674494128E-4</v>
      </c>
      <c r="J255" s="50">
        <f t="shared" si="33"/>
        <v>7.6438569017325871E-3</v>
      </c>
      <c r="K255" s="50">
        <f t="shared" si="34"/>
        <v>1.1263375258119443E-4</v>
      </c>
      <c r="L255" s="50">
        <f t="shared" si="35"/>
        <v>-9.3118919104459054E-3</v>
      </c>
      <c r="P255" s="50">
        <f t="shared" si="30"/>
        <v>-9.3118919104459054E-3</v>
      </c>
      <c r="Q255" s="51">
        <f t="shared" si="36"/>
        <v>92.422894261715228</v>
      </c>
      <c r="R255" s="51">
        <f t="shared" si="37"/>
        <v>80.91254945728457</v>
      </c>
      <c r="T255">
        <v>250</v>
      </c>
      <c r="U255">
        <f t="shared" ca="1" si="38"/>
        <v>7.3600722166107047E-3</v>
      </c>
      <c r="V255">
        <f t="shared" ca="1" si="39"/>
        <v>7.5762054094247775</v>
      </c>
      <c r="Y255">
        <v>250</v>
      </c>
      <c r="Z255">
        <v>10.657696536328737</v>
      </c>
    </row>
    <row r="256" spans="1:26" x14ac:dyDescent="0.15">
      <c r="A256" s="59">
        <v>41279.75</v>
      </c>
      <c r="B256">
        <v>11.000149</v>
      </c>
      <c r="C256">
        <v>80.584487999999993</v>
      </c>
      <c r="D256">
        <v>43.903229000000003</v>
      </c>
      <c r="E256">
        <v>13.317500000000001</v>
      </c>
      <c r="F256">
        <v>1285.4499510000001</v>
      </c>
      <c r="H256" s="50">
        <f t="shared" si="31"/>
        <v>3.072277582449854E-3</v>
      </c>
      <c r="I256" s="50">
        <f t="shared" si="32"/>
        <v>4.8642171483158948E-3</v>
      </c>
      <c r="J256" s="50">
        <f t="shared" si="33"/>
        <v>-2.1558212959332463E-3</v>
      </c>
      <c r="K256" s="50">
        <f t="shared" si="34"/>
        <v>3.8064370241954718E-3</v>
      </c>
      <c r="L256" s="50">
        <f t="shared" si="35"/>
        <v>-3.6430437643428472E-3</v>
      </c>
      <c r="P256" s="50">
        <f t="shared" si="30"/>
        <v>-3.6430437643428472E-3</v>
      </c>
      <c r="Q256" s="51">
        <f t="shared" si="36"/>
        <v>92.086193613092561</v>
      </c>
      <c r="R256" s="51">
        <f t="shared" si="37"/>
        <v>81.161135269121047</v>
      </c>
      <c r="T256">
        <v>251</v>
      </c>
      <c r="U256">
        <f t="shared" ca="1" si="38"/>
        <v>2.0972791357749553E-2</v>
      </c>
      <c r="V256">
        <f t="shared" ca="1" si="39"/>
        <v>7.7350995847600972</v>
      </c>
      <c r="Y256">
        <v>251</v>
      </c>
      <c r="Z256">
        <v>6.9533814369957314</v>
      </c>
    </row>
    <row r="257" spans="1:26" x14ac:dyDescent="0.15">
      <c r="A257" s="59">
        <v>41282.75</v>
      </c>
      <c r="B257">
        <v>10.966457</v>
      </c>
      <c r="C257">
        <v>80.194405000000003</v>
      </c>
      <c r="D257">
        <v>43.998080999999999</v>
      </c>
      <c r="E257">
        <v>13.266999999999999</v>
      </c>
      <c r="F257">
        <v>1290.150024</v>
      </c>
      <c r="H257" s="50">
        <f t="shared" si="31"/>
        <v>-3.9342322438647931E-3</v>
      </c>
      <c r="I257" s="50">
        <f t="shared" si="32"/>
        <v>4.5871119467720762E-3</v>
      </c>
      <c r="J257" s="50">
        <f t="shared" si="33"/>
        <v>3.995483009864239E-3</v>
      </c>
      <c r="K257" s="50">
        <f t="shared" si="34"/>
        <v>-9.7036649996268404E-3</v>
      </c>
      <c r="L257" s="50">
        <f t="shared" si="35"/>
        <v>3.5673923272069662E-4</v>
      </c>
      <c r="P257" s="50">
        <f t="shared" ref="P257:P320" si="40">(F257-F258)/F258</f>
        <v>3.5673923272069662E-4</v>
      </c>
      <c r="Q257" s="51">
        <f t="shared" si="36"/>
        <v>92.119044371146259</v>
      </c>
      <c r="R257" s="51">
        <f t="shared" si="37"/>
        <v>80.8418285137966</v>
      </c>
      <c r="T257">
        <v>252</v>
      </c>
      <c r="U257">
        <f t="shared" ca="1" si="38"/>
        <v>1.1836973805556605E-2</v>
      </c>
      <c r="V257">
        <f t="shared" ca="1" si="39"/>
        <v>7.826659755928274</v>
      </c>
      <c r="Y257">
        <v>252</v>
      </c>
      <c r="Z257">
        <v>7.2941072118773844</v>
      </c>
    </row>
    <row r="258" spans="1:26" x14ac:dyDescent="0.15">
      <c r="A258" s="59">
        <v>41283.75</v>
      </c>
      <c r="B258">
        <v>11.009772</v>
      </c>
      <c r="C258">
        <v>79.828224000000006</v>
      </c>
      <c r="D258">
        <v>43.822986999999998</v>
      </c>
      <c r="E258">
        <v>13.397</v>
      </c>
      <c r="F258">
        <v>1289.6899410000001</v>
      </c>
      <c r="H258" s="50">
        <f t="shared" ref="H258:H321" si="41">(B258-B259)/B259</f>
        <v>4.8311383265866011E-3</v>
      </c>
      <c r="I258" s="50">
        <f t="shared" ref="I258:I321" si="42">(C258-C259)/C259</f>
        <v>-8.9672233767778946E-4</v>
      </c>
      <c r="J258" s="50">
        <f t="shared" ref="J258:J321" si="43">(D258-D259)/D259</f>
        <v>-5.2988399991965481E-3</v>
      </c>
      <c r="K258" s="50">
        <f t="shared" ref="K258:K321" si="44">(E258-E259)/E259</f>
        <v>-1.7563157701756288E-2</v>
      </c>
      <c r="L258" s="50">
        <f t="shared" ref="L258:L321" si="45">(F258-F259)/F259</f>
        <v>-3.469465462801699E-3</v>
      </c>
      <c r="P258" s="50">
        <f t="shared" si="40"/>
        <v>-3.469465462801699E-3</v>
      </c>
      <c r="Q258" s="51">
        <f t="shared" si="36"/>
        <v>91.799440528234271</v>
      </c>
      <c r="R258" s="51">
        <f t="shared" si="37"/>
        <v>81.232386569920948</v>
      </c>
      <c r="T258">
        <v>253</v>
      </c>
      <c r="U258">
        <f t="shared" ca="1" si="38"/>
        <v>-1.6147347455135998E-2</v>
      </c>
      <c r="V258">
        <f t="shared" ca="1" si="39"/>
        <v>7.7002799614361699</v>
      </c>
      <c r="Y258">
        <v>253</v>
      </c>
      <c r="Z258">
        <v>6.4470421725180937</v>
      </c>
    </row>
    <row r="259" spans="1:26" x14ac:dyDescent="0.15">
      <c r="A259" s="59">
        <v>41284.75</v>
      </c>
      <c r="B259">
        <v>10.956837999999999</v>
      </c>
      <c r="C259">
        <v>79.899872000000002</v>
      </c>
      <c r="D259">
        <v>44.056435</v>
      </c>
      <c r="E259">
        <v>13.6365</v>
      </c>
      <c r="F259">
        <v>1294.1800539999999</v>
      </c>
      <c r="H259" s="50">
        <f t="shared" si="41"/>
        <v>-9.8576512648472555E-3</v>
      </c>
      <c r="I259" s="50">
        <f t="shared" si="42"/>
        <v>-7.7113741470867837E-3</v>
      </c>
      <c r="J259" s="50">
        <f t="shared" si="43"/>
        <v>-1.1458429069117886E-2</v>
      </c>
      <c r="K259" s="50">
        <f t="shared" si="44"/>
        <v>3.0525928650238471E-3</v>
      </c>
      <c r="L259" s="50">
        <f t="shared" si="45"/>
        <v>6.3138536518379017E-3</v>
      </c>
      <c r="P259" s="50">
        <f t="shared" si="40"/>
        <v>6.3138536518379017E-3</v>
      </c>
      <c r="Q259" s="51">
        <f t="shared" ref="Q259:Q322" si="46">Q258*(1+P259)</f>
        <v>92.379048761050143</v>
      </c>
      <c r="R259" s="51">
        <f t="shared" ref="R259:R322" si="47">R258*(1+H259)</f>
        <v>80.431626031703402</v>
      </c>
      <c r="T259">
        <v>254</v>
      </c>
      <c r="U259">
        <f t="shared" ca="1" si="38"/>
        <v>1.15819879185971E-3</v>
      </c>
      <c r="V259">
        <f t="shared" ca="1" si="39"/>
        <v>7.7091984163844858</v>
      </c>
      <c r="Y259">
        <v>254</v>
      </c>
      <c r="Z259">
        <v>5.5212621452352293</v>
      </c>
    </row>
    <row r="260" spans="1:26" x14ac:dyDescent="0.15">
      <c r="A260" s="59">
        <v>41285.75</v>
      </c>
      <c r="B260">
        <v>11.065922</v>
      </c>
      <c r="C260">
        <v>80.520797999999999</v>
      </c>
      <c r="D260">
        <v>44.567104</v>
      </c>
      <c r="E260">
        <v>13.595000000000001</v>
      </c>
      <c r="F260">
        <v>1286.0600589999999</v>
      </c>
      <c r="H260" s="50">
        <f t="shared" si="41"/>
        <v>-3.3231203105372627E-3</v>
      </c>
      <c r="I260" s="50">
        <f t="shared" si="42"/>
        <v>-3.7426094320736603E-3</v>
      </c>
      <c r="J260" s="50">
        <f t="shared" si="43"/>
        <v>-3.7508524105721816E-3</v>
      </c>
      <c r="K260" s="50">
        <f t="shared" si="44"/>
        <v>1.1043766035771412E-2</v>
      </c>
      <c r="L260" s="50">
        <f t="shared" si="45"/>
        <v>-1.2037231910718223E-3</v>
      </c>
      <c r="P260" s="50">
        <f t="shared" si="40"/>
        <v>-1.2037231910718223E-3</v>
      </c>
      <c r="Q260" s="51">
        <f t="shared" si="46"/>
        <v>92.267849957687304</v>
      </c>
      <c r="R260" s="51">
        <f t="shared" si="47"/>
        <v>80.164342061627906</v>
      </c>
      <c r="T260">
        <v>255</v>
      </c>
      <c r="U260">
        <f t="shared" ca="1" si="38"/>
        <v>-4.4708251259701036E-3</v>
      </c>
      <c r="V260">
        <f t="shared" ca="1" si="39"/>
        <v>7.6747319384034256</v>
      </c>
      <c r="Y260">
        <v>255</v>
      </c>
      <c r="Z260">
        <v>8.3826604216076319</v>
      </c>
    </row>
    <row r="261" spans="1:26" x14ac:dyDescent="0.15">
      <c r="A261" s="59">
        <v>41286.75</v>
      </c>
      <c r="B261">
        <v>11.102817999999999</v>
      </c>
      <c r="C261">
        <v>80.823288000000005</v>
      </c>
      <c r="D261">
        <v>44.734898000000001</v>
      </c>
      <c r="E261">
        <v>13.4465</v>
      </c>
      <c r="F261">
        <v>1287.6099850000001</v>
      </c>
      <c r="H261" s="50">
        <f t="shared" si="41"/>
        <v>5.2285780404429045E-3</v>
      </c>
      <c r="I261" s="50">
        <f t="shared" si="42"/>
        <v>5.6457082094965557E-3</v>
      </c>
      <c r="J261" s="50">
        <f t="shared" si="43"/>
        <v>-2.2778938623769633E-3</v>
      </c>
      <c r="K261" s="50">
        <f t="shared" si="44"/>
        <v>-5.730553090801449E-3</v>
      </c>
      <c r="L261" s="50">
        <f t="shared" si="45"/>
        <v>3.6478457928464155E-3</v>
      </c>
      <c r="P261" s="50">
        <f t="shared" si="40"/>
        <v>3.6478457928464155E-3</v>
      </c>
      <c r="Q261" s="51">
        <f t="shared" si="46"/>
        <v>92.604428845970432</v>
      </c>
      <c r="R261" s="51">
        <f t="shared" si="47"/>
        <v>80.583487580157879</v>
      </c>
      <c r="Y261">
        <v>256</v>
      </c>
      <c r="Z261">
        <v>6.4590502495185262</v>
      </c>
    </row>
    <row r="262" spans="1:26" x14ac:dyDescent="0.15">
      <c r="A262" s="59">
        <v>41290.75</v>
      </c>
      <c r="B262">
        <v>11.045068000000001</v>
      </c>
      <c r="C262">
        <v>80.369545000000002</v>
      </c>
      <c r="D262">
        <v>44.837032000000001</v>
      </c>
      <c r="E262">
        <v>13.523999999999999</v>
      </c>
      <c r="F262">
        <v>1282.9300539999999</v>
      </c>
      <c r="H262" s="50">
        <f t="shared" si="41"/>
        <v>-5.0576450467489436E-3</v>
      </c>
      <c r="I262" s="50">
        <f t="shared" si="42"/>
        <v>-2.371482047059845E-3</v>
      </c>
      <c r="J262" s="50">
        <f t="shared" si="43"/>
        <v>-1.1378292250104759E-3</v>
      </c>
      <c r="K262" s="50">
        <f t="shared" si="44"/>
        <v>-6.0267529031310264E-3</v>
      </c>
      <c r="L262" s="50">
        <f t="shared" si="45"/>
        <v>3.9125772058882964E-3</v>
      </c>
      <c r="P262" s="50">
        <f t="shared" si="40"/>
        <v>3.9125772058882964E-3</v>
      </c>
      <c r="Q262" s="51">
        <f t="shared" si="46"/>
        <v>92.966750823437479</v>
      </c>
      <c r="R262" s="51">
        <f t="shared" si="47"/>
        <v>80.175924903348331</v>
      </c>
      <c r="Y262">
        <v>257</v>
      </c>
      <c r="Z262">
        <v>7.75935760115392</v>
      </c>
    </row>
    <row r="263" spans="1:26" x14ac:dyDescent="0.15">
      <c r="A263" s="59">
        <v>41291.75</v>
      </c>
      <c r="B263">
        <v>11.101214000000001</v>
      </c>
      <c r="C263">
        <v>80.560592999999997</v>
      </c>
      <c r="D263">
        <v>44.888106999999998</v>
      </c>
      <c r="E263">
        <v>13.606</v>
      </c>
      <c r="F263">
        <v>1277.9300539999999</v>
      </c>
      <c r="H263" s="50">
        <f t="shared" si="41"/>
        <v>-5.4613017141642546E-3</v>
      </c>
      <c r="I263" s="50">
        <f t="shared" si="42"/>
        <v>-9.3001144203215189E-3</v>
      </c>
      <c r="J263" s="50">
        <f t="shared" si="43"/>
        <v>6.5070674800285142E-4</v>
      </c>
      <c r="K263" s="50">
        <f t="shared" si="44"/>
        <v>7.1431215070876571E-3</v>
      </c>
      <c r="L263" s="50">
        <f t="shared" si="45"/>
        <v>-5.5328898588505784E-3</v>
      </c>
      <c r="P263" s="50">
        <f t="shared" si="40"/>
        <v>-5.5328898588505784E-3</v>
      </c>
      <c r="Q263" s="51">
        <f t="shared" si="46"/>
        <v>92.452376030596199</v>
      </c>
      <c r="R263" s="51">
        <f t="shared" si="47"/>
        <v>79.738059987238969</v>
      </c>
      <c r="Y263">
        <v>258</v>
      </c>
      <c r="Z263">
        <v>8.6220172715224734</v>
      </c>
    </row>
    <row r="264" spans="1:26" x14ac:dyDescent="0.15">
      <c r="A264" s="59">
        <v>41292.75</v>
      </c>
      <c r="B264">
        <v>11.162174</v>
      </c>
      <c r="C264">
        <v>81.316849000000005</v>
      </c>
      <c r="D264">
        <v>44.858916999999998</v>
      </c>
      <c r="E264">
        <v>13.509499999999999</v>
      </c>
      <c r="F264">
        <v>1285.040039</v>
      </c>
      <c r="H264" s="50">
        <f t="shared" si="41"/>
        <v>1.2947915900442253E-3</v>
      </c>
      <c r="I264" s="50">
        <f t="shared" si="42"/>
        <v>2.9385078002017249E-4</v>
      </c>
      <c r="J264" s="50">
        <f t="shared" si="43"/>
        <v>7.3716865266577683E-3</v>
      </c>
      <c r="K264" s="50">
        <f t="shared" si="44"/>
        <v>7.7580097721084039E-3</v>
      </c>
      <c r="L264" s="50">
        <f t="shared" si="45"/>
        <v>1.8668439057530645E-2</v>
      </c>
      <c r="P264" s="50">
        <f t="shared" si="40"/>
        <v>1.8668439057530645E-2</v>
      </c>
      <c r="Q264" s="51">
        <f t="shared" si="46"/>
        <v>94.178317578247288</v>
      </c>
      <c r="R264" s="51">
        <f t="shared" si="47"/>
        <v>79.841304156716902</v>
      </c>
      <c r="Y264">
        <v>259</v>
      </c>
      <c r="Z264">
        <v>6.3500708872551543</v>
      </c>
    </row>
    <row r="265" spans="1:26" x14ac:dyDescent="0.15">
      <c r="A265" s="59">
        <v>41293.75</v>
      </c>
      <c r="B265">
        <v>11.147740000000001</v>
      </c>
      <c r="C265">
        <v>81.292961000000005</v>
      </c>
      <c r="D265">
        <v>44.530650999999999</v>
      </c>
      <c r="E265">
        <v>13.4055</v>
      </c>
      <c r="F265">
        <v>1261.48999</v>
      </c>
      <c r="H265" s="50">
        <f t="shared" si="41"/>
        <v>-4.2980173028243527E-3</v>
      </c>
      <c r="I265" s="50">
        <f t="shared" si="42"/>
        <v>-7.4837201637263607E-3</v>
      </c>
      <c r="J265" s="50">
        <f t="shared" si="43"/>
        <v>-1.3255247281422768E-2</v>
      </c>
      <c r="K265" s="50">
        <f t="shared" si="44"/>
        <v>-1.9564104439406135E-2</v>
      </c>
      <c r="L265" s="50">
        <f t="shared" si="45"/>
        <v>-1.8435822344586086E-3</v>
      </c>
      <c r="P265" s="50">
        <f t="shared" si="40"/>
        <v>-1.8435822344586086E-3</v>
      </c>
      <c r="Q265" s="51">
        <f t="shared" si="46"/>
        <v>94.004692105088836</v>
      </c>
      <c r="R265" s="51">
        <f t="shared" si="47"/>
        <v>79.498144849971268</v>
      </c>
      <c r="Y265">
        <v>260</v>
      </c>
      <c r="Z265">
        <v>4.956448086433757</v>
      </c>
    </row>
    <row r="266" spans="1:26" x14ac:dyDescent="0.15">
      <c r="A266" s="59">
        <v>41296.75</v>
      </c>
      <c r="B266">
        <v>11.19586</v>
      </c>
      <c r="C266">
        <v>81.905922000000004</v>
      </c>
      <c r="D266">
        <v>45.128844999999998</v>
      </c>
      <c r="E266">
        <v>13.673</v>
      </c>
      <c r="F266">
        <v>1263.8199460000001</v>
      </c>
      <c r="H266" s="50">
        <f t="shared" si="41"/>
        <v>1.1448866220844183E-2</v>
      </c>
      <c r="I266" s="50">
        <f t="shared" si="42"/>
        <v>5.1777762156446369E-3</v>
      </c>
      <c r="J266" s="50">
        <f t="shared" si="43"/>
        <v>5.1999099328521254E-3</v>
      </c>
      <c r="K266" s="50">
        <f t="shared" si="44"/>
        <v>-3.7078770379238735E-2</v>
      </c>
      <c r="L266" s="50">
        <f t="shared" si="45"/>
        <v>-2.3996645533010332E-3</v>
      </c>
      <c r="P266" s="50">
        <f t="shared" si="40"/>
        <v>-2.3996645533010332E-3</v>
      </c>
      <c r="Q266" s="51">
        <f t="shared" si="46"/>
        <v>93.779112377600285</v>
      </c>
      <c r="R266" s="51">
        <f t="shared" si="47"/>
        <v>80.408308475163892</v>
      </c>
      <c r="Y266">
        <v>261</v>
      </c>
      <c r="Z266">
        <v>8.0611861395546356</v>
      </c>
    </row>
    <row r="267" spans="1:26" x14ac:dyDescent="0.15">
      <c r="A267" s="59">
        <v>41297.75</v>
      </c>
      <c r="B267">
        <v>11.069131</v>
      </c>
      <c r="C267">
        <v>81.484015999999997</v>
      </c>
      <c r="D267">
        <v>44.895392999999999</v>
      </c>
      <c r="E267">
        <v>14.1995</v>
      </c>
      <c r="F267">
        <v>1266.8599850000001</v>
      </c>
      <c r="H267" s="50">
        <f t="shared" si="41"/>
        <v>-5.0468846668924264E-3</v>
      </c>
      <c r="I267" s="50">
        <f t="shared" si="42"/>
        <v>-1.268405055470429E-3</v>
      </c>
      <c r="J267" s="50">
        <f t="shared" si="43"/>
        <v>6.707061214047791E-3</v>
      </c>
      <c r="K267" s="50">
        <f t="shared" si="44"/>
        <v>2.8800173887842406E-2</v>
      </c>
      <c r="L267" s="50">
        <f t="shared" si="45"/>
        <v>1.7237015742482204E-3</v>
      </c>
      <c r="P267" s="50">
        <f t="shared" si="40"/>
        <v>1.7237015742482204E-3</v>
      </c>
      <c r="Q267" s="51">
        <f t="shared" si="46"/>
        <v>93.940759581237145</v>
      </c>
      <c r="R267" s="51">
        <f t="shared" si="47"/>
        <v>80.002497016029835</v>
      </c>
      <c r="Y267">
        <v>262</v>
      </c>
      <c r="Z267">
        <v>8.2768906845846715</v>
      </c>
    </row>
    <row r="268" spans="1:26" x14ac:dyDescent="0.15">
      <c r="A268" s="59">
        <v>41298.75</v>
      </c>
      <c r="B268">
        <v>11.125279000000001</v>
      </c>
      <c r="C268">
        <v>81.587502000000001</v>
      </c>
      <c r="D268">
        <v>44.596283</v>
      </c>
      <c r="E268">
        <v>13.802</v>
      </c>
      <c r="F268">
        <v>1264.6800539999999</v>
      </c>
      <c r="H268" s="50">
        <f t="shared" si="41"/>
        <v>-7.7262516940697391E-3</v>
      </c>
      <c r="I268" s="50">
        <f t="shared" si="42"/>
        <v>-8.4176362145182808E-3</v>
      </c>
      <c r="J268" s="50">
        <f t="shared" si="43"/>
        <v>-3.423547779376685E-3</v>
      </c>
      <c r="K268" s="50">
        <f t="shared" si="44"/>
        <v>6.0265027847128831E-2</v>
      </c>
      <c r="L268" s="50">
        <f t="shared" si="45"/>
        <v>-7.1829854188168512E-3</v>
      </c>
      <c r="P268" s="50">
        <f t="shared" si="40"/>
        <v>-7.1829854188168512E-3</v>
      </c>
      <c r="Q268" s="51">
        <f t="shared" si="46"/>
        <v>93.265984474932537</v>
      </c>
      <c r="R268" s="51">
        <f t="shared" si="47"/>
        <v>79.384377587929933</v>
      </c>
      <c r="Y268">
        <v>263</v>
      </c>
      <c r="Z268">
        <v>6.6432084940887242</v>
      </c>
    </row>
    <row r="269" spans="1:26" x14ac:dyDescent="0.15">
      <c r="A269" s="59">
        <v>41299.75</v>
      </c>
      <c r="B269">
        <v>11.211905</v>
      </c>
      <c r="C269">
        <v>82.280106000000004</v>
      </c>
      <c r="D269">
        <v>44.749485</v>
      </c>
      <c r="E269">
        <v>13.0175</v>
      </c>
      <c r="F269">
        <v>1273.829956</v>
      </c>
      <c r="H269" s="50">
        <f t="shared" si="41"/>
        <v>2.007248795628433E-3</v>
      </c>
      <c r="I269" s="50">
        <f t="shared" si="42"/>
        <v>8.0957161390391441E-3</v>
      </c>
      <c r="J269" s="50">
        <f t="shared" si="43"/>
        <v>5.9035416192041784E-3</v>
      </c>
      <c r="K269" s="50">
        <f t="shared" si="44"/>
        <v>-4.5497873588502699E-2</v>
      </c>
      <c r="L269" s="50">
        <f t="shared" si="45"/>
        <v>-7.7041841082333279E-3</v>
      </c>
      <c r="P269" s="50">
        <f t="shared" si="40"/>
        <v>-7.7041841082333279E-3</v>
      </c>
      <c r="Q269" s="51">
        <f t="shared" si="46"/>
        <v>92.547446159502016</v>
      </c>
      <c r="R269" s="51">
        <f t="shared" si="47"/>
        <v>79.543721784235018</v>
      </c>
      <c r="Y269">
        <v>264</v>
      </c>
      <c r="Z269">
        <v>11.740599413551701</v>
      </c>
    </row>
    <row r="270" spans="1:26" x14ac:dyDescent="0.15">
      <c r="A270" s="59">
        <v>41300.75</v>
      </c>
      <c r="B270">
        <v>11.189444999999999</v>
      </c>
      <c r="C270">
        <v>81.619338999999997</v>
      </c>
      <c r="D270">
        <v>44.486854999999998</v>
      </c>
      <c r="E270">
        <v>13.638</v>
      </c>
      <c r="F270">
        <v>1283.719971</v>
      </c>
      <c r="H270" s="50">
        <f t="shared" si="41"/>
        <v>-2.8592357726620493E-3</v>
      </c>
      <c r="I270" s="50">
        <f t="shared" si="42"/>
        <v>1.8563952797132151E-3</v>
      </c>
      <c r="J270" s="50">
        <f t="shared" si="43"/>
        <v>9.4356114033943179E-3</v>
      </c>
      <c r="K270" s="50">
        <f t="shared" si="44"/>
        <v>2.7344632768361549E-2</v>
      </c>
      <c r="L270" s="50">
        <f t="shared" si="45"/>
        <v>-1.1437764591094811E-3</v>
      </c>
      <c r="P270" s="50">
        <f t="shared" si="40"/>
        <v>-1.1437764591094811E-3</v>
      </c>
      <c r="Q270" s="51">
        <f t="shared" si="46"/>
        <v>92.441592569234075</v>
      </c>
      <c r="R270" s="51">
        <f t="shared" si="47"/>
        <v>79.316287529418858</v>
      </c>
      <c r="Y270">
        <v>265</v>
      </c>
      <c r="Z270">
        <v>5.5765906144959549</v>
      </c>
    </row>
    <row r="271" spans="1:26" x14ac:dyDescent="0.15">
      <c r="A271" s="59">
        <v>41303.75</v>
      </c>
      <c r="B271">
        <v>11.22153</v>
      </c>
      <c r="C271">
        <v>81.468102000000002</v>
      </c>
      <c r="D271">
        <v>44.071018000000002</v>
      </c>
      <c r="E271">
        <v>13.275</v>
      </c>
      <c r="F271">
        <v>1285.1899410000001</v>
      </c>
      <c r="H271" s="50">
        <f t="shared" si="41"/>
        <v>-7.6605763432538131E-3</v>
      </c>
      <c r="I271" s="50">
        <f t="shared" si="42"/>
        <v>-1.7378868287900306E-2</v>
      </c>
      <c r="J271" s="50">
        <f t="shared" si="43"/>
        <v>-1.2101532724821003E-2</v>
      </c>
      <c r="K271" s="50">
        <f t="shared" si="44"/>
        <v>1.8867924528302156E-3</v>
      </c>
      <c r="L271" s="50">
        <f t="shared" si="45"/>
        <v>3.9919264230710693E-3</v>
      </c>
      <c r="P271" s="50">
        <f t="shared" si="40"/>
        <v>3.9919264230710693E-3</v>
      </c>
      <c r="Q271" s="51">
        <f t="shared" si="46"/>
        <v>92.810612605201968</v>
      </c>
      <c r="R271" s="51">
        <f t="shared" si="47"/>
        <v>78.708679053536272</v>
      </c>
      <c r="Y271">
        <v>266</v>
      </c>
      <c r="Z271">
        <v>5.035259103863174</v>
      </c>
    </row>
    <row r="272" spans="1:26" x14ac:dyDescent="0.15">
      <c r="A272" s="59">
        <v>41304.75</v>
      </c>
      <c r="B272">
        <v>11.308157</v>
      </c>
      <c r="C272">
        <v>82.908966000000007</v>
      </c>
      <c r="D272">
        <v>44.610878</v>
      </c>
      <c r="E272">
        <v>13.25</v>
      </c>
      <c r="F272">
        <v>1280.079956</v>
      </c>
      <c r="H272" s="50">
        <f t="shared" si="41"/>
        <v>1.2350722194066912E-2</v>
      </c>
      <c r="I272" s="50">
        <f t="shared" si="42"/>
        <v>1.6295921801580862E-2</v>
      </c>
      <c r="J272" s="50">
        <f t="shared" si="43"/>
        <v>4.930097685798082E-3</v>
      </c>
      <c r="K272" s="50">
        <f t="shared" si="44"/>
        <v>1.9309177629048345E-2</v>
      </c>
      <c r="L272" s="50">
        <f t="shared" si="45"/>
        <v>-1.8558123234850704E-3</v>
      </c>
      <c r="P272" s="50">
        <f t="shared" si="40"/>
        <v>-1.8558123234850704E-3</v>
      </c>
      <c r="Q272" s="51">
        <f t="shared" si="46"/>
        <v>92.638373526579031</v>
      </c>
      <c r="R272" s="51">
        <f t="shared" si="47"/>
        <v>79.680788082788467</v>
      </c>
      <c r="Y272">
        <v>267</v>
      </c>
      <c r="Z272">
        <v>8.2683974409350309</v>
      </c>
    </row>
    <row r="273" spans="1:26" x14ac:dyDescent="0.15">
      <c r="A273" s="59">
        <v>41305.75</v>
      </c>
      <c r="B273">
        <v>11.170197</v>
      </c>
      <c r="C273">
        <v>81.579552000000007</v>
      </c>
      <c r="D273">
        <v>44.392021</v>
      </c>
      <c r="E273">
        <v>12.999000000000001</v>
      </c>
      <c r="F273">
        <v>1282.459961</v>
      </c>
      <c r="H273" s="50">
        <f t="shared" si="41"/>
        <v>-1.6108408319612456E-2</v>
      </c>
      <c r="I273" s="50">
        <f t="shared" si="42"/>
        <v>-8.0337547612026518E-3</v>
      </c>
      <c r="J273" s="50">
        <f t="shared" si="43"/>
        <v>-2.4839924183932102E-2</v>
      </c>
      <c r="K273" s="50">
        <f t="shared" si="44"/>
        <v>-2.5890816441230431E-2</v>
      </c>
      <c r="L273" s="50">
        <f t="shared" si="45"/>
        <v>9.1435549013887535E-3</v>
      </c>
      <c r="P273" s="50">
        <f t="shared" si="40"/>
        <v>9.1435549013887535E-3</v>
      </c>
      <c r="Q273" s="51">
        <f t="shared" si="46"/>
        <v>93.485417580894662</v>
      </c>
      <c r="R273" s="51">
        <f t="shared" si="47"/>
        <v>78.397257413122404</v>
      </c>
      <c r="Y273">
        <v>268</v>
      </c>
      <c r="Z273">
        <v>7.7236803522619324</v>
      </c>
    </row>
    <row r="274" spans="1:26" x14ac:dyDescent="0.15">
      <c r="A274" s="59">
        <v>41306.75</v>
      </c>
      <c r="B274">
        <v>11.353077000000001</v>
      </c>
      <c r="C274">
        <v>82.240250000000003</v>
      </c>
      <c r="D274">
        <v>45.522804000000001</v>
      </c>
      <c r="E274">
        <v>13.3445</v>
      </c>
      <c r="F274">
        <v>1270.839966</v>
      </c>
      <c r="H274" s="50">
        <f t="shared" si="41"/>
        <v>-7.5725728941436216E-3</v>
      </c>
      <c r="I274" s="50">
        <f t="shared" si="42"/>
        <v>1.3126552007468961E-2</v>
      </c>
      <c r="J274" s="50">
        <f t="shared" si="43"/>
        <v>-4.6257562148022107E-3</v>
      </c>
      <c r="K274" s="50">
        <f t="shared" si="44"/>
        <v>1.7809472961635219E-2</v>
      </c>
      <c r="L274" s="50">
        <f t="shared" si="45"/>
        <v>5.3874803950563349E-3</v>
      </c>
      <c r="P274" s="50">
        <f t="shared" si="40"/>
        <v>5.3874803950563349E-3</v>
      </c>
      <c r="Q274" s="51">
        <f t="shared" si="46"/>
        <v>93.989068435335398</v>
      </c>
      <c r="R274" s="51">
        <f t="shared" si="47"/>
        <v>77.803588466660599</v>
      </c>
      <c r="Y274">
        <v>269</v>
      </c>
      <c r="Z274">
        <v>8.2914763248227157</v>
      </c>
    </row>
    <row r="275" spans="1:26" x14ac:dyDescent="0.15">
      <c r="A275" s="59">
        <v>41307.75</v>
      </c>
      <c r="B275">
        <v>11.439705</v>
      </c>
      <c r="C275">
        <v>81.174706</v>
      </c>
      <c r="D275">
        <v>45.734360000000002</v>
      </c>
      <c r="E275">
        <v>13.111000000000001</v>
      </c>
      <c r="F275">
        <v>1264.030029</v>
      </c>
      <c r="H275" s="50">
        <f t="shared" si="41"/>
        <v>1.1232297208247594E-3</v>
      </c>
      <c r="I275" s="50">
        <f t="shared" si="42"/>
        <v>-1.4726716933827779E-3</v>
      </c>
      <c r="J275" s="50">
        <f t="shared" si="43"/>
        <v>6.2601544643603466E-3</v>
      </c>
      <c r="K275" s="50">
        <f t="shared" si="44"/>
        <v>7.6470814279676292E-3</v>
      </c>
      <c r="L275" s="50">
        <f t="shared" si="45"/>
        <v>-7.8258919570294092E-4</v>
      </c>
      <c r="P275" s="50">
        <f t="shared" si="40"/>
        <v>-7.8258919570294092E-4</v>
      </c>
      <c r="Q275" s="51">
        <f t="shared" si="46"/>
        <v>93.915513605863723</v>
      </c>
      <c r="R275" s="51">
        <f t="shared" si="47"/>
        <v>77.890979769613168</v>
      </c>
      <c r="Y275">
        <v>270</v>
      </c>
      <c r="Z275">
        <v>8.0959890640276395</v>
      </c>
    </row>
    <row r="276" spans="1:26" x14ac:dyDescent="0.15">
      <c r="A276" s="59">
        <v>41310.75</v>
      </c>
      <c r="B276">
        <v>11.426869999999999</v>
      </c>
      <c r="C276">
        <v>81.294426000000001</v>
      </c>
      <c r="D276">
        <v>45.449837000000002</v>
      </c>
      <c r="E276">
        <v>13.0115</v>
      </c>
      <c r="F276">
        <v>1265.0200199999999</v>
      </c>
      <c r="H276" s="50">
        <f t="shared" si="41"/>
        <v>-3.4975219273155824E-3</v>
      </c>
      <c r="I276" s="50">
        <f t="shared" si="42"/>
        <v>-9.1450723386489914E-3</v>
      </c>
      <c r="J276" s="50">
        <f t="shared" si="43"/>
        <v>-3.040550774580977E-3</v>
      </c>
      <c r="K276" s="50">
        <f t="shared" si="44"/>
        <v>-6.5661385760641573E-3</v>
      </c>
      <c r="L276" s="50">
        <f t="shared" si="45"/>
        <v>8.1607857659009003E-3</v>
      </c>
      <c r="P276" s="50">
        <f t="shared" si="40"/>
        <v>8.1607857659009003E-3</v>
      </c>
      <c r="Q276" s="51">
        <f t="shared" si="46"/>
        <v>94.681937992495733</v>
      </c>
      <c r="R276" s="51">
        <f t="shared" si="47"/>
        <v>77.618554359928851</v>
      </c>
      <c r="Y276">
        <v>271</v>
      </c>
      <c r="Z276">
        <v>9.4796408477625747</v>
      </c>
    </row>
    <row r="277" spans="1:26" x14ac:dyDescent="0.15">
      <c r="A277" s="59">
        <v>41311.75</v>
      </c>
      <c r="B277">
        <v>11.466976000000001</v>
      </c>
      <c r="C277">
        <v>82.044730999999999</v>
      </c>
      <c r="D277">
        <v>45.588450999999999</v>
      </c>
      <c r="E277">
        <v>13.0975</v>
      </c>
      <c r="F277">
        <v>1254.780029</v>
      </c>
      <c r="H277" s="50">
        <f t="shared" si="41"/>
        <v>1.1202932318644927E-3</v>
      </c>
      <c r="I277" s="50">
        <f t="shared" si="42"/>
        <v>7.844283721140528E-3</v>
      </c>
      <c r="J277" s="50">
        <f t="shared" si="43"/>
        <v>-2.8723021628366784E-3</v>
      </c>
      <c r="K277" s="50">
        <f t="shared" si="44"/>
        <v>1.8428521441623585E-2</v>
      </c>
      <c r="L277" s="50">
        <f t="shared" si="45"/>
        <v>-8.5884682130737411E-3</v>
      </c>
      <c r="P277" s="50">
        <f t="shared" si="40"/>
        <v>-8.5884682130737411E-3</v>
      </c>
      <c r="Q277" s="51">
        <f t="shared" si="46"/>
        <v>93.868765177694968</v>
      </c>
      <c r="R277" s="51">
        <f t="shared" si="47"/>
        <v>77.705509901045389</v>
      </c>
      <c r="Y277">
        <v>272</v>
      </c>
      <c r="Z277">
        <v>8.1707369064697364</v>
      </c>
    </row>
    <row r="278" spans="1:26" x14ac:dyDescent="0.15">
      <c r="A278" s="59">
        <v>41312.75</v>
      </c>
      <c r="B278">
        <v>11.454143999999999</v>
      </c>
      <c r="C278">
        <v>81.406158000000005</v>
      </c>
      <c r="D278">
        <v>45.719771999999999</v>
      </c>
      <c r="E278">
        <v>12.8605</v>
      </c>
      <c r="F278">
        <v>1265.650024</v>
      </c>
      <c r="H278" s="50">
        <f t="shared" si="41"/>
        <v>0</v>
      </c>
      <c r="I278" s="50">
        <f t="shared" si="42"/>
        <v>2.259814108411461E-3</v>
      </c>
      <c r="J278" s="50">
        <f t="shared" si="43"/>
        <v>-9.5652552798244906E-4</v>
      </c>
      <c r="K278" s="50">
        <f t="shared" si="44"/>
        <v>-5.7595670660997647E-3</v>
      </c>
      <c r="L278" s="50">
        <f t="shared" si="45"/>
        <v>1.4796839300267319E-3</v>
      </c>
      <c r="P278" s="50">
        <f t="shared" si="40"/>
        <v>1.4796839300267319E-3</v>
      </c>
      <c r="Q278" s="51">
        <f t="shared" si="46"/>
        <v>94.007661281059868</v>
      </c>
      <c r="R278" s="51">
        <f t="shared" si="47"/>
        <v>77.705509901045389</v>
      </c>
      <c r="Y278">
        <v>273</v>
      </c>
      <c r="Z278">
        <v>7.8192336291725697</v>
      </c>
    </row>
    <row r="279" spans="1:26" x14ac:dyDescent="0.15">
      <c r="A279" s="59">
        <v>41313.75</v>
      </c>
      <c r="B279">
        <v>11.454143999999999</v>
      </c>
      <c r="C279">
        <v>81.222610000000003</v>
      </c>
      <c r="D279">
        <v>45.763545999999998</v>
      </c>
      <c r="E279">
        <v>12.935</v>
      </c>
      <c r="F279">
        <v>1263.780029</v>
      </c>
      <c r="H279" s="50">
        <f t="shared" si="41"/>
        <v>1.4005626699392504E-4</v>
      </c>
      <c r="I279" s="50">
        <f t="shared" si="42"/>
        <v>1.2790984921617861E-3</v>
      </c>
      <c r="J279" s="50">
        <f t="shared" si="43"/>
        <v>6.3816351644574703E-4</v>
      </c>
      <c r="K279" s="50">
        <f t="shared" si="44"/>
        <v>-3.9967343303521662E-2</v>
      </c>
      <c r="L279" s="50">
        <f t="shared" si="45"/>
        <v>-2.5335330391994819E-3</v>
      </c>
      <c r="P279" s="50">
        <f t="shared" si="40"/>
        <v>-2.5335330391994819E-3</v>
      </c>
      <c r="Q279" s="51">
        <f t="shared" si="46"/>
        <v>93.769489765266428</v>
      </c>
      <c r="R279" s="51">
        <f t="shared" si="47"/>
        <v>77.716393044686995</v>
      </c>
      <c r="Y279">
        <v>274</v>
      </c>
      <c r="Z279">
        <v>8.2723930310973284</v>
      </c>
    </row>
    <row r="280" spans="1:26" x14ac:dyDescent="0.15">
      <c r="A280" s="59">
        <v>41314.75</v>
      </c>
      <c r="B280">
        <v>11.452540000000001</v>
      </c>
      <c r="C280">
        <v>81.118851000000006</v>
      </c>
      <c r="D280">
        <v>45.734360000000002</v>
      </c>
      <c r="E280">
        <v>13.4735</v>
      </c>
      <c r="F280">
        <v>1266.98999</v>
      </c>
      <c r="H280" s="50">
        <f t="shared" si="41"/>
        <v>8.0487826131580183E-3</v>
      </c>
      <c r="I280" s="50">
        <f t="shared" si="42"/>
        <v>-3.8225535263227378E-3</v>
      </c>
      <c r="J280" s="50">
        <f t="shared" si="43"/>
        <v>-6.3400671039990451E-3</v>
      </c>
      <c r="K280" s="50">
        <f t="shared" si="44"/>
        <v>8.5425642549397151E-4</v>
      </c>
      <c r="L280" s="50">
        <f t="shared" si="45"/>
        <v>3.2703585900696525E-3</v>
      </c>
      <c r="P280" s="50">
        <f t="shared" si="40"/>
        <v>3.2703585900696525E-3</v>
      </c>
      <c r="Q280" s="51">
        <f t="shared" si="46"/>
        <v>94.076149621606717</v>
      </c>
      <c r="R280" s="51">
        <f t="shared" si="47"/>
        <v>78.341915397782429</v>
      </c>
      <c r="Y280">
        <v>275</v>
      </c>
      <c r="Z280">
        <v>8.6713778636678693</v>
      </c>
    </row>
    <row r="281" spans="1:26" x14ac:dyDescent="0.15">
      <c r="A281" s="59">
        <v>41317.75</v>
      </c>
      <c r="B281">
        <v>11.361096999999999</v>
      </c>
      <c r="C281">
        <v>81.430121999999997</v>
      </c>
      <c r="D281">
        <v>46.026169000000003</v>
      </c>
      <c r="E281">
        <v>13.462</v>
      </c>
      <c r="F281">
        <v>1262.8599850000001</v>
      </c>
      <c r="H281" s="50">
        <f t="shared" si="41"/>
        <v>2.1933743710452081E-2</v>
      </c>
      <c r="I281" s="50">
        <f t="shared" si="42"/>
        <v>-1.4682551623818054E-3</v>
      </c>
      <c r="J281" s="50">
        <f t="shared" si="43"/>
        <v>1.652879109670171E-2</v>
      </c>
      <c r="K281" s="50">
        <f t="shared" si="44"/>
        <v>1.5655060545475091E-2</v>
      </c>
      <c r="L281" s="50">
        <f t="shared" si="45"/>
        <v>-9.933160107514773E-3</v>
      </c>
      <c r="P281" s="50">
        <f t="shared" si="40"/>
        <v>-9.933160107514773E-3</v>
      </c>
      <c r="Q281" s="51">
        <f t="shared" si="46"/>
        <v>93.141676165116777</v>
      </c>
      <c r="R281" s="51">
        <f t="shared" si="47"/>
        <v>80.060246891903304</v>
      </c>
      <c r="Y281">
        <v>276</v>
      </c>
      <c r="Z281">
        <v>10.793646220884224</v>
      </c>
    </row>
    <row r="282" spans="1:26" x14ac:dyDescent="0.15">
      <c r="A282" s="59">
        <v>41318.75</v>
      </c>
      <c r="B282">
        <v>11.117254000000001</v>
      </c>
      <c r="C282">
        <v>81.549858</v>
      </c>
      <c r="D282">
        <v>45.277782000000002</v>
      </c>
      <c r="E282">
        <v>13.2545</v>
      </c>
      <c r="F282">
        <v>1275.530029</v>
      </c>
      <c r="H282" s="50">
        <f t="shared" si="41"/>
        <v>7.8531333072666583E-3</v>
      </c>
      <c r="I282" s="50">
        <f t="shared" si="42"/>
        <v>2.6499266090942697E-3</v>
      </c>
      <c r="J282" s="50">
        <f t="shared" si="43"/>
        <v>-2.5858699322358764E-3</v>
      </c>
      <c r="K282" s="50">
        <f t="shared" si="44"/>
        <v>-1.727525486561635E-2</v>
      </c>
      <c r="L282" s="50">
        <f t="shared" si="45"/>
        <v>-3.4921648437499899E-3</v>
      </c>
      <c r="P282" s="50">
        <f t="shared" si="40"/>
        <v>-3.4921648437499899E-3</v>
      </c>
      <c r="Q282" s="51">
        <f t="shared" si="46"/>
        <v>92.816410078125003</v>
      </c>
      <c r="R282" s="51">
        <f t="shared" si="47"/>
        <v>80.688970683358107</v>
      </c>
      <c r="Y282">
        <v>277</v>
      </c>
      <c r="Z282">
        <v>5.9640842383476791</v>
      </c>
    </row>
    <row r="283" spans="1:26" x14ac:dyDescent="0.15">
      <c r="A283" s="59">
        <v>41319.75</v>
      </c>
      <c r="B283">
        <v>11.030628999999999</v>
      </c>
      <c r="C283">
        <v>81.334327999999999</v>
      </c>
      <c r="D283">
        <v>45.395167999999998</v>
      </c>
      <c r="E283">
        <v>13.487500000000001</v>
      </c>
      <c r="F283">
        <v>1280</v>
      </c>
      <c r="H283" s="50">
        <f t="shared" si="41"/>
        <v>-6.5018628604017322E-3</v>
      </c>
      <c r="I283" s="50">
        <f t="shared" si="42"/>
        <v>8.1122628019353656E-3</v>
      </c>
      <c r="J283" s="50">
        <f t="shared" si="43"/>
        <v>-1.2450195216304315E-2</v>
      </c>
      <c r="K283" s="50">
        <f t="shared" si="44"/>
        <v>1.2537066926917279E-2</v>
      </c>
      <c r="L283" s="50">
        <f t="shared" si="45"/>
        <v>-7.2748181014331637E-3</v>
      </c>
      <c r="P283" s="50">
        <f t="shared" si="40"/>
        <v>-7.2748181014331637E-3</v>
      </c>
      <c r="Q283" s="51">
        <f t="shared" si="46"/>
        <v>92.141187577978613</v>
      </c>
      <c r="R283" s="51">
        <f t="shared" si="47"/>
        <v>80.164342061627934</v>
      </c>
      <c r="Y283">
        <v>278</v>
      </c>
      <c r="Z283">
        <v>4.62952618262982</v>
      </c>
    </row>
    <row r="284" spans="1:26" x14ac:dyDescent="0.15">
      <c r="A284" s="59">
        <v>41320.75</v>
      </c>
      <c r="B284">
        <v>11.102817999999999</v>
      </c>
      <c r="C284">
        <v>80.679832000000005</v>
      </c>
      <c r="D284">
        <v>45.967472000000001</v>
      </c>
      <c r="E284">
        <v>13.320499999999999</v>
      </c>
      <c r="F284">
        <v>1289.380005</v>
      </c>
      <c r="H284" s="50">
        <f t="shared" si="41"/>
        <v>-1.4944293268391879E-2</v>
      </c>
      <c r="I284" s="50">
        <f t="shared" si="42"/>
        <v>3.8732316993766408E-3</v>
      </c>
      <c r="J284" s="50">
        <f t="shared" si="43"/>
        <v>-1.1829653624128628E-2</v>
      </c>
      <c r="K284" s="50">
        <f t="shared" si="44"/>
        <v>1.7673159359252854E-3</v>
      </c>
      <c r="L284" s="50">
        <f t="shared" si="45"/>
        <v>1.6624833105130213E-3</v>
      </c>
      <c r="P284" s="50">
        <f t="shared" si="40"/>
        <v>1.6624833105130213E-3</v>
      </c>
      <c r="Q284" s="51">
        <f t="shared" si="46"/>
        <v>92.294370764537845</v>
      </c>
      <c r="R284" s="51">
        <f t="shared" si="47"/>
        <v>78.966342624191284</v>
      </c>
      <c r="Y284">
        <v>279</v>
      </c>
      <c r="Z284">
        <v>9.0633647692382677</v>
      </c>
    </row>
    <row r="285" spans="1:26" x14ac:dyDescent="0.15">
      <c r="A285" s="59">
        <v>41321.75</v>
      </c>
      <c r="B285">
        <v>11.271259000000001</v>
      </c>
      <c r="C285">
        <v>80.368545999999995</v>
      </c>
      <c r="D285">
        <v>46.517761</v>
      </c>
      <c r="E285">
        <v>13.297000000000001</v>
      </c>
      <c r="F285">
        <v>1287.23999</v>
      </c>
      <c r="H285" s="50">
        <f t="shared" si="41"/>
        <v>-1.9888927661661816E-3</v>
      </c>
      <c r="I285" s="50">
        <f t="shared" si="42"/>
        <v>-4.6460228969244484E-3</v>
      </c>
      <c r="J285" s="50">
        <f t="shared" si="43"/>
        <v>-3.144489053423143E-3</v>
      </c>
      <c r="K285" s="50">
        <f t="shared" si="44"/>
        <v>1.9591590686459047E-3</v>
      </c>
      <c r="L285" s="50">
        <f t="shared" si="45"/>
        <v>3.2812645883910337E-3</v>
      </c>
      <c r="P285" s="50">
        <f t="shared" si="40"/>
        <v>3.2812645883910337E-3</v>
      </c>
      <c r="Q285" s="51">
        <f t="shared" si="46"/>
        <v>92.597213015035365</v>
      </c>
      <c r="R285" s="51">
        <f t="shared" si="47"/>
        <v>78.809287036575427</v>
      </c>
      <c r="Y285">
        <v>280</v>
      </c>
      <c r="Z285">
        <v>7.3078080013189375</v>
      </c>
    </row>
    <row r="286" spans="1:26" x14ac:dyDescent="0.15">
      <c r="A286" s="59">
        <v>41325.75</v>
      </c>
      <c r="B286">
        <v>11.293721</v>
      </c>
      <c r="C286">
        <v>80.743683000000004</v>
      </c>
      <c r="D286">
        <v>46.664496999999997</v>
      </c>
      <c r="E286">
        <v>13.271000000000001</v>
      </c>
      <c r="F286">
        <v>1283.030029</v>
      </c>
      <c r="H286" s="50">
        <f t="shared" si="41"/>
        <v>-5.6751539406525839E-4</v>
      </c>
      <c r="I286" s="50">
        <f t="shared" si="42"/>
        <v>1.0690563071662273E-2</v>
      </c>
      <c r="J286" s="50">
        <f t="shared" si="43"/>
        <v>1.1289177556987594E-2</v>
      </c>
      <c r="K286" s="50">
        <f t="shared" si="44"/>
        <v>2.1356832262285116E-2</v>
      </c>
      <c r="L286" s="50">
        <f t="shared" si="45"/>
        <v>-7.4574444149492092E-3</v>
      </c>
      <c r="P286" s="50">
        <f t="shared" si="40"/>
        <v>-7.4574444149492092E-3</v>
      </c>
      <c r="Q286" s="51">
        <f t="shared" si="46"/>
        <v>91.906674445996529</v>
      </c>
      <c r="R286" s="51">
        <f t="shared" si="47"/>
        <v>78.764561552986862</v>
      </c>
      <c r="Y286">
        <v>281</v>
      </c>
      <c r="Z286">
        <v>5.7756557471659846</v>
      </c>
    </row>
    <row r="287" spans="1:26" x14ac:dyDescent="0.15">
      <c r="A287" s="59">
        <v>41326.75</v>
      </c>
      <c r="B287">
        <v>11.300134</v>
      </c>
      <c r="C287">
        <v>79.889617999999999</v>
      </c>
      <c r="D287">
        <v>46.143574000000001</v>
      </c>
      <c r="E287">
        <v>12.993499999999999</v>
      </c>
      <c r="F287">
        <v>1292.670044</v>
      </c>
      <c r="H287" s="50">
        <f t="shared" si="41"/>
        <v>-9.4225589327416662E-3</v>
      </c>
      <c r="I287" s="50">
        <f t="shared" si="42"/>
        <v>6.4352957147545712E-3</v>
      </c>
      <c r="J287" s="50">
        <f t="shared" si="43"/>
        <v>-1.8110730060903413E-2</v>
      </c>
      <c r="K287" s="50">
        <f t="shared" si="44"/>
        <v>1.9663787785317082E-3</v>
      </c>
      <c r="L287" s="50">
        <f t="shared" si="45"/>
        <v>3.7894414867422209E-3</v>
      </c>
      <c r="P287" s="50">
        <f t="shared" si="40"/>
        <v>3.7894414867422209E-3</v>
      </c>
      <c r="Q287" s="51">
        <f t="shared" si="46"/>
        <v>92.254949411050703</v>
      </c>
      <c r="R287" s="51">
        <f t="shared" si="47"/>
        <v>78.022397829942278</v>
      </c>
      <c r="Y287">
        <v>282</v>
      </c>
      <c r="Z287">
        <v>7.9109425451113333</v>
      </c>
    </row>
    <row r="288" spans="1:26" x14ac:dyDescent="0.15">
      <c r="A288" s="59">
        <v>41327.75</v>
      </c>
      <c r="B288">
        <v>11.407622999999999</v>
      </c>
      <c r="C288">
        <v>79.378792000000004</v>
      </c>
      <c r="D288">
        <v>46.994681999999997</v>
      </c>
      <c r="E288">
        <v>12.968</v>
      </c>
      <c r="F288">
        <v>1287.790039</v>
      </c>
      <c r="H288" s="50">
        <f t="shared" si="41"/>
        <v>-7.6749415637100736E-3</v>
      </c>
      <c r="I288" s="50">
        <f t="shared" si="42"/>
        <v>-1.2707510882832673E-2</v>
      </c>
      <c r="J288" s="50">
        <f t="shared" si="43"/>
        <v>1.4733656685653393E-2</v>
      </c>
      <c r="K288" s="50">
        <f t="shared" si="44"/>
        <v>-1.4776828110161419E-2</v>
      </c>
      <c r="L288" s="50">
        <f t="shared" si="45"/>
        <v>-1.2718914026490875E-3</v>
      </c>
      <c r="P288" s="50">
        <f t="shared" si="40"/>
        <v>-1.2718914026490875E-3</v>
      </c>
      <c r="Q288" s="51">
        <f t="shared" si="46"/>
        <v>92.13761113404297</v>
      </c>
      <c r="R288" s="51">
        <f t="shared" si="47"/>
        <v>77.423580485936938</v>
      </c>
      <c r="Y288">
        <v>283</v>
      </c>
      <c r="Z288">
        <v>9.2623932681492374</v>
      </c>
    </row>
    <row r="289" spans="1:26" x14ac:dyDescent="0.15">
      <c r="A289" s="59">
        <v>41328.75</v>
      </c>
      <c r="B289">
        <v>11.495853</v>
      </c>
      <c r="C289">
        <v>80.400481999999997</v>
      </c>
      <c r="D289">
        <v>46.312331999999998</v>
      </c>
      <c r="E289">
        <v>13.1625</v>
      </c>
      <c r="F289">
        <v>1289.4300539999999</v>
      </c>
      <c r="H289" s="50">
        <f t="shared" si="41"/>
        <v>1.2432844882842155E-2</v>
      </c>
      <c r="I289" s="50">
        <f t="shared" si="42"/>
        <v>-5.5287323414688165E-3</v>
      </c>
      <c r="J289" s="50">
        <f t="shared" si="43"/>
        <v>2.5416647544793782E-3</v>
      </c>
      <c r="K289" s="50">
        <f t="shared" si="44"/>
        <v>-3.8596889544783861E-3</v>
      </c>
      <c r="L289" s="50">
        <f t="shared" si="45"/>
        <v>-3.6240387430225046E-3</v>
      </c>
      <c r="P289" s="50">
        <f t="shared" si="40"/>
        <v>-3.6240387430225046E-3</v>
      </c>
      <c r="Q289" s="51">
        <f t="shared" si="46"/>
        <v>91.803700861603659</v>
      </c>
      <c r="R289" s="51">
        <f t="shared" si="47"/>
        <v>78.386175852392839</v>
      </c>
      <c r="Y289">
        <v>284</v>
      </c>
      <c r="Z289">
        <v>6.2659152271626075</v>
      </c>
    </row>
    <row r="290" spans="1:26" x14ac:dyDescent="0.15">
      <c r="A290" s="59">
        <v>41331.75</v>
      </c>
      <c r="B290">
        <v>11.354682</v>
      </c>
      <c r="C290">
        <v>80.847465999999997</v>
      </c>
      <c r="D290">
        <v>46.194920000000003</v>
      </c>
      <c r="E290">
        <v>13.2135</v>
      </c>
      <c r="F290">
        <v>1294.119995</v>
      </c>
      <c r="H290" s="50">
        <f t="shared" si="41"/>
        <v>-1.3381802219175442E-2</v>
      </c>
      <c r="I290" s="50">
        <f t="shared" si="42"/>
        <v>-1.2820308835758724E-3</v>
      </c>
      <c r="J290" s="50">
        <f t="shared" si="43"/>
        <v>-1.8244135042575393E-2</v>
      </c>
      <c r="K290" s="50">
        <f t="shared" si="44"/>
        <v>-5.5317227365094456E-3</v>
      </c>
      <c r="L290" s="50">
        <f t="shared" si="45"/>
        <v>1.0510174943118449E-2</v>
      </c>
      <c r="P290" s="50">
        <f t="shared" si="40"/>
        <v>1.0510174943118449E-2</v>
      </c>
      <c r="Q290" s="51">
        <f t="shared" si="46"/>
        <v>92.768573818084832</v>
      </c>
      <c r="R290" s="51">
        <f t="shared" si="47"/>
        <v>77.337227550418618</v>
      </c>
      <c r="Y290">
        <v>285</v>
      </c>
      <c r="Z290">
        <v>6.6039569292223996</v>
      </c>
    </row>
    <row r="291" spans="1:26" x14ac:dyDescent="0.15">
      <c r="A291" s="59">
        <v>41332.75</v>
      </c>
      <c r="B291">
        <v>11.508689</v>
      </c>
      <c r="C291">
        <v>80.951248000000007</v>
      </c>
      <c r="D291">
        <v>47.053367999999999</v>
      </c>
      <c r="E291">
        <v>13.287000000000001</v>
      </c>
      <c r="F291">
        <v>1280.660034</v>
      </c>
      <c r="H291" s="50">
        <f t="shared" si="41"/>
        <v>-2.074737484027895E-2</v>
      </c>
      <c r="I291" s="50">
        <f t="shared" si="42"/>
        <v>-1.9432999961843753E-2</v>
      </c>
      <c r="J291" s="50">
        <f t="shared" si="43"/>
        <v>-3.4768414746550666E-2</v>
      </c>
      <c r="K291" s="50">
        <f t="shared" si="44"/>
        <v>-2.6985463732561912E-2</v>
      </c>
      <c r="L291" s="50">
        <f t="shared" si="45"/>
        <v>-8.1936402852579235E-3</v>
      </c>
      <c r="P291" s="50">
        <f t="shared" si="40"/>
        <v>-8.1936402852579235E-3</v>
      </c>
      <c r="Q291" s="51">
        <f t="shared" si="46"/>
        <v>92.008461494443054</v>
      </c>
      <c r="R291" s="51">
        <f t="shared" si="47"/>
        <v>75.732683101322124</v>
      </c>
      <c r="Y291">
        <v>286</v>
      </c>
      <c r="Z291">
        <v>6.7886690224273174</v>
      </c>
    </row>
    <row r="292" spans="1:26" x14ac:dyDescent="0.15">
      <c r="A292" s="59">
        <v>41333.75</v>
      </c>
      <c r="B292">
        <v>11.752523</v>
      </c>
      <c r="C292">
        <v>82.555549999999997</v>
      </c>
      <c r="D292">
        <v>48.748268000000003</v>
      </c>
      <c r="E292">
        <v>13.6555</v>
      </c>
      <c r="F292">
        <v>1291.23999</v>
      </c>
      <c r="H292" s="50">
        <f t="shared" si="41"/>
        <v>-6.2404006519692478E-3</v>
      </c>
      <c r="I292" s="50">
        <f t="shared" si="42"/>
        <v>2.7142883811858468E-3</v>
      </c>
      <c r="J292" s="50">
        <f t="shared" si="43"/>
        <v>-3.599311116208303E-3</v>
      </c>
      <c r="K292" s="50">
        <f t="shared" si="44"/>
        <v>-8.9988751406074631E-3</v>
      </c>
      <c r="L292" s="50">
        <f t="shared" si="45"/>
        <v>1.6289735603312926E-3</v>
      </c>
      <c r="P292" s="50">
        <f t="shared" si="40"/>
        <v>1.6289735603312926E-3</v>
      </c>
      <c r="Q292" s="51">
        <f t="shared" si="46"/>
        <v>92.158340845544259</v>
      </c>
      <c r="R292" s="51">
        <f t="shared" si="47"/>
        <v>75.260080816321249</v>
      </c>
      <c r="Y292">
        <v>287</v>
      </c>
      <c r="Z292">
        <v>10.797937393249324</v>
      </c>
    </row>
    <row r="293" spans="1:26" x14ac:dyDescent="0.15">
      <c r="A293" s="59">
        <v>41334.75</v>
      </c>
      <c r="B293">
        <v>11.826324</v>
      </c>
      <c r="C293">
        <v>82.332076999999998</v>
      </c>
      <c r="D293">
        <v>48.924362000000002</v>
      </c>
      <c r="E293">
        <v>13.779500000000001</v>
      </c>
      <c r="F293">
        <v>1289.1400149999999</v>
      </c>
      <c r="H293" s="50">
        <f t="shared" si="41"/>
        <v>4.633539246701724E-3</v>
      </c>
      <c r="I293" s="50">
        <f t="shared" si="42"/>
        <v>5.7529130092585793E-3</v>
      </c>
      <c r="J293" s="50">
        <f t="shared" si="43"/>
        <v>8.4695021962660055E-3</v>
      </c>
      <c r="K293" s="50">
        <f t="shared" si="44"/>
        <v>6.5743818254866762E-3</v>
      </c>
      <c r="L293" s="50">
        <f t="shared" si="45"/>
        <v>1.4838335260027736E-3</v>
      </c>
      <c r="P293" s="50">
        <f t="shared" si="40"/>
        <v>1.4838335260027736E-3</v>
      </c>
      <c r="Q293" s="51">
        <f t="shared" si="46"/>
        <v>92.295088481391673</v>
      </c>
      <c r="R293" s="51">
        <f t="shared" si="47"/>
        <v>75.608801354493608</v>
      </c>
      <c r="Y293">
        <v>288</v>
      </c>
      <c r="Z293">
        <v>7.4600920481310098</v>
      </c>
    </row>
    <row r="294" spans="1:26" x14ac:dyDescent="0.15">
      <c r="A294" s="59">
        <v>41335.75</v>
      </c>
      <c r="B294">
        <v>11.771779</v>
      </c>
      <c r="C294">
        <v>81.861136999999999</v>
      </c>
      <c r="D294">
        <v>48.513477000000002</v>
      </c>
      <c r="E294">
        <v>13.689500000000001</v>
      </c>
      <c r="F294">
        <v>1287.2299800000001</v>
      </c>
      <c r="H294" s="50">
        <f t="shared" si="41"/>
        <v>8.1847267404808676E-4</v>
      </c>
      <c r="I294" s="50">
        <f t="shared" si="42"/>
        <v>5.7862870205855933E-3</v>
      </c>
      <c r="J294" s="50">
        <f t="shared" si="43"/>
        <v>4.1004764509572607E-3</v>
      </c>
      <c r="K294" s="50">
        <f t="shared" si="44"/>
        <v>-3.2861107054185559E-4</v>
      </c>
      <c r="L294" s="50">
        <f t="shared" si="45"/>
        <v>7.0173281881830158E-3</v>
      </c>
      <c r="P294" s="50">
        <f t="shared" si="40"/>
        <v>7.0173281881830158E-3</v>
      </c>
      <c r="Q294" s="51">
        <f t="shared" si="46"/>
        <v>92.942753407422998</v>
      </c>
      <c r="R294" s="51">
        <f t="shared" si="47"/>
        <v>75.670685092319786</v>
      </c>
      <c r="Y294">
        <v>289</v>
      </c>
      <c r="Z294">
        <v>7.2702211926425342</v>
      </c>
    </row>
    <row r="295" spans="1:26" x14ac:dyDescent="0.15">
      <c r="A295" s="59">
        <v>41338.75</v>
      </c>
      <c r="B295">
        <v>11.762152</v>
      </c>
      <c r="C295">
        <v>81.390190000000004</v>
      </c>
      <c r="D295">
        <v>48.315361000000003</v>
      </c>
      <c r="E295">
        <v>13.694000000000001</v>
      </c>
      <c r="F295">
        <v>1278.26001</v>
      </c>
      <c r="H295" s="50">
        <f t="shared" si="41"/>
        <v>-1.5336344267853106E-2</v>
      </c>
      <c r="I295" s="50">
        <f t="shared" si="42"/>
        <v>-1.0384313843741529E-2</v>
      </c>
      <c r="J295" s="50">
        <f t="shared" si="43"/>
        <v>-7.5360349131074391E-3</v>
      </c>
      <c r="K295" s="50">
        <f t="shared" si="44"/>
        <v>-1.1306028666252892E-3</v>
      </c>
      <c r="L295" s="50">
        <f t="shared" si="45"/>
        <v>1.8653831008190952E-3</v>
      </c>
      <c r="P295" s="50">
        <f t="shared" si="40"/>
        <v>1.8653831008190952E-3</v>
      </c>
      <c r="Q295" s="51">
        <f t="shared" si="46"/>
        <v>93.116127248972802</v>
      </c>
      <c r="R295" s="51">
        <f t="shared" si="47"/>
        <v>74.510173414759663</v>
      </c>
      <c r="Y295">
        <v>290</v>
      </c>
      <c r="Z295">
        <v>9.8901788545146196</v>
      </c>
    </row>
    <row r="296" spans="1:26" x14ac:dyDescent="0.15">
      <c r="A296" s="59">
        <v>41339.75</v>
      </c>
      <c r="B296">
        <v>11.945349999999999</v>
      </c>
      <c r="C296">
        <v>82.244240000000005</v>
      </c>
      <c r="D296">
        <v>48.682231999999999</v>
      </c>
      <c r="E296">
        <v>13.7095</v>
      </c>
      <c r="F296">
        <v>1275.880005</v>
      </c>
      <c r="H296" s="50">
        <f t="shared" si="41"/>
        <v>6.8508688657574262E-4</v>
      </c>
      <c r="I296" s="50">
        <f t="shared" si="42"/>
        <v>5.8569680310642551E-3</v>
      </c>
      <c r="J296" s="50">
        <f t="shared" si="43"/>
        <v>-1.4701784771311368E-2</v>
      </c>
      <c r="K296" s="50">
        <f t="shared" si="44"/>
        <v>1.0875976994543641E-2</v>
      </c>
      <c r="L296" s="50">
        <f t="shared" si="45"/>
        <v>-2.0258324862915409E-3</v>
      </c>
      <c r="P296" s="50">
        <f t="shared" si="40"/>
        <v>-2.0258324862915409E-3</v>
      </c>
      <c r="Q296" s="51">
        <f t="shared" si="46"/>
        <v>92.927489573394183</v>
      </c>
      <c r="R296" s="51">
        <f t="shared" si="47"/>
        <v>74.561219357482599</v>
      </c>
      <c r="Y296">
        <v>291</v>
      </c>
      <c r="Z296">
        <v>6.0602525944910974</v>
      </c>
    </row>
    <row r="297" spans="1:26" x14ac:dyDescent="0.15">
      <c r="A297" s="59">
        <v>41340.75</v>
      </c>
      <c r="B297">
        <v>11.937172</v>
      </c>
      <c r="C297">
        <v>81.765343000000001</v>
      </c>
      <c r="D297">
        <v>49.408627000000003</v>
      </c>
      <c r="E297">
        <v>13.561999999999999</v>
      </c>
      <c r="F297">
        <v>1278.469971</v>
      </c>
      <c r="H297" s="50">
        <f t="shared" si="41"/>
        <v>-8.4237495744930394E-3</v>
      </c>
      <c r="I297" s="50">
        <f t="shared" si="42"/>
        <v>-1.262654137358795E-2</v>
      </c>
      <c r="J297" s="50">
        <f t="shared" si="43"/>
        <v>3.4274264096725432E-3</v>
      </c>
      <c r="K297" s="50">
        <f t="shared" si="44"/>
        <v>-1.0542443366286123E-2</v>
      </c>
      <c r="L297" s="50">
        <f t="shared" si="45"/>
        <v>4.9047665108472903E-3</v>
      </c>
      <c r="P297" s="50">
        <f t="shared" si="40"/>
        <v>4.9047665108472903E-3</v>
      </c>
      <c r="Q297" s="51">
        <f t="shared" si="46"/>
        <v>93.383277212190876</v>
      </c>
      <c r="R297" s="51">
        <f t="shared" si="47"/>
        <v>73.933134317646321</v>
      </c>
      <c r="Y297">
        <v>292</v>
      </c>
      <c r="Z297">
        <v>8.7830936266887658</v>
      </c>
    </row>
    <row r="298" spans="1:26" x14ac:dyDescent="0.15">
      <c r="A298" s="59">
        <v>41341.75</v>
      </c>
      <c r="B298">
        <v>12.038582</v>
      </c>
      <c r="C298">
        <v>82.810958999999997</v>
      </c>
      <c r="D298">
        <v>49.239860999999998</v>
      </c>
      <c r="E298">
        <v>13.7065</v>
      </c>
      <c r="F298">
        <v>1272.2299800000001</v>
      </c>
      <c r="H298" s="50">
        <f t="shared" si="41"/>
        <v>-6.7902063641660812E-4</v>
      </c>
      <c r="I298" s="50">
        <f t="shared" si="42"/>
        <v>3.1907662841046372E-3</v>
      </c>
      <c r="J298" s="50">
        <f t="shared" si="43"/>
        <v>-4.7456625818341567E-3</v>
      </c>
      <c r="K298" s="50">
        <f t="shared" si="44"/>
        <v>-3.5259905488913596E-3</v>
      </c>
      <c r="L298" s="50">
        <f t="shared" si="45"/>
        <v>-7.1717810588577723E-3</v>
      </c>
      <c r="P298" s="50">
        <f t="shared" si="40"/>
        <v>-7.1717810588577723E-3</v>
      </c>
      <c r="Q298" s="51">
        <f t="shared" si="46"/>
        <v>92.71355279346642</v>
      </c>
      <c r="R298" s="51">
        <f t="shared" si="47"/>
        <v>73.882932193729687</v>
      </c>
      <c r="Y298">
        <v>293</v>
      </c>
      <c r="Z298">
        <v>7.6931369029130785</v>
      </c>
    </row>
    <row r="299" spans="1:26" x14ac:dyDescent="0.15">
      <c r="A299" s="59">
        <v>41342.75</v>
      </c>
      <c r="B299">
        <v>12.046761999999999</v>
      </c>
      <c r="C299">
        <v>82.547568999999996</v>
      </c>
      <c r="D299">
        <v>49.474651000000001</v>
      </c>
      <c r="E299">
        <v>13.755000000000001</v>
      </c>
      <c r="F299">
        <v>1281.420044</v>
      </c>
      <c r="H299" s="50">
        <f t="shared" si="41"/>
        <v>5.8729545753426864E-3</v>
      </c>
      <c r="I299" s="50">
        <f t="shared" si="42"/>
        <v>4.955630237070136E-3</v>
      </c>
      <c r="J299" s="50">
        <f t="shared" si="43"/>
        <v>1.3362848556791255E-3</v>
      </c>
      <c r="K299" s="50">
        <f t="shared" si="44"/>
        <v>3.5222397832467819E-2</v>
      </c>
      <c r="L299" s="50">
        <f t="shared" si="45"/>
        <v>-2.1103478537595742E-3</v>
      </c>
      <c r="P299" s="50">
        <f t="shared" si="40"/>
        <v>-2.1103478537595742E-3</v>
      </c>
      <c r="Q299" s="51">
        <f t="shared" si="46"/>
        <v>92.517894946314314</v>
      </c>
      <c r="R299" s="51">
        <f t="shared" si="47"/>
        <v>74.316843298396577</v>
      </c>
      <c r="Y299">
        <v>294</v>
      </c>
      <c r="Z299">
        <v>6.0631678327035665</v>
      </c>
    </row>
    <row r="300" spans="1:26" x14ac:dyDescent="0.15">
      <c r="A300" s="59">
        <v>41345.75</v>
      </c>
      <c r="B300">
        <v>11.976425000000001</v>
      </c>
      <c r="C300">
        <v>82.140511000000004</v>
      </c>
      <c r="D300">
        <v>49.408627000000003</v>
      </c>
      <c r="E300">
        <v>13.287000000000001</v>
      </c>
      <c r="F300">
        <v>1284.130005</v>
      </c>
      <c r="H300" s="50">
        <f t="shared" si="41"/>
        <v>9.9307172985818246E-3</v>
      </c>
      <c r="I300" s="50">
        <f t="shared" si="42"/>
        <v>1.1400894558455795E-2</v>
      </c>
      <c r="J300" s="50">
        <f t="shared" si="43"/>
        <v>8.0841166639343976E-3</v>
      </c>
      <c r="K300" s="50">
        <f t="shared" si="44"/>
        <v>1.4972118249178941E-2</v>
      </c>
      <c r="L300" s="50">
        <f t="shared" si="45"/>
        <v>-1.0289156831537459E-2</v>
      </c>
      <c r="P300" s="50">
        <f t="shared" si="40"/>
        <v>-1.0289156831537459E-2</v>
      </c>
      <c r="Q300" s="51">
        <f t="shared" si="46"/>
        <v>91.56596381548799</v>
      </c>
      <c r="R300" s="51">
        <f t="shared" si="47"/>
        <v>75.054862859715968</v>
      </c>
      <c r="Y300">
        <v>295</v>
      </c>
      <c r="Z300">
        <v>5.1492095713633974</v>
      </c>
    </row>
    <row r="301" spans="1:26" x14ac:dyDescent="0.15">
      <c r="A301" s="59">
        <v>41346.75</v>
      </c>
      <c r="B301">
        <v>11.85866</v>
      </c>
      <c r="C301">
        <v>81.214591999999996</v>
      </c>
      <c r="D301">
        <v>49.012405000000001</v>
      </c>
      <c r="E301">
        <v>13.090999999999999</v>
      </c>
      <c r="F301">
        <v>1297.4799800000001</v>
      </c>
      <c r="H301" s="50">
        <f t="shared" si="41"/>
        <v>3.4607229355270754E-3</v>
      </c>
      <c r="I301" s="50">
        <f t="shared" si="42"/>
        <v>6.8821918704814239E-4</v>
      </c>
      <c r="J301" s="50">
        <f t="shared" si="43"/>
        <v>5.9918680041497771E-4</v>
      </c>
      <c r="K301" s="50">
        <f t="shared" si="44"/>
        <v>1.5239055411221726E-2</v>
      </c>
      <c r="L301" s="50">
        <f t="shared" si="45"/>
        <v>-4.2516921574235391E-3</v>
      </c>
      <c r="P301" s="50">
        <f t="shared" si="40"/>
        <v>-4.2516921574235391E-3</v>
      </c>
      <c r="Q301" s="51">
        <f t="shared" si="46"/>
        <v>91.176653525246763</v>
      </c>
      <c r="R301" s="51">
        <f t="shared" si="47"/>
        <v>75.314606945037426</v>
      </c>
      <c r="Y301">
        <v>296</v>
      </c>
      <c r="Z301">
        <v>9.9880199842720696</v>
      </c>
    </row>
    <row r="302" spans="1:26" x14ac:dyDescent="0.15">
      <c r="A302" s="59">
        <v>41347.75</v>
      </c>
      <c r="B302">
        <v>11.817762</v>
      </c>
      <c r="C302">
        <v>81.158737000000002</v>
      </c>
      <c r="D302">
        <v>48.983055</v>
      </c>
      <c r="E302">
        <v>12.894500000000001</v>
      </c>
      <c r="F302">
        <v>1303.0200199999999</v>
      </c>
      <c r="H302" s="50">
        <f t="shared" si="41"/>
        <v>-2.7609008242703366E-3</v>
      </c>
      <c r="I302" s="50">
        <f t="shared" si="42"/>
        <v>-4.3089092085879712E-3</v>
      </c>
      <c r="J302" s="50">
        <f t="shared" si="43"/>
        <v>4.5141461141016085E-3</v>
      </c>
      <c r="K302" s="50">
        <f t="shared" si="44"/>
        <v>5.7720057720058986E-3</v>
      </c>
      <c r="L302" s="50">
        <f t="shared" si="45"/>
        <v>-1.7696184703203939E-3</v>
      </c>
      <c r="P302" s="50">
        <f t="shared" si="40"/>
        <v>-1.7696184703203939E-3</v>
      </c>
      <c r="Q302" s="51">
        <f t="shared" si="46"/>
        <v>91.015305635106486</v>
      </c>
      <c r="R302" s="51">
        <f t="shared" si="47"/>
        <v>75.106670784643271</v>
      </c>
      <c r="Y302">
        <v>297</v>
      </c>
      <c r="Z302">
        <v>6.1093570172518863</v>
      </c>
    </row>
    <row r="303" spans="1:26" x14ac:dyDescent="0.15">
      <c r="A303" s="59">
        <v>41348.75</v>
      </c>
      <c r="B303">
        <v>11.850479999999999</v>
      </c>
      <c r="C303">
        <v>81.509956000000003</v>
      </c>
      <c r="D303">
        <v>48.762931999999999</v>
      </c>
      <c r="E303">
        <v>12.820499999999999</v>
      </c>
      <c r="F303">
        <v>1305.329956</v>
      </c>
      <c r="H303" s="50">
        <f t="shared" si="41"/>
        <v>-7.3983104006959295E-3</v>
      </c>
      <c r="I303" s="50">
        <f t="shared" si="42"/>
        <v>-9.3130578382698854E-3</v>
      </c>
      <c r="J303" s="50">
        <f t="shared" si="43"/>
        <v>-3.0064714026127523E-2</v>
      </c>
      <c r="K303" s="50">
        <f t="shared" si="44"/>
        <v>-3.3815298507463968E-3</v>
      </c>
      <c r="L303" s="50">
        <f t="shared" si="45"/>
        <v>-1.4687657295849774E-3</v>
      </c>
      <c r="P303" s="50">
        <f t="shared" si="40"/>
        <v>-1.4687657295849774E-3</v>
      </c>
      <c r="Q303" s="51">
        <f t="shared" si="46"/>
        <v>90.881625473321932</v>
      </c>
      <c r="R303" s="51">
        <f t="shared" si="47"/>
        <v>74.551008321015601</v>
      </c>
      <c r="Y303">
        <v>298</v>
      </c>
      <c r="Z303">
        <v>12.093432326851088</v>
      </c>
    </row>
    <row r="304" spans="1:26" x14ac:dyDescent="0.15">
      <c r="A304" s="59">
        <v>41349.75</v>
      </c>
      <c r="B304">
        <v>11.938807000000001</v>
      </c>
      <c r="C304">
        <v>82.276199000000005</v>
      </c>
      <c r="D304">
        <v>50.274417999999997</v>
      </c>
      <c r="E304">
        <v>12.864000000000001</v>
      </c>
      <c r="F304">
        <v>1307.25</v>
      </c>
      <c r="H304" s="50">
        <f t="shared" si="41"/>
        <v>-1.9146927989392363E-3</v>
      </c>
      <c r="I304" s="50">
        <f t="shared" si="42"/>
        <v>-4.2499963541133392E-3</v>
      </c>
      <c r="J304" s="50">
        <f t="shared" si="43"/>
        <v>6.9067895945017855E-3</v>
      </c>
      <c r="K304" s="50">
        <f t="shared" si="44"/>
        <v>1.5351829196100987E-2</v>
      </c>
      <c r="L304" s="50">
        <f t="shared" si="45"/>
        <v>1.6627670894977422E-3</v>
      </c>
      <c r="P304" s="50">
        <f t="shared" si="40"/>
        <v>1.6627670894977422E-3</v>
      </c>
      <c r="Q304" s="51">
        <f t="shared" si="46"/>
        <v>91.032740449199039</v>
      </c>
      <c r="R304" s="51">
        <f t="shared" si="47"/>
        <v>74.408266042229698</v>
      </c>
      <c r="Y304">
        <v>299</v>
      </c>
      <c r="Z304">
        <v>7.4498482876480185</v>
      </c>
    </row>
    <row r="305" spans="1:26" x14ac:dyDescent="0.15">
      <c r="A305" s="59">
        <v>41352.75</v>
      </c>
      <c r="B305">
        <v>11.96171</v>
      </c>
      <c r="C305">
        <v>82.627364999999998</v>
      </c>
      <c r="D305">
        <v>49.929564999999997</v>
      </c>
      <c r="E305">
        <v>12.669499999999999</v>
      </c>
      <c r="F305">
        <v>1305.079956</v>
      </c>
      <c r="H305" s="50">
        <f t="shared" si="41"/>
        <v>-1.5481966677182596E-2</v>
      </c>
      <c r="I305" s="50">
        <f t="shared" si="42"/>
        <v>-1.5127119104178913E-2</v>
      </c>
      <c r="J305" s="50">
        <f t="shared" si="43"/>
        <v>-5.4075781830059183E-3</v>
      </c>
      <c r="K305" s="50">
        <f t="shared" si="44"/>
        <v>-1.6915615906886516E-2</v>
      </c>
      <c r="L305" s="50">
        <f t="shared" si="45"/>
        <v>6.0513371730739444E-3</v>
      </c>
      <c r="P305" s="50">
        <f t="shared" si="40"/>
        <v>6.0513371730739444E-3</v>
      </c>
      <c r="Q305" s="51">
        <f t="shared" si="46"/>
        <v>91.583610255446075</v>
      </c>
      <c r="R305" s="51">
        <f t="shared" si="47"/>
        <v>73.256279746856961</v>
      </c>
      <c r="Y305">
        <v>300</v>
      </c>
      <c r="Z305">
        <v>8.1976912344955704</v>
      </c>
    </row>
    <row r="306" spans="1:26" x14ac:dyDescent="0.15">
      <c r="A306" s="59">
        <v>41353.75</v>
      </c>
      <c r="B306">
        <v>12.149813</v>
      </c>
      <c r="C306">
        <v>83.896477000000004</v>
      </c>
      <c r="D306">
        <v>50.201031</v>
      </c>
      <c r="E306">
        <v>12.887499999999999</v>
      </c>
      <c r="F306">
        <v>1297.2299800000001</v>
      </c>
      <c r="H306" s="50">
        <f t="shared" si="41"/>
        <v>-7.6147747932886825E-3</v>
      </c>
      <c r="I306" s="50">
        <f t="shared" si="42"/>
        <v>-3.4134936922214213E-3</v>
      </c>
      <c r="J306" s="50">
        <f t="shared" si="43"/>
        <v>1.4607411181228379E-4</v>
      </c>
      <c r="K306" s="50">
        <f t="shared" si="44"/>
        <v>6.7572845871415616E-3</v>
      </c>
      <c r="L306" s="50">
        <f t="shared" si="45"/>
        <v>-5.984535927330204E-3</v>
      </c>
      <c r="P306" s="50">
        <f t="shared" si="40"/>
        <v>-5.984535927330204E-3</v>
      </c>
      <c r="Q306" s="51">
        <f t="shared" si="46"/>
        <v>91.035524849517756</v>
      </c>
      <c r="R306" s="51">
        <f t="shared" si="47"/>
        <v>72.698449674390488</v>
      </c>
      <c r="Y306">
        <v>301</v>
      </c>
      <c r="Z306">
        <v>9.2781238101325396</v>
      </c>
    </row>
    <row r="307" spans="1:26" x14ac:dyDescent="0.15">
      <c r="A307" s="59">
        <v>41354.75</v>
      </c>
      <c r="B307">
        <v>12.243041</v>
      </c>
      <c r="C307">
        <v>84.183837999999994</v>
      </c>
      <c r="D307">
        <v>50.193699000000002</v>
      </c>
      <c r="E307">
        <v>12.801</v>
      </c>
      <c r="F307">
        <v>1305.040039</v>
      </c>
      <c r="H307" s="50">
        <f t="shared" si="41"/>
        <v>1.0698320525574379E-3</v>
      </c>
      <c r="I307" s="50">
        <f t="shared" si="42"/>
        <v>-4.7181868262853805E-3</v>
      </c>
      <c r="J307" s="50">
        <f t="shared" si="43"/>
        <v>-2.9149527281635583E-3</v>
      </c>
      <c r="K307" s="50">
        <f t="shared" si="44"/>
        <v>-1.6480350351503917E-2</v>
      </c>
      <c r="L307" s="50">
        <f t="shared" si="45"/>
        <v>2.5889779176634545E-3</v>
      </c>
      <c r="P307" s="50">
        <f t="shared" si="40"/>
        <v>2.5889779176634545E-3</v>
      </c>
      <c r="Q307" s="51">
        <f t="shared" si="46"/>
        <v>91.271213813076074</v>
      </c>
      <c r="R307" s="51">
        <f t="shared" si="47"/>
        <v>72.776224806023393</v>
      </c>
      <c r="Y307">
        <v>302</v>
      </c>
      <c r="Z307">
        <v>6.9313565334940783</v>
      </c>
    </row>
    <row r="308" spans="1:26" x14ac:dyDescent="0.15">
      <c r="A308" s="59">
        <v>41355.75</v>
      </c>
      <c r="B308">
        <v>12.229957000000001</v>
      </c>
      <c r="C308">
        <v>84.582915999999997</v>
      </c>
      <c r="D308">
        <v>50.340439000000003</v>
      </c>
      <c r="E308">
        <v>13.015499999999999</v>
      </c>
      <c r="F308">
        <v>1301.670044</v>
      </c>
      <c r="H308" s="50">
        <f t="shared" si="41"/>
        <v>-1.3358850864121007E-4</v>
      </c>
      <c r="I308" s="50">
        <f t="shared" si="42"/>
        <v>-6.2828648598689729E-3</v>
      </c>
      <c r="J308" s="50">
        <f t="shared" si="43"/>
        <v>-6.3720720429626477E-3</v>
      </c>
      <c r="K308" s="50">
        <f t="shared" si="44"/>
        <v>-1.8808895589898317E-2</v>
      </c>
      <c r="L308" s="50">
        <f t="shared" si="45"/>
        <v>-9.8231478424614781E-4</v>
      </c>
      <c r="P308" s="50">
        <f t="shared" si="40"/>
        <v>-9.8231478424614781E-4</v>
      </c>
      <c r="Q308" s="51">
        <f t="shared" si="46"/>
        <v>91.181556750371399</v>
      </c>
      <c r="R308" s="51">
        <f t="shared" si="47"/>
        <v>72.766502738687024</v>
      </c>
      <c r="Y308">
        <v>303</v>
      </c>
      <c r="Z308">
        <v>11.038277898256352</v>
      </c>
    </row>
    <row r="309" spans="1:26" x14ac:dyDescent="0.15">
      <c r="A309" s="59">
        <v>41356.75</v>
      </c>
      <c r="B309">
        <v>12.231591</v>
      </c>
      <c r="C309">
        <v>85.117699000000002</v>
      </c>
      <c r="D309">
        <v>50.663269</v>
      </c>
      <c r="E309">
        <v>13.265000000000001</v>
      </c>
      <c r="F309">
        <v>1302.9499510000001</v>
      </c>
      <c r="H309" s="50">
        <f t="shared" si="41"/>
        <v>-6.6839480343264875E-4</v>
      </c>
      <c r="I309" s="50">
        <f t="shared" si="42"/>
        <v>4.9947297747372438E-3</v>
      </c>
      <c r="J309" s="50">
        <f t="shared" si="43"/>
        <v>8.7654387800723058E-3</v>
      </c>
      <c r="K309" s="50">
        <f t="shared" si="44"/>
        <v>-4.4654583661675774E-3</v>
      </c>
      <c r="L309" s="50">
        <f t="shared" si="45"/>
        <v>1.0294681321148622E-3</v>
      </c>
      <c r="P309" s="50">
        <f t="shared" si="40"/>
        <v>1.0294681321148622E-3</v>
      </c>
      <c r="Q309" s="51">
        <f t="shared" si="46"/>
        <v>91.275425257282521</v>
      </c>
      <c r="R309" s="51">
        <f t="shared" si="47"/>
        <v>72.717865986392525</v>
      </c>
      <c r="Y309">
        <v>304</v>
      </c>
      <c r="Z309">
        <v>8.6077395068105087</v>
      </c>
    </row>
    <row r="310" spans="1:26" x14ac:dyDescent="0.15">
      <c r="A310" s="59">
        <v>41359.75</v>
      </c>
      <c r="B310">
        <v>12.239772</v>
      </c>
      <c r="C310">
        <v>84.694671999999997</v>
      </c>
      <c r="D310">
        <v>50.223042</v>
      </c>
      <c r="E310">
        <v>13.3245</v>
      </c>
      <c r="F310">
        <v>1301.6099850000001</v>
      </c>
      <c r="H310" s="50">
        <f t="shared" si="41"/>
        <v>-7.9544247069986661E-3</v>
      </c>
      <c r="I310" s="50">
        <f t="shared" si="42"/>
        <v>2.835313366972088E-3</v>
      </c>
      <c r="J310" s="50">
        <f t="shared" si="43"/>
        <v>-3.0586697388014505E-3</v>
      </c>
      <c r="K310" s="50">
        <f t="shared" si="44"/>
        <v>1.8653721188027963E-2</v>
      </c>
      <c r="L310" s="50">
        <f t="shared" si="45"/>
        <v>6.4799031337024696E-3</v>
      </c>
      <c r="P310" s="50">
        <f t="shared" si="40"/>
        <v>6.4799031337024696E-3</v>
      </c>
      <c r="Q310" s="51">
        <f t="shared" si="46"/>
        <v>91.8668811714372</v>
      </c>
      <c r="R310" s="51">
        <f t="shared" si="47"/>
        <v>72.139437196550148</v>
      </c>
      <c r="Y310">
        <v>305</v>
      </c>
      <c r="Z310">
        <v>10.405553235722564</v>
      </c>
    </row>
    <row r="311" spans="1:26" x14ac:dyDescent="0.15">
      <c r="A311" s="59">
        <v>41360.75</v>
      </c>
      <c r="B311">
        <v>12.337913</v>
      </c>
      <c r="C311">
        <v>84.455214999999995</v>
      </c>
      <c r="D311">
        <v>50.377128999999996</v>
      </c>
      <c r="E311">
        <v>13.080500000000001</v>
      </c>
      <c r="F311">
        <v>1293.2299800000001</v>
      </c>
      <c r="H311" s="50">
        <f t="shared" si="41"/>
        <v>-7.7611191774315854E-3</v>
      </c>
      <c r="I311" s="50">
        <f t="shared" si="42"/>
        <v>-1.7366443359478741E-2</v>
      </c>
      <c r="J311" s="50">
        <f t="shared" si="43"/>
        <v>-2.4699285858058059E-3</v>
      </c>
      <c r="K311" s="50">
        <f t="shared" si="44"/>
        <v>-6.4939996961871247E-3</v>
      </c>
      <c r="L311" s="50">
        <f t="shared" si="45"/>
        <v>-7.4143134791004447E-3</v>
      </c>
      <c r="P311" s="50">
        <f t="shared" si="40"/>
        <v>-7.4143134791004447E-3</v>
      </c>
      <c r="Q311" s="51">
        <f t="shared" si="46"/>
        <v>91.18575131608489</v>
      </c>
      <c r="R311" s="51">
        <f t="shared" si="47"/>
        <v>71.579554427074882</v>
      </c>
      <c r="Y311">
        <v>306</v>
      </c>
      <c r="Z311">
        <v>8.2944195679877364</v>
      </c>
    </row>
    <row r="312" spans="1:26" x14ac:dyDescent="0.15">
      <c r="A312" s="59">
        <v>41361.75</v>
      </c>
      <c r="B312">
        <v>12.434418000000001</v>
      </c>
      <c r="C312">
        <v>85.947823</v>
      </c>
      <c r="D312">
        <v>50.501865000000002</v>
      </c>
      <c r="E312">
        <v>13.166</v>
      </c>
      <c r="F312">
        <v>1302.8900149999999</v>
      </c>
      <c r="H312" s="50">
        <f t="shared" si="41"/>
        <v>2.6312937977497798E-4</v>
      </c>
      <c r="I312" s="50">
        <f t="shared" si="42"/>
        <v>1.2410881585318004E-2</v>
      </c>
      <c r="J312" s="50">
        <f t="shared" si="43"/>
        <v>1.2503738857782885E-2</v>
      </c>
      <c r="K312" s="50">
        <f t="shared" si="44"/>
        <v>1.6561788209859943E-2</v>
      </c>
      <c r="L312" s="50">
        <f t="shared" si="45"/>
        <v>2.030390309555815E-3</v>
      </c>
      <c r="P312" s="50">
        <f t="shared" si="40"/>
        <v>2.030390309555815E-3</v>
      </c>
      <c r="Q312" s="51">
        <f t="shared" si="46"/>
        <v>91.370893981926628</v>
      </c>
      <c r="R312" s="51">
        <f t="shared" si="47"/>
        <v>71.598389110835853</v>
      </c>
      <c r="Y312">
        <v>307</v>
      </c>
      <c r="Z312">
        <v>11.260436464031571</v>
      </c>
    </row>
    <row r="313" spans="1:26" x14ac:dyDescent="0.15">
      <c r="A313" s="59">
        <v>41362.75</v>
      </c>
      <c r="B313">
        <v>12.431146999999999</v>
      </c>
      <c r="C313">
        <v>84.894210999999999</v>
      </c>
      <c r="D313">
        <v>49.878200999999997</v>
      </c>
      <c r="E313">
        <v>12.951499999999999</v>
      </c>
      <c r="F313">
        <v>1300.25</v>
      </c>
      <c r="H313" s="50">
        <f t="shared" si="41"/>
        <v>-2.6246283254145264E-3</v>
      </c>
      <c r="I313" s="50">
        <f t="shared" si="42"/>
        <v>0</v>
      </c>
      <c r="J313" s="50">
        <f t="shared" si="43"/>
        <v>-1.1775002692059316E-2</v>
      </c>
      <c r="K313" s="50">
        <f t="shared" si="44"/>
        <v>-1.9299058205969421E-4</v>
      </c>
      <c r="L313" s="50">
        <f t="shared" si="45"/>
        <v>4.1548611217915995E-3</v>
      </c>
      <c r="P313" s="50">
        <f t="shared" si="40"/>
        <v>4.1548611217915995E-3</v>
      </c>
      <c r="Q313" s="51">
        <f t="shared" si="46"/>
        <v>91.750527356995477</v>
      </c>
      <c r="R313" s="51">
        <f t="shared" si="47"/>
        <v>71.410469950721506</v>
      </c>
      <c r="Y313">
        <v>308</v>
      </c>
      <c r="Z313">
        <v>9.3606553567555917</v>
      </c>
    </row>
    <row r="314" spans="1:26" x14ac:dyDescent="0.15">
      <c r="A314" s="59">
        <v>41363.75</v>
      </c>
      <c r="B314">
        <v>12.46386</v>
      </c>
      <c r="C314">
        <v>84.894210999999999</v>
      </c>
      <c r="D314">
        <v>50.472515000000001</v>
      </c>
      <c r="E314">
        <v>12.954000000000001</v>
      </c>
      <c r="F314">
        <v>1294.869995</v>
      </c>
      <c r="H314" s="50">
        <f t="shared" si="41"/>
        <v>-2.4872472356404691E-3</v>
      </c>
      <c r="I314" s="50">
        <f t="shared" si="42"/>
        <v>5.2927833647632306E-3</v>
      </c>
      <c r="J314" s="50">
        <f t="shared" si="43"/>
        <v>-8.7112095466740467E-4</v>
      </c>
      <c r="K314" s="50">
        <f t="shared" si="44"/>
        <v>1.4091122592766675E-2</v>
      </c>
      <c r="L314" s="50">
        <f t="shared" si="45"/>
        <v>-2.2654039237955184E-3</v>
      </c>
      <c r="P314" s="50">
        <f t="shared" si="40"/>
        <v>-2.2654039237955184E-3</v>
      </c>
      <c r="Q314" s="51">
        <f t="shared" si="46"/>
        <v>91.542675352310638</v>
      </c>
      <c r="R314" s="51">
        <f t="shared" si="47"/>
        <v>71.232854456740796</v>
      </c>
      <c r="Y314">
        <v>309</v>
      </c>
      <c r="Z314">
        <v>6.316290987843642</v>
      </c>
    </row>
    <row r="315" spans="1:26" x14ac:dyDescent="0.15">
      <c r="A315" s="59">
        <v>41366.75</v>
      </c>
      <c r="B315">
        <v>12.494937999999999</v>
      </c>
      <c r="C315">
        <v>84.447249999999997</v>
      </c>
      <c r="D315">
        <v>50.516520999999997</v>
      </c>
      <c r="E315">
        <v>12.773999999999999</v>
      </c>
      <c r="F315">
        <v>1297.8100589999999</v>
      </c>
      <c r="H315" s="50">
        <f t="shared" si="41"/>
        <v>-1.1643991054364861E-2</v>
      </c>
      <c r="I315" s="50">
        <f t="shared" si="42"/>
        <v>-1.1584339573047485E-2</v>
      </c>
      <c r="J315" s="50">
        <f t="shared" si="43"/>
        <v>-5.9197697605157451E-3</v>
      </c>
      <c r="K315" s="50">
        <f t="shared" si="44"/>
        <v>-1.3400270322456123E-2</v>
      </c>
      <c r="L315" s="50">
        <f t="shared" si="45"/>
        <v>-6.2177870668715142E-3</v>
      </c>
      <c r="P315" s="50">
        <f t="shared" si="40"/>
        <v>-6.2177870668715142E-3</v>
      </c>
      <c r="Q315" s="51">
        <f t="shared" si="46"/>
        <v>90.973482489438226</v>
      </c>
      <c r="R315" s="51">
        <f t="shared" si="47"/>
        <v>70.403419736669633</v>
      </c>
      <c r="Y315">
        <v>310</v>
      </c>
      <c r="Z315">
        <v>8.2318660440939162</v>
      </c>
    </row>
    <row r="316" spans="1:26" x14ac:dyDescent="0.15">
      <c r="A316" s="59">
        <v>41367.75</v>
      </c>
      <c r="B316">
        <v>12.642143000000001</v>
      </c>
      <c r="C316">
        <v>85.436981000000003</v>
      </c>
      <c r="D316">
        <v>50.817348000000003</v>
      </c>
      <c r="E316">
        <v>12.9475</v>
      </c>
      <c r="F316">
        <v>1305.9300539999999</v>
      </c>
      <c r="H316" s="50">
        <f t="shared" si="41"/>
        <v>-1.0624978674130323E-2</v>
      </c>
      <c r="I316" s="50">
        <f t="shared" si="42"/>
        <v>1.1815818570276035E-2</v>
      </c>
      <c r="J316" s="50">
        <f t="shared" si="43"/>
        <v>4.9331304905149134E-3</v>
      </c>
      <c r="K316" s="50">
        <f t="shared" si="44"/>
        <v>-8.3863061959102859E-3</v>
      </c>
      <c r="L316" s="50">
        <f t="shared" si="45"/>
        <v>-4.2926017465739121E-3</v>
      </c>
      <c r="P316" s="50">
        <f t="shared" si="40"/>
        <v>-4.2926017465739121E-3</v>
      </c>
      <c r="Q316" s="51">
        <f t="shared" si="46"/>
        <v>90.582969559612152</v>
      </c>
      <c r="R316" s="51">
        <f t="shared" si="47"/>
        <v>69.655384903381673</v>
      </c>
      <c r="Y316">
        <v>311</v>
      </c>
      <c r="Z316">
        <v>7.7392064404217393</v>
      </c>
    </row>
    <row r="317" spans="1:26" x14ac:dyDescent="0.15">
      <c r="A317" s="59">
        <v>41368.75</v>
      </c>
      <c r="B317">
        <v>12.777908</v>
      </c>
      <c r="C317">
        <v>84.439261999999999</v>
      </c>
      <c r="D317">
        <v>50.567889999999998</v>
      </c>
      <c r="E317">
        <v>13.057</v>
      </c>
      <c r="F317">
        <v>1311.5600589999999</v>
      </c>
      <c r="H317" s="50">
        <f t="shared" si="41"/>
        <v>9.6935386576020594E-3</v>
      </c>
      <c r="I317" s="50">
        <f t="shared" si="42"/>
        <v>3.7835578395175961E-4</v>
      </c>
      <c r="J317" s="50">
        <f t="shared" si="43"/>
        <v>8.7129115151495537E-4</v>
      </c>
      <c r="K317" s="50">
        <f t="shared" si="44"/>
        <v>-1.3710012463647676E-2</v>
      </c>
      <c r="L317" s="50">
        <f t="shared" si="45"/>
        <v>1.9250900850405015E-3</v>
      </c>
      <c r="P317" s="50">
        <f t="shared" si="40"/>
        <v>1.9250900850405015E-3</v>
      </c>
      <c r="Q317" s="51">
        <f t="shared" si="46"/>
        <v>90.75734993618488</v>
      </c>
      <c r="R317" s="51">
        <f t="shared" si="47"/>
        <v>70.330592069652752</v>
      </c>
      <c r="Y317">
        <v>312</v>
      </c>
      <c r="Z317">
        <v>6.5768775830651123</v>
      </c>
    </row>
    <row r="318" spans="1:26" x14ac:dyDescent="0.15">
      <c r="A318" s="59">
        <v>41369.75</v>
      </c>
      <c r="B318">
        <v>12.655234</v>
      </c>
      <c r="C318">
        <v>84.407325999999998</v>
      </c>
      <c r="D318">
        <v>50.523868999999998</v>
      </c>
      <c r="E318">
        <v>13.2385</v>
      </c>
      <c r="F318">
        <v>1309.040039</v>
      </c>
      <c r="H318" s="50">
        <f t="shared" si="41"/>
        <v>-5.3990390233961683E-3</v>
      </c>
      <c r="I318" s="50">
        <f t="shared" si="42"/>
        <v>-2.4524303881549516E-3</v>
      </c>
      <c r="J318" s="50">
        <f t="shared" si="43"/>
        <v>-3.7616161235342559E-3</v>
      </c>
      <c r="K318" s="50">
        <f t="shared" si="44"/>
        <v>-1.8825273299981439E-2</v>
      </c>
      <c r="L318" s="50">
        <f t="shared" si="45"/>
        <v>1.0451593207255869E-2</v>
      </c>
      <c r="P318" s="50">
        <f t="shared" si="40"/>
        <v>1.0451593207255869E-2</v>
      </c>
      <c r="Q318" s="51">
        <f t="shared" si="46"/>
        <v>91.705908838286462</v>
      </c>
      <c r="R318" s="51">
        <f t="shared" si="47"/>
        <v>69.950874458530137</v>
      </c>
      <c r="Y318">
        <v>313</v>
      </c>
      <c r="Z318">
        <v>6.1796212520509473</v>
      </c>
    </row>
    <row r="319" spans="1:26" x14ac:dyDescent="0.15">
      <c r="A319" s="59">
        <v>41370.75</v>
      </c>
      <c r="B319">
        <v>12.723931</v>
      </c>
      <c r="C319">
        <v>84.614838000000006</v>
      </c>
      <c r="D319">
        <v>50.714638000000001</v>
      </c>
      <c r="E319">
        <v>13.4925</v>
      </c>
      <c r="F319">
        <v>1295.5</v>
      </c>
      <c r="H319" s="50">
        <f t="shared" si="41"/>
        <v>-9.8015701313942469E-3</v>
      </c>
      <c r="I319" s="50">
        <f t="shared" si="42"/>
        <v>-1.1308379802903363E-3</v>
      </c>
      <c r="J319" s="50">
        <f t="shared" si="43"/>
        <v>-5.3242159201079917E-3</v>
      </c>
      <c r="K319" s="50">
        <f t="shared" si="44"/>
        <v>-1.1067541320042496E-2</v>
      </c>
      <c r="L319" s="50">
        <f t="shared" si="45"/>
        <v>-8.6378044787132648E-4</v>
      </c>
      <c r="P319" s="50">
        <f t="shared" si="40"/>
        <v>-8.6378044787132648E-4</v>
      </c>
      <c r="Q319" s="51">
        <f t="shared" si="46"/>
        <v>91.62669506727768</v>
      </c>
      <c r="R319" s="51">
        <f t="shared" si="47"/>
        <v>69.265246056772497</v>
      </c>
      <c r="Y319">
        <v>314</v>
      </c>
      <c r="Z319">
        <v>5.1803517840450368</v>
      </c>
    </row>
    <row r="320" spans="1:26" x14ac:dyDescent="0.15">
      <c r="A320" s="59">
        <v>41373.75</v>
      </c>
      <c r="B320">
        <v>12.849880000000001</v>
      </c>
      <c r="C320">
        <v>84.710632000000004</v>
      </c>
      <c r="D320">
        <v>50.986099000000003</v>
      </c>
      <c r="E320">
        <v>13.6435</v>
      </c>
      <c r="F320">
        <v>1296.619995</v>
      </c>
      <c r="H320" s="50">
        <f t="shared" si="41"/>
        <v>1.147083748176983E-3</v>
      </c>
      <c r="I320" s="50">
        <f t="shared" si="42"/>
        <v>1.8424509639049784E-2</v>
      </c>
      <c r="J320" s="50">
        <f t="shared" si="43"/>
        <v>1.4748716833772046E-2</v>
      </c>
      <c r="K320" s="50">
        <f t="shared" si="44"/>
        <v>1.9236515762737209E-2</v>
      </c>
      <c r="L320" s="50">
        <f t="shared" si="45"/>
        <v>7.8115061145691833E-3</v>
      </c>
      <c r="P320" s="50">
        <f t="shared" si="40"/>
        <v>7.8115061145691833E-3</v>
      </c>
      <c r="Q320" s="51">
        <f t="shared" si="46"/>
        <v>92.342437556053483</v>
      </c>
      <c r="R320" s="51">
        <f t="shared" si="47"/>
        <v>69.344699094837708</v>
      </c>
      <c r="Y320">
        <v>315</v>
      </c>
      <c r="Z320">
        <v>7.0761109700934854</v>
      </c>
    </row>
    <row r="321" spans="1:26" x14ac:dyDescent="0.15">
      <c r="A321" s="59">
        <v>41374.75</v>
      </c>
      <c r="B321">
        <v>12.835157000000001</v>
      </c>
      <c r="C321">
        <v>83.178116000000003</v>
      </c>
      <c r="D321">
        <v>50.245049000000002</v>
      </c>
      <c r="E321">
        <v>13.385999999999999</v>
      </c>
      <c r="F321">
        <v>1286.5699460000001</v>
      </c>
      <c r="H321" s="50">
        <f t="shared" si="41"/>
        <v>-2.6691774075589471E-3</v>
      </c>
      <c r="I321" s="50">
        <f t="shared" si="42"/>
        <v>-1.2695482977151588E-2</v>
      </c>
      <c r="J321" s="50">
        <f t="shared" si="43"/>
        <v>1.4623588446709293E-3</v>
      </c>
      <c r="K321" s="50">
        <f t="shared" si="44"/>
        <v>-1.6964089006389193E-2</v>
      </c>
      <c r="L321" s="50">
        <f t="shared" si="45"/>
        <v>-1.2033420846013221E-3</v>
      </c>
      <c r="P321" s="50">
        <f t="shared" ref="P321:P384" si="48">(F321-F322)/F322</f>
        <v>-1.2033420846013221E-3</v>
      </c>
      <c r="Q321" s="51">
        <f t="shared" si="46"/>
        <v>92.231318014747615</v>
      </c>
      <c r="R321" s="51">
        <f t="shared" si="47"/>
        <v>69.159605790679791</v>
      </c>
      <c r="Y321">
        <v>316</v>
      </c>
      <c r="Z321">
        <v>8.1659786055766226</v>
      </c>
    </row>
    <row r="322" spans="1:26" x14ac:dyDescent="0.15">
      <c r="A322" s="59">
        <v>41375.75</v>
      </c>
      <c r="B322">
        <v>12.869508</v>
      </c>
      <c r="C322">
        <v>84.247681</v>
      </c>
      <c r="D322">
        <v>50.171680000000002</v>
      </c>
      <c r="E322">
        <v>13.617000000000001</v>
      </c>
      <c r="F322">
        <v>1288.119995</v>
      </c>
      <c r="H322" s="50">
        <f t="shared" ref="H322:H385" si="49">(B322-B323)/B323</f>
        <v>2.1655234248988027E-3</v>
      </c>
      <c r="I322" s="50">
        <f t="shared" ref="I322:I385" si="50">(C322-C323)/C323</f>
        <v>7.4451950273861983E-3</v>
      </c>
      <c r="J322" s="50">
        <f t="shared" ref="J322:J385" si="51">(D322-D323)/D323</f>
        <v>-5.5264673033026557E-3</v>
      </c>
      <c r="K322" s="50">
        <f t="shared" ref="K322:K385" si="52">(E322-E323)/E323</f>
        <v>1.8474195961107082E-2</v>
      </c>
      <c r="L322" s="50">
        <f t="shared" ref="L322:L385" si="53">(F322-F323)/F323</f>
        <v>-7.7572297682032304E-4</v>
      </c>
      <c r="P322" s="50">
        <f t="shared" si="48"/>
        <v>-7.7572297682032304E-4</v>
      </c>
      <c r="Q322" s="51">
        <f t="shared" si="46"/>
        <v>92.159772062181162</v>
      </c>
      <c r="R322" s="51">
        <f t="shared" si="47"/>
        <v>69.309372537076271</v>
      </c>
      <c r="Y322">
        <v>317</v>
      </c>
      <c r="Z322">
        <v>6.9242660215816443</v>
      </c>
    </row>
    <row r="323" spans="1:26" x14ac:dyDescent="0.15">
      <c r="A323" s="59">
        <v>41376.75</v>
      </c>
      <c r="B323">
        <v>12.841699</v>
      </c>
      <c r="C323">
        <v>83.625076000000007</v>
      </c>
      <c r="D323">
        <v>50.450493000000002</v>
      </c>
      <c r="E323">
        <v>13.37</v>
      </c>
      <c r="F323">
        <v>1289.119995</v>
      </c>
      <c r="H323" s="50">
        <f t="shared" si="49"/>
        <v>1.7495759212486448E-2</v>
      </c>
      <c r="I323" s="50">
        <f t="shared" si="50"/>
        <v>1.1195474530418572E-2</v>
      </c>
      <c r="J323" s="50">
        <f t="shared" si="51"/>
        <v>6.8823578531505948E-3</v>
      </c>
      <c r="K323" s="50">
        <f t="shared" si="52"/>
        <v>3.0760928224500741E-2</v>
      </c>
      <c r="L323" s="50">
        <f t="shared" si="53"/>
        <v>2.9486895425628584E-3</v>
      </c>
      <c r="P323" s="50">
        <f t="shared" si="48"/>
        <v>2.9486895425628584E-3</v>
      </c>
      <c r="Q323" s="51">
        <f t="shared" ref="Q323:Q386" si="54">Q322*(1+P323)</f>
        <v>92.431522618305891</v>
      </c>
      <c r="R323" s="51">
        <f t="shared" ref="R323:R386" si="55">R322*(1+H323)</f>
        <v>70.521992630153477</v>
      </c>
      <c r="Y323">
        <v>318</v>
      </c>
      <c r="Z323">
        <v>5.0440149273781678</v>
      </c>
    </row>
    <row r="324" spans="1:26" x14ac:dyDescent="0.15">
      <c r="A324" s="59">
        <v>41380.75</v>
      </c>
      <c r="B324">
        <v>12.620887</v>
      </c>
      <c r="C324">
        <v>82.699218999999999</v>
      </c>
      <c r="D324">
        <v>50.105648000000002</v>
      </c>
      <c r="E324">
        <v>12.971</v>
      </c>
      <c r="F324">
        <v>1285.329956</v>
      </c>
      <c r="H324" s="50">
        <f t="shared" si="49"/>
        <v>-1.4433320245427947E-2</v>
      </c>
      <c r="I324" s="50">
        <f t="shared" si="50"/>
        <v>-8.0421433736890015E-3</v>
      </c>
      <c r="J324" s="50">
        <f t="shared" si="51"/>
        <v>-1.0863130930574085E-2</v>
      </c>
      <c r="K324" s="50">
        <f t="shared" si="52"/>
        <v>-3.4572833435771305E-3</v>
      </c>
      <c r="L324" s="50">
        <f t="shared" si="53"/>
        <v>-1.6790643559965204E-2</v>
      </c>
      <c r="P324" s="50">
        <f t="shared" si="48"/>
        <v>-1.6790643559965204E-2</v>
      </c>
      <c r="Q324" s="51">
        <f t="shared" si="54"/>
        <v>90.879537868317058</v>
      </c>
      <c r="R324" s="51">
        <f t="shared" si="55"/>
        <v>69.504126126176757</v>
      </c>
      <c r="Y324">
        <v>319</v>
      </c>
      <c r="Z324">
        <v>11.357683111116684</v>
      </c>
    </row>
    <row r="325" spans="1:26" x14ac:dyDescent="0.15">
      <c r="A325" s="59">
        <v>41381.75</v>
      </c>
      <c r="B325">
        <v>12.805716</v>
      </c>
      <c r="C325">
        <v>83.369690000000006</v>
      </c>
      <c r="D325">
        <v>50.655929999999998</v>
      </c>
      <c r="E325">
        <v>13.016</v>
      </c>
      <c r="F325">
        <v>1307.280029</v>
      </c>
      <c r="H325" s="50">
        <f t="shared" si="49"/>
        <v>4.104168826225863E-3</v>
      </c>
      <c r="I325" s="50">
        <f t="shared" si="50"/>
        <v>-6.7516714232243287E-3</v>
      </c>
      <c r="J325" s="50">
        <f t="shared" si="51"/>
        <v>-8.6842279300466247E-4</v>
      </c>
      <c r="K325" s="50">
        <f t="shared" si="52"/>
        <v>-1.2255738948966055E-2</v>
      </c>
      <c r="L325" s="50">
        <f t="shared" si="53"/>
        <v>-2.0230278646617833E-3</v>
      </c>
      <c r="P325" s="50">
        <f t="shared" si="48"/>
        <v>-2.0230278646617833E-3</v>
      </c>
      <c r="Q325" s="51">
        <f t="shared" si="54"/>
        <v>90.695686030881859</v>
      </c>
      <c r="R325" s="51">
        <f t="shared" si="55"/>
        <v>69.789382793917881</v>
      </c>
      <c r="Y325">
        <v>320</v>
      </c>
      <c r="Z325">
        <v>7.1103674102600287</v>
      </c>
    </row>
    <row r="326" spans="1:26" x14ac:dyDescent="0.15">
      <c r="A326" s="59">
        <v>41382.75</v>
      </c>
      <c r="B326">
        <v>12.753374000000001</v>
      </c>
      <c r="C326">
        <v>83.936401000000004</v>
      </c>
      <c r="D326">
        <v>50.699959</v>
      </c>
      <c r="E326">
        <v>13.1775</v>
      </c>
      <c r="F326">
        <v>1309.9300539999999</v>
      </c>
      <c r="H326" s="50">
        <f t="shared" si="49"/>
        <v>-1.4161247662827454E-2</v>
      </c>
      <c r="I326" s="50">
        <f t="shared" si="50"/>
        <v>-1.9487075598661856E-2</v>
      </c>
      <c r="J326" s="50">
        <f t="shared" si="51"/>
        <v>-8.4662384045704909E-3</v>
      </c>
      <c r="K326" s="50">
        <f t="shared" si="52"/>
        <v>-1.9895872071402015E-2</v>
      </c>
      <c r="L326" s="50">
        <f t="shared" si="53"/>
        <v>-1.1665678293628773E-3</v>
      </c>
      <c r="P326" s="50">
        <f t="shared" si="48"/>
        <v>-1.1665678293628773E-3</v>
      </c>
      <c r="Q326" s="51">
        <f t="shared" si="54"/>
        <v>90.589883361296231</v>
      </c>
      <c r="R326" s="51">
        <f t="shared" si="55"/>
        <v>68.801078059937339</v>
      </c>
      <c r="Y326">
        <v>321</v>
      </c>
      <c r="Z326">
        <v>8.2846271353481029</v>
      </c>
    </row>
    <row r="327" spans="1:26" x14ac:dyDescent="0.15">
      <c r="A327" s="59">
        <v>41383.75</v>
      </c>
      <c r="B327">
        <v>12.936572</v>
      </c>
      <c r="C327">
        <v>85.604584000000003</v>
      </c>
      <c r="D327">
        <v>51.132862000000003</v>
      </c>
      <c r="E327">
        <v>13.445</v>
      </c>
      <c r="F327">
        <v>1311.459961</v>
      </c>
      <c r="H327" s="50">
        <f t="shared" si="49"/>
        <v>1.3584614315434755E-2</v>
      </c>
      <c r="I327" s="50">
        <f t="shared" si="50"/>
        <v>-5.3789271413431771E-3</v>
      </c>
      <c r="J327" s="50">
        <f t="shared" si="51"/>
        <v>-2.8691508644877435E-4</v>
      </c>
      <c r="K327" s="50">
        <f t="shared" si="52"/>
        <v>4.4646179031179609E-4</v>
      </c>
      <c r="L327" s="50">
        <f t="shared" si="53"/>
        <v>1.3721859253604783E-4</v>
      </c>
      <c r="P327" s="50">
        <f t="shared" si="48"/>
        <v>1.3721859253604783E-4</v>
      </c>
      <c r="Q327" s="51">
        <f t="shared" si="54"/>
        <v>90.602313977589077</v>
      </c>
      <c r="R327" s="51">
        <f t="shared" si="55"/>
        <v>69.735714169867705</v>
      </c>
      <c r="Y327">
        <v>322</v>
      </c>
      <c r="Z327">
        <v>6.6568177393189636</v>
      </c>
    </row>
    <row r="328" spans="1:26" x14ac:dyDescent="0.15">
      <c r="A328" s="59">
        <v>41384.75</v>
      </c>
      <c r="B328">
        <v>12.763189000000001</v>
      </c>
      <c r="C328">
        <v>86.067535000000007</v>
      </c>
      <c r="D328">
        <v>51.147537</v>
      </c>
      <c r="E328">
        <v>13.439</v>
      </c>
      <c r="F328">
        <v>1311.280029</v>
      </c>
      <c r="H328" s="50">
        <f t="shared" si="49"/>
        <v>-7.8829501111576591E-3</v>
      </c>
      <c r="I328" s="50">
        <f t="shared" si="50"/>
        <v>-1.1912279911420942E-2</v>
      </c>
      <c r="J328" s="50">
        <f t="shared" si="51"/>
        <v>-1.3584092910157285E-2</v>
      </c>
      <c r="K328" s="50">
        <f t="shared" si="52"/>
        <v>-2.1550782672005778E-2</v>
      </c>
      <c r="L328" s="50">
        <f t="shared" si="53"/>
        <v>2.423377266705874E-3</v>
      </c>
      <c r="P328" s="50">
        <f t="shared" si="48"/>
        <v>2.423377266705874E-3</v>
      </c>
      <c r="Q328" s="51">
        <f t="shared" si="54"/>
        <v>90.821877565593326</v>
      </c>
      <c r="R328" s="51">
        <f t="shared" si="55"/>
        <v>69.185991014100679</v>
      </c>
      <c r="Y328">
        <v>323</v>
      </c>
      <c r="Z328">
        <v>8.7510642849819114</v>
      </c>
    </row>
    <row r="329" spans="1:26" x14ac:dyDescent="0.15">
      <c r="A329" s="59">
        <v>41387.75</v>
      </c>
      <c r="B329">
        <v>12.864599999999999</v>
      </c>
      <c r="C329">
        <v>87.105155999999994</v>
      </c>
      <c r="D329">
        <v>51.851897999999998</v>
      </c>
      <c r="E329">
        <v>13.734999999999999</v>
      </c>
      <c r="F329">
        <v>1308.1099850000001</v>
      </c>
      <c r="H329" s="50">
        <f t="shared" si="49"/>
        <v>-4.9342563251486482E-3</v>
      </c>
      <c r="I329" s="50">
        <f t="shared" si="50"/>
        <v>-1.2814371486799538E-3</v>
      </c>
      <c r="J329" s="50">
        <f t="shared" si="51"/>
        <v>2.1274280238416207E-3</v>
      </c>
      <c r="K329" s="50">
        <f t="shared" si="52"/>
        <v>7.8058160982692873E-2</v>
      </c>
      <c r="L329" s="50">
        <f t="shared" si="53"/>
        <v>4.8934465015552124E-3</v>
      </c>
      <c r="P329" s="50">
        <f t="shared" si="48"/>
        <v>4.8934465015552124E-3</v>
      </c>
      <c r="Q329" s="51">
        <f t="shared" si="54"/>
        <v>91.266309564631371</v>
      </c>
      <c r="R329" s="51">
        <f t="shared" si="55"/>
        <v>68.844609600327672</v>
      </c>
      <c r="Y329">
        <v>324</v>
      </c>
      <c r="Z329">
        <v>6.6601384481832877</v>
      </c>
    </row>
    <row r="330" spans="1:26" x14ac:dyDescent="0.15">
      <c r="A330" s="59">
        <v>41388.75</v>
      </c>
      <c r="B330">
        <v>12.928392000000001</v>
      </c>
      <c r="C330">
        <v>87.216919000000004</v>
      </c>
      <c r="D330">
        <v>51.741821000000002</v>
      </c>
      <c r="E330">
        <v>12.740500000000001</v>
      </c>
      <c r="F330">
        <v>1301.73999</v>
      </c>
      <c r="H330" s="50">
        <f t="shared" si="49"/>
        <v>8.2917942916255136E-3</v>
      </c>
      <c r="I330" s="50">
        <f t="shared" si="50"/>
        <v>5.8917328394656509E-3</v>
      </c>
      <c r="J330" s="50">
        <f t="shared" si="51"/>
        <v>-1.6989236092325806E-3</v>
      </c>
      <c r="K330" s="50">
        <f t="shared" si="52"/>
        <v>2.0301113157684049E-2</v>
      </c>
      <c r="L330" s="50">
        <f t="shared" si="53"/>
        <v>-2.8114109011053929E-3</v>
      </c>
      <c r="P330" s="50">
        <f t="shared" si="48"/>
        <v>-2.8114109011053929E-3</v>
      </c>
      <c r="Q330" s="51">
        <f t="shared" si="54"/>
        <v>91.00972246701771</v>
      </c>
      <c r="R330" s="51">
        <f t="shared" si="55"/>
        <v>69.415454941220844</v>
      </c>
      <c r="Y330">
        <v>325</v>
      </c>
      <c r="Z330">
        <v>7.0981198593437602</v>
      </c>
    </row>
    <row r="331" spans="1:26" x14ac:dyDescent="0.15">
      <c r="A331" s="59">
        <v>41389.75</v>
      </c>
      <c r="B331">
        <v>12.822074000000001</v>
      </c>
      <c r="C331">
        <v>86.706069999999997</v>
      </c>
      <c r="D331">
        <v>51.829875999999999</v>
      </c>
      <c r="E331">
        <v>12.487</v>
      </c>
      <c r="F331">
        <v>1305.410034</v>
      </c>
      <c r="H331" s="50">
        <f t="shared" si="49"/>
        <v>8.620739158510575E-3</v>
      </c>
      <c r="I331" s="50">
        <f t="shared" si="50"/>
        <v>1.8446169209184273E-3</v>
      </c>
      <c r="J331" s="50">
        <f t="shared" si="51"/>
        <v>1.1334874756799593E-3</v>
      </c>
      <c r="K331" s="50">
        <f t="shared" si="52"/>
        <v>-1.6035617193963989E-2</v>
      </c>
      <c r="L331" s="50">
        <f t="shared" si="53"/>
        <v>-3.2907316796194678E-3</v>
      </c>
      <c r="P331" s="50">
        <f t="shared" si="48"/>
        <v>-3.2907316796194678E-3</v>
      </c>
      <c r="Q331" s="51">
        <f t="shared" si="54"/>
        <v>90.710233890142121</v>
      </c>
      <c r="R331" s="51">
        <f t="shared" si="55"/>
        <v>70.013867471838452</v>
      </c>
      <c r="Y331">
        <v>326</v>
      </c>
      <c r="Z331">
        <v>6.3869504541102575</v>
      </c>
    </row>
    <row r="332" spans="1:26" x14ac:dyDescent="0.15">
      <c r="A332" s="59">
        <v>41390.75</v>
      </c>
      <c r="B332">
        <v>12.712483000000001</v>
      </c>
      <c r="C332">
        <v>86.546424999999999</v>
      </c>
      <c r="D332">
        <v>51.771194000000001</v>
      </c>
      <c r="E332">
        <v>12.6905</v>
      </c>
      <c r="F332">
        <v>1309.719971</v>
      </c>
      <c r="H332" s="50">
        <f t="shared" si="49"/>
        <v>-4.3556220128670121E-3</v>
      </c>
      <c r="I332" s="50">
        <f t="shared" si="50"/>
        <v>1.9404991319225385E-3</v>
      </c>
      <c r="J332" s="50">
        <f t="shared" si="51"/>
        <v>2.8338454780790979E-4</v>
      </c>
      <c r="K332" s="50">
        <f t="shared" si="52"/>
        <v>2.2479152398984806E-2</v>
      </c>
      <c r="L332" s="50">
        <f t="shared" si="53"/>
        <v>-6.7908379318509825E-4</v>
      </c>
      <c r="P332" s="50">
        <f t="shared" si="48"/>
        <v>-6.7908379318509825E-4</v>
      </c>
      <c r="Q332" s="51">
        <f t="shared" si="54"/>
        <v>90.64863404043129</v>
      </c>
      <c r="R332" s="51">
        <f t="shared" si="55"/>
        <v>69.708913529472156</v>
      </c>
      <c r="Y332">
        <v>327</v>
      </c>
      <c r="Z332">
        <v>6.1559074390928927</v>
      </c>
    </row>
    <row r="333" spans="1:26" x14ac:dyDescent="0.15">
      <c r="A333" s="59">
        <v>41391.75</v>
      </c>
      <c r="B333">
        <v>12.768096</v>
      </c>
      <c r="C333">
        <v>86.378806999999995</v>
      </c>
      <c r="D333">
        <v>51.756526999999998</v>
      </c>
      <c r="E333">
        <v>12.4115</v>
      </c>
      <c r="F333">
        <v>1310.6099850000001</v>
      </c>
      <c r="H333" s="50">
        <f t="shared" si="49"/>
        <v>-5.0982099694519374E-3</v>
      </c>
      <c r="I333" s="50">
        <f t="shared" si="50"/>
        <v>-4.3245968314793151E-3</v>
      </c>
      <c r="J333" s="50">
        <f t="shared" si="51"/>
        <v>1.9512103933547863E-2</v>
      </c>
      <c r="K333" s="50">
        <f t="shared" si="52"/>
        <v>-1.7105523658681395E-2</v>
      </c>
      <c r="L333" s="50">
        <f t="shared" si="53"/>
        <v>4.1526860035768247E-3</v>
      </c>
      <c r="P333" s="50">
        <f t="shared" si="48"/>
        <v>4.1526860035768247E-3</v>
      </c>
      <c r="Q333" s="51">
        <f t="shared" si="54"/>
        <v>91.025069354254342</v>
      </c>
      <c r="R333" s="51">
        <f t="shared" si="55"/>
        <v>69.353522851556534</v>
      </c>
      <c r="Y333">
        <v>328</v>
      </c>
      <c r="Z333">
        <v>7.899185421425555</v>
      </c>
    </row>
    <row r="334" spans="1:26" x14ac:dyDescent="0.15">
      <c r="A334" s="59">
        <v>41394.75</v>
      </c>
      <c r="B334">
        <v>12.833524000000001</v>
      </c>
      <c r="C334">
        <v>86.753983000000005</v>
      </c>
      <c r="D334">
        <v>50.765976000000002</v>
      </c>
      <c r="E334">
        <v>12.6275</v>
      </c>
      <c r="F334">
        <v>1305.1899410000001</v>
      </c>
      <c r="H334" s="50">
        <f t="shared" si="49"/>
        <v>-9.9685683833608159E-3</v>
      </c>
      <c r="I334" s="50">
        <f t="shared" si="50"/>
        <v>-9.6577056999475521E-3</v>
      </c>
      <c r="J334" s="50">
        <f t="shared" si="51"/>
        <v>-1.8582051642373702E-2</v>
      </c>
      <c r="K334" s="50">
        <f t="shared" si="52"/>
        <v>-2.1313698895562904E-2</v>
      </c>
      <c r="L334" s="50">
        <f t="shared" si="53"/>
        <v>-6.1071879122000742E-3</v>
      </c>
      <c r="P334" s="50">
        <f t="shared" si="48"/>
        <v>-6.1071879122000742E-3</v>
      </c>
      <c r="Q334" s="51">
        <f t="shared" si="54"/>
        <v>90.469162150986861</v>
      </c>
      <c r="R334" s="51">
        <f t="shared" si="55"/>
        <v>68.662167516383818</v>
      </c>
      <c r="Y334">
        <v>329</v>
      </c>
      <c r="Z334">
        <v>8.7606424131175888</v>
      </c>
    </row>
    <row r="335" spans="1:26" x14ac:dyDescent="0.15">
      <c r="A335" s="59">
        <v>41395.75</v>
      </c>
      <c r="B335">
        <v>12.962744000000001</v>
      </c>
      <c r="C335">
        <v>87.599997999999999</v>
      </c>
      <c r="D335">
        <v>51.727173000000001</v>
      </c>
      <c r="E335">
        <v>12.9025</v>
      </c>
      <c r="F335">
        <v>1313.209961</v>
      </c>
      <c r="H335" s="50">
        <f t="shared" si="49"/>
        <v>5.3281973177999606E-3</v>
      </c>
      <c r="I335" s="50">
        <f t="shared" si="50"/>
        <v>6.0497470709337158E-3</v>
      </c>
      <c r="J335" s="50">
        <f t="shared" si="51"/>
        <v>6.7116480334389978E-3</v>
      </c>
      <c r="K335" s="50">
        <f t="shared" si="52"/>
        <v>9.1115282340059646E-3</v>
      </c>
      <c r="L335" s="50">
        <f t="shared" si="53"/>
        <v>3.8910543523952511E-3</v>
      </c>
      <c r="P335" s="50">
        <f t="shared" si="48"/>
        <v>3.8910543523952511E-3</v>
      </c>
      <c r="Q335" s="51">
        <f t="shared" si="54"/>
        <v>90.821182578132024</v>
      </c>
      <c r="R335" s="51">
        <f t="shared" si="55"/>
        <v>69.028013093178942</v>
      </c>
      <c r="Y335">
        <v>330</v>
      </c>
      <c r="Z335">
        <v>6.4822143055947024</v>
      </c>
    </row>
    <row r="336" spans="1:26" x14ac:dyDescent="0.15">
      <c r="A336" s="59">
        <v>41396.75</v>
      </c>
      <c r="B336">
        <v>12.894042000000001</v>
      </c>
      <c r="C336">
        <v>87.073227000000003</v>
      </c>
      <c r="D336">
        <v>51.382313000000003</v>
      </c>
      <c r="E336">
        <v>12.786</v>
      </c>
      <c r="F336">
        <v>1308.119995</v>
      </c>
      <c r="H336" s="50">
        <f t="shared" si="49"/>
        <v>0</v>
      </c>
      <c r="I336" s="50">
        <f t="shared" si="50"/>
        <v>-5.6512931078783069E-3</v>
      </c>
      <c r="J336" s="50">
        <f t="shared" si="51"/>
        <v>-7.370665476234696E-3</v>
      </c>
      <c r="K336" s="50">
        <f t="shared" si="52"/>
        <v>-7.7988592713304824E-3</v>
      </c>
      <c r="L336" s="50">
        <f t="shared" si="53"/>
        <v>-3.1472699561821168E-3</v>
      </c>
      <c r="P336" s="50">
        <f t="shared" si="48"/>
        <v>-3.1472699561821168E-3</v>
      </c>
      <c r="Q336" s="51">
        <f t="shared" si="54"/>
        <v>90.535343798818943</v>
      </c>
      <c r="R336" s="51">
        <f t="shared" si="55"/>
        <v>69.028013093178942</v>
      </c>
      <c r="Y336">
        <v>331</v>
      </c>
      <c r="Z336">
        <v>7.4178417477861247</v>
      </c>
    </row>
    <row r="337" spans="1:26" x14ac:dyDescent="0.15">
      <c r="A337" s="59">
        <v>41397.75</v>
      </c>
      <c r="B337">
        <v>12.894042000000001</v>
      </c>
      <c r="C337">
        <v>87.568100000000001</v>
      </c>
      <c r="D337">
        <v>51.763846999999998</v>
      </c>
      <c r="E337">
        <v>12.8865</v>
      </c>
      <c r="F337">
        <v>1312.25</v>
      </c>
      <c r="H337" s="50">
        <f t="shared" si="49"/>
        <v>-1.0607125677270356E-2</v>
      </c>
      <c r="I337" s="50">
        <f t="shared" si="50"/>
        <v>9.1241941748670301E-4</v>
      </c>
      <c r="J337" s="50">
        <f t="shared" si="51"/>
        <v>1.0745124859629356E-2</v>
      </c>
      <c r="K337" s="50">
        <f t="shared" si="52"/>
        <v>-3.6724911087056933E-3</v>
      </c>
      <c r="L337" s="50">
        <f t="shared" si="53"/>
        <v>-1.0190388832138606E-2</v>
      </c>
      <c r="P337" s="50">
        <f t="shared" si="48"/>
        <v>-1.0190388832138606E-2</v>
      </c>
      <c r="Q337" s="51">
        <f t="shared" si="54"/>
        <v>89.612753442457631</v>
      </c>
      <c r="R337" s="51">
        <f t="shared" si="55"/>
        <v>68.295824283047324</v>
      </c>
      <c r="Y337">
        <v>332</v>
      </c>
      <c r="Z337">
        <v>8.8903856523095488</v>
      </c>
    </row>
    <row r="338" spans="1:26" x14ac:dyDescent="0.15">
      <c r="A338" s="59">
        <v>41398.75</v>
      </c>
      <c r="B338">
        <v>13.032277000000001</v>
      </c>
      <c r="C338">
        <v>87.488274000000004</v>
      </c>
      <c r="D338">
        <v>51.213551000000002</v>
      </c>
      <c r="E338">
        <v>12.933999999999999</v>
      </c>
      <c r="F338">
        <v>1325.76001</v>
      </c>
      <c r="H338" s="50">
        <f t="shared" si="49"/>
        <v>-1.9129595002930599E-3</v>
      </c>
      <c r="I338" s="50">
        <f t="shared" si="50"/>
        <v>4.3061465621173321E-3</v>
      </c>
      <c r="J338" s="50">
        <f t="shared" si="51"/>
        <v>4.6055843958869675E-3</v>
      </c>
      <c r="K338" s="50">
        <f t="shared" si="52"/>
        <v>-5.6888068880688687E-3</v>
      </c>
      <c r="L338" s="50">
        <f t="shared" si="53"/>
        <v>8.303836243012746E-4</v>
      </c>
      <c r="P338" s="50">
        <f t="shared" si="48"/>
        <v>8.303836243012746E-4</v>
      </c>
      <c r="Q338" s="51">
        <f t="shared" si="54"/>
        <v>89.687166405444799</v>
      </c>
      <c r="R338" s="51">
        <f t="shared" si="55"/>
        <v>68.165177137154728</v>
      </c>
      <c r="Y338">
        <v>333</v>
      </c>
      <c r="Z338">
        <v>7.9281377047844019</v>
      </c>
    </row>
    <row r="339" spans="1:26" x14ac:dyDescent="0.15">
      <c r="A339" s="59">
        <v>41401.75</v>
      </c>
      <c r="B339">
        <v>13.057255</v>
      </c>
      <c r="C339">
        <v>87.113151999999999</v>
      </c>
      <c r="D339">
        <v>50.978763999999998</v>
      </c>
      <c r="E339">
        <v>13.007999999999999</v>
      </c>
      <c r="F339">
        <v>1324.660034</v>
      </c>
      <c r="H339" s="50">
        <f t="shared" si="49"/>
        <v>-6.2114944918766433E-3</v>
      </c>
      <c r="I339" s="50">
        <f t="shared" si="50"/>
        <v>-7.7278018937304667E-3</v>
      </c>
      <c r="J339" s="50">
        <f t="shared" si="51"/>
        <v>-3.7280976340430842E-3</v>
      </c>
      <c r="K339" s="50">
        <f t="shared" si="52"/>
        <v>-1.3162386678299181E-2</v>
      </c>
      <c r="L339" s="50">
        <f t="shared" si="53"/>
        <v>-3.6221153581265334E-4</v>
      </c>
      <c r="P339" s="50">
        <f t="shared" si="48"/>
        <v>-3.6221153581265334E-4</v>
      </c>
      <c r="Q339" s="51">
        <f t="shared" si="54"/>
        <v>89.654680679158403</v>
      </c>
      <c r="R339" s="51">
        <f t="shared" si="55"/>
        <v>67.7417695148295</v>
      </c>
      <c r="Y339">
        <v>334</v>
      </c>
      <c r="Z339">
        <v>7.7256939329775349</v>
      </c>
    </row>
    <row r="340" spans="1:26" x14ac:dyDescent="0.15">
      <c r="A340" s="59">
        <v>41402.75</v>
      </c>
      <c r="B340">
        <v>13.138866999999999</v>
      </c>
      <c r="C340">
        <v>87.791588000000004</v>
      </c>
      <c r="D340">
        <v>51.169528999999997</v>
      </c>
      <c r="E340">
        <v>13.1815</v>
      </c>
      <c r="F340">
        <v>1325.1400149999999</v>
      </c>
      <c r="H340" s="50">
        <f t="shared" si="49"/>
        <v>4.9680604470810699E-3</v>
      </c>
      <c r="I340" s="50">
        <f t="shared" si="50"/>
        <v>-1.8185223148678537E-4</v>
      </c>
      <c r="J340" s="50">
        <f t="shared" si="51"/>
        <v>-8.6447399472517196E-4</v>
      </c>
      <c r="K340" s="50">
        <f t="shared" si="52"/>
        <v>-3.3269063551472897E-3</v>
      </c>
      <c r="L340" s="50">
        <f t="shared" si="53"/>
        <v>1.7311403723380186E-3</v>
      </c>
      <c r="P340" s="50">
        <f t="shared" si="48"/>
        <v>1.7311403723380186E-3</v>
      </c>
      <c r="Q340" s="51">
        <f t="shared" si="54"/>
        <v>89.809885516451175</v>
      </c>
      <c r="R340" s="51">
        <f t="shared" si="55"/>
        <v>68.078314720571399</v>
      </c>
      <c r="Y340">
        <v>335</v>
      </c>
      <c r="Z340">
        <v>8.4874089490324582</v>
      </c>
    </row>
    <row r="341" spans="1:26" x14ac:dyDescent="0.15">
      <c r="A341" s="59">
        <v>41403.75</v>
      </c>
      <c r="B341">
        <v>13.073915</v>
      </c>
      <c r="C341">
        <v>87.807556000000005</v>
      </c>
      <c r="D341">
        <v>51.213802000000001</v>
      </c>
      <c r="E341">
        <v>13.2255</v>
      </c>
      <c r="F341">
        <v>1322.849976</v>
      </c>
      <c r="H341" s="50">
        <f t="shared" si="49"/>
        <v>-3.5541201140471255E-3</v>
      </c>
      <c r="I341" s="50">
        <f t="shared" si="50"/>
        <v>-1.2389164142036507E-2</v>
      </c>
      <c r="J341" s="50">
        <f t="shared" si="51"/>
        <v>0</v>
      </c>
      <c r="K341" s="50">
        <f t="shared" si="52"/>
        <v>-1.4236201691946407E-2</v>
      </c>
      <c r="L341" s="50">
        <f t="shared" si="53"/>
        <v>1.2963988168941841E-2</v>
      </c>
      <c r="P341" s="50">
        <f t="shared" si="48"/>
        <v>1.2963988168941841E-2</v>
      </c>
      <c r="Q341" s="51">
        <f t="shared" si="54"/>
        <v>90.974179809740463</v>
      </c>
      <c r="R341" s="51">
        <f t="shared" si="55"/>
        <v>67.836356212892582</v>
      </c>
      <c r="Y341">
        <v>336</v>
      </c>
      <c r="Z341">
        <v>9.2423626729835053</v>
      </c>
    </row>
    <row r="342" spans="1:26" x14ac:dyDescent="0.15">
      <c r="A342" s="59">
        <v>41404.75</v>
      </c>
      <c r="B342">
        <v>13.120547</v>
      </c>
      <c r="C342">
        <v>88.909064999999998</v>
      </c>
      <c r="D342">
        <v>51.213802000000001</v>
      </c>
      <c r="E342">
        <v>13.416499999999999</v>
      </c>
      <c r="F342">
        <v>1305.920044</v>
      </c>
      <c r="H342" s="50">
        <f t="shared" si="49"/>
        <v>-1.3523784476263461E-2</v>
      </c>
      <c r="I342" s="50">
        <f t="shared" si="50"/>
        <v>-1.5422569330051745E-2</v>
      </c>
      <c r="J342" s="50">
        <f t="shared" si="51"/>
        <v>-1.3496089835807582E-2</v>
      </c>
      <c r="K342" s="50">
        <f t="shared" si="52"/>
        <v>6.6401560624249553E-3</v>
      </c>
      <c r="L342" s="50">
        <f t="shared" si="53"/>
        <v>1.1368958608538702E-2</v>
      </c>
      <c r="P342" s="50">
        <f t="shared" si="48"/>
        <v>1.1368958608538702E-2</v>
      </c>
      <c r="Q342" s="51">
        <f t="shared" si="54"/>
        <v>92.008461494443154</v>
      </c>
      <c r="R342" s="51">
        <f t="shared" si="55"/>
        <v>66.918951951814392</v>
      </c>
      <c r="Y342">
        <v>337</v>
      </c>
      <c r="Z342">
        <v>5.5029643501523093</v>
      </c>
    </row>
    <row r="343" spans="1:26" x14ac:dyDescent="0.15">
      <c r="A343" s="59">
        <v>41405.75</v>
      </c>
      <c r="B343">
        <v>13.300419</v>
      </c>
      <c r="C343">
        <v>90.301749999999998</v>
      </c>
      <c r="D343">
        <v>51.914444000000003</v>
      </c>
      <c r="E343">
        <v>13.327999999999999</v>
      </c>
      <c r="F343">
        <v>1291.23999</v>
      </c>
      <c r="H343" s="50">
        <f t="shared" si="49"/>
        <v>1.7324879349452729E-2</v>
      </c>
      <c r="I343" s="50">
        <f t="shared" si="50"/>
        <v>1.1747641416022565E-2</v>
      </c>
      <c r="J343" s="50">
        <f t="shared" si="51"/>
        <v>5.5715828683633286E-3</v>
      </c>
      <c r="K343" s="50">
        <f t="shared" si="52"/>
        <v>9.2382250492200439E-3</v>
      </c>
      <c r="L343" s="50">
        <f t="shared" si="53"/>
        <v>-2.5183545770567522E-3</v>
      </c>
      <c r="P343" s="50">
        <f t="shared" si="48"/>
        <v>-2.5183545770567522E-3</v>
      </c>
      <c r="Q343" s="51">
        <f t="shared" si="54"/>
        <v>91.776751564310672</v>
      </c>
      <c r="R343" s="51">
        <f t="shared" si="55"/>
        <v>68.078314720571399</v>
      </c>
      <c r="Y343">
        <v>338</v>
      </c>
      <c r="Z343">
        <v>6.7801856200804416</v>
      </c>
    </row>
    <row r="344" spans="1:26" x14ac:dyDescent="0.15">
      <c r="A344" s="59">
        <v>41408.75</v>
      </c>
      <c r="B344">
        <v>13.073915</v>
      </c>
      <c r="C344">
        <v>89.253235000000004</v>
      </c>
      <c r="D344">
        <v>51.626801</v>
      </c>
      <c r="E344">
        <v>13.206</v>
      </c>
      <c r="F344">
        <v>1294.5</v>
      </c>
      <c r="H344" s="50">
        <f t="shared" si="49"/>
        <v>8.0906858800921955E-3</v>
      </c>
      <c r="I344" s="50">
        <f t="shared" si="50"/>
        <v>-1.362207611710288E-2</v>
      </c>
      <c r="J344" s="50">
        <f t="shared" si="51"/>
        <v>-1.491687247428005E-2</v>
      </c>
      <c r="K344" s="50">
        <f t="shared" si="52"/>
        <v>-2.1415339014449777E-2</v>
      </c>
      <c r="L344" s="50">
        <f t="shared" si="53"/>
        <v>1.8729831608036815E-3</v>
      </c>
      <c r="P344" s="50">
        <f t="shared" si="48"/>
        <v>1.8729831608036815E-3</v>
      </c>
      <c r="Q344" s="51">
        <f t="shared" si="54"/>
        <v>91.948647874543894</v>
      </c>
      <c r="R344" s="51">
        <f t="shared" si="55"/>
        <v>68.629114980221601</v>
      </c>
      <c r="Y344">
        <v>339</v>
      </c>
      <c r="Z344">
        <v>9.0722093534828279</v>
      </c>
    </row>
    <row r="345" spans="1:26" x14ac:dyDescent="0.15">
      <c r="A345" s="59">
        <v>41409.75</v>
      </c>
      <c r="B345">
        <v>12.968987</v>
      </c>
      <c r="C345">
        <v>90.485839999999996</v>
      </c>
      <c r="D345">
        <v>52.408572999999997</v>
      </c>
      <c r="E345">
        <v>13.494999999999999</v>
      </c>
      <c r="F345">
        <v>1292.079956</v>
      </c>
      <c r="H345" s="50">
        <f t="shared" si="49"/>
        <v>6.0720453498542557E-3</v>
      </c>
      <c r="I345" s="50">
        <f t="shared" si="50"/>
        <v>9.1947793422818731E-3</v>
      </c>
      <c r="J345" s="50">
        <f t="shared" si="51"/>
        <v>5.8029945418588144E-3</v>
      </c>
      <c r="K345" s="50">
        <f t="shared" si="52"/>
        <v>8.4818592833388173E-3</v>
      </c>
      <c r="L345" s="50">
        <f t="shared" si="53"/>
        <v>1.7129550762796545E-2</v>
      </c>
      <c r="P345" s="50">
        <f t="shared" si="48"/>
        <v>1.7129550762796545E-2</v>
      </c>
      <c r="Q345" s="51">
        <f t="shared" si="54"/>
        <v>93.523686905881405</v>
      </c>
      <c r="R345" s="51">
        <f t="shared" si="55"/>
        <v>69.045834078701859</v>
      </c>
      <c r="Y345">
        <v>340</v>
      </c>
      <c r="Z345">
        <v>9.372845544514206</v>
      </c>
    </row>
    <row r="346" spans="1:26" x14ac:dyDescent="0.15">
      <c r="A346" s="59">
        <v>41410.75</v>
      </c>
      <c r="B346">
        <v>12.890713999999999</v>
      </c>
      <c r="C346">
        <v>89.661422999999999</v>
      </c>
      <c r="D346">
        <v>52.106200999999999</v>
      </c>
      <c r="E346">
        <v>13.381500000000001</v>
      </c>
      <c r="F346">
        <v>1270.3199460000001</v>
      </c>
      <c r="H346" s="50">
        <f t="shared" si="49"/>
        <v>1.2933462031750051E-4</v>
      </c>
      <c r="I346" s="50">
        <f t="shared" si="50"/>
        <v>-1.2865887793587957E-2</v>
      </c>
      <c r="J346" s="50">
        <f t="shared" si="51"/>
        <v>-8.5601121712124296E-3</v>
      </c>
      <c r="K346" s="50">
        <f t="shared" si="52"/>
        <v>-4.574871680428385E-3</v>
      </c>
      <c r="L346" s="50">
        <f t="shared" si="53"/>
        <v>6.7441901729206003E-3</v>
      </c>
      <c r="P346" s="50">
        <f t="shared" si="48"/>
        <v>6.7441901729206003E-3</v>
      </c>
      <c r="Q346" s="51">
        <f t="shared" si="54"/>
        <v>94.154428436047354</v>
      </c>
      <c r="R346" s="51">
        <f t="shared" si="55"/>
        <v>69.054764095436937</v>
      </c>
      <c r="Y346">
        <v>341</v>
      </c>
      <c r="Z346">
        <v>5.8899674195450054</v>
      </c>
    </row>
    <row r="347" spans="1:26" x14ac:dyDescent="0.15">
      <c r="A347" s="59">
        <v>41411.75</v>
      </c>
      <c r="B347">
        <v>12.889047</v>
      </c>
      <c r="C347">
        <v>90.830032000000003</v>
      </c>
      <c r="D347">
        <v>52.556086999999998</v>
      </c>
      <c r="E347">
        <v>13.443</v>
      </c>
      <c r="F347">
        <v>1261.8100589999999</v>
      </c>
      <c r="H347" s="50">
        <f t="shared" si="49"/>
        <v>4.6736759464117176E-3</v>
      </c>
      <c r="I347" s="50">
        <f t="shared" si="50"/>
        <v>8.8206075185585464E-4</v>
      </c>
      <c r="J347" s="50">
        <f t="shared" si="51"/>
        <v>4.1812891776879524E-2</v>
      </c>
      <c r="K347" s="50">
        <f t="shared" si="52"/>
        <v>2.2436872528141156E-2</v>
      </c>
      <c r="L347" s="50">
        <f t="shared" si="53"/>
        <v>-4.1198471074280303E-3</v>
      </c>
      <c r="P347" s="50">
        <f t="shared" si="48"/>
        <v>-4.1198471074280303E-3</v>
      </c>
      <c r="Q347" s="51">
        <f t="shared" si="54"/>
        <v>93.766526586403558</v>
      </c>
      <c r="R347" s="51">
        <f t="shared" si="55"/>
        <v>69.377503685374919</v>
      </c>
      <c r="Y347">
        <v>342</v>
      </c>
      <c r="Z347">
        <v>4.2521940627129231</v>
      </c>
    </row>
    <row r="348" spans="1:26" x14ac:dyDescent="0.15">
      <c r="A348" s="59">
        <v>41412.75</v>
      </c>
      <c r="B348">
        <v>12.829088</v>
      </c>
      <c r="C348">
        <v>90.749984999999995</v>
      </c>
      <c r="D348">
        <v>50.446762</v>
      </c>
      <c r="E348">
        <v>13.148</v>
      </c>
      <c r="F348">
        <v>1267.030029</v>
      </c>
      <c r="H348" s="50">
        <f t="shared" si="49"/>
        <v>9.1705750879822554E-3</v>
      </c>
      <c r="I348" s="50">
        <f t="shared" si="50"/>
        <v>1.6786812939372721E-3</v>
      </c>
      <c r="J348" s="50">
        <f t="shared" si="51"/>
        <v>-3.9317505118726852E-3</v>
      </c>
      <c r="K348" s="50">
        <f t="shared" si="52"/>
        <v>4.4308632543926529E-3</v>
      </c>
      <c r="L348" s="50">
        <f t="shared" si="53"/>
        <v>3.9301173565858289E-3</v>
      </c>
      <c r="P348" s="50">
        <f t="shared" si="48"/>
        <v>3.9301173565858289E-3</v>
      </c>
      <c r="Q348" s="51">
        <f t="shared" si="54"/>
        <v>94.135040040007539</v>
      </c>
      <c r="R348" s="51">
        <f t="shared" si="55"/>
        <v>70.01373529233841</v>
      </c>
      <c r="Y348">
        <v>343</v>
      </c>
      <c r="Z348">
        <v>9.1993899997599495</v>
      </c>
    </row>
    <row r="349" spans="1:26" x14ac:dyDescent="0.15">
      <c r="A349" s="59">
        <v>41415.75</v>
      </c>
      <c r="B349">
        <v>12.712507</v>
      </c>
      <c r="C349">
        <v>90.597899999999996</v>
      </c>
      <c r="D349">
        <v>50.645888999999997</v>
      </c>
      <c r="E349">
        <v>13.09</v>
      </c>
      <c r="F349">
        <v>1262.0699460000001</v>
      </c>
      <c r="H349" s="50">
        <f t="shared" si="49"/>
        <v>-1.2676335715179938E-2</v>
      </c>
      <c r="I349" s="50">
        <f t="shared" si="50"/>
        <v>-1.0490269529912676E-2</v>
      </c>
      <c r="J349" s="50">
        <f t="shared" si="51"/>
        <v>-1.50604138832329E-2</v>
      </c>
      <c r="K349" s="50">
        <f t="shared" si="52"/>
        <v>2.2923511882021194E-4</v>
      </c>
      <c r="L349" s="50">
        <f t="shared" si="53"/>
        <v>4.3689937705802739E-3</v>
      </c>
      <c r="P349" s="50">
        <f t="shared" si="48"/>
        <v>4.3689937705802739E-3</v>
      </c>
      <c r="Q349" s="51">
        <f t="shared" si="54"/>
        <v>94.546315443535647</v>
      </c>
      <c r="R349" s="51">
        <f t="shared" si="55"/>
        <v>69.126217679098986</v>
      </c>
      <c r="Y349">
        <v>344</v>
      </c>
      <c r="Z349">
        <v>7.6226742204908975</v>
      </c>
    </row>
    <row r="350" spans="1:26" x14ac:dyDescent="0.15">
      <c r="A350" s="59">
        <v>41416.75</v>
      </c>
      <c r="B350">
        <v>12.875724</v>
      </c>
      <c r="C350">
        <v>91.558372000000006</v>
      </c>
      <c r="D350">
        <v>51.420299999999997</v>
      </c>
      <c r="E350">
        <v>13.087</v>
      </c>
      <c r="F350">
        <v>1256.579956</v>
      </c>
      <c r="H350" s="50">
        <f t="shared" si="49"/>
        <v>-1.2914110603343956E-4</v>
      </c>
      <c r="I350" s="50">
        <f t="shared" si="50"/>
        <v>-3.8320290800919403E-3</v>
      </c>
      <c r="J350" s="50">
        <f t="shared" si="51"/>
        <v>3.0211593511016862E-3</v>
      </c>
      <c r="K350" s="50">
        <f t="shared" si="52"/>
        <v>-2.0763964233603941E-2</v>
      </c>
      <c r="L350" s="50">
        <f t="shared" si="53"/>
        <v>-1.5811516923033488E-3</v>
      </c>
      <c r="P350" s="50">
        <f t="shared" si="48"/>
        <v>-1.5811516923033488E-3</v>
      </c>
      <c r="Q350" s="51">
        <f t="shared" si="54"/>
        <v>94.396823376871055</v>
      </c>
      <c r="R350" s="51">
        <f t="shared" si="55"/>
        <v>69.117290642892002</v>
      </c>
      <c r="Y350">
        <v>345</v>
      </c>
      <c r="Z350">
        <v>9.9280504690769806</v>
      </c>
    </row>
    <row r="351" spans="1:26" x14ac:dyDescent="0.15">
      <c r="A351" s="59">
        <v>41417.75</v>
      </c>
      <c r="B351">
        <v>12.877387000000001</v>
      </c>
      <c r="C351">
        <v>91.910576000000006</v>
      </c>
      <c r="D351">
        <v>51.265419000000001</v>
      </c>
      <c r="E351">
        <v>13.3645</v>
      </c>
      <c r="F351">
        <v>1258.5699460000001</v>
      </c>
      <c r="H351" s="50">
        <f t="shared" si="49"/>
        <v>1.4298844559533761E-2</v>
      </c>
      <c r="I351" s="50">
        <f t="shared" si="50"/>
        <v>1.6644774264020615E-2</v>
      </c>
      <c r="J351" s="50">
        <f t="shared" si="51"/>
        <v>1.2963522543691331E-3</v>
      </c>
      <c r="K351" s="50">
        <f t="shared" si="52"/>
        <v>6.6282529281059908E-3</v>
      </c>
      <c r="L351" s="50">
        <f t="shared" si="53"/>
        <v>-1.1242268669307843E-2</v>
      </c>
      <c r="P351" s="50">
        <f t="shared" si="48"/>
        <v>-1.1242268669307843E-2</v>
      </c>
      <c r="Q351" s="51">
        <f t="shared" si="54"/>
        <v>93.335588926939067</v>
      </c>
      <c r="R351" s="51">
        <f t="shared" si="55"/>
        <v>70.105588038170836</v>
      </c>
      <c r="Y351">
        <v>346</v>
      </c>
      <c r="Z351">
        <v>8.9449894669734356</v>
      </c>
    </row>
    <row r="352" spans="1:26" x14ac:dyDescent="0.15">
      <c r="A352" s="59">
        <v>41418.75</v>
      </c>
      <c r="B352">
        <v>12.695850999999999</v>
      </c>
      <c r="C352">
        <v>90.405792000000005</v>
      </c>
      <c r="D352">
        <v>51.199047</v>
      </c>
      <c r="E352">
        <v>13.2765</v>
      </c>
      <c r="F352">
        <v>1272.880005</v>
      </c>
      <c r="H352" s="50">
        <f t="shared" si="49"/>
        <v>7.9331205978821189E-3</v>
      </c>
      <c r="I352" s="50">
        <f t="shared" si="50"/>
        <v>9.5639446706407352E-3</v>
      </c>
      <c r="J352" s="50">
        <f t="shared" si="51"/>
        <v>-5.7290106312656193E-3</v>
      </c>
      <c r="K352" s="50">
        <f t="shared" si="52"/>
        <v>-4.8720158902671737E-3</v>
      </c>
      <c r="L352" s="50">
        <f t="shared" si="53"/>
        <v>-5.6868116537373585E-3</v>
      </c>
      <c r="P352" s="50">
        <f t="shared" si="48"/>
        <v>-5.6868116537373585E-3</v>
      </c>
      <c r="Q352" s="51">
        <f t="shared" si="54"/>
        <v>92.804807012120904</v>
      </c>
      <c r="R352" s="51">
        <f t="shared" si="55"/>
        <v>70.66174412266308</v>
      </c>
      <c r="Y352">
        <v>347</v>
      </c>
      <c r="Z352">
        <v>7.7710699734859254</v>
      </c>
    </row>
    <row r="353" spans="1:26" x14ac:dyDescent="0.15">
      <c r="A353" s="59">
        <v>41419.75</v>
      </c>
      <c r="B353">
        <v>12.595926</v>
      </c>
      <c r="C353">
        <v>89.549346999999997</v>
      </c>
      <c r="D353">
        <v>51.494056999999998</v>
      </c>
      <c r="E353">
        <v>13.3415</v>
      </c>
      <c r="F353">
        <v>1280.160034</v>
      </c>
      <c r="H353" s="50">
        <f t="shared" si="49"/>
        <v>1.0556267318894879E-2</v>
      </c>
      <c r="I353" s="50">
        <f t="shared" si="50"/>
        <v>2.0523393626629312E-2</v>
      </c>
      <c r="J353" s="50">
        <f t="shared" si="51"/>
        <v>4.6045266110263305E-3</v>
      </c>
      <c r="K353" s="50">
        <f t="shared" si="52"/>
        <v>-8.8038632986627736E-3</v>
      </c>
      <c r="L353" s="50">
        <f t="shared" si="53"/>
        <v>1.6104867232749662E-2</v>
      </c>
      <c r="P353" s="50">
        <f t="shared" si="48"/>
        <v>1.6104867232749662E-2</v>
      </c>
      <c r="Q353" s="51">
        <f t="shared" si="54"/>
        <v>94.299416107612075</v>
      </c>
      <c r="R353" s="51">
        <f t="shared" si="55"/>
        <v>71.407668382841251</v>
      </c>
      <c r="Y353">
        <v>348</v>
      </c>
      <c r="Z353">
        <v>9.2601884212605157</v>
      </c>
    </row>
    <row r="354" spans="1:26" x14ac:dyDescent="0.15">
      <c r="A354" s="59">
        <v>41423.75</v>
      </c>
      <c r="B354">
        <v>12.464349</v>
      </c>
      <c r="C354">
        <v>87.748451000000003</v>
      </c>
      <c r="D354">
        <v>51.258037999999999</v>
      </c>
      <c r="E354">
        <v>13.46</v>
      </c>
      <c r="F354">
        <v>1259.869995</v>
      </c>
      <c r="H354" s="50">
        <f t="shared" si="49"/>
        <v>-1.1230438653461104E-2</v>
      </c>
      <c r="I354" s="50">
        <f t="shared" si="50"/>
        <v>-1.1273161011109334E-2</v>
      </c>
      <c r="J354" s="50">
        <f t="shared" si="51"/>
        <v>-2.1815550441889684E-2</v>
      </c>
      <c r="K354" s="50">
        <f t="shared" si="52"/>
        <v>8.693045563549268E-3</v>
      </c>
      <c r="L354" s="50">
        <f t="shared" si="53"/>
        <v>-8.0466512401374153E-3</v>
      </c>
      <c r="P354" s="50">
        <f t="shared" si="48"/>
        <v>-8.0466512401374153E-3</v>
      </c>
      <c r="Q354" s="51">
        <f t="shared" si="54"/>
        <v>93.540621594045533</v>
      </c>
      <c r="R354" s="51">
        <f t="shared" si="55"/>
        <v>70.605728943681058</v>
      </c>
      <c r="Y354">
        <v>349</v>
      </c>
      <c r="Z354">
        <v>6.6254567777204612</v>
      </c>
    </row>
    <row r="355" spans="1:26" x14ac:dyDescent="0.15">
      <c r="A355" s="59">
        <v>41424.75</v>
      </c>
      <c r="B355">
        <v>12.605919</v>
      </c>
      <c r="C355">
        <v>88.748931999999996</v>
      </c>
      <c r="D355">
        <v>52.401198999999998</v>
      </c>
      <c r="E355">
        <v>13.343999999999999</v>
      </c>
      <c r="F355">
        <v>1270.089966</v>
      </c>
      <c r="H355" s="50">
        <f t="shared" si="49"/>
        <v>-3.2917832636702457E-3</v>
      </c>
      <c r="I355" s="50">
        <f t="shared" si="50"/>
        <v>1.9876965494493221E-3</v>
      </c>
      <c r="J355" s="50">
        <f t="shared" si="51"/>
        <v>-6.4329340985268945E-3</v>
      </c>
      <c r="K355" s="50">
        <f t="shared" si="52"/>
        <v>4.4410989838162794E-3</v>
      </c>
      <c r="L355" s="50">
        <f t="shared" si="53"/>
        <v>-1.2148925864936981E-2</v>
      </c>
      <c r="P355" s="50">
        <f t="shared" si="48"/>
        <v>-1.2148925864936981E-2</v>
      </c>
      <c r="Q355" s="51">
        <f t="shared" si="54"/>
        <v>92.404203516939347</v>
      </c>
      <c r="R355" s="51">
        <f t="shared" si="55"/>
        <v>70.373310186825009</v>
      </c>
      <c r="Y355">
        <v>350</v>
      </c>
      <c r="Z355">
        <v>8.3382474655777266</v>
      </c>
    </row>
    <row r="356" spans="1:26" x14ac:dyDescent="0.15">
      <c r="A356" s="59">
        <v>41425.75</v>
      </c>
      <c r="B356">
        <v>12.647551999999999</v>
      </c>
      <c r="C356">
        <v>88.572875999999994</v>
      </c>
      <c r="D356">
        <v>52.740475000000004</v>
      </c>
      <c r="E356">
        <v>13.285</v>
      </c>
      <c r="F356">
        <v>1285.709961</v>
      </c>
      <c r="H356" s="50">
        <f t="shared" si="49"/>
        <v>9.1695815236908836E-3</v>
      </c>
      <c r="I356" s="50">
        <f t="shared" si="50"/>
        <v>1.3648435427163565E-2</v>
      </c>
      <c r="J356" s="50">
        <f t="shared" si="51"/>
        <v>1.9096644079664233E-2</v>
      </c>
      <c r="K356" s="50">
        <f t="shared" si="52"/>
        <v>-5.5021147583934754E-3</v>
      </c>
      <c r="L356" s="50">
        <f t="shared" si="53"/>
        <v>-1.9484327649815373E-3</v>
      </c>
      <c r="P356" s="50">
        <f t="shared" si="48"/>
        <v>-1.9484327649815373E-3</v>
      </c>
      <c r="Q356" s="51">
        <f t="shared" si="54"/>
        <v>92.224160139184917</v>
      </c>
      <c r="R356" s="51">
        <f t="shared" si="55"/>
        <v>71.018603991675093</v>
      </c>
      <c r="Y356">
        <v>351</v>
      </c>
      <c r="Z356">
        <v>10.017390677705652</v>
      </c>
    </row>
    <row r="357" spans="1:26" x14ac:dyDescent="0.15">
      <c r="A357" s="59">
        <v>41426.75</v>
      </c>
      <c r="B357">
        <v>12.532633000000001</v>
      </c>
      <c r="C357">
        <v>87.380272000000005</v>
      </c>
      <c r="D357">
        <v>51.752181999999998</v>
      </c>
      <c r="E357">
        <v>13.358499999999999</v>
      </c>
      <c r="F357">
        <v>1288.219971</v>
      </c>
      <c r="H357" s="50">
        <f t="shared" si="49"/>
        <v>-5.0248786790268391E-3</v>
      </c>
      <c r="I357" s="50">
        <f t="shared" si="50"/>
        <v>-1.7283055900539995E-2</v>
      </c>
      <c r="J357" s="50">
        <f t="shared" si="51"/>
        <v>-1.2814321595511684E-3</v>
      </c>
      <c r="K357" s="50">
        <f t="shared" si="52"/>
        <v>-2.4642497106374377E-3</v>
      </c>
      <c r="L357" s="50">
        <f t="shared" si="53"/>
        <v>1.812227338652115E-2</v>
      </c>
      <c r="P357" s="50">
        <f t="shared" si="48"/>
        <v>1.812227338652115E-2</v>
      </c>
      <c r="Q357" s="51">
        <f t="shared" si="54"/>
        <v>93.895471582069533</v>
      </c>
      <c r="R357" s="51">
        <f t="shared" si="55"/>
        <v>70.66174412266308</v>
      </c>
      <c r="Y357">
        <v>352</v>
      </c>
      <c r="Z357">
        <v>6.8173862436020425</v>
      </c>
    </row>
    <row r="358" spans="1:26" x14ac:dyDescent="0.15">
      <c r="A358" s="59">
        <v>41429.75</v>
      </c>
      <c r="B358">
        <v>12.595926</v>
      </c>
      <c r="C358">
        <v>88.917029999999997</v>
      </c>
      <c r="D358">
        <v>51.818584000000001</v>
      </c>
      <c r="E358">
        <v>13.391500000000001</v>
      </c>
      <c r="F358">
        <v>1265.290039</v>
      </c>
      <c r="H358" s="50">
        <f t="shared" si="49"/>
        <v>-9.1705750879822554E-3</v>
      </c>
      <c r="I358" s="50">
        <f t="shared" si="50"/>
        <v>4.6120032751083727E-3</v>
      </c>
      <c r="J358" s="50">
        <f t="shared" si="51"/>
        <v>-1.4210001737635879E-3</v>
      </c>
      <c r="K358" s="50">
        <f t="shared" si="52"/>
        <v>-3.2650702495756127E-2</v>
      </c>
      <c r="L358" s="50">
        <f t="shared" si="53"/>
        <v>1.1394255863798894E-3</v>
      </c>
      <c r="P358" s="50">
        <f t="shared" si="48"/>
        <v>1.1394255863798894E-3</v>
      </c>
      <c r="Q358" s="51">
        <f t="shared" si="54"/>
        <v>94.002458484835344</v>
      </c>
      <c r="R358" s="51">
        <f t="shared" si="55"/>
        <v>70.01373529233841</v>
      </c>
      <c r="Y358">
        <v>353</v>
      </c>
      <c r="Z358">
        <v>6.6544680261665361</v>
      </c>
    </row>
    <row r="359" spans="1:26" x14ac:dyDescent="0.15">
      <c r="A359" s="59">
        <v>41430.75</v>
      </c>
      <c r="B359">
        <v>12.712507</v>
      </c>
      <c r="C359">
        <v>88.508826999999997</v>
      </c>
      <c r="D359">
        <v>51.892322999999998</v>
      </c>
      <c r="E359">
        <v>13.843500000000001</v>
      </c>
      <c r="F359">
        <v>1263.849976</v>
      </c>
      <c r="H359" s="50">
        <f t="shared" si="49"/>
        <v>7.6566006484509921E-3</v>
      </c>
      <c r="I359" s="50">
        <f t="shared" si="50"/>
        <v>2.4474834463157819E-3</v>
      </c>
      <c r="J359" s="50">
        <f t="shared" si="51"/>
        <v>6.8690659061862872E-3</v>
      </c>
      <c r="K359" s="50">
        <f t="shared" si="52"/>
        <v>-1.4942896787277126E-2</v>
      </c>
      <c r="L359" s="50">
        <f t="shared" si="53"/>
        <v>6.1298028522745454E-3</v>
      </c>
      <c r="P359" s="50">
        <f t="shared" si="48"/>
        <v>6.1298028522745454E-3</v>
      </c>
      <c r="Q359" s="51">
        <f t="shared" si="54"/>
        <v>94.578675022976498</v>
      </c>
      <c r="R359" s="51">
        <f t="shared" si="55"/>
        <v>70.549802503378217</v>
      </c>
      <c r="Y359">
        <v>354</v>
      </c>
      <c r="Z359">
        <v>6.9569320544095135</v>
      </c>
    </row>
    <row r="360" spans="1:26" x14ac:dyDescent="0.15">
      <c r="A360" s="59">
        <v>41431.75</v>
      </c>
      <c r="B360">
        <v>12.615912</v>
      </c>
      <c r="C360">
        <v>88.292732000000001</v>
      </c>
      <c r="D360">
        <v>51.538302999999999</v>
      </c>
      <c r="E360">
        <v>14.0535</v>
      </c>
      <c r="F360">
        <v>1256.150024</v>
      </c>
      <c r="H360" s="50">
        <f t="shared" si="49"/>
        <v>6.6449723693336599E-3</v>
      </c>
      <c r="I360" s="50">
        <f t="shared" si="50"/>
        <v>2.6360483576083641E-3</v>
      </c>
      <c r="J360" s="50">
        <f t="shared" si="51"/>
        <v>-1.7141871718916169E-3</v>
      </c>
      <c r="K360" s="50">
        <f t="shared" si="52"/>
        <v>2.289104010481104E-2</v>
      </c>
      <c r="L360" s="50">
        <f t="shared" si="53"/>
        <v>-1.4150468814539486E-3</v>
      </c>
      <c r="P360" s="50">
        <f t="shared" si="48"/>
        <v>-1.4150468814539486E-3</v>
      </c>
      <c r="Q360" s="51">
        <f t="shared" si="54"/>
        <v>94.444841763833182</v>
      </c>
      <c r="R360" s="51">
        <f t="shared" si="55"/>
        <v>71.018603991675107</v>
      </c>
      <c r="Y360">
        <v>355</v>
      </c>
      <c r="Z360">
        <v>9.361459149246194</v>
      </c>
    </row>
    <row r="361" spans="1:26" x14ac:dyDescent="0.15">
      <c r="A361" s="59">
        <v>41432.75</v>
      </c>
      <c r="B361">
        <v>12.532633000000001</v>
      </c>
      <c r="C361">
        <v>88.060599999999994</v>
      </c>
      <c r="D361">
        <v>51.626801</v>
      </c>
      <c r="E361">
        <v>13.739000000000001</v>
      </c>
      <c r="F361">
        <v>1257.9300539999999</v>
      </c>
      <c r="H361" s="50">
        <f t="shared" si="49"/>
        <v>5.4783446772872155E-3</v>
      </c>
      <c r="I361" s="50">
        <f t="shared" si="50"/>
        <v>5.6669506139465885E-3</v>
      </c>
      <c r="J361" s="50">
        <f t="shared" si="51"/>
        <v>8.2098914116247278E-3</v>
      </c>
      <c r="K361" s="50">
        <f t="shared" si="52"/>
        <v>1.1447712298008611E-2</v>
      </c>
      <c r="L361" s="50">
        <f t="shared" si="53"/>
        <v>4.4957316774807401E-3</v>
      </c>
      <c r="P361" s="50">
        <f t="shared" si="48"/>
        <v>4.4957316774807401E-3</v>
      </c>
      <c r="Q361" s="51">
        <f t="shared" si="54"/>
        <v>94.869440430725504</v>
      </c>
      <c r="R361" s="51">
        <f t="shared" si="55"/>
        <v>71.407668382841265</v>
      </c>
      <c r="Y361">
        <v>356</v>
      </c>
      <c r="Z361">
        <v>8.6953163621798737</v>
      </c>
    </row>
    <row r="362" spans="1:26" x14ac:dyDescent="0.15">
      <c r="A362" s="59">
        <v>41433.75</v>
      </c>
      <c r="B362">
        <v>12.464349</v>
      </c>
      <c r="C362">
        <v>87.564376999999993</v>
      </c>
      <c r="D362">
        <v>51.206401999999997</v>
      </c>
      <c r="E362">
        <v>13.583500000000001</v>
      </c>
      <c r="F362">
        <v>1252.3000489999999</v>
      </c>
      <c r="H362" s="50">
        <f t="shared" si="49"/>
        <v>-2.1334564299825393E-3</v>
      </c>
      <c r="I362" s="50">
        <f t="shared" si="50"/>
        <v>-1.3347259209834809E-2</v>
      </c>
      <c r="J362" s="50">
        <f t="shared" si="51"/>
        <v>-2.2993928990951767E-3</v>
      </c>
      <c r="K362" s="50">
        <f t="shared" si="52"/>
        <v>-1.4938902788353421E-2</v>
      </c>
      <c r="L362" s="50">
        <f t="shared" si="53"/>
        <v>1.2008750895814066E-2</v>
      </c>
      <c r="P362" s="50">
        <f t="shared" si="48"/>
        <v>1.2008750895814066E-2</v>
      </c>
      <c r="Q362" s="51">
        <f t="shared" si="54"/>
        <v>96.008703908483355</v>
      </c>
      <c r="R362" s="51">
        <f t="shared" si="55"/>
        <v>71.25532323357983</v>
      </c>
      <c r="Y362">
        <v>357</v>
      </c>
      <c r="Z362">
        <v>7.3077991097742743</v>
      </c>
    </row>
    <row r="363" spans="1:26" x14ac:dyDescent="0.15">
      <c r="A363" s="59">
        <v>41436.75</v>
      </c>
      <c r="B363">
        <v>12.490997999999999</v>
      </c>
      <c r="C363">
        <v>88.748931999999996</v>
      </c>
      <c r="D363">
        <v>51.324416999999997</v>
      </c>
      <c r="E363">
        <v>13.7895</v>
      </c>
      <c r="F363">
        <v>1237.4399410000001</v>
      </c>
      <c r="H363" s="50">
        <f t="shared" si="49"/>
        <v>1.7362575813907254E-3</v>
      </c>
      <c r="I363" s="50">
        <f t="shared" si="50"/>
        <v>-1.0814000817987218E-3</v>
      </c>
      <c r="J363" s="50">
        <f t="shared" si="51"/>
        <v>8.1120897455243708E-3</v>
      </c>
      <c r="K363" s="50">
        <f t="shared" si="52"/>
        <v>6.5695828314901901E-3</v>
      </c>
      <c r="L363" s="50">
        <f t="shared" si="53"/>
        <v>1.1236506519587382E-2</v>
      </c>
      <c r="P363" s="50">
        <f t="shared" si="48"/>
        <v>1.1236506519587382E-2</v>
      </c>
      <c r="Q363" s="51">
        <f t="shared" si="54"/>
        <v>97.087506335888165</v>
      </c>
      <c r="R363" s="51">
        <f t="shared" si="55"/>
        <v>71.379040828758576</v>
      </c>
      <c r="Y363">
        <v>358</v>
      </c>
      <c r="Z363">
        <v>8.8161541531839944</v>
      </c>
    </row>
    <row r="364" spans="1:26" x14ac:dyDescent="0.15">
      <c r="A364" s="59">
        <v>41437.75</v>
      </c>
      <c r="B364">
        <v>12.469348</v>
      </c>
      <c r="C364">
        <v>88.845009000000005</v>
      </c>
      <c r="D364">
        <v>50.911419000000002</v>
      </c>
      <c r="E364">
        <v>13.6995</v>
      </c>
      <c r="F364">
        <v>1223.6899410000001</v>
      </c>
      <c r="H364" s="50">
        <f t="shared" si="49"/>
        <v>-1.0673996721215441E-3</v>
      </c>
      <c r="I364" s="50">
        <f t="shared" si="50"/>
        <v>-6.2665655078307236E-3</v>
      </c>
      <c r="J364" s="50">
        <f t="shared" si="51"/>
        <v>-1.1880721121034369E-2</v>
      </c>
      <c r="K364" s="50">
        <f t="shared" si="52"/>
        <v>-1.46371286772639E-2</v>
      </c>
      <c r="L364" s="50">
        <f t="shared" si="53"/>
        <v>-5.1625132505137006E-3</v>
      </c>
      <c r="P364" s="50">
        <f t="shared" si="48"/>
        <v>-5.1625132505137006E-3</v>
      </c>
      <c r="Q364" s="51">
        <f t="shared" si="54"/>
        <v>96.586290797969809</v>
      </c>
      <c r="R364" s="51">
        <f t="shared" si="55"/>
        <v>71.302850863981604</v>
      </c>
      <c r="Y364">
        <v>359</v>
      </c>
      <c r="Z364">
        <v>7.3525809643029234</v>
      </c>
    </row>
    <row r="365" spans="1:26" x14ac:dyDescent="0.15">
      <c r="A365" s="59">
        <v>41438.75</v>
      </c>
      <c r="B365">
        <v>12.482672000000001</v>
      </c>
      <c r="C365">
        <v>89.405272999999994</v>
      </c>
      <c r="D365">
        <v>51.523555999999999</v>
      </c>
      <c r="E365">
        <v>13.903</v>
      </c>
      <c r="F365">
        <v>1230.040039</v>
      </c>
      <c r="H365" s="50">
        <f t="shared" si="49"/>
        <v>-1.0299639796054291E-2</v>
      </c>
      <c r="I365" s="50">
        <f t="shared" si="50"/>
        <v>-3.47967939039209E-3</v>
      </c>
      <c r="J365" s="50">
        <f t="shared" si="51"/>
        <v>-4.2759838975947057E-3</v>
      </c>
      <c r="K365" s="50">
        <f t="shared" si="52"/>
        <v>-1.3131743327654651E-2</v>
      </c>
      <c r="L365" s="50">
        <f t="shared" si="53"/>
        <v>-2.0793524943494596E-2</v>
      </c>
      <c r="P365" s="50">
        <f t="shared" si="48"/>
        <v>-2.0793524943494596E-2</v>
      </c>
      <c r="Q365" s="51">
        <f t="shared" si="54"/>
        <v>94.577921351062599</v>
      </c>
      <c r="R365" s="51">
        <f t="shared" si="55"/>
        <v>70.568457183650807</v>
      </c>
      <c r="Y365">
        <v>360</v>
      </c>
      <c r="Z365">
        <v>6.2356078347153048</v>
      </c>
    </row>
    <row r="366" spans="1:26" x14ac:dyDescent="0.15">
      <c r="A366" s="59">
        <v>41439.75</v>
      </c>
      <c r="B366">
        <v>12.612577</v>
      </c>
      <c r="C366">
        <v>89.717461</v>
      </c>
      <c r="D366">
        <v>51.744816</v>
      </c>
      <c r="E366">
        <v>14.087999999999999</v>
      </c>
      <c r="F366">
        <v>1256.160034</v>
      </c>
      <c r="H366" s="50">
        <f t="shared" si="49"/>
        <v>1.7056200509278991E-2</v>
      </c>
      <c r="I366" s="50">
        <f t="shared" si="50"/>
        <v>1.7242821814843115E-2</v>
      </c>
      <c r="J366" s="50">
        <f t="shared" si="51"/>
        <v>1.8583381203346364E-2</v>
      </c>
      <c r="K366" s="50">
        <f t="shared" si="52"/>
        <v>1.2942191544434838E-2</v>
      </c>
      <c r="L366" s="50">
        <f t="shared" si="53"/>
        <v>3.6914480208651299E-3</v>
      </c>
      <c r="P366" s="50">
        <f t="shared" si="48"/>
        <v>3.6914480208651299E-3</v>
      </c>
      <c r="Q366" s="51">
        <f t="shared" si="54"/>
        <v>94.927050831651528</v>
      </c>
      <c r="R366" s="51">
        <f t="shared" si="55"/>
        <v>71.772086939005618</v>
      </c>
      <c r="Y366">
        <v>361</v>
      </c>
      <c r="Z366">
        <v>9.3530978270573115</v>
      </c>
    </row>
    <row r="367" spans="1:26" x14ac:dyDescent="0.15">
      <c r="A367" s="59">
        <v>41440.75</v>
      </c>
      <c r="B367">
        <v>12.401062</v>
      </c>
      <c r="C367">
        <v>88.196701000000004</v>
      </c>
      <c r="D367">
        <v>50.800766000000003</v>
      </c>
      <c r="E367">
        <v>13.907999999999999</v>
      </c>
      <c r="F367">
        <v>1251.540039</v>
      </c>
      <c r="H367" s="50">
        <f t="shared" si="49"/>
        <v>1.9580601838129895E-2</v>
      </c>
      <c r="I367" s="50">
        <f t="shared" si="50"/>
        <v>2.4451803117716327E-2</v>
      </c>
      <c r="J367" s="50">
        <f t="shared" si="51"/>
        <v>3.2041026479549175E-3</v>
      </c>
      <c r="K367" s="50">
        <f t="shared" si="52"/>
        <v>1.7261556465769372E-2</v>
      </c>
      <c r="L367" s="50">
        <f t="shared" si="53"/>
        <v>9.2006756985127513E-3</v>
      </c>
      <c r="P367" s="50">
        <f t="shared" si="48"/>
        <v>9.2006756985127513E-3</v>
      </c>
      <c r="Q367" s="51">
        <f t="shared" si="54"/>
        <v>95.800443841369798</v>
      </c>
      <c r="R367" s="51">
        <f t="shared" si="55"/>
        <v>73.177427596449931</v>
      </c>
      <c r="Y367">
        <v>362</v>
      </c>
      <c r="Z367">
        <v>8.1049405081685073</v>
      </c>
    </row>
    <row r="368" spans="1:26" x14ac:dyDescent="0.15">
      <c r="A368" s="59">
        <v>41443.75</v>
      </c>
      <c r="B368">
        <v>12.162905</v>
      </c>
      <c r="C368">
        <v>86.091605999999999</v>
      </c>
      <c r="D368">
        <v>50.638514999999998</v>
      </c>
      <c r="E368">
        <v>13.672000000000001</v>
      </c>
      <c r="F368">
        <v>1240.130005</v>
      </c>
      <c r="H368" s="50">
        <f t="shared" si="49"/>
        <v>-6.5292846219855861E-3</v>
      </c>
      <c r="I368" s="50">
        <f t="shared" si="50"/>
        <v>-1.00324195973082E-2</v>
      </c>
      <c r="J368" s="50">
        <f t="shared" si="51"/>
        <v>-2.4701210946959113E-3</v>
      </c>
      <c r="K368" s="50">
        <f t="shared" si="52"/>
        <v>2.9265437518300673E-4</v>
      </c>
      <c r="L368" s="50">
        <f t="shared" si="53"/>
        <v>8.071799535790613E-6</v>
      </c>
      <c r="P368" s="50">
        <f t="shared" si="48"/>
        <v>8.071799535790613E-6</v>
      </c>
      <c r="Q368" s="51">
        <f t="shared" si="54"/>
        <v>95.801217123347939</v>
      </c>
      <c r="R368" s="51">
        <f t="shared" si="55"/>
        <v>72.699631343767976</v>
      </c>
      <c r="Y368">
        <v>363</v>
      </c>
      <c r="Z368">
        <v>10.479588459250298</v>
      </c>
    </row>
    <row r="369" spans="1:26" x14ac:dyDescent="0.15">
      <c r="A369" s="59">
        <v>41444.75</v>
      </c>
      <c r="B369">
        <v>12.242842</v>
      </c>
      <c r="C369">
        <v>86.964066000000003</v>
      </c>
      <c r="D369">
        <v>50.763908000000001</v>
      </c>
      <c r="E369">
        <v>13.667999999999999</v>
      </c>
      <c r="F369">
        <v>1240.119995</v>
      </c>
      <c r="H369" s="50">
        <f t="shared" si="49"/>
        <v>-9.2994986228495165E-3</v>
      </c>
      <c r="I369" s="50">
        <f t="shared" si="50"/>
        <v>-9.029579243558801E-3</v>
      </c>
      <c r="J369" s="50">
        <f t="shared" si="51"/>
        <v>7.9076338459746053E-3</v>
      </c>
      <c r="K369" s="50">
        <f t="shared" si="52"/>
        <v>1.0162226081815107E-2</v>
      </c>
      <c r="L369" s="50">
        <f t="shared" si="53"/>
        <v>-9.6469864819536625E-3</v>
      </c>
      <c r="P369" s="50">
        <f t="shared" si="48"/>
        <v>-9.6469864819536625E-3</v>
      </c>
      <c r="Q369" s="51">
        <f t="shared" si="54"/>
        <v>94.877024076804304</v>
      </c>
      <c r="R369" s="51">
        <f t="shared" si="55"/>
        <v>72.023561222204933</v>
      </c>
      <c r="Y369">
        <v>364</v>
      </c>
      <c r="Z369">
        <v>8.1389154654968685</v>
      </c>
    </row>
    <row r="370" spans="1:26" x14ac:dyDescent="0.15">
      <c r="A370" s="59">
        <v>41445.75</v>
      </c>
      <c r="B370">
        <v>12.357763</v>
      </c>
      <c r="C370">
        <v>87.756469999999993</v>
      </c>
      <c r="D370">
        <v>50.365634999999997</v>
      </c>
      <c r="E370">
        <v>13.5305</v>
      </c>
      <c r="F370">
        <v>1252.1999510000001</v>
      </c>
      <c r="H370" s="50">
        <f t="shared" si="49"/>
        <v>-2.2858732660770791E-3</v>
      </c>
      <c r="I370" s="50">
        <f t="shared" si="50"/>
        <v>-5.5327398964051507E-3</v>
      </c>
      <c r="J370" s="50">
        <f t="shared" si="51"/>
        <v>-1.2151026621336155E-2</v>
      </c>
      <c r="K370" s="50">
        <f t="shared" si="52"/>
        <v>-5.4393766768348591E-3</v>
      </c>
      <c r="L370" s="50">
        <f t="shared" si="53"/>
        <v>5.2986312838529523E-3</v>
      </c>
      <c r="P370" s="50">
        <f t="shared" si="48"/>
        <v>5.2986312838529523E-3</v>
      </c>
      <c r="Q370" s="51">
        <f t="shared" si="54"/>
        <v>95.379742444696532</v>
      </c>
      <c r="R370" s="51">
        <f t="shared" si="55"/>
        <v>71.858924489079428</v>
      </c>
      <c r="Y370">
        <v>365</v>
      </c>
      <c r="Z370">
        <v>6.5415008511491743</v>
      </c>
    </row>
    <row r="371" spans="1:26" x14ac:dyDescent="0.15">
      <c r="A371" s="59">
        <v>41446.75</v>
      </c>
      <c r="B371">
        <v>12.386075999999999</v>
      </c>
      <c r="C371">
        <v>88.244704999999996</v>
      </c>
      <c r="D371">
        <v>50.985157000000001</v>
      </c>
      <c r="E371">
        <v>13.6045</v>
      </c>
      <c r="F371">
        <v>1245.599976</v>
      </c>
      <c r="H371" s="50">
        <f t="shared" si="49"/>
        <v>-8.5320472879123581E-3</v>
      </c>
      <c r="I371" s="50">
        <f t="shared" si="50"/>
        <v>-8.365158106475418E-3</v>
      </c>
      <c r="J371" s="50">
        <f t="shared" si="51"/>
        <v>1.4465124934912645E-4</v>
      </c>
      <c r="K371" s="50">
        <f t="shared" si="52"/>
        <v>-1.9742767590157501E-2</v>
      </c>
      <c r="L371" s="50">
        <f t="shared" si="53"/>
        <v>8.8386982723983102E-4</v>
      </c>
      <c r="P371" s="50">
        <f t="shared" si="48"/>
        <v>8.8386982723983102E-4</v>
      </c>
      <c r="Q371" s="51">
        <f t="shared" si="54"/>
        <v>95.464045721173292</v>
      </c>
      <c r="R371" s="51">
        <f t="shared" si="55"/>
        <v>71.245820747280078</v>
      </c>
      <c r="Y371">
        <v>366</v>
      </c>
      <c r="Z371">
        <v>7.8895949073523086</v>
      </c>
    </row>
    <row r="372" spans="1:26" x14ac:dyDescent="0.15">
      <c r="A372" s="59">
        <v>41447.75</v>
      </c>
      <c r="B372">
        <v>12.492664</v>
      </c>
      <c r="C372">
        <v>88.989113000000003</v>
      </c>
      <c r="D372">
        <v>50.977783000000002</v>
      </c>
      <c r="E372">
        <v>13.878500000000001</v>
      </c>
      <c r="F372">
        <v>1244.5</v>
      </c>
      <c r="H372" s="50">
        <f t="shared" si="49"/>
        <v>-3.3218445926900676E-3</v>
      </c>
      <c r="I372" s="50">
        <f t="shared" si="50"/>
        <v>-2.7800626371079378E-3</v>
      </c>
      <c r="J372" s="50">
        <f t="shared" si="51"/>
        <v>4.7969412792851027E-3</v>
      </c>
      <c r="K372" s="50">
        <f t="shared" si="52"/>
        <v>7.205908845261914E-5</v>
      </c>
      <c r="L372" s="50">
        <f t="shared" si="53"/>
        <v>-4.84587601881815E-3</v>
      </c>
      <c r="P372" s="50">
        <f t="shared" si="48"/>
        <v>-4.84587601881815E-3</v>
      </c>
      <c r="Q372" s="51">
        <f t="shared" si="54"/>
        <v>95.001438791353706</v>
      </c>
      <c r="R372" s="51">
        <f t="shared" si="55"/>
        <v>71.009153202878963</v>
      </c>
      <c r="Y372">
        <v>367</v>
      </c>
      <c r="Z372">
        <v>8.846171383637758</v>
      </c>
    </row>
    <row r="373" spans="1:26" x14ac:dyDescent="0.15">
      <c r="A373" s="59">
        <v>41450.75</v>
      </c>
      <c r="B373">
        <v>12.534300999999999</v>
      </c>
      <c r="C373">
        <v>89.237198000000006</v>
      </c>
      <c r="D373">
        <v>50.734413000000004</v>
      </c>
      <c r="E373">
        <v>13.8775</v>
      </c>
      <c r="F373">
        <v>1250.5600589999999</v>
      </c>
      <c r="H373" s="50">
        <f t="shared" si="49"/>
        <v>1.0336964354517E-2</v>
      </c>
      <c r="I373" s="50">
        <f t="shared" si="50"/>
        <v>8.3202706523250944E-3</v>
      </c>
      <c r="J373" s="50">
        <f t="shared" si="51"/>
        <v>-1.0161261314087476E-3</v>
      </c>
      <c r="K373" s="50">
        <f t="shared" si="52"/>
        <v>-5.0415931434330899E-4</v>
      </c>
      <c r="L373" s="50">
        <f t="shared" si="53"/>
        <v>9.1672921636516864E-3</v>
      </c>
      <c r="P373" s="50">
        <f t="shared" si="48"/>
        <v>9.1672921636516864E-3</v>
      </c>
      <c r="Q373" s="51">
        <f t="shared" si="54"/>
        <v>95.872344736721317</v>
      </c>
      <c r="R373" s="51">
        <f t="shared" si="55"/>
        <v>71.743172288381558</v>
      </c>
      <c r="Y373">
        <v>368</v>
      </c>
      <c r="Z373">
        <v>7.2291291682667858</v>
      </c>
    </row>
    <row r="374" spans="1:26" x14ac:dyDescent="0.15">
      <c r="A374" s="59">
        <v>41451.75</v>
      </c>
      <c r="B374">
        <v>12.40606</v>
      </c>
      <c r="C374">
        <v>88.500846999999993</v>
      </c>
      <c r="D374">
        <v>50.786017999999999</v>
      </c>
      <c r="E374">
        <v>13.884499999999999</v>
      </c>
      <c r="F374">
        <v>1239.1999510000001</v>
      </c>
      <c r="H374" s="50">
        <f t="shared" si="49"/>
        <v>-1.3404480438732344E-3</v>
      </c>
      <c r="I374" s="50">
        <f t="shared" si="50"/>
        <v>1.267819200503524E-3</v>
      </c>
      <c r="J374" s="50">
        <f t="shared" si="51"/>
        <v>-6.7794232837606648E-3</v>
      </c>
      <c r="K374" s="50">
        <f t="shared" si="52"/>
        <v>-1.5632754342431849E-2</v>
      </c>
      <c r="L374" s="50">
        <f t="shared" si="53"/>
        <v>-5.4575032102728285E-3</v>
      </c>
      <c r="P374" s="50">
        <f t="shared" si="48"/>
        <v>-5.4575032102728285E-3</v>
      </c>
      <c r="Q374" s="51">
        <f t="shared" si="54"/>
        <v>95.349121107544278</v>
      </c>
      <c r="R374" s="51">
        <f t="shared" si="55"/>
        <v>71.647004293426335</v>
      </c>
      <c r="Y374">
        <v>369</v>
      </c>
      <c r="Z374">
        <v>8.1895780698627707</v>
      </c>
    </row>
    <row r="375" spans="1:26" x14ac:dyDescent="0.15">
      <c r="A375" s="59">
        <v>41452.75</v>
      </c>
      <c r="B375">
        <v>12.422712000000001</v>
      </c>
      <c r="C375">
        <v>88.388785999999996</v>
      </c>
      <c r="D375">
        <v>51.132668000000002</v>
      </c>
      <c r="E375">
        <v>14.105</v>
      </c>
      <c r="F375">
        <v>1246</v>
      </c>
      <c r="H375" s="50">
        <f t="shared" si="49"/>
        <v>-1.6065642333956043E-3</v>
      </c>
      <c r="I375" s="50">
        <f t="shared" si="50"/>
        <v>-3.7891247217694598E-3</v>
      </c>
      <c r="J375" s="50">
        <f t="shared" si="51"/>
        <v>-3.3064407097880355E-3</v>
      </c>
      <c r="K375" s="50">
        <f t="shared" si="52"/>
        <v>-5.7448983188242431E-3</v>
      </c>
      <c r="L375" s="50">
        <f t="shared" si="53"/>
        <v>-2.1109771701390459E-2</v>
      </c>
      <c r="P375" s="50">
        <f t="shared" si="48"/>
        <v>-2.1109771701390459E-2</v>
      </c>
      <c r="Q375" s="51">
        <f t="shared" si="54"/>
        <v>93.336322929035788</v>
      </c>
      <c r="R375" s="51">
        <f t="shared" si="55"/>
        <v>71.531898778898579</v>
      </c>
      <c r="Y375">
        <v>370</v>
      </c>
      <c r="Z375">
        <v>7.5537106058448682</v>
      </c>
    </row>
    <row r="376" spans="1:26" x14ac:dyDescent="0.15">
      <c r="A376" s="59">
        <v>41453.75</v>
      </c>
      <c r="B376">
        <v>12.442702000000001</v>
      </c>
      <c r="C376">
        <v>88.724975999999998</v>
      </c>
      <c r="D376">
        <v>51.302295999999998</v>
      </c>
      <c r="E376">
        <v>14.186500000000001</v>
      </c>
      <c r="F376">
        <v>1272.869995</v>
      </c>
      <c r="H376" s="50">
        <f t="shared" si="49"/>
        <v>-6.6861954439575543E-4</v>
      </c>
      <c r="I376" s="50">
        <f t="shared" si="50"/>
        <v>-5.4056998705150473E-4</v>
      </c>
      <c r="J376" s="50">
        <f t="shared" si="51"/>
        <v>2.59427736199662E-3</v>
      </c>
      <c r="K376" s="50">
        <f t="shared" si="52"/>
        <v>-1.0562264549518567E-3</v>
      </c>
      <c r="L376" s="50">
        <f t="shared" si="53"/>
        <v>2.1020658974973947E-3</v>
      </c>
      <c r="P376" s="50">
        <f t="shared" si="48"/>
        <v>2.1020658974973947E-3</v>
      </c>
      <c r="Q376" s="51">
        <f t="shared" si="54"/>
        <v>93.532522030462701</v>
      </c>
      <c r="R376" s="51">
        <f t="shared" si="55"/>
        <v>71.484071153327264</v>
      </c>
      <c r="Y376">
        <v>371</v>
      </c>
      <c r="Z376">
        <v>6.4251625731684028</v>
      </c>
    </row>
    <row r="377" spans="1:26" x14ac:dyDescent="0.15">
      <c r="A377" s="59">
        <v>41454.75</v>
      </c>
      <c r="B377">
        <v>12.451027</v>
      </c>
      <c r="C377">
        <v>88.772964000000002</v>
      </c>
      <c r="D377">
        <v>51.169547999999999</v>
      </c>
      <c r="E377">
        <v>14.201499999999999</v>
      </c>
      <c r="F377">
        <v>1270.1999510000001</v>
      </c>
      <c r="H377" s="50">
        <f t="shared" si="49"/>
        <v>-5.9830890555311314E-3</v>
      </c>
      <c r="I377" s="50">
        <f t="shared" si="50"/>
        <v>-7.6061758304846799E-3</v>
      </c>
      <c r="J377" s="50">
        <f t="shared" si="51"/>
        <v>-1.2384274038705758E-2</v>
      </c>
      <c r="K377" s="50">
        <f t="shared" si="52"/>
        <v>-6.4712466769274611E-3</v>
      </c>
      <c r="L377" s="50">
        <f t="shared" si="53"/>
        <v>-7.803521711939489E-3</v>
      </c>
      <c r="P377" s="50">
        <f t="shared" si="48"/>
        <v>-7.803521711939489E-3</v>
      </c>
      <c r="Q377" s="51">
        <f t="shared" si="54"/>
        <v>92.802638964025519</v>
      </c>
      <c r="R377" s="51">
        <f t="shared" si="55"/>
        <v>71.056375589564979</v>
      </c>
      <c r="Y377">
        <v>372</v>
      </c>
      <c r="Z377">
        <v>8.4168958293760152</v>
      </c>
    </row>
    <row r="378" spans="1:26" x14ac:dyDescent="0.15">
      <c r="A378" s="59">
        <v>41457.75</v>
      </c>
      <c r="B378">
        <v>12.525971</v>
      </c>
      <c r="C378">
        <v>89.453361999999998</v>
      </c>
      <c r="D378">
        <v>51.811191999999998</v>
      </c>
      <c r="E378">
        <v>14.294</v>
      </c>
      <c r="F378">
        <v>1280.1899410000001</v>
      </c>
      <c r="H378" s="50">
        <f t="shared" si="49"/>
        <v>-1.9554094110814317E-2</v>
      </c>
      <c r="I378" s="50">
        <f t="shared" si="50"/>
        <v>-7.6357699324894378E-3</v>
      </c>
      <c r="J378" s="50">
        <f t="shared" si="51"/>
        <v>-1.306499681334569E-2</v>
      </c>
      <c r="K378" s="50">
        <f t="shared" si="52"/>
        <v>-1.6208403592690736E-2</v>
      </c>
      <c r="L378" s="50">
        <f t="shared" si="53"/>
        <v>7.3017812053878979E-3</v>
      </c>
      <c r="P378" s="50">
        <f t="shared" si="48"/>
        <v>7.3017812053878979E-3</v>
      </c>
      <c r="Q378" s="51">
        <f t="shared" si="54"/>
        <v>93.480263529023446</v>
      </c>
      <c r="R378" s="51">
        <f t="shared" si="55"/>
        <v>69.666932534113258</v>
      </c>
      <c r="Y378">
        <v>373</v>
      </c>
      <c r="Z378">
        <v>9.7827084480753914</v>
      </c>
    </row>
    <row r="379" spans="1:26" x14ac:dyDescent="0.15">
      <c r="A379" s="59">
        <v>41459.75</v>
      </c>
      <c r="B379">
        <v>12.775790000000001</v>
      </c>
      <c r="C379">
        <v>90.141662999999994</v>
      </c>
      <c r="D379">
        <v>52.497065999999997</v>
      </c>
      <c r="E379">
        <v>14.529500000000001</v>
      </c>
      <c r="F379">
        <v>1270.910034</v>
      </c>
      <c r="H379" s="50">
        <f t="shared" si="49"/>
        <v>-4.1544652277698806E-3</v>
      </c>
      <c r="I379" s="50">
        <f t="shared" si="50"/>
        <v>-6.4404047462704173E-3</v>
      </c>
      <c r="J379" s="50">
        <f t="shared" si="51"/>
        <v>-8.22096636037567E-3</v>
      </c>
      <c r="K379" s="50">
        <f t="shared" si="52"/>
        <v>-3.2243679895721761E-3</v>
      </c>
      <c r="L379" s="50">
        <f t="shared" si="53"/>
        <v>-2.4880086882082949E-3</v>
      </c>
      <c r="P379" s="50">
        <f t="shared" si="48"/>
        <v>-2.4880086882082949E-3</v>
      </c>
      <c r="Q379" s="51">
        <f t="shared" si="54"/>
        <v>93.247683821187238</v>
      </c>
      <c r="R379" s="51">
        <f t="shared" si="55"/>
        <v>69.37750368537489</v>
      </c>
      <c r="Y379">
        <v>374</v>
      </c>
      <c r="Z379">
        <v>7.486922695737273</v>
      </c>
    </row>
    <row r="380" spans="1:26" x14ac:dyDescent="0.15">
      <c r="A380" s="59">
        <v>41460.75</v>
      </c>
      <c r="B380">
        <v>12.829088</v>
      </c>
      <c r="C380">
        <v>90.725975000000005</v>
      </c>
      <c r="D380">
        <v>52.932220000000001</v>
      </c>
      <c r="E380">
        <v>14.576499999999999</v>
      </c>
      <c r="F380">
        <v>1274.079956</v>
      </c>
      <c r="H380" s="50">
        <f t="shared" si="49"/>
        <v>3.3869650376515967E-3</v>
      </c>
      <c r="I380" s="50">
        <f t="shared" si="50"/>
        <v>-2.6395770986609142E-3</v>
      </c>
      <c r="J380" s="50">
        <f t="shared" si="51"/>
        <v>-3.6096317937636389E-3</v>
      </c>
      <c r="K380" s="50">
        <f t="shared" si="52"/>
        <v>-2.736633256935718E-3</v>
      </c>
      <c r="L380" s="50">
        <f t="shared" si="53"/>
        <v>6.7958214558241923E-3</v>
      </c>
      <c r="P380" s="50">
        <f t="shared" si="48"/>
        <v>6.7958214558241923E-3</v>
      </c>
      <c r="Q380" s="51">
        <f t="shared" si="54"/>
        <v>93.881378431605171</v>
      </c>
      <c r="R380" s="51">
        <f t="shared" si="55"/>
        <v>69.612482864756799</v>
      </c>
      <c r="Y380">
        <v>375</v>
      </c>
      <c r="Z380">
        <v>12.218767063684513</v>
      </c>
    </row>
    <row r="381" spans="1:26" x14ac:dyDescent="0.15">
      <c r="A381" s="59">
        <v>41461.75</v>
      </c>
      <c r="B381">
        <v>12.785783</v>
      </c>
      <c r="C381">
        <v>90.966087000000002</v>
      </c>
      <c r="D381">
        <v>53.123978000000001</v>
      </c>
      <c r="E381">
        <v>14.6165</v>
      </c>
      <c r="F381">
        <v>1265.4799800000001</v>
      </c>
      <c r="H381" s="50">
        <f t="shared" si="49"/>
        <v>-1.1078720583617255E-2</v>
      </c>
      <c r="I381" s="50">
        <f t="shared" si="50"/>
        <v>-1.9328754536096136E-2</v>
      </c>
      <c r="J381" s="50">
        <f t="shared" si="51"/>
        <v>-7.4410562786608988E-3</v>
      </c>
      <c r="K381" s="50">
        <f t="shared" si="52"/>
        <v>-2.4461055863311772E-2</v>
      </c>
      <c r="L381" s="50">
        <f t="shared" si="53"/>
        <v>-1.4676298782484189E-3</v>
      </c>
      <c r="P381" s="50">
        <f t="shared" si="48"/>
        <v>-1.4676298782484189E-3</v>
      </c>
      <c r="Q381" s="51">
        <f t="shared" si="54"/>
        <v>93.743595315607791</v>
      </c>
      <c r="R381" s="51">
        <f t="shared" si="55"/>
        <v>68.841265617966314</v>
      </c>
      <c r="Y381">
        <v>376</v>
      </c>
      <c r="Z381">
        <v>6.1290433598865164</v>
      </c>
    </row>
    <row r="382" spans="1:26" x14ac:dyDescent="0.15">
      <c r="A382" s="59">
        <v>41464.75</v>
      </c>
      <c r="B382">
        <v>12.92902</v>
      </c>
      <c r="C382">
        <v>92.759003000000007</v>
      </c>
      <c r="D382">
        <v>53.522239999999996</v>
      </c>
      <c r="E382">
        <v>14.983000000000001</v>
      </c>
      <c r="F382">
        <v>1267.339966</v>
      </c>
      <c r="H382" s="50">
        <f t="shared" si="49"/>
        <v>0</v>
      </c>
      <c r="I382" s="50">
        <f t="shared" si="50"/>
        <v>-4.8944464445941178E-3</v>
      </c>
      <c r="J382" s="50">
        <f t="shared" si="51"/>
        <v>1.3794299893311459E-4</v>
      </c>
      <c r="K382" s="50">
        <f t="shared" si="52"/>
        <v>-2.5654365143878977E-2</v>
      </c>
      <c r="L382" s="50">
        <f t="shared" si="53"/>
        <v>-4.0002890406421691E-3</v>
      </c>
      <c r="P382" s="50">
        <f t="shared" si="48"/>
        <v>-4.0002890406421691E-3</v>
      </c>
      <c r="Q382" s="51">
        <f t="shared" si="54"/>
        <v>93.368593838636372</v>
      </c>
      <c r="R382" s="51">
        <f t="shared" si="55"/>
        <v>68.841265617966314</v>
      </c>
      <c r="Y382">
        <v>377</v>
      </c>
      <c r="Z382">
        <v>5.7281571860959133</v>
      </c>
    </row>
    <row r="383" spans="1:26" x14ac:dyDescent="0.15">
      <c r="A383" s="59">
        <v>41465.75</v>
      </c>
      <c r="B383">
        <v>12.92902</v>
      </c>
      <c r="C383">
        <v>93.215239999999994</v>
      </c>
      <c r="D383">
        <v>53.514857999999997</v>
      </c>
      <c r="E383">
        <v>15.3775</v>
      </c>
      <c r="F383">
        <v>1272.4300539999999</v>
      </c>
      <c r="H383" s="50">
        <f t="shared" si="49"/>
        <v>7.7894858933073826E-3</v>
      </c>
      <c r="I383" s="50">
        <f t="shared" si="50"/>
        <v>4.9185198767173824E-3</v>
      </c>
      <c r="J383" s="50">
        <f t="shared" si="51"/>
        <v>2.9018357115933968E-3</v>
      </c>
      <c r="K383" s="50">
        <f t="shared" si="52"/>
        <v>3.1966598166813117E-3</v>
      </c>
      <c r="L383" s="50">
        <f t="shared" si="53"/>
        <v>1.0988461992470241E-2</v>
      </c>
      <c r="P383" s="50">
        <f t="shared" si="48"/>
        <v>1.0988461992470241E-2</v>
      </c>
      <c r="Q383" s="51">
        <f t="shared" si="54"/>
        <v>94.394571083322617</v>
      </c>
      <c r="R383" s="51">
        <f t="shared" si="55"/>
        <v>69.37750368537489</v>
      </c>
      <c r="Y383">
        <v>378</v>
      </c>
      <c r="Z383">
        <v>6.951419821346156</v>
      </c>
    </row>
    <row r="384" spans="1:26" x14ac:dyDescent="0.15">
      <c r="A384" s="59">
        <v>41466.75</v>
      </c>
      <c r="B384">
        <v>12.829088</v>
      </c>
      <c r="C384">
        <v>92.759003000000007</v>
      </c>
      <c r="D384">
        <v>53.360016000000002</v>
      </c>
      <c r="E384">
        <v>15.3285</v>
      </c>
      <c r="F384">
        <v>1258.599976</v>
      </c>
      <c r="H384" s="50">
        <f t="shared" si="49"/>
        <v>-4.3947108259477646E-3</v>
      </c>
      <c r="I384" s="50">
        <f t="shared" si="50"/>
        <v>-5.4920671969085171E-3</v>
      </c>
      <c r="J384" s="50">
        <f t="shared" si="51"/>
        <v>3.8855778484812552E-3</v>
      </c>
      <c r="K384" s="50">
        <f t="shared" si="52"/>
        <v>-9.7761266986023834E-4</v>
      </c>
      <c r="L384" s="50">
        <f t="shared" si="53"/>
        <v>1.3137091975258629E-2</v>
      </c>
      <c r="P384" s="50">
        <f t="shared" si="48"/>
        <v>1.3137091975258629E-2</v>
      </c>
      <c r="Q384" s="51">
        <f t="shared" si="54"/>
        <v>95.634641245609316</v>
      </c>
      <c r="R384" s="51">
        <f t="shared" si="55"/>
        <v>69.072609618851544</v>
      </c>
      <c r="Y384">
        <v>379</v>
      </c>
      <c r="Z384">
        <v>6.8061282990075185</v>
      </c>
    </row>
    <row r="385" spans="1:26" x14ac:dyDescent="0.15">
      <c r="A385" s="59">
        <v>41467.75</v>
      </c>
      <c r="B385">
        <v>12.885717</v>
      </c>
      <c r="C385">
        <v>93.271254999999996</v>
      </c>
      <c r="D385">
        <v>53.153483999999999</v>
      </c>
      <c r="E385">
        <v>15.343500000000001</v>
      </c>
      <c r="F385">
        <v>1242.280029</v>
      </c>
      <c r="H385" s="50">
        <f t="shared" si="49"/>
        <v>2.2022333905402664E-3</v>
      </c>
      <c r="I385" s="50">
        <f t="shared" si="50"/>
        <v>-7.4104586561848573E-3</v>
      </c>
      <c r="J385" s="50">
        <f t="shared" si="51"/>
        <v>-7.4371788130653095E-3</v>
      </c>
      <c r="K385" s="50">
        <f t="shared" si="52"/>
        <v>-5.8958826006672909E-3</v>
      </c>
      <c r="L385" s="50">
        <f t="shared" si="53"/>
        <v>4.9183613015690514E-3</v>
      </c>
      <c r="P385" s="50">
        <f t="shared" ref="P385:P448" si="56">(F385-F386)/F386</f>
        <v>4.9183613015690514E-3</v>
      </c>
      <c r="Q385" s="51">
        <f t="shared" si="54"/>
        <v>96.105006964201166</v>
      </c>
      <c r="R385" s="51">
        <f t="shared" si="55"/>
        <v>69.224723626125936</v>
      </c>
      <c r="Y385">
        <v>380</v>
      </c>
      <c r="Z385">
        <v>7.4216465413701558</v>
      </c>
    </row>
    <row r="386" spans="1:26" x14ac:dyDescent="0.15">
      <c r="A386" s="59">
        <v>41468.75</v>
      </c>
      <c r="B386">
        <v>12.857402</v>
      </c>
      <c r="C386">
        <v>93.967597999999995</v>
      </c>
      <c r="D386">
        <v>53.551758</v>
      </c>
      <c r="E386">
        <v>15.4345</v>
      </c>
      <c r="F386">
        <v>1236.1999510000001</v>
      </c>
      <c r="H386" s="50">
        <f t="shared" ref="H386:H449" si="57">(B386-B387)/B387</f>
        <v>-1.8102250347980342E-3</v>
      </c>
      <c r="I386" s="50">
        <f t="shared" ref="I386:I449" si="58">(C386-C387)/C387</f>
        <v>2.9044415330026553E-3</v>
      </c>
      <c r="J386" s="50">
        <f t="shared" ref="J386:J449" si="59">(D386-D387)/D387</f>
        <v>2.6239238996914036E-3</v>
      </c>
      <c r="K386" s="50">
        <f t="shared" ref="K386:K449" si="60">(E386-E387)/E387</f>
        <v>1.5060340008549484E-2</v>
      </c>
      <c r="L386" s="50">
        <f t="shared" ref="L386:L449" si="61">(F386-F387)/F387</f>
        <v>1.3851558245523085E-3</v>
      </c>
      <c r="P386" s="50">
        <f t="shared" si="56"/>
        <v>1.3851558245523085E-3</v>
      </c>
      <c r="Q386" s="51">
        <f t="shared" si="54"/>
        <v>96.238127374366272</v>
      </c>
      <c r="R386" s="51">
        <f t="shared" si="55"/>
        <v>69.099411298390947</v>
      </c>
      <c r="Y386">
        <v>381</v>
      </c>
      <c r="Z386">
        <v>6.0017935123915835</v>
      </c>
    </row>
    <row r="387" spans="1:26" x14ac:dyDescent="0.15">
      <c r="A387" s="59">
        <v>41471.75</v>
      </c>
      <c r="B387">
        <v>12.880718999999999</v>
      </c>
      <c r="C387">
        <v>93.695464999999999</v>
      </c>
      <c r="D387">
        <v>53.411610000000003</v>
      </c>
      <c r="E387">
        <v>15.205500000000001</v>
      </c>
      <c r="F387">
        <v>1234.48999</v>
      </c>
      <c r="H387" s="50">
        <f t="shared" si="57"/>
        <v>-9.4775708793434724E-3</v>
      </c>
      <c r="I387" s="50">
        <f t="shared" si="58"/>
        <v>-8.5543363334605327E-3</v>
      </c>
      <c r="J387" s="50">
        <f t="shared" si="59"/>
        <v>-1.7921598435986503E-3</v>
      </c>
      <c r="K387" s="50">
        <f t="shared" si="60"/>
        <v>-3.6693640860989522E-3</v>
      </c>
      <c r="L387" s="50">
        <f t="shared" si="61"/>
        <v>-1.9161384705965866E-3</v>
      </c>
      <c r="P387" s="50">
        <f t="shared" si="56"/>
        <v>-1.9161384705965866E-3</v>
      </c>
      <c r="Q387" s="51">
        <f t="shared" ref="Q387:Q450" si="62">Q386*(1+P387)</f>
        <v>96.053721796166073</v>
      </c>
      <c r="R387" s="51">
        <f t="shared" ref="R387:R450" si="63">R386*(1+H387)</f>
        <v>68.444516730089546</v>
      </c>
      <c r="Y387">
        <v>382</v>
      </c>
      <c r="Z387">
        <v>6.1402240001892681</v>
      </c>
    </row>
    <row r="388" spans="1:26" x14ac:dyDescent="0.15">
      <c r="A388" s="59">
        <v>41472.75</v>
      </c>
      <c r="B388">
        <v>13.003965000000001</v>
      </c>
      <c r="C388">
        <v>94.503883000000002</v>
      </c>
      <c r="D388">
        <v>53.507503999999997</v>
      </c>
      <c r="E388">
        <v>15.2615</v>
      </c>
      <c r="F388">
        <v>1236.8599850000001</v>
      </c>
      <c r="H388" s="50">
        <f t="shared" si="57"/>
        <v>2.6970495074133869E-3</v>
      </c>
      <c r="I388" s="50">
        <f t="shared" si="58"/>
        <v>1.6931271135972809E-4</v>
      </c>
      <c r="J388" s="50">
        <f t="shared" si="59"/>
        <v>-6.5724120886041211E-3</v>
      </c>
      <c r="K388" s="50">
        <f t="shared" si="60"/>
        <v>5.7664425991828363E-3</v>
      </c>
      <c r="L388" s="50">
        <f t="shared" si="61"/>
        <v>-1.8217090613022215E-2</v>
      </c>
      <c r="P388" s="50">
        <f t="shared" si="56"/>
        <v>-1.8217090613022215E-2</v>
      </c>
      <c r="Q388" s="51">
        <f t="shared" si="62"/>
        <v>94.303902442487285</v>
      </c>
      <c r="R388" s="51">
        <f t="shared" si="63"/>
        <v>68.629114980221587</v>
      </c>
      <c r="Y388">
        <v>383</v>
      </c>
      <c r="Z388">
        <v>9.0682185842650682</v>
      </c>
    </row>
    <row r="389" spans="1:26" x14ac:dyDescent="0.15">
      <c r="A389" s="59">
        <v>41473.75</v>
      </c>
      <c r="B389">
        <v>12.968987</v>
      </c>
      <c r="C389">
        <v>94.487885000000006</v>
      </c>
      <c r="D389">
        <v>53.861503999999996</v>
      </c>
      <c r="E389">
        <v>15.173999999999999</v>
      </c>
      <c r="F389">
        <v>1259.8100589999999</v>
      </c>
      <c r="H389" s="50">
        <f t="shared" si="57"/>
        <v>-8.6570036935570867E-3</v>
      </c>
      <c r="I389" s="50">
        <f t="shared" si="58"/>
        <v>-8.8158514547910759E-3</v>
      </c>
      <c r="J389" s="50">
        <f t="shared" si="59"/>
        <v>-3.0037329674303614E-3</v>
      </c>
      <c r="K389" s="50">
        <f t="shared" si="60"/>
        <v>8.0382647977146528E-3</v>
      </c>
      <c r="L389" s="50">
        <f t="shared" si="61"/>
        <v>8.5499939615972381E-3</v>
      </c>
      <c r="P389" s="50">
        <f t="shared" si="56"/>
        <v>8.5499939615972381E-3</v>
      </c>
      <c r="Q389" s="51">
        <f t="shared" si="62"/>
        <v>95.1102002389256</v>
      </c>
      <c r="R389" s="51">
        <f t="shared" si="63"/>
        <v>68.034992478352251</v>
      </c>
      <c r="Y389">
        <v>384</v>
      </c>
      <c r="Z389">
        <v>8.481772320927627</v>
      </c>
    </row>
    <row r="390" spans="1:26" x14ac:dyDescent="0.15">
      <c r="A390" s="59">
        <v>41474.75</v>
      </c>
      <c r="B390">
        <v>13.082240000000001</v>
      </c>
      <c r="C390">
        <v>95.328284999999994</v>
      </c>
      <c r="D390">
        <v>54.023777000000003</v>
      </c>
      <c r="E390">
        <v>15.053000000000001</v>
      </c>
      <c r="F390">
        <v>1249.130005</v>
      </c>
      <c r="H390" s="50">
        <f t="shared" si="57"/>
        <v>4.0907389103428228E-3</v>
      </c>
      <c r="I390" s="50">
        <f t="shared" si="58"/>
        <v>1.0177876206339314E-2</v>
      </c>
      <c r="J390" s="50">
        <f t="shared" si="59"/>
        <v>-9.5446375883735906E-4</v>
      </c>
      <c r="K390" s="50">
        <f t="shared" si="60"/>
        <v>7.0917240917911057E-3</v>
      </c>
      <c r="L390" s="50">
        <f t="shared" si="61"/>
        <v>7.1273377371693977E-3</v>
      </c>
      <c r="P390" s="50">
        <f t="shared" si="56"/>
        <v>7.1273377371693977E-3</v>
      </c>
      <c r="Q390" s="51">
        <f t="shared" si="62"/>
        <v>95.788082758278236</v>
      </c>
      <c r="R390" s="51">
        <f t="shared" si="63"/>
        <v>68.313305869348326</v>
      </c>
      <c r="Y390">
        <v>385</v>
      </c>
      <c r="Z390">
        <v>6.4482383098863076</v>
      </c>
    </row>
    <row r="391" spans="1:26" x14ac:dyDescent="0.15">
      <c r="A391" s="59">
        <v>41475.75</v>
      </c>
      <c r="B391">
        <v>13.028942000000001</v>
      </c>
      <c r="C391">
        <v>94.367821000000006</v>
      </c>
      <c r="D391">
        <v>54.075389999999999</v>
      </c>
      <c r="E391">
        <v>14.946999999999999</v>
      </c>
      <c r="F391">
        <v>1240.290039</v>
      </c>
      <c r="H391" s="50">
        <f t="shared" si="57"/>
        <v>2.820208675892073E-3</v>
      </c>
      <c r="I391" s="50">
        <f t="shared" si="58"/>
        <v>3.8315188227969464E-3</v>
      </c>
      <c r="J391" s="50">
        <f t="shared" si="59"/>
        <v>2.0885399450460751E-2</v>
      </c>
      <c r="K391" s="50">
        <f t="shared" si="60"/>
        <v>-1.4700065919578164E-2</v>
      </c>
      <c r="L391" s="50">
        <f t="shared" si="61"/>
        <v>-1.635326426468902E-2</v>
      </c>
      <c r="P391" s="50">
        <f t="shared" si="56"/>
        <v>-1.635326426468902E-2</v>
      </c>
      <c r="Q391" s="51">
        <f t="shared" si="62"/>
        <v>94.221634927524221</v>
      </c>
      <c r="R391" s="51">
        <f t="shared" si="63"/>
        <v>68.505963647239938</v>
      </c>
      <c r="Y391">
        <v>386</v>
      </c>
      <c r="Z391">
        <v>5.6791571354795813</v>
      </c>
    </row>
    <row r="392" spans="1:26" x14ac:dyDescent="0.15">
      <c r="A392" s="59">
        <v>41478.75</v>
      </c>
      <c r="B392">
        <v>12.992300999999999</v>
      </c>
      <c r="C392">
        <v>94.007628999999994</v>
      </c>
      <c r="D392">
        <v>52.969109000000003</v>
      </c>
      <c r="E392">
        <v>15.17</v>
      </c>
      <c r="F392">
        <v>1260.910034</v>
      </c>
      <c r="H392" s="50">
        <f t="shared" si="57"/>
        <v>1.2778430256053791E-4</v>
      </c>
      <c r="I392" s="50">
        <f t="shared" si="58"/>
        <v>7.5492323896373574E-3</v>
      </c>
      <c r="J392" s="50">
        <f t="shared" si="59"/>
        <v>5.0380252106939942E-3</v>
      </c>
      <c r="K392" s="50">
        <f t="shared" si="60"/>
        <v>-2.759526938239161E-2</v>
      </c>
      <c r="L392" s="50">
        <f t="shared" si="61"/>
        <v>-6.2811069357184704E-3</v>
      </c>
      <c r="P392" s="50">
        <f t="shared" si="56"/>
        <v>-6.2811069357184704E-3</v>
      </c>
      <c r="Q392" s="51">
        <f t="shared" si="62"/>
        <v>93.629818762886217</v>
      </c>
      <c r="R392" s="51">
        <f t="shared" si="63"/>
        <v>68.514717634025828</v>
      </c>
      <c r="Y392">
        <v>387</v>
      </c>
      <c r="Z392">
        <v>6.4955068539134349</v>
      </c>
    </row>
    <row r="393" spans="1:26" x14ac:dyDescent="0.15">
      <c r="A393" s="59">
        <v>41479.75</v>
      </c>
      <c r="B393">
        <v>12.990641</v>
      </c>
      <c r="C393">
        <v>93.303261000000006</v>
      </c>
      <c r="D393">
        <v>52.703586999999999</v>
      </c>
      <c r="E393">
        <v>15.6005</v>
      </c>
      <c r="F393">
        <v>1268.880005</v>
      </c>
      <c r="H393" s="50">
        <f t="shared" si="57"/>
        <v>1.2833962097386745E-4</v>
      </c>
      <c r="I393" s="50">
        <f t="shared" si="58"/>
        <v>-4.8661199217495408E-3</v>
      </c>
      <c r="J393" s="50">
        <f t="shared" si="59"/>
        <v>-6.9942487245336132E-4</v>
      </c>
      <c r="K393" s="50">
        <f t="shared" si="60"/>
        <v>1.930741587716436E-2</v>
      </c>
      <c r="L393" s="50">
        <f t="shared" si="61"/>
        <v>3.7841453084043182E-4</v>
      </c>
      <c r="P393" s="50">
        <f t="shared" si="56"/>
        <v>3.7841453084043182E-4</v>
      </c>
      <c r="Q393" s="51">
        <f t="shared" si="62"/>
        <v>93.665249646826055</v>
      </c>
      <c r="R393" s="51">
        <f t="shared" si="63"/>
        <v>68.523510786918109</v>
      </c>
      <c r="Y393">
        <v>388</v>
      </c>
      <c r="Z393">
        <v>7.5796364223070238</v>
      </c>
    </row>
    <row r="394" spans="1:26" x14ac:dyDescent="0.15">
      <c r="A394" s="59">
        <v>41480.75</v>
      </c>
      <c r="B394">
        <v>12.988974000000001</v>
      </c>
      <c r="C394">
        <v>93.759506000000002</v>
      </c>
      <c r="D394">
        <v>52.740475000000004</v>
      </c>
      <c r="E394">
        <v>15.305</v>
      </c>
      <c r="F394">
        <v>1268.400024</v>
      </c>
      <c r="H394" s="50">
        <f t="shared" si="57"/>
        <v>1.2842735690794947E-3</v>
      </c>
      <c r="I394" s="50">
        <f t="shared" si="58"/>
        <v>1.7960836746894601E-3</v>
      </c>
      <c r="J394" s="50">
        <f t="shared" si="59"/>
        <v>1.2602780368816699E-3</v>
      </c>
      <c r="K394" s="50">
        <f t="shared" si="60"/>
        <v>1.2201977447835712E-2</v>
      </c>
      <c r="L394" s="50">
        <f t="shared" si="61"/>
        <v>4.1165873984426509E-3</v>
      </c>
      <c r="P394" s="50">
        <f t="shared" si="56"/>
        <v>4.1165873984426509E-3</v>
      </c>
      <c r="Q394" s="51">
        <f t="shared" si="62"/>
        <v>94.050830833194155</v>
      </c>
      <c r="R394" s="51">
        <f t="shared" si="63"/>
        <v>68.611513720682282</v>
      </c>
      <c r="Y394">
        <v>389</v>
      </c>
      <c r="Z394">
        <v>6.3764425454731493</v>
      </c>
    </row>
    <row r="395" spans="1:26" x14ac:dyDescent="0.15">
      <c r="A395" s="59">
        <v>41481.75</v>
      </c>
      <c r="B395">
        <v>12.972314000000001</v>
      </c>
      <c r="C395">
        <v>93.591408000000001</v>
      </c>
      <c r="D395">
        <v>52.674090999999997</v>
      </c>
      <c r="E395">
        <v>15.1205</v>
      </c>
      <c r="F395">
        <v>1263.1999510000001</v>
      </c>
      <c r="H395" s="50">
        <f t="shared" si="57"/>
        <v>-6.4203266277612788E-4</v>
      </c>
      <c r="I395" s="50">
        <f t="shared" si="58"/>
        <v>-4.1730257545773454E-3</v>
      </c>
      <c r="J395" s="50">
        <f t="shared" si="59"/>
        <v>2.3858622466461673E-3</v>
      </c>
      <c r="K395" s="50">
        <f t="shared" si="60"/>
        <v>3.9506008897151508E-3</v>
      </c>
      <c r="L395" s="50">
        <f t="shared" si="61"/>
        <v>-1.200586399570807E-2</v>
      </c>
      <c r="P395" s="50">
        <f t="shared" si="56"/>
        <v>-1.200586399570807E-2</v>
      </c>
      <c r="Q395" s="51">
        <f t="shared" si="62"/>
        <v>92.921669349527477</v>
      </c>
      <c r="R395" s="51">
        <f t="shared" si="63"/>
        <v>68.567462887831084</v>
      </c>
      <c r="Y395">
        <v>390</v>
      </c>
      <c r="Z395">
        <v>14.56635734169066</v>
      </c>
    </row>
    <row r="396" spans="1:26" x14ac:dyDescent="0.15">
      <c r="A396" s="59">
        <v>41482.75</v>
      </c>
      <c r="B396">
        <v>12.980648</v>
      </c>
      <c r="C396">
        <v>93.983604</v>
      </c>
      <c r="D396">
        <v>52.548717000000003</v>
      </c>
      <c r="E396">
        <v>15.061</v>
      </c>
      <c r="F396">
        <v>1278.5500489999999</v>
      </c>
      <c r="H396" s="50">
        <f t="shared" si="57"/>
        <v>-3.5794888556543269E-3</v>
      </c>
      <c r="I396" s="50">
        <f t="shared" si="58"/>
        <v>-7.7743043585332249E-3</v>
      </c>
      <c r="J396" s="50">
        <f t="shared" si="59"/>
        <v>-4.6101220267920767E-3</v>
      </c>
      <c r="K396" s="50">
        <f t="shared" si="60"/>
        <v>-1.4235690676440709E-2</v>
      </c>
      <c r="L396" s="50">
        <f t="shared" si="61"/>
        <v>1.4804371952321558E-3</v>
      </c>
      <c r="P396" s="50">
        <f t="shared" si="56"/>
        <v>1.4804371952321558E-3</v>
      </c>
      <c r="Q396" s="51">
        <f t="shared" si="62"/>
        <v>93.059234045075584</v>
      </c>
      <c r="R396" s="51">
        <f t="shared" si="63"/>
        <v>68.32202641856361</v>
      </c>
      <c r="Y396">
        <v>391</v>
      </c>
      <c r="Z396">
        <v>7.363671135764867</v>
      </c>
    </row>
    <row r="397" spans="1:26" x14ac:dyDescent="0.15">
      <c r="A397" s="59">
        <v>41485.75</v>
      </c>
      <c r="B397">
        <v>13.027279</v>
      </c>
      <c r="C397">
        <v>94.719986000000006</v>
      </c>
      <c r="D397">
        <v>52.792095000000003</v>
      </c>
      <c r="E397">
        <v>15.278499999999999</v>
      </c>
      <c r="F397">
        <v>1276.660034</v>
      </c>
      <c r="H397" s="50">
        <f t="shared" si="57"/>
        <v>-6.7300281109129003E-3</v>
      </c>
      <c r="I397" s="50">
        <f t="shared" si="58"/>
        <v>-8.6287098467747198E-3</v>
      </c>
      <c r="J397" s="50">
        <f t="shared" si="59"/>
        <v>1.1190887723952906E-3</v>
      </c>
      <c r="K397" s="50">
        <f t="shared" si="60"/>
        <v>4.4705959698891958E-3</v>
      </c>
      <c r="L397" s="50">
        <f t="shared" si="61"/>
        <v>4.5164052822193384E-3</v>
      </c>
      <c r="P397" s="50">
        <f t="shared" si="56"/>
        <v>4.5164052822193384E-3</v>
      </c>
      <c r="Q397" s="51">
        <f t="shared" si="62"/>
        <v>93.479527261276047</v>
      </c>
      <c r="R397" s="51">
        <f t="shared" si="63"/>
        <v>67.862217260172145</v>
      </c>
      <c r="Y397">
        <v>392</v>
      </c>
      <c r="Z397">
        <v>10.905768549126647</v>
      </c>
    </row>
    <row r="398" spans="1:26" x14ac:dyDescent="0.15">
      <c r="A398" s="59">
        <v>41486.75</v>
      </c>
      <c r="B398">
        <v>13.115546999999999</v>
      </c>
      <c r="C398">
        <v>95.544410999999997</v>
      </c>
      <c r="D398">
        <v>52.733082000000003</v>
      </c>
      <c r="E398">
        <v>15.2105</v>
      </c>
      <c r="F398">
        <v>1270.920044</v>
      </c>
      <c r="H398" s="50">
        <f t="shared" si="57"/>
        <v>-2.5406132230810575E-4</v>
      </c>
      <c r="I398" s="50">
        <f t="shared" si="58"/>
        <v>-5.8298095629741344E-3</v>
      </c>
      <c r="J398" s="50">
        <f t="shared" si="59"/>
        <v>-6.8063782846809169E-3</v>
      </c>
      <c r="K398" s="50">
        <f t="shared" si="60"/>
        <v>1.0698029834878208E-2</v>
      </c>
      <c r="L398" s="50">
        <f t="shared" si="61"/>
        <v>-5.0805847983499044E-3</v>
      </c>
      <c r="P398" s="50">
        <f t="shared" si="56"/>
        <v>-5.0805847983499044E-3</v>
      </c>
      <c r="Q398" s="51">
        <f t="shared" si="62"/>
        <v>93.004596596115462</v>
      </c>
      <c r="R398" s="51">
        <f t="shared" si="63"/>
        <v>67.844976095520266</v>
      </c>
      <c r="Y398">
        <v>393</v>
      </c>
      <c r="Z398">
        <v>8.8547457741927076</v>
      </c>
    </row>
    <row r="399" spans="1:26" x14ac:dyDescent="0.15">
      <c r="A399" s="59">
        <v>41487.75</v>
      </c>
      <c r="B399">
        <v>13.118880000000001</v>
      </c>
      <c r="C399">
        <v>96.104682999999994</v>
      </c>
      <c r="D399">
        <v>53.094462999999998</v>
      </c>
      <c r="E399">
        <v>15.0495</v>
      </c>
      <c r="F399">
        <v>1277.410034</v>
      </c>
      <c r="H399" s="50">
        <f t="shared" si="57"/>
        <v>1.1557803242458373E-2</v>
      </c>
      <c r="I399" s="50">
        <f t="shared" si="58"/>
        <v>4.769946861132965E-3</v>
      </c>
      <c r="J399" s="50">
        <f t="shared" si="59"/>
        <v>2.7856361644249487E-3</v>
      </c>
      <c r="K399" s="50">
        <f t="shared" si="60"/>
        <v>7.9800498753120237E-4</v>
      </c>
      <c r="L399" s="50">
        <f t="shared" si="61"/>
        <v>-2.2338928158295353E-3</v>
      </c>
      <c r="P399" s="50">
        <f t="shared" si="56"/>
        <v>-2.2338928158295353E-3</v>
      </c>
      <c r="Q399" s="51">
        <f t="shared" si="62"/>
        <v>92.796834295940272</v>
      </c>
      <c r="R399" s="51">
        <f t="shared" si="63"/>
        <v>68.629114980221587</v>
      </c>
      <c r="Y399">
        <v>394</v>
      </c>
      <c r="Z399">
        <v>11.237247666653341</v>
      </c>
    </row>
    <row r="400" spans="1:26" x14ac:dyDescent="0.15">
      <c r="A400" s="59">
        <v>41488.75</v>
      </c>
      <c r="B400">
        <v>12.968987</v>
      </c>
      <c r="C400">
        <v>95.648444999999995</v>
      </c>
      <c r="D400">
        <v>52.946972000000002</v>
      </c>
      <c r="E400">
        <v>15.0375</v>
      </c>
      <c r="F400">
        <v>1280.2700199999999</v>
      </c>
      <c r="H400" s="50">
        <f t="shared" si="57"/>
        <v>-1.1761791452344312E-2</v>
      </c>
      <c r="I400" s="50">
        <f t="shared" si="58"/>
        <v>-1.2569539594003238E-3</v>
      </c>
      <c r="J400" s="50">
        <f t="shared" si="59"/>
        <v>1.5341467579800903E-3</v>
      </c>
      <c r="K400" s="50">
        <f t="shared" si="60"/>
        <v>1.2933212084470054E-2</v>
      </c>
      <c r="L400" s="50">
        <f t="shared" si="61"/>
        <v>7.1132051234186423E-4</v>
      </c>
      <c r="P400" s="50">
        <f t="shared" si="56"/>
        <v>7.1132051234186423E-4</v>
      </c>
      <c r="Q400" s="51">
        <f t="shared" si="62"/>
        <v>92.862842587655365</v>
      </c>
      <c r="R400" s="51">
        <f t="shared" si="63"/>
        <v>67.821913642265258</v>
      </c>
      <c r="Y400">
        <v>395</v>
      </c>
      <c r="Z400">
        <v>6.1413124353170145</v>
      </c>
    </row>
    <row r="401" spans="1:26" x14ac:dyDescent="0.15">
      <c r="A401" s="59">
        <v>41489.75</v>
      </c>
      <c r="B401">
        <v>13.123341</v>
      </c>
      <c r="C401">
        <v>95.768822</v>
      </c>
      <c r="D401">
        <v>52.865867999999999</v>
      </c>
      <c r="E401">
        <v>14.845499999999999</v>
      </c>
      <c r="F401">
        <v>1279.3599850000001</v>
      </c>
      <c r="H401" s="50">
        <f t="shared" si="57"/>
        <v>1.5534626992656747E-3</v>
      </c>
      <c r="I401" s="50">
        <f t="shared" si="58"/>
        <v>1.6611295328396631E-2</v>
      </c>
      <c r="J401" s="50">
        <f t="shared" si="59"/>
        <v>6.4592050029977635E-3</v>
      </c>
      <c r="K401" s="50">
        <f t="shared" si="60"/>
        <v>3.9561777236761112E-3</v>
      </c>
      <c r="L401" s="50">
        <f t="shared" si="61"/>
        <v>2.8139593686330082E-3</v>
      </c>
      <c r="P401" s="50">
        <f t="shared" si="56"/>
        <v>2.8139593686330082E-3</v>
      </c>
      <c r="Q401" s="51">
        <f t="shared" si="62"/>
        <v>93.124154853552781</v>
      </c>
      <c r="R401" s="51">
        <f t="shared" si="63"/>
        <v>67.927272455301335</v>
      </c>
      <c r="Y401">
        <v>396</v>
      </c>
      <c r="Z401">
        <v>8.3532686500263722</v>
      </c>
    </row>
    <row r="402" spans="1:26" x14ac:dyDescent="0.15">
      <c r="A402" s="59">
        <v>41492.75</v>
      </c>
      <c r="B402">
        <v>13.102986</v>
      </c>
      <c r="C402">
        <v>94.203971999999993</v>
      </c>
      <c r="D402">
        <v>52.526587999999997</v>
      </c>
      <c r="E402">
        <v>14.787000000000001</v>
      </c>
      <c r="F402">
        <v>1275.7700199999999</v>
      </c>
      <c r="H402" s="50">
        <f t="shared" si="57"/>
        <v>4.5514979049523837E-3</v>
      </c>
      <c r="I402" s="50">
        <f t="shared" si="58"/>
        <v>1.5220783266711361E-2</v>
      </c>
      <c r="J402" s="50">
        <f t="shared" si="59"/>
        <v>7.0702727633275963E-3</v>
      </c>
      <c r="K402" s="50">
        <f t="shared" si="60"/>
        <v>-5.1133687680817294E-3</v>
      </c>
      <c r="L402" s="50">
        <f t="shared" si="61"/>
        <v>3.3740523385982551E-3</v>
      </c>
      <c r="P402" s="50">
        <f t="shared" si="56"/>
        <v>3.3740523385982551E-3</v>
      </c>
      <c r="Q402" s="51">
        <f t="shared" si="62"/>
        <v>93.438360626016404</v>
      </c>
      <c r="R402" s="51">
        <f t="shared" si="63"/>
        <v>68.236443293570773</v>
      </c>
      <c r="Y402">
        <v>397</v>
      </c>
      <c r="Z402">
        <v>8.1522080616184507</v>
      </c>
    </row>
    <row r="403" spans="1:26" x14ac:dyDescent="0.15">
      <c r="A403" s="59">
        <v>41493.75</v>
      </c>
      <c r="B403">
        <v>13.043618</v>
      </c>
      <c r="C403">
        <v>92.791611000000003</v>
      </c>
      <c r="D403">
        <v>52.157817999999999</v>
      </c>
      <c r="E403">
        <v>14.863</v>
      </c>
      <c r="F403">
        <v>1271.4799800000001</v>
      </c>
      <c r="H403" s="50">
        <f t="shared" si="57"/>
        <v>-2.3356767607542457E-3</v>
      </c>
      <c r="I403" s="50">
        <f t="shared" si="58"/>
        <v>-8.6412608236224289E-4</v>
      </c>
      <c r="J403" s="50">
        <f t="shared" si="59"/>
        <v>-5.6553954511410803E-4</v>
      </c>
      <c r="K403" s="50">
        <f t="shared" si="60"/>
        <v>1.9211972092082175E-3</v>
      </c>
      <c r="L403" s="50">
        <f t="shared" si="61"/>
        <v>4.3682840665475982E-3</v>
      </c>
      <c r="P403" s="50">
        <f t="shared" si="56"/>
        <v>4.3682840665475982E-3</v>
      </c>
      <c r="Q403" s="51">
        <f t="shared" si="62"/>
        <v>93.846525927943361</v>
      </c>
      <c r="R403" s="51">
        <f t="shared" si="63"/>
        <v>68.077065018733464</v>
      </c>
      <c r="Y403">
        <v>398</v>
      </c>
      <c r="Z403">
        <v>9.0815125918346293</v>
      </c>
    </row>
    <row r="404" spans="1:26" x14ac:dyDescent="0.15">
      <c r="A404" s="59">
        <v>41494.75</v>
      </c>
      <c r="B404">
        <v>13.074154999999999</v>
      </c>
      <c r="C404">
        <v>92.871864000000002</v>
      </c>
      <c r="D404">
        <v>52.187331999999998</v>
      </c>
      <c r="E404">
        <v>14.8345</v>
      </c>
      <c r="F404">
        <v>1265.9499510000001</v>
      </c>
      <c r="H404" s="50">
        <f t="shared" si="57"/>
        <v>2.8623502982585572E-3</v>
      </c>
      <c r="I404" s="50">
        <f t="shared" si="58"/>
        <v>6.9192573439639182E-4</v>
      </c>
      <c r="J404" s="50">
        <f t="shared" si="59"/>
        <v>-6.0399444953776827E-3</v>
      </c>
      <c r="K404" s="50">
        <f t="shared" si="60"/>
        <v>9.2526448277035767E-3</v>
      </c>
      <c r="L404" s="50">
        <f t="shared" si="61"/>
        <v>-4.6076911866914675E-3</v>
      </c>
      <c r="P404" s="50">
        <f t="shared" si="56"/>
        <v>-4.6076911866914675E-3</v>
      </c>
      <c r="Q404" s="51">
        <f t="shared" si="62"/>
        <v>93.414110117523563</v>
      </c>
      <c r="R404" s="51">
        <f t="shared" si="63"/>
        <v>68.271925426094398</v>
      </c>
      <c r="Y404">
        <v>399</v>
      </c>
      <c r="Z404">
        <v>7.5587992114554998</v>
      </c>
    </row>
    <row r="405" spans="1:26" x14ac:dyDescent="0.15">
      <c r="A405" s="59">
        <v>41495.75</v>
      </c>
      <c r="B405">
        <v>13.036839000000001</v>
      </c>
      <c r="C405">
        <v>92.807648</v>
      </c>
      <c r="D405">
        <v>52.504455999999998</v>
      </c>
      <c r="E405">
        <v>14.698499999999999</v>
      </c>
      <c r="F405">
        <v>1271.8100589999999</v>
      </c>
      <c r="H405" s="50">
        <f t="shared" si="57"/>
        <v>6.0212314231606404E-3</v>
      </c>
      <c r="I405" s="50">
        <f t="shared" si="58"/>
        <v>1.6435536262297847E-2</v>
      </c>
      <c r="J405" s="50">
        <f t="shared" si="59"/>
        <v>1.6418784132559702E-2</v>
      </c>
      <c r="K405" s="50">
        <f t="shared" si="60"/>
        <v>9.0272533809294345E-3</v>
      </c>
      <c r="L405" s="50">
        <f t="shared" si="61"/>
        <v>4.0024543631877255E-3</v>
      </c>
      <c r="P405" s="50">
        <f t="shared" si="56"/>
        <v>4.0024543631877255E-3</v>
      </c>
      <c r="Q405" s="51">
        <f t="shared" si="62"/>
        <v>93.787995830146755</v>
      </c>
      <c r="R405" s="51">
        <f t="shared" si="63"/>
        <v>68.683006488789687</v>
      </c>
      <c r="Y405">
        <v>400</v>
      </c>
      <c r="Z405">
        <v>9.0837280241313234</v>
      </c>
    </row>
    <row r="406" spans="1:26" x14ac:dyDescent="0.15">
      <c r="A406" s="59">
        <v>41496.75</v>
      </c>
      <c r="B406">
        <v>12.958811000000001</v>
      </c>
      <c r="C406">
        <v>91.306968999999995</v>
      </c>
      <c r="D406">
        <v>51.656322000000003</v>
      </c>
      <c r="E406">
        <v>14.567</v>
      </c>
      <c r="F406">
        <v>1266.73999</v>
      </c>
      <c r="H406" s="50">
        <f t="shared" si="57"/>
        <v>2.6743659434643463E-2</v>
      </c>
      <c r="I406" s="50">
        <f t="shared" si="58"/>
        <v>1.7800779533532769E-2</v>
      </c>
      <c r="J406" s="50">
        <f t="shared" si="59"/>
        <v>1.3897190335203476E-2</v>
      </c>
      <c r="K406" s="50">
        <f t="shared" si="60"/>
        <v>1.7000034907669281E-2</v>
      </c>
      <c r="L406" s="50">
        <f t="shared" si="61"/>
        <v>-1.1590911956257588E-3</v>
      </c>
      <c r="P406" s="50">
        <f t="shared" si="56"/>
        <v>-1.1590911956257588E-3</v>
      </c>
      <c r="Q406" s="51">
        <f t="shared" si="62"/>
        <v>93.679286989924648</v>
      </c>
      <c r="R406" s="51">
        <f t="shared" si="63"/>
        <v>70.519841423273292</v>
      </c>
      <c r="Y406">
        <v>401</v>
      </c>
      <c r="Z406">
        <v>7.9058462072020292</v>
      </c>
    </row>
    <row r="407" spans="1:26" x14ac:dyDescent="0.15">
      <c r="A407" s="59">
        <v>41499.75</v>
      </c>
      <c r="B407">
        <v>12.621271999999999</v>
      </c>
      <c r="C407">
        <v>89.710059999999999</v>
      </c>
      <c r="D407">
        <v>50.948284000000001</v>
      </c>
      <c r="E407">
        <v>14.323499999999999</v>
      </c>
      <c r="F407">
        <v>1268.209961</v>
      </c>
      <c r="H407" s="50">
        <f t="shared" si="57"/>
        <v>4.048085715108527E-3</v>
      </c>
      <c r="I407" s="50">
        <f t="shared" si="58"/>
        <v>-9.8266891505374059E-4</v>
      </c>
      <c r="J407" s="50">
        <f t="shared" si="59"/>
        <v>7.2907570635159097E-3</v>
      </c>
      <c r="K407" s="50">
        <f t="shared" si="60"/>
        <v>5.7931325047398058E-3</v>
      </c>
      <c r="L407" s="50">
        <f t="shared" si="61"/>
        <v>-1.3511407764979199E-2</v>
      </c>
      <c r="P407" s="50">
        <f t="shared" si="56"/>
        <v>-1.3511407764979199E-2</v>
      </c>
      <c r="Q407" s="51">
        <f t="shared" si="62"/>
        <v>92.413547944271272</v>
      </c>
      <c r="R407" s="51">
        <f t="shared" si="63"/>
        <v>70.805311785970574</v>
      </c>
      <c r="Y407">
        <v>402</v>
      </c>
      <c r="Z407">
        <v>8.227690654897005</v>
      </c>
    </row>
    <row r="408" spans="1:26" x14ac:dyDescent="0.15">
      <c r="A408" s="59">
        <v>41500.75</v>
      </c>
      <c r="B408">
        <v>12.570385999999999</v>
      </c>
      <c r="C408">
        <v>89.798302000000007</v>
      </c>
      <c r="D408">
        <v>50.579521</v>
      </c>
      <c r="E408">
        <v>14.241</v>
      </c>
      <c r="F408">
        <v>1285.579956</v>
      </c>
      <c r="H408" s="50">
        <f t="shared" si="57"/>
        <v>7.2026802146357522E-3</v>
      </c>
      <c r="I408" s="50">
        <f t="shared" si="58"/>
        <v>-1.6061547763863483E-3</v>
      </c>
      <c r="J408" s="50">
        <f t="shared" si="59"/>
        <v>-1.3187929395768556E-3</v>
      </c>
      <c r="K408" s="50">
        <f t="shared" si="60"/>
        <v>-2.6263262947788385E-3</v>
      </c>
      <c r="L408" s="50">
        <f t="shared" si="61"/>
        <v>-7.6037281747362408E-3</v>
      </c>
      <c r="P408" s="50">
        <f t="shared" si="56"/>
        <v>-7.6037281747362408E-3</v>
      </c>
      <c r="Q408" s="51">
        <f t="shared" si="62"/>
        <v>91.710860446040087</v>
      </c>
      <c r="R408" s="51">
        <f t="shared" si="63"/>
        <v>71.315299804262494</v>
      </c>
      <c r="Y408">
        <v>403</v>
      </c>
      <c r="Z408">
        <v>6.6639341879120098</v>
      </c>
    </row>
    <row r="409" spans="1:26" x14ac:dyDescent="0.15">
      <c r="A409" s="59">
        <v>41501.75</v>
      </c>
      <c r="B409">
        <v>12.480492999999999</v>
      </c>
      <c r="C409">
        <v>89.942763999999997</v>
      </c>
      <c r="D409">
        <v>50.646312999999999</v>
      </c>
      <c r="E409">
        <v>14.278499999999999</v>
      </c>
      <c r="F409">
        <v>1295.4300539999999</v>
      </c>
      <c r="H409" s="50">
        <f t="shared" si="57"/>
        <v>4.7796801642104566E-3</v>
      </c>
      <c r="I409" s="50">
        <f t="shared" si="58"/>
        <v>-6.7349889928658433E-3</v>
      </c>
      <c r="J409" s="50">
        <f t="shared" si="59"/>
        <v>4.2678641821669852E-3</v>
      </c>
      <c r="K409" s="50">
        <f t="shared" si="60"/>
        <v>-5.2945069490404062E-3</v>
      </c>
      <c r="L409" s="50">
        <f t="shared" si="61"/>
        <v>-1.5799288093833565E-3</v>
      </c>
      <c r="P409" s="50">
        <f t="shared" si="56"/>
        <v>-1.5799288093833565E-3</v>
      </c>
      <c r="Q409" s="51">
        <f t="shared" si="62"/>
        <v>91.565963815488047</v>
      </c>
      <c r="R409" s="51">
        <f t="shared" si="63"/>
        <v>71.65616412814164</v>
      </c>
      <c r="Y409">
        <v>404</v>
      </c>
      <c r="Z409">
        <v>5.3656669326360671</v>
      </c>
    </row>
    <row r="410" spans="1:26" x14ac:dyDescent="0.15">
      <c r="A410" s="59">
        <v>41502.75</v>
      </c>
      <c r="B410">
        <v>12.421124000000001</v>
      </c>
      <c r="C410">
        <v>90.552634999999995</v>
      </c>
      <c r="D410">
        <v>50.431080000000001</v>
      </c>
      <c r="E410">
        <v>14.3545</v>
      </c>
      <c r="F410">
        <v>1297.4799800000001</v>
      </c>
      <c r="H410" s="50">
        <f t="shared" si="57"/>
        <v>-4.3507218725874243E-3</v>
      </c>
      <c r="I410" s="50">
        <f t="shared" si="58"/>
        <v>7.8596406576845121E-3</v>
      </c>
      <c r="J410" s="50">
        <f t="shared" si="59"/>
        <v>3.7404448672690778E-2</v>
      </c>
      <c r="K410" s="50">
        <f t="shared" si="60"/>
        <v>8.8554661418982633E-3</v>
      </c>
      <c r="L410" s="50">
        <f t="shared" si="61"/>
        <v>-3.7011969735400631E-3</v>
      </c>
      <c r="P410" s="50">
        <f t="shared" si="56"/>
        <v>-3.7011969735400631E-3</v>
      </c>
      <c r="Q410" s="51">
        <f t="shared" si="62"/>
        <v>91.227060147334882</v>
      </c>
      <c r="R410" s="51">
        <f t="shared" si="63"/>
        <v>71.344408087563622</v>
      </c>
      <c r="Y410">
        <v>405</v>
      </c>
      <c r="Z410">
        <v>8.2900870077780393</v>
      </c>
    </row>
    <row r="411" spans="1:26" x14ac:dyDescent="0.15">
      <c r="A411" s="59">
        <v>41503.75</v>
      </c>
      <c r="B411">
        <v>12.475401</v>
      </c>
      <c r="C411">
        <v>89.846474000000001</v>
      </c>
      <c r="D411">
        <v>48.612746999999999</v>
      </c>
      <c r="E411">
        <v>14.2285</v>
      </c>
      <c r="F411">
        <v>1302.3000489999999</v>
      </c>
      <c r="H411" s="50">
        <f t="shared" si="57"/>
        <v>1.2253480761400337E-3</v>
      </c>
      <c r="I411" s="50">
        <f t="shared" si="58"/>
        <v>-2.4945276878250654E-3</v>
      </c>
      <c r="J411" s="50">
        <f t="shared" si="59"/>
        <v>1.9614269061357277E-2</v>
      </c>
      <c r="K411" s="50">
        <f t="shared" si="60"/>
        <v>-1.7809684879025241E-2</v>
      </c>
      <c r="L411" s="50">
        <f t="shared" si="61"/>
        <v>3.6839732153034627E-3</v>
      </c>
      <c r="P411" s="50">
        <f t="shared" si="56"/>
        <v>3.6839732153034627E-3</v>
      </c>
      <c r="Q411" s="51">
        <f t="shared" si="62"/>
        <v>91.563138193428557</v>
      </c>
      <c r="R411" s="51">
        <f t="shared" si="63"/>
        <v>71.431829820757059</v>
      </c>
      <c r="Y411">
        <v>406</v>
      </c>
      <c r="Z411">
        <v>7.0575942440756005</v>
      </c>
    </row>
    <row r="412" spans="1:26" x14ac:dyDescent="0.15">
      <c r="A412" s="59">
        <v>41506.75</v>
      </c>
      <c r="B412">
        <v>12.460133000000001</v>
      </c>
      <c r="C412">
        <v>90.071158999999994</v>
      </c>
      <c r="D412">
        <v>47.677585999999998</v>
      </c>
      <c r="E412">
        <v>14.486499999999999</v>
      </c>
      <c r="F412">
        <v>1297.5200199999999</v>
      </c>
      <c r="H412" s="50">
        <f t="shared" si="57"/>
        <v>2.7206146325238029E-4</v>
      </c>
      <c r="I412" s="50">
        <f t="shared" si="58"/>
        <v>-7.3407239338875319E-3</v>
      </c>
      <c r="J412" s="50">
        <f t="shared" si="59"/>
        <v>-1.7096796705660001E-3</v>
      </c>
      <c r="K412" s="50">
        <f t="shared" si="60"/>
        <v>-9.6548394882942806E-4</v>
      </c>
      <c r="L412" s="50">
        <f t="shared" si="61"/>
        <v>-1.0008515837807601E-3</v>
      </c>
      <c r="P412" s="50">
        <f t="shared" si="56"/>
        <v>-1.0008515837807601E-3</v>
      </c>
      <c r="Q412" s="51">
        <f t="shared" si="62"/>
        <v>91.471497081551732</v>
      </c>
      <c r="R412" s="51">
        <f t="shared" si="63"/>
        <v>71.451263668900879</v>
      </c>
      <c r="Y412">
        <v>407</v>
      </c>
      <c r="Z412">
        <v>6.9219132417070774</v>
      </c>
    </row>
    <row r="413" spans="1:26" x14ac:dyDescent="0.15">
      <c r="A413" s="59">
        <v>41507.75</v>
      </c>
      <c r="B413">
        <v>12.456744</v>
      </c>
      <c r="C413">
        <v>90.737235999999996</v>
      </c>
      <c r="D413">
        <v>47.759239000000001</v>
      </c>
      <c r="E413">
        <v>14.500500000000001</v>
      </c>
      <c r="F413">
        <v>1298.8199460000001</v>
      </c>
      <c r="H413" s="50">
        <f t="shared" si="57"/>
        <v>5.6140200184028816E-3</v>
      </c>
      <c r="I413" s="50">
        <f t="shared" si="58"/>
        <v>1.072653679864541E-2</v>
      </c>
      <c r="J413" s="50">
        <f t="shared" si="59"/>
        <v>3.4306276657334522E-3</v>
      </c>
      <c r="K413" s="50">
        <f t="shared" si="60"/>
        <v>1.3276964466650451E-2</v>
      </c>
      <c r="L413" s="50">
        <f t="shared" si="61"/>
        <v>4.5088949219166327E-3</v>
      </c>
      <c r="P413" s="50">
        <f t="shared" si="56"/>
        <v>4.5088949219166327E-3</v>
      </c>
      <c r="Q413" s="51">
        <f t="shared" si="62"/>
        <v>91.883932450242838</v>
      </c>
      <c r="R413" s="51">
        <f t="shared" si="63"/>
        <v>71.852392493478277</v>
      </c>
      <c r="Y413">
        <v>408</v>
      </c>
      <c r="Z413">
        <v>8.3652851258939744</v>
      </c>
    </row>
    <row r="414" spans="1:26" x14ac:dyDescent="0.15">
      <c r="A414" s="59">
        <v>41508.75</v>
      </c>
      <c r="B414">
        <v>12.387202</v>
      </c>
      <c r="C414">
        <v>89.774269000000004</v>
      </c>
      <c r="D414">
        <v>47.595954999999996</v>
      </c>
      <c r="E414">
        <v>14.310499999999999</v>
      </c>
      <c r="F414">
        <v>1292.98999</v>
      </c>
      <c r="H414" s="50">
        <f t="shared" si="57"/>
        <v>2.3336425976193806E-3</v>
      </c>
      <c r="I414" s="50">
        <f t="shared" si="58"/>
        <v>1.7913547832214491E-3</v>
      </c>
      <c r="J414" s="50">
        <f t="shared" si="59"/>
        <v>1.3752659622957592E-2</v>
      </c>
      <c r="K414" s="50">
        <f t="shared" si="60"/>
        <v>1.8794717545295936E-2</v>
      </c>
      <c r="L414" s="50">
        <f t="shared" si="61"/>
        <v>-2.3687706280900644E-3</v>
      </c>
      <c r="P414" s="50">
        <f t="shared" si="56"/>
        <v>-2.3687706280900644E-3</v>
      </c>
      <c r="Q414" s="51">
        <f t="shared" si="62"/>
        <v>91.666280489861293</v>
      </c>
      <c r="R414" s="51">
        <f t="shared" si="63"/>
        <v>72.020070297341931</v>
      </c>
      <c r="Y414">
        <v>409</v>
      </c>
      <c r="Z414">
        <v>9.1518667126412705</v>
      </c>
    </row>
    <row r="415" spans="1:26" x14ac:dyDescent="0.15">
      <c r="A415" s="59">
        <v>41509.75</v>
      </c>
      <c r="B415">
        <v>12.358362</v>
      </c>
      <c r="C415">
        <v>89.613738999999995</v>
      </c>
      <c r="D415">
        <v>46.950263999999997</v>
      </c>
      <c r="E415">
        <v>14.0465</v>
      </c>
      <c r="F415">
        <v>1296.0600589999999</v>
      </c>
      <c r="H415" s="50">
        <f t="shared" si="57"/>
        <v>6.6312067222553247E-3</v>
      </c>
      <c r="I415" s="50">
        <f t="shared" si="58"/>
        <v>1.0954175137045333E-2</v>
      </c>
      <c r="J415" s="50">
        <f t="shared" si="59"/>
        <v>-1.5833399332452317E-4</v>
      </c>
      <c r="K415" s="50">
        <f t="shared" si="60"/>
        <v>-2.3084025854109408E-3</v>
      </c>
      <c r="L415" s="50">
        <f t="shared" si="61"/>
        <v>7.4905452552931459E-4</v>
      </c>
      <c r="P415" s="50">
        <f t="shared" si="56"/>
        <v>7.4905452552931459E-4</v>
      </c>
      <c r="Q415" s="51">
        <f t="shared" si="62"/>
        <v>91.734943532100658</v>
      </c>
      <c r="R415" s="51">
        <f t="shared" si="63"/>
        <v>72.497650271634967</v>
      </c>
      <c r="Y415">
        <v>410</v>
      </c>
      <c r="Z415">
        <v>7.8777691463218993</v>
      </c>
    </row>
    <row r="416" spans="1:26" x14ac:dyDescent="0.15">
      <c r="A416" s="59">
        <v>41510.75</v>
      </c>
      <c r="B416">
        <v>12.276951</v>
      </c>
      <c r="C416">
        <v>88.642730999999998</v>
      </c>
      <c r="D416">
        <v>46.957698999999998</v>
      </c>
      <c r="E416">
        <v>14.079000000000001</v>
      </c>
      <c r="F416">
        <v>1295.089966</v>
      </c>
      <c r="H416" s="50">
        <f t="shared" si="57"/>
        <v>-6.9008579187590491E-4</v>
      </c>
      <c r="I416" s="50">
        <f t="shared" si="58"/>
        <v>-8.3494870581736717E-3</v>
      </c>
      <c r="J416" s="50">
        <f t="shared" si="59"/>
        <v>1.9005679322083775E-3</v>
      </c>
      <c r="K416" s="50">
        <f t="shared" si="60"/>
        <v>-8.4512993872807394E-3</v>
      </c>
      <c r="L416" s="50">
        <f t="shared" si="61"/>
        <v>-5.1391654895329552E-3</v>
      </c>
      <c r="P416" s="50">
        <f t="shared" si="56"/>
        <v>-5.1391654895329552E-3</v>
      </c>
      <c r="Q416" s="51">
        <f t="shared" si="62"/>
        <v>91.26350247611623</v>
      </c>
      <c r="R416" s="51">
        <f t="shared" si="63"/>
        <v>72.44762067323812</v>
      </c>
      <c r="Y416">
        <v>411</v>
      </c>
      <c r="Z416">
        <v>7.7249920264420719</v>
      </c>
    </row>
    <row r="417" spans="1:26" x14ac:dyDescent="0.15">
      <c r="A417" s="59">
        <v>41513.75</v>
      </c>
      <c r="B417">
        <v>12.285429000000001</v>
      </c>
      <c r="C417">
        <v>89.389083999999997</v>
      </c>
      <c r="D417">
        <v>46.868622000000002</v>
      </c>
      <c r="E417">
        <v>14.199</v>
      </c>
      <c r="F417">
        <v>1301.780029</v>
      </c>
      <c r="H417" s="50">
        <f t="shared" si="57"/>
        <v>-7.5360804787831075E-3</v>
      </c>
      <c r="I417" s="50">
        <f t="shared" si="58"/>
        <v>-4.290594669169704E-3</v>
      </c>
      <c r="J417" s="50">
        <f t="shared" si="59"/>
        <v>-2.527380917645183E-3</v>
      </c>
      <c r="K417" s="50">
        <f t="shared" si="60"/>
        <v>1.0676916506512944E-2</v>
      </c>
      <c r="L417" s="50">
        <f t="shared" si="61"/>
        <v>-1.9167662958979495E-3</v>
      </c>
      <c r="P417" s="50">
        <f t="shared" si="56"/>
        <v>-1.9167662958979495E-3</v>
      </c>
      <c r="Q417" s="51">
        <f t="shared" si="62"/>
        <v>91.088571670524402</v>
      </c>
      <c r="R417" s="51">
        <f t="shared" si="63"/>
        <v>71.901649573348251</v>
      </c>
      <c r="Y417">
        <v>412</v>
      </c>
      <c r="Z417">
        <v>10.104521245218214</v>
      </c>
    </row>
    <row r="418" spans="1:26" x14ac:dyDescent="0.15">
      <c r="A418" s="59">
        <v>41514.75</v>
      </c>
      <c r="B418">
        <v>12.378716000000001</v>
      </c>
      <c r="C418">
        <v>89.774269000000004</v>
      </c>
      <c r="D418">
        <v>46.987377000000002</v>
      </c>
      <c r="E418">
        <v>14.048999999999999</v>
      </c>
      <c r="F418">
        <v>1304.280029</v>
      </c>
      <c r="H418" s="50">
        <f t="shared" si="57"/>
        <v>4.127733753629001E-3</v>
      </c>
      <c r="I418" s="50">
        <f t="shared" si="58"/>
        <v>-9.8238922646182083E-4</v>
      </c>
      <c r="J418" s="50">
        <f t="shared" si="59"/>
        <v>-4.4029500897071966E-3</v>
      </c>
      <c r="K418" s="50">
        <f t="shared" si="60"/>
        <v>-2.7077562326869808E-2</v>
      </c>
      <c r="L418" s="50">
        <f t="shared" si="61"/>
        <v>-8.3498625230772519E-4</v>
      </c>
      <c r="P418" s="50">
        <f t="shared" si="56"/>
        <v>-8.3498625230772519E-4</v>
      </c>
      <c r="Q418" s="51">
        <f t="shared" si="62"/>
        <v>91.012513965437165</v>
      </c>
      <c r="R418" s="51">
        <f t="shared" si="63"/>
        <v>72.198440439233764</v>
      </c>
      <c r="Y418">
        <v>413</v>
      </c>
      <c r="Z418">
        <v>6.7716546546107574</v>
      </c>
    </row>
    <row r="419" spans="1:26" x14ac:dyDescent="0.15">
      <c r="A419" s="59">
        <v>41515.75</v>
      </c>
      <c r="B419">
        <v>12.327830000000001</v>
      </c>
      <c r="C419">
        <v>89.862549000000001</v>
      </c>
      <c r="D419">
        <v>47.195174999999999</v>
      </c>
      <c r="E419">
        <v>14.44</v>
      </c>
      <c r="F419">
        <v>1305.369995</v>
      </c>
      <c r="H419" s="50">
        <f t="shared" si="57"/>
        <v>-3.1549674706899352E-3</v>
      </c>
      <c r="I419" s="50">
        <f t="shared" si="58"/>
        <v>4.3050899333274308E-3</v>
      </c>
      <c r="J419" s="50">
        <f t="shared" si="59"/>
        <v>6.2948573517270553E-4</v>
      </c>
      <c r="K419" s="50">
        <f t="shared" si="60"/>
        <v>-1.6482768015256836E-2</v>
      </c>
      <c r="L419" s="50">
        <f t="shared" si="61"/>
        <v>1.188852038009813E-3</v>
      </c>
      <c r="P419" s="50">
        <f t="shared" si="56"/>
        <v>1.188852038009813E-3</v>
      </c>
      <c r="Q419" s="51">
        <f t="shared" si="62"/>
        <v>91.120714378149373</v>
      </c>
      <c r="R419" s="51">
        <f t="shared" si="63"/>
        <v>71.97065670821344</v>
      </c>
      <c r="Y419">
        <v>414</v>
      </c>
      <c r="Z419">
        <v>8.0262811536450815</v>
      </c>
    </row>
    <row r="420" spans="1:26" x14ac:dyDescent="0.15">
      <c r="A420" s="59">
        <v>41516.75</v>
      </c>
      <c r="B420">
        <v>12.366847</v>
      </c>
      <c r="C420">
        <v>89.477340999999996</v>
      </c>
      <c r="D420">
        <v>47.165484999999997</v>
      </c>
      <c r="E420">
        <v>14.682</v>
      </c>
      <c r="F420">
        <v>1303.8199460000001</v>
      </c>
      <c r="H420" s="50">
        <f t="shared" si="57"/>
        <v>3.3026565173941472E-3</v>
      </c>
      <c r="I420" s="50">
        <f t="shared" si="58"/>
        <v>-2.7220226262383771E-2</v>
      </c>
      <c r="J420" s="50">
        <f t="shared" si="59"/>
        <v>1.4179584273459772E-3</v>
      </c>
      <c r="K420" s="50">
        <f t="shared" si="60"/>
        <v>-1.5640938456307166E-3</v>
      </c>
      <c r="L420" s="50">
        <f t="shared" si="61"/>
        <v>-5.4843700239938621E-3</v>
      </c>
      <c r="P420" s="50">
        <f t="shared" si="56"/>
        <v>-5.4843700239938621E-3</v>
      </c>
      <c r="Q420" s="51">
        <f t="shared" si="62"/>
        <v>90.620974663648951</v>
      </c>
      <c r="R420" s="51">
        <f t="shared" si="63"/>
        <v>72.208351066651957</v>
      </c>
      <c r="Y420">
        <v>415</v>
      </c>
      <c r="Z420">
        <v>4.7759273355994276</v>
      </c>
    </row>
    <row r="421" spans="1:26" x14ac:dyDescent="0.15">
      <c r="A421" s="59">
        <v>41517.75</v>
      </c>
      <c r="B421">
        <v>12.326138</v>
      </c>
      <c r="C421">
        <v>91.981087000000002</v>
      </c>
      <c r="D421">
        <v>47.098700999999998</v>
      </c>
      <c r="E421">
        <v>14.705</v>
      </c>
      <c r="F421">
        <v>1311.01001</v>
      </c>
      <c r="H421" s="50">
        <f t="shared" si="57"/>
        <v>1.1022072001720411E-3</v>
      </c>
      <c r="I421" s="50">
        <f t="shared" si="58"/>
        <v>2.361460718710916E-3</v>
      </c>
      <c r="J421" s="50">
        <f t="shared" si="59"/>
        <v>2.6861233162950525E-3</v>
      </c>
      <c r="K421" s="50">
        <f t="shared" si="60"/>
        <v>-5.9487595484350158E-3</v>
      </c>
      <c r="L421" s="50">
        <f t="shared" si="61"/>
        <v>-1.7056843708357391E-3</v>
      </c>
      <c r="P421" s="50">
        <f t="shared" si="56"/>
        <v>-1.7056843708357391E-3</v>
      </c>
      <c r="Q421" s="51">
        <f t="shared" si="62"/>
        <v>90.466403883495261</v>
      </c>
      <c r="R421" s="51">
        <f t="shared" si="63"/>
        <v>72.287939631110177</v>
      </c>
      <c r="Y421">
        <v>416</v>
      </c>
      <c r="Z421">
        <v>7.1696277032425622</v>
      </c>
    </row>
    <row r="422" spans="1:26" x14ac:dyDescent="0.15">
      <c r="A422" s="59">
        <v>41521.75</v>
      </c>
      <c r="B422">
        <v>12.312567</v>
      </c>
      <c r="C422">
        <v>91.764388999999994</v>
      </c>
      <c r="D422">
        <v>46.972526999999999</v>
      </c>
      <c r="E422">
        <v>14.792999999999999</v>
      </c>
      <c r="F422">
        <v>1313.25</v>
      </c>
      <c r="H422" s="50">
        <f t="shared" si="57"/>
        <v>-1.2514946532536755E-2</v>
      </c>
      <c r="I422" s="50">
        <f t="shared" si="58"/>
        <v>-8.6697921530827938E-3</v>
      </c>
      <c r="J422" s="50">
        <f t="shared" si="59"/>
        <v>-1.0010850515107002E-2</v>
      </c>
      <c r="K422" s="50">
        <f t="shared" si="60"/>
        <v>-1.2845750892529498E-2</v>
      </c>
      <c r="L422" s="50">
        <f t="shared" si="61"/>
        <v>9.9903018627789959E-3</v>
      </c>
      <c r="P422" s="50">
        <f t="shared" si="56"/>
        <v>9.9903018627789959E-3</v>
      </c>
      <c r="Q422" s="51">
        <f t="shared" si="62"/>
        <v>91.370190566731452</v>
      </c>
      <c r="R422" s="51">
        <f t="shared" si="63"/>
        <v>71.383259931679589</v>
      </c>
      <c r="Y422">
        <v>417</v>
      </c>
      <c r="Z422">
        <v>7.5716144114457347</v>
      </c>
    </row>
    <row r="423" spans="1:26" x14ac:dyDescent="0.15">
      <c r="A423" s="59">
        <v>41522.75</v>
      </c>
      <c r="B423">
        <v>12.468610999999999</v>
      </c>
      <c r="C423">
        <v>92.566924999999998</v>
      </c>
      <c r="D423">
        <v>47.447516999999998</v>
      </c>
      <c r="E423">
        <v>14.9855</v>
      </c>
      <c r="F423">
        <v>1300.26001</v>
      </c>
      <c r="H423" s="50">
        <f t="shared" si="57"/>
        <v>-6.084682887758098E-3</v>
      </c>
      <c r="I423" s="50">
        <f t="shared" si="58"/>
        <v>-1.6791459097654535E-2</v>
      </c>
      <c r="J423" s="50">
        <f t="shared" si="59"/>
        <v>-1.2359104456535541E-2</v>
      </c>
      <c r="K423" s="50">
        <f t="shared" si="60"/>
        <v>-2.1640697829271964E-3</v>
      </c>
      <c r="L423" s="50">
        <f t="shared" si="61"/>
        <v>4.8221742349859736E-3</v>
      </c>
      <c r="P423" s="50">
        <f t="shared" si="56"/>
        <v>4.8221742349859736E-3</v>
      </c>
      <c r="Q423" s="51">
        <f t="shared" si="62"/>
        <v>91.810793545528099</v>
      </c>
      <c r="R423" s="51">
        <f t="shared" si="63"/>
        <v>70.948915431500907</v>
      </c>
      <c r="Y423">
        <v>418</v>
      </c>
      <c r="Z423">
        <v>9.1466814539867141</v>
      </c>
    </row>
    <row r="424" spans="1:26" x14ac:dyDescent="0.15">
      <c r="A424" s="59">
        <v>41523.75</v>
      </c>
      <c r="B424">
        <v>12.544943</v>
      </c>
      <c r="C424">
        <v>94.147803999999994</v>
      </c>
      <c r="D424">
        <v>48.041263999999998</v>
      </c>
      <c r="E424">
        <v>15.018000000000001</v>
      </c>
      <c r="F424">
        <v>1294.0200199999999</v>
      </c>
      <c r="H424" s="50">
        <f t="shared" si="57"/>
        <v>-1.2151075559674294E-3</v>
      </c>
      <c r="I424" s="50">
        <f t="shared" si="58"/>
        <v>-1.618461601416913E-2</v>
      </c>
      <c r="J424" s="50">
        <f t="shared" si="59"/>
        <v>-4.0002105559475984E-3</v>
      </c>
      <c r="K424" s="50">
        <f t="shared" si="60"/>
        <v>2.4028834601522737E-3</v>
      </c>
      <c r="L424" s="50">
        <f t="shared" si="61"/>
        <v>-3.7723830828805273E-3</v>
      </c>
      <c r="P424" s="50">
        <f t="shared" si="56"/>
        <v>-3.7723830828805273E-3</v>
      </c>
      <c r="Q424" s="51">
        <f t="shared" si="62"/>
        <v>91.464448061131108</v>
      </c>
      <c r="R424" s="51">
        <f t="shared" si="63"/>
        <v>70.862704868272402</v>
      </c>
      <c r="Y424">
        <v>419</v>
      </c>
      <c r="Z424">
        <v>7.8600712380567144</v>
      </c>
    </row>
    <row r="425" spans="1:26" x14ac:dyDescent="0.15">
      <c r="A425" s="59">
        <v>41524.75</v>
      </c>
      <c r="B425">
        <v>12.560205</v>
      </c>
      <c r="C425">
        <v>95.696617000000003</v>
      </c>
      <c r="D425">
        <v>48.234211000000002</v>
      </c>
      <c r="E425">
        <v>14.981999999999999</v>
      </c>
      <c r="F425">
        <v>1298.920044</v>
      </c>
      <c r="H425" s="50">
        <f t="shared" si="57"/>
        <v>1.8934360140352581E-3</v>
      </c>
      <c r="I425" s="50">
        <f t="shared" si="58"/>
        <v>8.9686354438772414E-3</v>
      </c>
      <c r="J425" s="50">
        <f t="shared" si="59"/>
        <v>1.4042601670339579E-2</v>
      </c>
      <c r="K425" s="50">
        <f t="shared" si="60"/>
        <v>2.6099176872113835E-3</v>
      </c>
      <c r="L425" s="50">
        <f t="shared" si="61"/>
        <v>-4.7708803222185075E-4</v>
      </c>
      <c r="P425" s="50">
        <f t="shared" si="56"/>
        <v>-4.7708803222185075E-4</v>
      </c>
      <c r="Q425" s="51">
        <f t="shared" si="62"/>
        <v>91.420811467587356</v>
      </c>
      <c r="R425" s="51">
        <f t="shared" si="63"/>
        <v>70.996878865721939</v>
      </c>
      <c r="Y425">
        <v>420</v>
      </c>
      <c r="Z425">
        <v>5.2923442974004411</v>
      </c>
    </row>
    <row r="426" spans="1:26" x14ac:dyDescent="0.15">
      <c r="A426" s="59">
        <v>41527.75</v>
      </c>
      <c r="B426">
        <v>12.536467999999999</v>
      </c>
      <c r="C426">
        <v>94.845978000000002</v>
      </c>
      <c r="D426">
        <v>47.566257</v>
      </c>
      <c r="E426">
        <v>14.943</v>
      </c>
      <c r="F426">
        <v>1299.540039</v>
      </c>
      <c r="H426" s="50">
        <f t="shared" si="57"/>
        <v>-6.0511591804827567E-3</v>
      </c>
      <c r="I426" s="50">
        <f t="shared" si="58"/>
        <v>9.9119958270391835E-3</v>
      </c>
      <c r="J426" s="50">
        <f t="shared" si="59"/>
        <v>5.1755717325176216E-3</v>
      </c>
      <c r="K426" s="50">
        <f t="shared" si="60"/>
        <v>3.1552094522018541E-3</v>
      </c>
      <c r="L426" s="50">
        <f t="shared" si="61"/>
        <v>-1.0251303122619971E-2</v>
      </c>
      <c r="P426" s="50">
        <f t="shared" si="56"/>
        <v>-1.0251303122619971E-2</v>
      </c>
      <c r="Q426" s="51">
        <f t="shared" si="62"/>
        <v>90.483629017517217</v>
      </c>
      <c r="R426" s="51">
        <f t="shared" si="63"/>
        <v>70.567265450388007</v>
      </c>
      <c r="Y426">
        <v>421</v>
      </c>
      <c r="Z426">
        <v>7.7146205630905218</v>
      </c>
    </row>
    <row r="427" spans="1:26" x14ac:dyDescent="0.15">
      <c r="A427" s="59">
        <v>41528.75</v>
      </c>
      <c r="B427">
        <v>12.61279</v>
      </c>
      <c r="C427">
        <v>93.915092000000001</v>
      </c>
      <c r="D427">
        <v>47.321342000000001</v>
      </c>
      <c r="E427">
        <v>14.896000000000001</v>
      </c>
      <c r="F427">
        <v>1313</v>
      </c>
      <c r="H427" s="50">
        <f t="shared" si="57"/>
        <v>-5.6165898680000693E-3</v>
      </c>
      <c r="I427" s="50">
        <f t="shared" si="58"/>
        <v>-2.7267482993197137E-3</v>
      </c>
      <c r="J427" s="50">
        <f t="shared" si="59"/>
        <v>-4.7064415685620152E-4</v>
      </c>
      <c r="K427" s="50">
        <f t="shared" si="60"/>
        <v>6.2825103019658159E-3</v>
      </c>
      <c r="L427" s="50">
        <f t="shared" si="61"/>
        <v>-3.8464923772718149E-3</v>
      </c>
      <c r="P427" s="50">
        <f t="shared" si="56"/>
        <v>-3.8464923772718149E-3</v>
      </c>
      <c r="Q427" s="51">
        <f t="shared" si="62"/>
        <v>90.135584428233443</v>
      </c>
      <c r="R427" s="51">
        <f t="shared" si="63"/>
        <v>70.170918062246884</v>
      </c>
      <c r="Y427">
        <v>422</v>
      </c>
      <c r="Z427">
        <v>7.769162376305502</v>
      </c>
    </row>
    <row r="428" spans="1:26" x14ac:dyDescent="0.15">
      <c r="A428" s="59">
        <v>41529.75</v>
      </c>
      <c r="B428">
        <v>12.684030999999999</v>
      </c>
      <c r="C428">
        <v>94.171875</v>
      </c>
      <c r="D428">
        <v>47.343623999999998</v>
      </c>
      <c r="E428">
        <v>14.803000000000001</v>
      </c>
      <c r="F428">
        <v>1318.0699460000001</v>
      </c>
      <c r="H428" s="50">
        <f t="shared" si="57"/>
        <v>-4.923436012002751E-3</v>
      </c>
      <c r="I428" s="50">
        <f t="shared" si="58"/>
        <v>-4.7493973051661153E-3</v>
      </c>
      <c r="J428" s="50">
        <f t="shared" si="59"/>
        <v>-9.16400814089245E-3</v>
      </c>
      <c r="K428" s="50">
        <f t="shared" si="60"/>
        <v>-2.6662721504421866E-2</v>
      </c>
      <c r="L428" s="50">
        <f t="shared" si="61"/>
        <v>1.3598299454257385E-3</v>
      </c>
      <c r="P428" s="50">
        <f t="shared" si="56"/>
        <v>1.3598299454257385E-3</v>
      </c>
      <c r="Q428" s="51">
        <f t="shared" si="62"/>
        <v>90.258153495087413</v>
      </c>
      <c r="R428" s="51">
        <f t="shared" si="63"/>
        <v>69.825436037263927</v>
      </c>
      <c r="Y428">
        <v>423</v>
      </c>
      <c r="Z428">
        <v>5.4220378705875332</v>
      </c>
    </row>
    <row r="429" spans="1:26" x14ac:dyDescent="0.15">
      <c r="A429" s="59">
        <v>41530.75</v>
      </c>
      <c r="B429">
        <v>12.746789</v>
      </c>
      <c r="C429">
        <v>94.621268999999998</v>
      </c>
      <c r="D429">
        <v>47.781494000000002</v>
      </c>
      <c r="E429">
        <v>15.208500000000001</v>
      </c>
      <c r="F429">
        <v>1316.280029</v>
      </c>
      <c r="H429" s="50">
        <f t="shared" si="57"/>
        <v>-1.6618701572664658E-2</v>
      </c>
      <c r="I429" s="50">
        <f t="shared" si="58"/>
        <v>-6.1532280680747431E-3</v>
      </c>
      <c r="J429" s="50">
        <f t="shared" si="59"/>
        <v>-1.6799365108473286E-2</v>
      </c>
      <c r="K429" s="50">
        <f t="shared" si="60"/>
        <v>-2.518988558792417E-2</v>
      </c>
      <c r="L429" s="50">
        <f t="shared" si="61"/>
        <v>-2.5612695034454478E-3</v>
      </c>
      <c r="P429" s="50">
        <f t="shared" si="56"/>
        <v>-2.5612695034454478E-3</v>
      </c>
      <c r="Q429" s="51">
        <f t="shared" si="62"/>
        <v>90.026978039103142</v>
      </c>
      <c r="R429" s="51">
        <f t="shared" si="63"/>
        <v>68.665027953579454</v>
      </c>
      <c r="Y429">
        <v>424</v>
      </c>
      <c r="Z429">
        <v>8.728933833835228</v>
      </c>
    </row>
    <row r="430" spans="1:26" x14ac:dyDescent="0.15">
      <c r="A430" s="59">
        <v>41531.75</v>
      </c>
      <c r="B430">
        <v>12.962204</v>
      </c>
      <c r="C430">
        <v>95.207099999999997</v>
      </c>
      <c r="D430">
        <v>48.597907999999997</v>
      </c>
      <c r="E430">
        <v>15.6015</v>
      </c>
      <c r="F430">
        <v>1319.660034</v>
      </c>
      <c r="H430" s="50">
        <f t="shared" si="57"/>
        <v>2.7556392899808877E-3</v>
      </c>
      <c r="I430" s="50">
        <f t="shared" si="58"/>
        <v>-4.6976856681635523E-3</v>
      </c>
      <c r="J430" s="50">
        <f t="shared" si="59"/>
        <v>1.3765811742040878E-3</v>
      </c>
      <c r="K430" s="50">
        <f t="shared" si="60"/>
        <v>-9.6135358584891164E-5</v>
      </c>
      <c r="L430" s="50">
        <f t="shared" si="61"/>
        <v>-1.1505017771029197E-3</v>
      </c>
      <c r="P430" s="50">
        <f t="shared" si="56"/>
        <v>-1.1505017771029197E-3</v>
      </c>
      <c r="Q430" s="51">
        <f t="shared" si="62"/>
        <v>89.923401840881951</v>
      </c>
      <c r="R430" s="51">
        <f t="shared" si="63"/>
        <v>68.854244002455971</v>
      </c>
      <c r="Y430">
        <v>425</v>
      </c>
      <c r="Z430">
        <v>5.3749781501853962</v>
      </c>
    </row>
    <row r="431" spans="1:26" x14ac:dyDescent="0.15">
      <c r="A431" s="59">
        <v>41534.75</v>
      </c>
      <c r="B431">
        <v>12.926583000000001</v>
      </c>
      <c r="C431">
        <v>95.656464</v>
      </c>
      <c r="D431">
        <v>48.531101</v>
      </c>
      <c r="E431">
        <v>15.603</v>
      </c>
      <c r="F431">
        <v>1321.1800539999999</v>
      </c>
      <c r="H431" s="50">
        <f t="shared" si="57"/>
        <v>5.0113017854668696E-3</v>
      </c>
      <c r="I431" s="50">
        <f t="shared" si="58"/>
        <v>1.0683208645394819E-2</v>
      </c>
      <c r="J431" s="50">
        <f t="shared" si="59"/>
        <v>1.3012944625727198E-2</v>
      </c>
      <c r="K431" s="50">
        <f t="shared" si="60"/>
        <v>-1.35297464753114E-2</v>
      </c>
      <c r="L431" s="50">
        <f t="shared" si="61"/>
        <v>2.6866511032605359E-3</v>
      </c>
      <c r="P431" s="50">
        <f t="shared" si="56"/>
        <v>2.6866511032605359E-3</v>
      </c>
      <c r="Q431" s="51">
        <f t="shared" si="62"/>
        <v>90.164994647646708</v>
      </c>
      <c r="R431" s="51">
        <f t="shared" si="63"/>
        <v>69.199293398362457</v>
      </c>
      <c r="Y431">
        <v>426</v>
      </c>
      <c r="Z431">
        <v>7.3127685192020451</v>
      </c>
    </row>
    <row r="432" spans="1:26" x14ac:dyDescent="0.15">
      <c r="A432" s="59">
        <v>41535.75</v>
      </c>
      <c r="B432">
        <v>12.862126999999999</v>
      </c>
      <c r="C432">
        <v>94.645347999999998</v>
      </c>
      <c r="D432">
        <v>47.907680999999997</v>
      </c>
      <c r="E432">
        <v>15.817</v>
      </c>
      <c r="F432">
        <v>1317.6400149999999</v>
      </c>
      <c r="H432" s="50">
        <f t="shared" si="57"/>
        <v>-7.7206777489384239E-3</v>
      </c>
      <c r="I432" s="50">
        <f t="shared" si="58"/>
        <v>3.1469944694577658E-3</v>
      </c>
      <c r="J432" s="50">
        <f t="shared" si="59"/>
        <v>2.329299252543271E-3</v>
      </c>
      <c r="K432" s="50">
        <f t="shared" si="60"/>
        <v>1.5570323284856639E-2</v>
      </c>
      <c r="L432" s="50">
        <f t="shared" si="61"/>
        <v>-5.6898222828216365E-3</v>
      </c>
      <c r="P432" s="50">
        <f t="shared" si="56"/>
        <v>-5.6898222828216365E-3</v>
      </c>
      <c r="Q432" s="51">
        <f t="shared" si="62"/>
        <v>89.651971851970032</v>
      </c>
      <c r="R432" s="51">
        <f t="shared" si="63"/>
        <v>68.665027953579454</v>
      </c>
      <c r="Y432">
        <v>427</v>
      </c>
      <c r="Z432">
        <v>6.8927129102643825</v>
      </c>
    </row>
    <row r="433" spans="1:26" x14ac:dyDescent="0.15">
      <c r="A433" s="59">
        <v>41536.75</v>
      </c>
      <c r="B433">
        <v>12.962204</v>
      </c>
      <c r="C433">
        <v>94.348433999999997</v>
      </c>
      <c r="D433">
        <v>47.796348999999999</v>
      </c>
      <c r="E433">
        <v>15.5745</v>
      </c>
      <c r="F433">
        <v>1325.1800539999999</v>
      </c>
      <c r="H433" s="50">
        <f t="shared" si="57"/>
        <v>8.8451177824871909E-3</v>
      </c>
      <c r="I433" s="50">
        <f t="shared" si="58"/>
        <v>1.0572466510614975E-2</v>
      </c>
      <c r="J433" s="50">
        <f t="shared" si="59"/>
        <v>7.6670981975758678E-3</v>
      </c>
      <c r="K433" s="50">
        <f t="shared" si="60"/>
        <v>-8.4041638811956625E-3</v>
      </c>
      <c r="L433" s="50">
        <f t="shared" si="61"/>
        <v>5.4247815623933056E-3</v>
      </c>
      <c r="P433" s="50">
        <f t="shared" si="56"/>
        <v>5.4247815623933056E-3</v>
      </c>
      <c r="Q433" s="51">
        <f t="shared" si="62"/>
        <v>90.138314215904799</v>
      </c>
      <c r="R433" s="51">
        <f t="shared" si="63"/>
        <v>69.272378213366636</v>
      </c>
      <c r="Y433">
        <v>428</v>
      </c>
      <c r="Z433">
        <v>7.2440548276271883</v>
      </c>
    </row>
    <row r="434" spans="1:26" x14ac:dyDescent="0.15">
      <c r="A434" s="59">
        <v>41537.75</v>
      </c>
      <c r="B434">
        <v>12.848557</v>
      </c>
      <c r="C434">
        <v>93.361373999999998</v>
      </c>
      <c r="D434">
        <v>47.432678000000003</v>
      </c>
      <c r="E434">
        <v>15.7065</v>
      </c>
      <c r="F434">
        <v>1318.030029</v>
      </c>
      <c r="H434" s="50">
        <f t="shared" si="57"/>
        <v>1.4735054906885786E-2</v>
      </c>
      <c r="I434" s="50">
        <f t="shared" si="58"/>
        <v>8.0581596944696004E-3</v>
      </c>
      <c r="J434" s="50">
        <f t="shared" si="59"/>
        <v>1.059432097659113E-2</v>
      </c>
      <c r="K434" s="50">
        <f t="shared" si="60"/>
        <v>4.7337278106508772E-3</v>
      </c>
      <c r="L434" s="50">
        <f t="shared" si="61"/>
        <v>2.4718963844255351E-3</v>
      </c>
      <c r="P434" s="50">
        <f t="shared" si="56"/>
        <v>2.4718963844255351E-3</v>
      </c>
      <c r="Q434" s="51">
        <f t="shared" si="62"/>
        <v>90.361126788913296</v>
      </c>
      <c r="R434" s="51">
        <f t="shared" si="63"/>
        <v>70.293110509871156</v>
      </c>
      <c r="Y434">
        <v>429</v>
      </c>
      <c r="Z434">
        <v>7.4233165654687667</v>
      </c>
    </row>
    <row r="435" spans="1:26" x14ac:dyDescent="0.15">
      <c r="A435" s="59">
        <v>41538.75</v>
      </c>
      <c r="B435">
        <v>12.661982</v>
      </c>
      <c r="C435">
        <v>92.615066999999996</v>
      </c>
      <c r="D435">
        <v>46.935428999999999</v>
      </c>
      <c r="E435">
        <v>15.6325</v>
      </c>
      <c r="F435">
        <v>1314.780029</v>
      </c>
      <c r="H435" s="50">
        <f t="shared" si="57"/>
        <v>4.0199435975371589E-4</v>
      </c>
      <c r="I435" s="50">
        <f t="shared" si="58"/>
        <v>-8.5050008021131749E-3</v>
      </c>
      <c r="J435" s="50">
        <f t="shared" si="59"/>
        <v>-2.0513095939594739E-3</v>
      </c>
      <c r="K435" s="50">
        <f t="shared" si="60"/>
        <v>-1.7194769269458083E-2</v>
      </c>
      <c r="L435" s="50">
        <f t="shared" si="61"/>
        <v>-8.7381093086322439E-3</v>
      </c>
      <c r="P435" s="50">
        <f t="shared" si="56"/>
        <v>-8.7381093086322439E-3</v>
      </c>
      <c r="Q435" s="51">
        <f t="shared" si="62"/>
        <v>89.571541385780591</v>
      </c>
      <c r="R435" s="51">
        <f t="shared" si="63"/>
        <v>70.321367943825663</v>
      </c>
      <c r="Y435">
        <v>430</v>
      </c>
      <c r="Z435">
        <v>7.8788437966983427</v>
      </c>
    </row>
    <row r="436" spans="1:26" x14ac:dyDescent="0.15">
      <c r="A436" s="59">
        <v>41541.75</v>
      </c>
      <c r="B436">
        <v>12.656893999999999</v>
      </c>
      <c r="C436">
        <v>93.409514999999999</v>
      </c>
      <c r="D436">
        <v>47.031905999999999</v>
      </c>
      <c r="E436">
        <v>15.906000000000001</v>
      </c>
      <c r="F436">
        <v>1326.369995</v>
      </c>
      <c r="H436" s="50">
        <f t="shared" si="57"/>
        <v>3.4967679633133536E-3</v>
      </c>
      <c r="I436" s="50">
        <f t="shared" si="58"/>
        <v>5.8761736848870066E-3</v>
      </c>
      <c r="J436" s="50">
        <f t="shared" si="59"/>
        <v>-8.9146025404980393E-3</v>
      </c>
      <c r="K436" s="50">
        <f t="shared" si="60"/>
        <v>6.6770038922819557E-3</v>
      </c>
      <c r="L436" s="50">
        <f t="shared" si="61"/>
        <v>-7.4680893323112183E-3</v>
      </c>
      <c r="P436" s="50">
        <f t="shared" si="56"/>
        <v>-7.4680893323112183E-3</v>
      </c>
      <c r="Q436" s="51">
        <f t="shared" si="62"/>
        <v>88.902613113078772</v>
      </c>
      <c r="R436" s="51">
        <f t="shared" si="63"/>
        <v>70.567265450388007</v>
      </c>
      <c r="Y436">
        <v>431</v>
      </c>
      <c r="Z436">
        <v>5.8650757796154283</v>
      </c>
    </row>
    <row r="437" spans="1:26" x14ac:dyDescent="0.15">
      <c r="A437" s="59">
        <v>41542.75</v>
      </c>
      <c r="B437">
        <v>12.61279</v>
      </c>
      <c r="C437">
        <v>92.863831000000005</v>
      </c>
      <c r="D437">
        <v>47.454948000000002</v>
      </c>
      <c r="E437">
        <v>15.8005</v>
      </c>
      <c r="F437">
        <v>1336.349976</v>
      </c>
      <c r="H437" s="50">
        <f t="shared" si="57"/>
        <v>5.4083147288911905E-3</v>
      </c>
      <c r="I437" s="50">
        <f t="shared" si="58"/>
        <v>4.7758860100111204E-3</v>
      </c>
      <c r="J437" s="50">
        <f t="shared" si="59"/>
        <v>-6.2510752163154792E-4</v>
      </c>
      <c r="K437" s="50">
        <f t="shared" si="60"/>
        <v>1.0779170931422714E-2</v>
      </c>
      <c r="L437" s="50">
        <f t="shared" si="61"/>
        <v>-1.7955394407025973E-4</v>
      </c>
      <c r="P437" s="50">
        <f t="shared" si="56"/>
        <v>-1.7955394407025973E-4</v>
      </c>
      <c r="Q437" s="51">
        <f t="shared" si="62"/>
        <v>88.886650298256171</v>
      </c>
      <c r="R437" s="51">
        <f t="shared" si="63"/>
        <v>70.948915431500922</v>
      </c>
      <c r="Y437">
        <v>432</v>
      </c>
      <c r="Z437">
        <v>6.1032397888853795</v>
      </c>
    </row>
    <row r="438" spans="1:26" x14ac:dyDescent="0.15">
      <c r="A438" s="59">
        <v>41543.75</v>
      </c>
      <c r="B438">
        <v>12.544943</v>
      </c>
      <c r="C438">
        <v>92.422432000000001</v>
      </c>
      <c r="D438">
        <v>47.484631</v>
      </c>
      <c r="E438">
        <v>15.632</v>
      </c>
      <c r="F438">
        <v>1336.589966</v>
      </c>
      <c r="H438" s="50">
        <f t="shared" si="57"/>
        <v>5.0276445946531856E-3</v>
      </c>
      <c r="I438" s="50">
        <f t="shared" si="58"/>
        <v>1.4779917836755213E-3</v>
      </c>
      <c r="J438" s="50">
        <f t="shared" si="59"/>
        <v>1.0952997425107954E-3</v>
      </c>
      <c r="K438" s="50">
        <f t="shared" si="60"/>
        <v>-2.5891944172491455E-2</v>
      </c>
      <c r="L438" s="50">
        <f t="shared" si="61"/>
        <v>-1.7104139216717773E-3</v>
      </c>
      <c r="P438" s="50">
        <f t="shared" si="56"/>
        <v>-1.7104139216717773E-3</v>
      </c>
      <c r="Q438" s="51">
        <f t="shared" si="62"/>
        <v>88.734617334135265</v>
      </c>
      <c r="R438" s="51">
        <f t="shared" si="63"/>
        <v>71.305621362666614</v>
      </c>
      <c r="Y438">
        <v>433</v>
      </c>
      <c r="Z438">
        <v>10.596361831762204</v>
      </c>
    </row>
    <row r="439" spans="1:26" x14ac:dyDescent="0.15">
      <c r="A439" s="59">
        <v>41544.75</v>
      </c>
      <c r="B439">
        <v>12.482187</v>
      </c>
      <c r="C439">
        <v>92.286034000000001</v>
      </c>
      <c r="D439">
        <v>47.432678000000003</v>
      </c>
      <c r="E439">
        <v>16.047501</v>
      </c>
      <c r="F439">
        <v>1338.880005</v>
      </c>
      <c r="H439" s="50">
        <f t="shared" si="57"/>
        <v>-1.7629232857263324E-3</v>
      </c>
      <c r="I439" s="50">
        <f t="shared" si="58"/>
        <v>1.5679243470180313E-3</v>
      </c>
      <c r="J439" s="50">
        <f t="shared" si="59"/>
        <v>4.0847408989503958E-3</v>
      </c>
      <c r="K439" s="50">
        <f t="shared" si="60"/>
        <v>1.3729369675166134E-3</v>
      </c>
      <c r="L439" s="50">
        <f t="shared" si="61"/>
        <v>2.2682404869092975E-3</v>
      </c>
      <c r="P439" s="50">
        <f t="shared" si="56"/>
        <v>2.2682404869092975E-3</v>
      </c>
      <c r="Q439" s="51">
        <f t="shared" si="62"/>
        <v>88.935888785762941</v>
      </c>
      <c r="R439" s="51">
        <f t="shared" si="63"/>
        <v>71.179915022363176</v>
      </c>
      <c r="Y439">
        <v>434</v>
      </c>
      <c r="Z439">
        <v>10.458428711729637</v>
      </c>
    </row>
    <row r="440" spans="1:26" x14ac:dyDescent="0.15">
      <c r="A440" s="59">
        <v>41545.75</v>
      </c>
      <c r="B440">
        <v>12.504231000000001</v>
      </c>
      <c r="C440">
        <v>92.141563000000005</v>
      </c>
      <c r="D440">
        <v>47.239716000000001</v>
      </c>
      <c r="E440">
        <v>16.025499</v>
      </c>
      <c r="F440">
        <v>1335.849976</v>
      </c>
      <c r="H440" s="50">
        <f t="shared" si="57"/>
        <v>7.6540483913210425E-3</v>
      </c>
      <c r="I440" s="50">
        <f t="shared" si="58"/>
        <v>3.4955992171473915E-3</v>
      </c>
      <c r="J440" s="50">
        <f t="shared" si="59"/>
        <v>3.1523040257780232E-3</v>
      </c>
      <c r="K440" s="50">
        <f t="shared" si="60"/>
        <v>1.8267823103316837E-2</v>
      </c>
      <c r="L440" s="50">
        <f t="shared" si="61"/>
        <v>3.4026606553973289E-3</v>
      </c>
      <c r="P440" s="50">
        <f t="shared" si="56"/>
        <v>3.4026606553973289E-3</v>
      </c>
      <c r="Q440" s="51">
        <f t="shared" si="62"/>
        <v>89.238507435387049</v>
      </c>
      <c r="R440" s="51">
        <f t="shared" si="63"/>
        <v>71.724729536434467</v>
      </c>
      <c r="Y440">
        <v>435</v>
      </c>
      <c r="Z440">
        <v>12.370042260682339</v>
      </c>
    </row>
    <row r="441" spans="1:26" x14ac:dyDescent="0.15">
      <c r="A441" s="59">
        <v>41548.75</v>
      </c>
      <c r="B441">
        <v>12.40925</v>
      </c>
      <c r="C441">
        <v>91.820594999999997</v>
      </c>
      <c r="D441">
        <v>47.091270000000002</v>
      </c>
      <c r="E441">
        <v>15.738</v>
      </c>
      <c r="F441">
        <v>1331.3199460000001</v>
      </c>
      <c r="H441" s="50">
        <f t="shared" si="57"/>
        <v>4.9450984180917212E-3</v>
      </c>
      <c r="I441" s="50">
        <f t="shared" si="58"/>
        <v>-1.7478861134816859E-4</v>
      </c>
      <c r="J441" s="50">
        <f t="shared" si="59"/>
        <v>6.3085428430474406E-4</v>
      </c>
      <c r="K441" s="50">
        <f t="shared" si="60"/>
        <v>-1.3415245737211661E-2</v>
      </c>
      <c r="L441" s="50">
        <f t="shared" si="61"/>
        <v>-2.0913110848203259E-3</v>
      </c>
      <c r="P441" s="50">
        <f t="shared" si="56"/>
        <v>-2.0913110848203259E-3</v>
      </c>
      <c r="Q441" s="51">
        <f t="shared" si="62"/>
        <v>89.05188195559461</v>
      </c>
      <c r="R441" s="51">
        <f t="shared" si="63"/>
        <v>72.079415383003138</v>
      </c>
      <c r="Y441">
        <v>436</v>
      </c>
      <c r="Z441">
        <v>6.3582883803224632</v>
      </c>
    </row>
    <row r="442" spans="1:26" x14ac:dyDescent="0.15">
      <c r="A442" s="59">
        <v>41549.75</v>
      </c>
      <c r="B442">
        <v>12.348186999999999</v>
      </c>
      <c r="C442">
        <v>91.836646999999999</v>
      </c>
      <c r="D442">
        <v>47.061580999999997</v>
      </c>
      <c r="E442">
        <v>15.952</v>
      </c>
      <c r="F442">
        <v>1334.1099850000001</v>
      </c>
      <c r="H442" s="50">
        <f t="shared" si="57"/>
        <v>1.2939889638146074E-2</v>
      </c>
      <c r="I442" s="50">
        <f t="shared" si="58"/>
        <v>9.0819149843597395E-3</v>
      </c>
      <c r="J442" s="50">
        <f t="shared" si="59"/>
        <v>1.1646527960241862E-2</v>
      </c>
      <c r="K442" s="50">
        <f t="shared" si="60"/>
        <v>2.9061703706092953E-2</v>
      </c>
      <c r="L442" s="50">
        <f t="shared" si="61"/>
        <v>-1.1916728324633159E-2</v>
      </c>
      <c r="P442" s="50">
        <f t="shared" si="56"/>
        <v>-1.1916728324633159E-2</v>
      </c>
      <c r="Q442" s="51">
        <f t="shared" si="62"/>
        <v>87.990674871532477</v>
      </c>
      <c r="R442" s="51">
        <f t="shared" si="63"/>
        <v>73.012115063241282</v>
      </c>
      <c r="Y442">
        <v>437</v>
      </c>
      <c r="Z442">
        <v>8.9365168016889616</v>
      </c>
    </row>
    <row r="443" spans="1:26" x14ac:dyDescent="0.15">
      <c r="A443" s="59">
        <v>41550.75</v>
      </c>
      <c r="B443">
        <v>12.190443999999999</v>
      </c>
      <c r="C443">
        <v>91.010101000000006</v>
      </c>
      <c r="D443">
        <v>46.519787000000001</v>
      </c>
      <c r="E443">
        <v>15.5015</v>
      </c>
      <c r="F443">
        <v>1350.1999510000001</v>
      </c>
      <c r="H443" s="50">
        <f t="shared" si="57"/>
        <v>-1.4128822871443054E-2</v>
      </c>
      <c r="I443" s="50">
        <f t="shared" si="58"/>
        <v>1.0694279678841977E-2</v>
      </c>
      <c r="J443" s="50">
        <f t="shared" si="59"/>
        <v>8.8520011892017029E-3</v>
      </c>
      <c r="K443" s="50">
        <f t="shared" si="60"/>
        <v>2.2425221778847728E-2</v>
      </c>
      <c r="L443" s="50">
        <f t="shared" si="61"/>
        <v>-2.2317288132898323E-3</v>
      </c>
      <c r="P443" s="50">
        <f t="shared" si="56"/>
        <v>-2.2317288132898323E-3</v>
      </c>
      <c r="Q443" s="51">
        <f t="shared" si="62"/>
        <v>87.794303547120862</v>
      </c>
      <c r="R443" s="51">
        <f t="shared" si="63"/>
        <v>71.980539822043326</v>
      </c>
      <c r="Y443">
        <v>438</v>
      </c>
      <c r="Z443">
        <v>7.4042304887090324</v>
      </c>
    </row>
    <row r="444" spans="1:26" x14ac:dyDescent="0.15">
      <c r="A444" s="59">
        <v>41551.75</v>
      </c>
      <c r="B444">
        <v>12.365149000000001</v>
      </c>
      <c r="C444">
        <v>90.047111999999998</v>
      </c>
      <c r="D444">
        <v>46.111606999999999</v>
      </c>
      <c r="E444">
        <v>15.1615</v>
      </c>
      <c r="F444">
        <v>1353.219971</v>
      </c>
      <c r="H444" s="50">
        <f t="shared" si="57"/>
        <v>-1.3698794979304803E-3</v>
      </c>
      <c r="I444" s="50">
        <f t="shared" si="58"/>
        <v>-2.0769444782283514E-2</v>
      </c>
      <c r="J444" s="50">
        <f t="shared" si="59"/>
        <v>-8.9326423943937167E-3</v>
      </c>
      <c r="K444" s="50">
        <f t="shared" si="60"/>
        <v>1.6765583609965464E-2</v>
      </c>
      <c r="L444" s="50">
        <f t="shared" si="61"/>
        <v>2.6897095350811038E-3</v>
      </c>
      <c r="P444" s="50">
        <f t="shared" si="56"/>
        <v>2.6897095350811038E-3</v>
      </c>
      <c r="Q444" s="51">
        <f t="shared" si="62"/>
        <v>88.03044472249735</v>
      </c>
      <c r="R444" s="51">
        <f t="shared" si="63"/>
        <v>71.881935156291149</v>
      </c>
      <c r="Y444">
        <v>439</v>
      </c>
      <c r="Z444">
        <v>7.6854322952865841</v>
      </c>
    </row>
    <row r="445" spans="1:26" x14ac:dyDescent="0.15">
      <c r="A445" s="59">
        <v>41552.75</v>
      </c>
      <c r="B445">
        <v>12.382111</v>
      </c>
      <c r="C445">
        <v>91.957008000000002</v>
      </c>
      <c r="D445">
        <v>46.527217999999998</v>
      </c>
      <c r="E445">
        <v>14.9115</v>
      </c>
      <c r="F445">
        <v>1349.589966</v>
      </c>
      <c r="H445" s="50">
        <f t="shared" si="57"/>
        <v>-2.3933746648201755E-2</v>
      </c>
      <c r="I445" s="50">
        <f t="shared" si="58"/>
        <v>-9.593875256767085E-3</v>
      </c>
      <c r="J445" s="50">
        <f t="shared" si="59"/>
        <v>-1.197784642461339E-2</v>
      </c>
      <c r="K445" s="50">
        <f t="shared" si="60"/>
        <v>-2.274142281351375E-2</v>
      </c>
      <c r="L445" s="50">
        <f t="shared" si="61"/>
        <v>-7.9225561804103259E-4</v>
      </c>
      <c r="P445" s="50">
        <f t="shared" si="56"/>
        <v>-7.9225561804103259E-4</v>
      </c>
      <c r="Q445" s="51">
        <f t="shared" si="62"/>
        <v>87.960702108107299</v>
      </c>
      <c r="R445" s="51">
        <f t="shared" si="63"/>
        <v>70.161531131678004</v>
      </c>
      <c r="Y445">
        <v>440</v>
      </c>
      <c r="Z445">
        <v>7.0170370267383175</v>
      </c>
    </row>
    <row r="446" spans="1:26" x14ac:dyDescent="0.15">
      <c r="A446" s="59">
        <v>41555.75</v>
      </c>
      <c r="B446">
        <v>12.685727999999999</v>
      </c>
      <c r="C446">
        <v>92.847778000000005</v>
      </c>
      <c r="D446">
        <v>47.091270000000002</v>
      </c>
      <c r="E446">
        <v>15.2585</v>
      </c>
      <c r="F446">
        <v>1350.660034</v>
      </c>
      <c r="H446" s="50">
        <f t="shared" si="57"/>
        <v>-4.0107737736061829E-4</v>
      </c>
      <c r="I446" s="50">
        <f t="shared" si="58"/>
        <v>-1.7255669845271905E-3</v>
      </c>
      <c r="J446" s="50">
        <f t="shared" si="59"/>
        <v>3.7966320664236399E-3</v>
      </c>
      <c r="K446" s="50">
        <f t="shared" si="60"/>
        <v>-1.839879056901152E-2</v>
      </c>
      <c r="L446" s="50">
        <f t="shared" si="61"/>
        <v>-2.0392855952116856E-3</v>
      </c>
      <c r="P446" s="50">
        <f t="shared" si="56"/>
        <v>-2.0392855952116856E-3</v>
      </c>
      <c r="Q446" s="51">
        <f t="shared" si="62"/>
        <v>87.781325115353525</v>
      </c>
      <c r="R446" s="51">
        <f t="shared" si="63"/>
        <v>70.133390928780102</v>
      </c>
      <c r="Y446">
        <v>441</v>
      </c>
      <c r="Z446">
        <v>8.6456926489486179</v>
      </c>
    </row>
    <row r="447" spans="1:26" x14ac:dyDescent="0.15">
      <c r="A447" s="59">
        <v>41556.75</v>
      </c>
      <c r="B447">
        <v>12.690818</v>
      </c>
      <c r="C447">
        <v>93.008269999999996</v>
      </c>
      <c r="D447">
        <v>46.913158000000003</v>
      </c>
      <c r="E447">
        <v>15.544499999999999</v>
      </c>
      <c r="F447">
        <v>1353.420044</v>
      </c>
      <c r="H447" s="50">
        <f t="shared" si="57"/>
        <v>1.8750987797805738E-3</v>
      </c>
      <c r="I447" s="50">
        <f t="shared" si="58"/>
        <v>-3.0965035218381049E-3</v>
      </c>
      <c r="J447" s="50">
        <f t="shared" si="59"/>
        <v>-6.9127849964212016E-3</v>
      </c>
      <c r="K447" s="50">
        <f t="shared" si="60"/>
        <v>6.1152236884449149E-4</v>
      </c>
      <c r="L447" s="50">
        <f t="shared" si="61"/>
        <v>2.5705345575436863E-3</v>
      </c>
      <c r="P447" s="50">
        <f t="shared" si="56"/>
        <v>2.5705345575436863E-3</v>
      </c>
      <c r="Q447" s="51">
        <f t="shared" si="62"/>
        <v>88.006970045069522</v>
      </c>
      <c r="R447" s="51">
        <f t="shared" si="63"/>
        <v>70.264897964532537</v>
      </c>
      <c r="Y447">
        <v>442</v>
      </c>
      <c r="Z447">
        <v>10.156781560316913</v>
      </c>
    </row>
    <row r="448" spans="1:26" x14ac:dyDescent="0.15">
      <c r="A448" s="59">
        <v>41557.75</v>
      </c>
      <c r="B448">
        <v>12.667066</v>
      </c>
      <c r="C448">
        <v>93.297165000000007</v>
      </c>
      <c r="D448">
        <v>47.239716000000001</v>
      </c>
      <c r="E448">
        <v>15.535</v>
      </c>
      <c r="F448">
        <v>1349.9499510000001</v>
      </c>
      <c r="H448" s="50">
        <f t="shared" si="57"/>
        <v>4.1682237389617568E-3</v>
      </c>
      <c r="I448" s="50">
        <f t="shared" si="58"/>
        <v>7.801647979677682E-3</v>
      </c>
      <c r="J448" s="50">
        <f t="shared" si="59"/>
        <v>1.1441324328082795E-2</v>
      </c>
      <c r="K448" s="50">
        <f t="shared" si="60"/>
        <v>1.4033942558746727E-2</v>
      </c>
      <c r="L448" s="50">
        <f t="shared" si="61"/>
        <v>-9.45092595249644E-3</v>
      </c>
      <c r="P448" s="50">
        <f t="shared" si="56"/>
        <v>-9.45092595249644E-3</v>
      </c>
      <c r="Q448" s="51">
        <f t="shared" si="62"/>
        <v>87.175222687870004</v>
      </c>
      <c r="R448" s="51">
        <f t="shared" si="63"/>
        <v>70.557777780244024</v>
      </c>
      <c r="Y448">
        <v>443</v>
      </c>
      <c r="Z448">
        <v>6.6823924755383786</v>
      </c>
    </row>
    <row r="449" spans="1:26" x14ac:dyDescent="0.15">
      <c r="A449" s="59">
        <v>41558.75</v>
      </c>
      <c r="B449">
        <v>12.614485999999999</v>
      </c>
      <c r="C449">
        <v>92.574928</v>
      </c>
      <c r="D449">
        <v>46.705345000000001</v>
      </c>
      <c r="E449">
        <v>15.32</v>
      </c>
      <c r="F449">
        <v>1362.829956</v>
      </c>
      <c r="H449" s="50">
        <f t="shared" si="57"/>
        <v>-1.626991315761998E-2</v>
      </c>
      <c r="I449" s="50">
        <f t="shared" si="58"/>
        <v>-1.7041889560931028E-2</v>
      </c>
      <c r="J449" s="50">
        <f t="shared" si="59"/>
        <v>-1.517972062433323E-2</v>
      </c>
      <c r="K449" s="50">
        <f t="shared" si="60"/>
        <v>-1.3172726979934907E-2</v>
      </c>
      <c r="L449" s="50">
        <f t="shared" si="61"/>
        <v>-2.0430566410972761E-3</v>
      </c>
      <c r="P449" s="50">
        <f t="shared" ref="P449:P512" si="64">(F449-F450)/F450</f>
        <v>-2.0430566410972761E-3</v>
      </c>
      <c r="Q449" s="51">
        <f t="shared" si="62"/>
        <v>86.997118770218421</v>
      </c>
      <c r="R449" s="51">
        <f t="shared" si="63"/>
        <v>69.409808863164812</v>
      </c>
      <c r="Y449">
        <v>444</v>
      </c>
      <c r="Z449">
        <v>5.6533357323601567</v>
      </c>
    </row>
    <row r="450" spans="1:26" x14ac:dyDescent="0.15">
      <c r="A450" s="59">
        <v>41559.75</v>
      </c>
      <c r="B450">
        <v>12.823117</v>
      </c>
      <c r="C450">
        <v>94.179931999999994</v>
      </c>
      <c r="D450">
        <v>47.425246999999999</v>
      </c>
      <c r="E450">
        <v>15.5245</v>
      </c>
      <c r="F450">
        <v>1365.619995</v>
      </c>
      <c r="H450" s="50">
        <f t="shared" ref="H450:H513" si="65">(B450-B451)/B451</f>
        <v>-2.3752013728088697E-3</v>
      </c>
      <c r="I450" s="50">
        <f t="shared" ref="I450:I513" si="66">(C450-C451)/C451</f>
        <v>-7.6102482007760902E-3</v>
      </c>
      <c r="J450" s="50">
        <f t="shared" ref="J450:J513" si="67">(D450-D451)/D451</f>
        <v>-1.4801233418806875E-2</v>
      </c>
      <c r="K450" s="50">
        <f t="shared" ref="K450:K513" si="68">(E450-E451)/E451</f>
        <v>-9.0098786884198101E-4</v>
      </c>
      <c r="L450" s="50">
        <f t="shared" ref="L450:L513" si="69">(F450-F451)/F451</f>
        <v>-2.5127195679878448E-3</v>
      </c>
      <c r="P450" s="50">
        <f t="shared" si="64"/>
        <v>-2.5127195679878448E-3</v>
      </c>
      <c r="Q450" s="51">
        <f t="shared" si="62"/>
        <v>86.778519407525934</v>
      </c>
      <c r="R450" s="51">
        <f t="shared" si="63"/>
        <v>69.244946589866615</v>
      </c>
      <c r="Y450">
        <v>445</v>
      </c>
      <c r="Z450">
        <v>6.8890348109048576</v>
      </c>
    </row>
    <row r="451" spans="1:26" x14ac:dyDescent="0.15">
      <c r="A451" s="59">
        <v>41562.75</v>
      </c>
      <c r="B451">
        <v>12.853647</v>
      </c>
      <c r="C451">
        <v>94.902161000000007</v>
      </c>
      <c r="D451">
        <v>48.137745000000002</v>
      </c>
      <c r="E451">
        <v>15.538500000000001</v>
      </c>
      <c r="F451">
        <v>1369.0600589999999</v>
      </c>
      <c r="H451" s="50">
        <f t="shared" si="65"/>
        <v>9.2456073436593378E-4</v>
      </c>
      <c r="I451" s="50">
        <f t="shared" si="66"/>
        <v>5.2704099937492602E-3</v>
      </c>
      <c r="J451" s="50">
        <f t="shared" si="67"/>
        <v>2.9379917561470079E-3</v>
      </c>
      <c r="K451" s="50">
        <f t="shared" si="68"/>
        <v>-5.5209372498138079E-2</v>
      </c>
      <c r="L451" s="50">
        <f t="shared" si="69"/>
        <v>3.6728930904499136E-3</v>
      </c>
      <c r="P451" s="50">
        <f t="shared" si="64"/>
        <v>3.6728930904499136E-3</v>
      </c>
      <c r="Q451" s="51">
        <f t="shared" ref="Q451:Q514" si="70">Q450*(1+P451)</f>
        <v>87.097247631857314</v>
      </c>
      <c r="R451" s="51">
        <f t="shared" ref="R451:R514" si="71">R450*(1+H451)</f>
        <v>69.308967748536872</v>
      </c>
      <c r="Y451">
        <v>446</v>
      </c>
      <c r="Z451">
        <v>6.0290071694833935</v>
      </c>
    </row>
    <row r="452" spans="1:26" x14ac:dyDescent="0.15">
      <c r="A452" s="59">
        <v>41563.75</v>
      </c>
      <c r="B452">
        <v>12.841773999999999</v>
      </c>
      <c r="C452">
        <v>94.404610000000005</v>
      </c>
      <c r="D452">
        <v>47.996730999999997</v>
      </c>
      <c r="E452">
        <v>16.446501000000001</v>
      </c>
      <c r="F452">
        <v>1364.0500489999999</v>
      </c>
      <c r="H452" s="50">
        <f t="shared" si="65"/>
        <v>7.4516805761827105E-3</v>
      </c>
      <c r="I452" s="50">
        <f t="shared" si="66"/>
        <v>2.2152121068989405E-3</v>
      </c>
      <c r="J452" s="50">
        <f t="shared" si="67"/>
        <v>-4.6360822268815357E-4</v>
      </c>
      <c r="K452" s="50">
        <f t="shared" si="68"/>
        <v>7.6277412309925215E-3</v>
      </c>
      <c r="L452" s="50">
        <f t="shared" si="69"/>
        <v>-1.2813002908304918E-3</v>
      </c>
      <c r="P452" s="50">
        <f t="shared" si="64"/>
        <v>-1.2813002908304918E-3</v>
      </c>
      <c r="Q452" s="51">
        <f t="shared" si="70"/>
        <v>86.985649903136078</v>
      </c>
      <c r="R452" s="51">
        <f t="shared" si="71"/>
        <v>69.825436037263913</v>
      </c>
      <c r="Y452">
        <v>447</v>
      </c>
      <c r="Z452">
        <v>6.7916469585682728</v>
      </c>
    </row>
    <row r="453" spans="1:26" x14ac:dyDescent="0.15">
      <c r="A453" s="59">
        <v>41564.75</v>
      </c>
      <c r="B453">
        <v>12.746789</v>
      </c>
      <c r="C453">
        <v>94.195946000000006</v>
      </c>
      <c r="D453">
        <v>48.018993000000002</v>
      </c>
      <c r="E453">
        <v>16.322001</v>
      </c>
      <c r="F453">
        <v>1365.8000489999999</v>
      </c>
      <c r="H453" s="50">
        <f t="shared" si="65"/>
        <v>-1.533011243282374E-2</v>
      </c>
      <c r="I453" s="50">
        <f t="shared" si="66"/>
        <v>-3.6498658867694603E-3</v>
      </c>
      <c r="J453" s="50">
        <f t="shared" si="67"/>
        <v>-6.450016777111614E-3</v>
      </c>
      <c r="K453" s="50">
        <f t="shared" si="68"/>
        <v>-1.8343656802570694E-2</v>
      </c>
      <c r="L453" s="50">
        <f t="shared" si="69"/>
        <v>-8.4853399740511982E-4</v>
      </c>
      <c r="P453" s="50">
        <f t="shared" si="64"/>
        <v>-8.4853399740511982E-4</v>
      </c>
      <c r="Q453" s="51">
        <f t="shared" si="70"/>
        <v>86.911839621906893</v>
      </c>
      <c r="R453" s="51">
        <f t="shared" si="71"/>
        <v>68.755004252141717</v>
      </c>
      <c r="Y453">
        <v>448</v>
      </c>
      <c r="Z453">
        <v>9.991614467387306</v>
      </c>
    </row>
    <row r="454" spans="1:26" x14ac:dyDescent="0.15">
      <c r="A454" s="59">
        <v>41565.75</v>
      </c>
      <c r="B454">
        <v>12.945240999999999</v>
      </c>
      <c r="C454">
        <v>94.541008000000005</v>
      </c>
      <c r="D454">
        <v>48.330727000000003</v>
      </c>
      <c r="E454">
        <v>16.627001</v>
      </c>
      <c r="F454">
        <v>1366.959961</v>
      </c>
      <c r="H454" s="50">
        <f t="shared" si="65"/>
        <v>5.5336332504556688E-3</v>
      </c>
      <c r="I454" s="50">
        <f t="shared" si="66"/>
        <v>5.5478548991409835E-3</v>
      </c>
      <c r="J454" s="50">
        <f t="shared" si="67"/>
        <v>1.3225932021759798E-2</v>
      </c>
      <c r="K454" s="50">
        <f t="shared" si="68"/>
        <v>1.7688947098111585E-2</v>
      </c>
      <c r="L454" s="50">
        <f t="shared" si="69"/>
        <v>-1.1983158181788165E-3</v>
      </c>
      <c r="P454" s="50">
        <f t="shared" si="64"/>
        <v>-1.1983158181788165E-3</v>
      </c>
      <c r="Q454" s="51">
        <f t="shared" si="70"/>
        <v>86.807691789700939</v>
      </c>
      <c r="R454" s="51">
        <f t="shared" si="71"/>
        <v>69.135469229806588</v>
      </c>
      <c r="Y454">
        <v>449</v>
      </c>
      <c r="Z454">
        <v>7.6890558984479807</v>
      </c>
    </row>
    <row r="455" spans="1:26" x14ac:dyDescent="0.15">
      <c r="A455" s="59">
        <v>41566.75</v>
      </c>
      <c r="B455">
        <v>12.874001</v>
      </c>
      <c r="C455">
        <v>94.019401999999999</v>
      </c>
      <c r="D455">
        <v>47.699852</v>
      </c>
      <c r="E455">
        <v>16.337999</v>
      </c>
      <c r="F455">
        <v>1368.599976</v>
      </c>
      <c r="H455" s="50">
        <f t="shared" si="65"/>
        <v>-6.8046298299270737E-3</v>
      </c>
      <c r="I455" s="50">
        <f t="shared" si="66"/>
        <v>7.9148404526159979E-3</v>
      </c>
      <c r="J455" s="50">
        <f t="shared" si="67"/>
        <v>2.1828955842992008E-3</v>
      </c>
      <c r="K455" s="50">
        <f t="shared" si="68"/>
        <v>-1.640534601607407E-2</v>
      </c>
      <c r="L455" s="50">
        <f t="shared" si="69"/>
        <v>-6.1146852461883318E-3</v>
      </c>
      <c r="P455" s="50">
        <f t="shared" si="64"/>
        <v>-6.1146852461883318E-3</v>
      </c>
      <c r="Q455" s="51">
        <f t="shared" si="70"/>
        <v>86.276890077458788</v>
      </c>
      <c r="R455" s="51">
        <f t="shared" si="71"/>
        <v>68.66502795357944</v>
      </c>
      <c r="Y455">
        <v>450</v>
      </c>
      <c r="Z455">
        <v>8.0062893199883636</v>
      </c>
    </row>
    <row r="456" spans="1:26" x14ac:dyDescent="0.15">
      <c r="A456" s="59">
        <v>41569.75</v>
      </c>
      <c r="B456">
        <v>12.962204</v>
      </c>
      <c r="C456">
        <v>93.281097000000003</v>
      </c>
      <c r="D456">
        <v>47.595954999999996</v>
      </c>
      <c r="E456">
        <v>16.610499999999998</v>
      </c>
      <c r="F456">
        <v>1377.0200199999999</v>
      </c>
      <c r="H456" s="50">
        <f t="shared" si="65"/>
        <v>4.4690497517422085E-3</v>
      </c>
      <c r="I456" s="50">
        <f t="shared" si="66"/>
        <v>-1.7179816259193577E-3</v>
      </c>
      <c r="J456" s="50">
        <f t="shared" si="67"/>
        <v>9.3660719013675411E-4</v>
      </c>
      <c r="K456" s="50">
        <f t="shared" si="68"/>
        <v>-8.5803131621673745E-2</v>
      </c>
      <c r="L456" s="50">
        <f t="shared" si="69"/>
        <v>-2.6135489022149086E-4</v>
      </c>
      <c r="P456" s="50">
        <f t="shared" si="64"/>
        <v>-2.6135489022149086E-4</v>
      </c>
      <c r="Q456" s="51">
        <f t="shared" si="70"/>
        <v>86.254341190323942</v>
      </c>
      <c r="R456" s="51">
        <f t="shared" si="71"/>
        <v>68.971895379708755</v>
      </c>
      <c r="Y456">
        <v>451</v>
      </c>
      <c r="Z456">
        <v>7.4818034420838302</v>
      </c>
    </row>
    <row r="457" spans="1:26" x14ac:dyDescent="0.15">
      <c r="A457" s="59">
        <v>41570.75</v>
      </c>
      <c r="B457">
        <v>12.904533000000001</v>
      </c>
      <c r="C457">
        <v>93.441627999999994</v>
      </c>
      <c r="D457">
        <v>47.551417999999998</v>
      </c>
      <c r="E457">
        <v>18.169499999999999</v>
      </c>
      <c r="F457">
        <v>1377.380005</v>
      </c>
      <c r="H457" s="50">
        <f t="shared" si="65"/>
        <v>-1.3741549816987154E-2</v>
      </c>
      <c r="I457" s="50">
        <f t="shared" si="66"/>
        <v>-7.7544065040651006E-3</v>
      </c>
      <c r="J457" s="50">
        <f t="shared" si="67"/>
        <v>-1.2484994840258189E-2</v>
      </c>
      <c r="K457" s="50">
        <f t="shared" si="68"/>
        <v>1.4602355673310528E-2</v>
      </c>
      <c r="L457" s="50">
        <f t="shared" si="69"/>
        <v>-3.501588822000897E-3</v>
      </c>
      <c r="P457" s="50">
        <f t="shared" si="64"/>
        <v>-3.501588822000897E-3</v>
      </c>
      <c r="Q457" s="51">
        <f t="shared" si="70"/>
        <v>85.952313953362847</v>
      </c>
      <c r="R457" s="51">
        <f t="shared" si="71"/>
        <v>68.024114643376464</v>
      </c>
      <c r="Y457">
        <v>452</v>
      </c>
      <c r="Z457">
        <v>5.0128197636626854</v>
      </c>
    </row>
    <row r="458" spans="1:26" x14ac:dyDescent="0.15">
      <c r="A458" s="59">
        <v>41571.75</v>
      </c>
      <c r="B458">
        <v>13.084332</v>
      </c>
      <c r="C458">
        <v>94.171875</v>
      </c>
      <c r="D458">
        <v>48.152602999999999</v>
      </c>
      <c r="E458">
        <v>17.908000999999999</v>
      </c>
      <c r="F458">
        <v>1382.219971</v>
      </c>
      <c r="H458" s="50">
        <f t="shared" si="65"/>
        <v>1.0381950187754653E-3</v>
      </c>
      <c r="I458" s="50">
        <f t="shared" si="66"/>
        <v>-1.1789472597285047E-2</v>
      </c>
      <c r="J458" s="50">
        <f t="shared" si="67"/>
        <v>8.7066685187600842E-3</v>
      </c>
      <c r="K458" s="50">
        <f t="shared" si="68"/>
        <v>-1.2517176730080111E-2</v>
      </c>
      <c r="L458" s="50">
        <f t="shared" si="69"/>
        <v>-4.9385098175011395E-3</v>
      </c>
      <c r="P458" s="50">
        <f t="shared" si="64"/>
        <v>-4.9385098175011395E-3</v>
      </c>
      <c r="Q458" s="51">
        <f t="shared" si="70"/>
        <v>85.527837607067227</v>
      </c>
      <c r="R458" s="51">
        <f t="shared" si="71"/>
        <v>68.09473694035583</v>
      </c>
      <c r="Y458">
        <v>453</v>
      </c>
      <c r="Z458">
        <v>4.9282867410384901</v>
      </c>
    </row>
    <row r="459" spans="1:26" x14ac:dyDescent="0.15">
      <c r="A459" s="59">
        <v>41572.75</v>
      </c>
      <c r="B459">
        <v>13.070762</v>
      </c>
      <c r="C459">
        <v>95.295356999999996</v>
      </c>
      <c r="D459">
        <v>47.736972999999999</v>
      </c>
      <c r="E459">
        <v>18.135000000000002</v>
      </c>
      <c r="F459">
        <v>1389.079956</v>
      </c>
      <c r="H459" s="50">
        <f t="shared" si="65"/>
        <v>1.950508370168352E-3</v>
      </c>
      <c r="I459" s="50">
        <f t="shared" si="66"/>
        <v>8.4068723155016952E-3</v>
      </c>
      <c r="J459" s="50">
        <f t="shared" si="67"/>
        <v>-2.1153588895019514E-2</v>
      </c>
      <c r="K459" s="50">
        <f t="shared" si="68"/>
        <v>4.486484740972488E-3</v>
      </c>
      <c r="L459" s="50">
        <f t="shared" si="69"/>
        <v>8.5236690213054012E-3</v>
      </c>
      <c r="P459" s="50">
        <f t="shared" si="64"/>
        <v>8.5236690213054012E-3</v>
      </c>
      <c r="Q459" s="51">
        <f t="shared" si="70"/>
        <v>86.256848586937821</v>
      </c>
      <c r="R459" s="51">
        <f t="shared" si="71"/>
        <v>68.227556294722405</v>
      </c>
      <c r="Y459">
        <v>454</v>
      </c>
      <c r="Z459">
        <v>9.2534560217108268</v>
      </c>
    </row>
    <row r="460" spans="1:26" x14ac:dyDescent="0.15">
      <c r="A460" s="59">
        <v>41573.75</v>
      </c>
      <c r="B460">
        <v>13.045317000000001</v>
      </c>
      <c r="C460">
        <v>94.500900000000001</v>
      </c>
      <c r="D460">
        <v>48.768604000000003</v>
      </c>
      <c r="E460">
        <v>18.054001</v>
      </c>
      <c r="F460">
        <v>1377.339966</v>
      </c>
      <c r="H460" s="50">
        <f t="shared" si="65"/>
        <v>2.0846233563081881E-3</v>
      </c>
      <c r="I460" s="50">
        <f t="shared" si="66"/>
        <v>-2.0341413013266916E-3</v>
      </c>
      <c r="J460" s="50">
        <f t="shared" si="67"/>
        <v>1.4199785732984464E-2</v>
      </c>
      <c r="K460" s="50">
        <f t="shared" si="68"/>
        <v>-8.1036727742218959E-3</v>
      </c>
      <c r="L460" s="50">
        <f t="shared" si="69"/>
        <v>-4.2824234676277942E-4</v>
      </c>
      <c r="P460" s="50">
        <f t="shared" si="64"/>
        <v>-4.2824234676277942E-4</v>
      </c>
      <c r="Q460" s="51">
        <f t="shared" si="70"/>
        <v>86.219909751674592</v>
      </c>
      <c r="R460" s="51">
        <f t="shared" si="71"/>
        <v>68.369785052118203</v>
      </c>
      <c r="Y460">
        <v>455</v>
      </c>
      <c r="Z460">
        <v>6.519781993712102</v>
      </c>
    </row>
    <row r="461" spans="1:26" x14ac:dyDescent="0.15">
      <c r="A461" s="59">
        <v>41576.75</v>
      </c>
      <c r="B461">
        <v>13.018179</v>
      </c>
      <c r="C461">
        <v>94.693520000000007</v>
      </c>
      <c r="D461">
        <v>48.085796000000002</v>
      </c>
      <c r="E461">
        <v>18.201499999999999</v>
      </c>
      <c r="F461">
        <v>1377.9300539999999</v>
      </c>
      <c r="H461" s="50">
        <f t="shared" si="65"/>
        <v>-4.1519362659882758E-3</v>
      </c>
      <c r="I461" s="50">
        <f t="shared" si="66"/>
        <v>-1.3542683553777012E-2</v>
      </c>
      <c r="J461" s="50">
        <f t="shared" si="67"/>
        <v>2.6306917428406788E-3</v>
      </c>
      <c r="K461" s="50">
        <f t="shared" si="68"/>
        <v>1.4011085570413006E-2</v>
      </c>
      <c r="L461" s="50">
        <f t="shared" si="69"/>
        <v>-7.175203872084085E-6</v>
      </c>
      <c r="P461" s="50">
        <f t="shared" si="64"/>
        <v>-7.175203872084085E-6</v>
      </c>
      <c r="Q461" s="51">
        <f t="shared" si="70"/>
        <v>86.219291106244299</v>
      </c>
      <c r="R461" s="51">
        <f t="shared" si="71"/>
        <v>68.08591806206249</v>
      </c>
      <c r="Y461">
        <v>456</v>
      </c>
      <c r="Z461">
        <v>9.4223320750619894</v>
      </c>
    </row>
    <row r="462" spans="1:26" x14ac:dyDescent="0.15">
      <c r="A462" s="59">
        <v>41577.75</v>
      </c>
      <c r="B462">
        <v>13.072455</v>
      </c>
      <c r="C462">
        <v>95.993530000000007</v>
      </c>
      <c r="D462">
        <v>47.959629</v>
      </c>
      <c r="E462">
        <v>17.950001</v>
      </c>
      <c r="F462">
        <v>1377.9399410000001</v>
      </c>
      <c r="H462" s="50">
        <f t="shared" si="65"/>
        <v>-3.3620873287298629E-3</v>
      </c>
      <c r="I462" s="50">
        <f t="shared" si="66"/>
        <v>-5.9827201850850952E-3</v>
      </c>
      <c r="J462" s="50">
        <f t="shared" si="67"/>
        <v>-9.1996605800838283E-3</v>
      </c>
      <c r="K462" s="50">
        <f t="shared" si="68"/>
        <v>7.2481462897915766E-4</v>
      </c>
      <c r="L462" s="50">
        <f t="shared" si="69"/>
        <v>7.4059127825146231E-3</v>
      </c>
      <c r="P462" s="50">
        <f t="shared" si="64"/>
        <v>7.4059127825146231E-3</v>
      </c>
      <c r="Q462" s="51">
        <f t="shared" si="70"/>
        <v>86.857823656347378</v>
      </c>
      <c r="R462" s="51">
        <f t="shared" si="71"/>
        <v>67.857007259681083</v>
      </c>
      <c r="Y462">
        <v>457</v>
      </c>
      <c r="Z462">
        <v>8.2503161008544641</v>
      </c>
    </row>
    <row r="463" spans="1:26" x14ac:dyDescent="0.15">
      <c r="A463" s="59">
        <v>41578.75</v>
      </c>
      <c r="B463">
        <v>13.116554000000001</v>
      </c>
      <c r="C463">
        <v>96.571288999999993</v>
      </c>
      <c r="D463">
        <v>48.404938000000001</v>
      </c>
      <c r="E463">
        <v>17.937000000000001</v>
      </c>
      <c r="F463">
        <v>1367.8100589999999</v>
      </c>
      <c r="H463" s="50">
        <f t="shared" si="65"/>
        <v>-1.1627479292098269E-3</v>
      </c>
      <c r="I463" s="50">
        <f t="shared" si="66"/>
        <v>1.7475837868928062E-3</v>
      </c>
      <c r="J463" s="50">
        <f t="shared" si="67"/>
        <v>9.1291226406898761E-3</v>
      </c>
      <c r="K463" s="50">
        <f t="shared" si="68"/>
        <v>-4.1795536236731499E-4</v>
      </c>
      <c r="L463" s="50">
        <f t="shared" si="69"/>
        <v>3.4380111142008862E-4</v>
      </c>
      <c r="P463" s="50">
        <f t="shared" si="64"/>
        <v>3.4380111142008862E-4</v>
      </c>
      <c r="Q463" s="51">
        <f t="shared" si="70"/>
        <v>86.88768547265596</v>
      </c>
      <c r="R463" s="51">
        <f t="shared" si="71"/>
        <v>67.778106665007513</v>
      </c>
      <c r="Y463">
        <v>458</v>
      </c>
      <c r="Z463">
        <v>7.0346416678452002</v>
      </c>
    </row>
    <row r="464" spans="1:26" x14ac:dyDescent="0.15">
      <c r="A464" s="59">
        <v>41579.75</v>
      </c>
      <c r="B464">
        <v>13.131823000000001</v>
      </c>
      <c r="C464">
        <v>96.402816999999999</v>
      </c>
      <c r="D464">
        <v>47.967041000000002</v>
      </c>
      <c r="E464">
        <v>17.944500000000001</v>
      </c>
      <c r="F464">
        <v>1367.339966</v>
      </c>
      <c r="H464" s="50">
        <f t="shared" si="65"/>
        <v>-9.4676616476352671E-3</v>
      </c>
      <c r="I464" s="50">
        <f t="shared" si="66"/>
        <v>-3.1756076592605785E-2</v>
      </c>
      <c r="J464" s="50">
        <f t="shared" si="67"/>
        <v>-1.6286073863405543E-2</v>
      </c>
      <c r="K464" s="50">
        <f t="shared" si="68"/>
        <v>7.6085125498343755E-3</v>
      </c>
      <c r="L464" s="50">
        <f t="shared" si="69"/>
        <v>2.2281880017729588E-3</v>
      </c>
      <c r="P464" s="50">
        <f t="shared" si="64"/>
        <v>2.2281880017729588E-3</v>
      </c>
      <c r="Q464" s="51">
        <f t="shared" si="70"/>
        <v>87.081287570927955</v>
      </c>
      <c r="R464" s="51">
        <f t="shared" si="71"/>
        <v>67.136406483985894</v>
      </c>
      <c r="Y464">
        <v>459</v>
      </c>
      <c r="Z464">
        <v>8.6892183389006128</v>
      </c>
    </row>
    <row r="465" spans="1:26" x14ac:dyDescent="0.15">
      <c r="A465" s="59">
        <v>41580.75</v>
      </c>
      <c r="B465">
        <v>13.257339</v>
      </c>
      <c r="C465">
        <v>99.564598000000004</v>
      </c>
      <c r="D465">
        <v>48.761169000000002</v>
      </c>
      <c r="E465">
        <v>17.809000000000001</v>
      </c>
      <c r="F465">
        <v>1364.3000489999999</v>
      </c>
      <c r="H465" s="50">
        <f t="shared" si="65"/>
        <v>8.3859634924478999E-3</v>
      </c>
      <c r="I465" s="50">
        <f t="shared" si="66"/>
        <v>1.0506611489355911E-2</v>
      </c>
      <c r="J465" s="50">
        <f t="shared" si="67"/>
        <v>1.35757273307199E-2</v>
      </c>
      <c r="K465" s="50">
        <f t="shared" si="68"/>
        <v>3.673309097293586E-2</v>
      </c>
      <c r="L465" s="50">
        <f t="shared" si="69"/>
        <v>-1.1219165138387482E-2</v>
      </c>
      <c r="P465" s="50">
        <f t="shared" si="64"/>
        <v>-1.1219165138387482E-2</v>
      </c>
      <c r="Q465" s="51">
        <f t="shared" si="70"/>
        <v>86.10430822520631</v>
      </c>
      <c r="R465" s="51">
        <f t="shared" si="71"/>
        <v>67.699409937774746</v>
      </c>
      <c r="Y465">
        <v>460</v>
      </c>
      <c r="Z465">
        <v>8.2041729473634568</v>
      </c>
    </row>
    <row r="466" spans="1:26" x14ac:dyDescent="0.15">
      <c r="A466" s="59">
        <v>41583.75</v>
      </c>
      <c r="B466">
        <v>13.147088</v>
      </c>
      <c r="C466">
        <v>98.529387999999997</v>
      </c>
      <c r="D466">
        <v>48.108066999999998</v>
      </c>
      <c r="E466">
        <v>17.177999</v>
      </c>
      <c r="F466">
        <v>1379.780029</v>
      </c>
      <c r="H466" s="50">
        <f t="shared" si="65"/>
        <v>-5.7724102972158487E-3</v>
      </c>
      <c r="I466" s="50">
        <f t="shared" si="66"/>
        <v>0</v>
      </c>
      <c r="J466" s="50">
        <f t="shared" si="67"/>
        <v>-4.4539387379536523E-3</v>
      </c>
      <c r="K466" s="50">
        <f t="shared" si="68"/>
        <v>-1.9268648869209985E-2</v>
      </c>
      <c r="L466" s="50">
        <f t="shared" si="69"/>
        <v>-2.2127918452134114E-3</v>
      </c>
      <c r="P466" s="50">
        <f t="shared" si="64"/>
        <v>-2.2127918452134114E-3</v>
      </c>
      <c r="Q466" s="51">
        <f t="shared" si="70"/>
        <v>85.913777314127827</v>
      </c>
      <c r="R466" s="51">
        <f t="shared" si="71"/>
        <v>67.308621166734497</v>
      </c>
      <c r="Y466">
        <v>461</v>
      </c>
      <c r="Z466">
        <v>9.4909991593840513</v>
      </c>
    </row>
    <row r="467" spans="1:26" x14ac:dyDescent="0.15">
      <c r="A467" s="59">
        <v>41584.75</v>
      </c>
      <c r="B467">
        <v>13.223419</v>
      </c>
      <c r="C467">
        <v>98.529387999999997</v>
      </c>
      <c r="D467">
        <v>48.323295999999999</v>
      </c>
      <c r="E467">
        <v>17.515498999999998</v>
      </c>
      <c r="F467">
        <v>1382.839966</v>
      </c>
      <c r="H467" s="50">
        <f t="shared" si="65"/>
        <v>-1.3289243790720679E-2</v>
      </c>
      <c r="I467" s="50">
        <f t="shared" si="66"/>
        <v>-1.9509028308132817E-3</v>
      </c>
      <c r="J467" s="50">
        <f t="shared" si="67"/>
        <v>-8.8296140690486309E-3</v>
      </c>
      <c r="K467" s="50">
        <f t="shared" si="68"/>
        <v>-1.1484903211242327E-2</v>
      </c>
      <c r="L467" s="50">
        <f t="shared" si="69"/>
        <v>-2.0783455967092958E-3</v>
      </c>
      <c r="P467" s="50">
        <f t="shared" si="64"/>
        <v>-2.0783455967092958E-3</v>
      </c>
      <c r="Q467" s="51">
        <f t="shared" si="70"/>
        <v>85.735218793350342</v>
      </c>
      <c r="R467" s="51">
        <f t="shared" si="71"/>
        <v>66.414140490832494</v>
      </c>
      <c r="Y467">
        <v>462</v>
      </c>
      <c r="Z467">
        <v>5.4820428038329307</v>
      </c>
    </row>
    <row r="468" spans="1:26" x14ac:dyDescent="0.15">
      <c r="A468" s="59">
        <v>41585.75</v>
      </c>
      <c r="B468">
        <v>13.401515</v>
      </c>
      <c r="C468">
        <v>98.721985000000004</v>
      </c>
      <c r="D468">
        <v>48.753773000000002</v>
      </c>
      <c r="E468">
        <v>17.719000000000001</v>
      </c>
      <c r="F468">
        <v>1385.719971</v>
      </c>
      <c r="H468" s="50">
        <f t="shared" si="65"/>
        <v>3.8116561866345672E-3</v>
      </c>
      <c r="I468" s="50">
        <f t="shared" si="66"/>
        <v>4.6549126576361875E-3</v>
      </c>
      <c r="J468" s="50">
        <f t="shared" si="67"/>
        <v>3.8205852082599727E-3</v>
      </c>
      <c r="K468" s="50">
        <f t="shared" si="68"/>
        <v>1.3875776042113678E-2</v>
      </c>
      <c r="L468" s="50">
        <f t="shared" si="69"/>
        <v>5.3615717831789972E-3</v>
      </c>
      <c r="P468" s="50">
        <f t="shared" si="64"/>
        <v>5.3615717831789972E-3</v>
      </c>
      <c r="Q468" s="51">
        <f t="shared" si="70"/>
        <v>86.194894323257444</v>
      </c>
      <c r="R468" s="51">
        <f t="shared" si="71"/>
        <v>66.667288360314402</v>
      </c>
      <c r="Y468">
        <v>463</v>
      </c>
      <c r="Z468">
        <v>8.3581478119567834</v>
      </c>
    </row>
    <row r="469" spans="1:26" x14ac:dyDescent="0.15">
      <c r="A469" s="59">
        <v>41586.75</v>
      </c>
      <c r="B469">
        <v>13.350626999999999</v>
      </c>
      <c r="C469">
        <v>98.264572000000001</v>
      </c>
      <c r="D469">
        <v>48.568213999999998</v>
      </c>
      <c r="E469">
        <v>17.476500000000001</v>
      </c>
      <c r="F469">
        <v>1378.329956</v>
      </c>
      <c r="H469" s="50">
        <f t="shared" si="65"/>
        <v>-2.4081558083084609E-3</v>
      </c>
      <c r="I469" s="50">
        <f t="shared" si="66"/>
        <v>-8.3624178123730946E-3</v>
      </c>
      <c r="J469" s="50">
        <f t="shared" si="67"/>
        <v>-2.1384945767882382E-2</v>
      </c>
      <c r="K469" s="50">
        <f t="shared" si="68"/>
        <v>-1.8780583977284573E-2</v>
      </c>
      <c r="L469" s="50">
        <f t="shared" si="69"/>
        <v>-1.8611542872997966E-3</v>
      </c>
      <c r="P469" s="50">
        <f t="shared" si="64"/>
        <v>-1.8611542872997966E-3</v>
      </c>
      <c r="Q469" s="51">
        <f t="shared" si="70"/>
        <v>86.034472326144353</v>
      </c>
      <c r="R469" s="51">
        <f t="shared" si="71"/>
        <v>66.506743142625339</v>
      </c>
      <c r="Y469">
        <v>464</v>
      </c>
      <c r="Z469">
        <v>9.4121734131673307</v>
      </c>
    </row>
    <row r="470" spans="1:26" x14ac:dyDescent="0.15">
      <c r="A470" s="59">
        <v>41587.75</v>
      </c>
      <c r="B470">
        <v>13.382854999999999</v>
      </c>
      <c r="C470">
        <v>99.093231000000003</v>
      </c>
      <c r="D470">
        <v>49.629539000000001</v>
      </c>
      <c r="E470">
        <v>17.811001000000001</v>
      </c>
      <c r="F470">
        <v>1380.900024</v>
      </c>
      <c r="H470" s="50">
        <f t="shared" si="65"/>
        <v>-2.2761590548426671E-3</v>
      </c>
      <c r="I470" s="50">
        <f t="shared" si="66"/>
        <v>-4.6063755911444982E-3</v>
      </c>
      <c r="J470" s="50">
        <f t="shared" si="67"/>
        <v>3.0000347203318176E-3</v>
      </c>
      <c r="K470" s="50">
        <f t="shared" si="68"/>
        <v>-3.0430047336415363E-2</v>
      </c>
      <c r="L470" s="50">
        <f t="shared" si="69"/>
        <v>-2.5425953743269634E-3</v>
      </c>
      <c r="P470" s="50">
        <f t="shared" si="64"/>
        <v>-2.5425953743269634E-3</v>
      </c>
      <c r="Q470" s="51">
        <f t="shared" si="70"/>
        <v>85.815721474775231</v>
      </c>
      <c r="R470" s="51">
        <f t="shared" si="71"/>
        <v>66.355363217013149</v>
      </c>
      <c r="Y470">
        <v>465</v>
      </c>
      <c r="Z470">
        <v>6.8461514925007485</v>
      </c>
    </row>
    <row r="471" spans="1:26" x14ac:dyDescent="0.15">
      <c r="A471" s="59">
        <v>41590.75</v>
      </c>
      <c r="B471">
        <v>13.413385999999999</v>
      </c>
      <c r="C471">
        <v>99.551804000000004</v>
      </c>
      <c r="D471">
        <v>49.481093999999999</v>
      </c>
      <c r="E471">
        <v>18.370000999999998</v>
      </c>
      <c r="F471">
        <v>1384.420044</v>
      </c>
      <c r="H471" s="50">
        <f t="shared" si="65"/>
        <v>-1.7671182933322359E-3</v>
      </c>
      <c r="I471" s="50">
        <f t="shared" si="66"/>
        <v>-4.4252918876142387E-3</v>
      </c>
      <c r="J471" s="50">
        <f t="shared" si="67"/>
        <v>-3.2890131057143495E-3</v>
      </c>
      <c r="K471" s="50">
        <f t="shared" si="68"/>
        <v>-4.7944849256441376E-3</v>
      </c>
      <c r="L471" s="50">
        <f t="shared" si="69"/>
        <v>-6.3162509748433873E-3</v>
      </c>
      <c r="P471" s="50">
        <f t="shared" si="64"/>
        <v>-6.3162509748433873E-3</v>
      </c>
      <c r="Q471" s="51">
        <f t="shared" si="70"/>
        <v>85.273687840353304</v>
      </c>
      <c r="R471" s="51">
        <f t="shared" si="71"/>
        <v>66.238105440811665</v>
      </c>
      <c r="Y471">
        <v>466</v>
      </c>
      <c r="Z471">
        <v>7.4910006874502439</v>
      </c>
    </row>
    <row r="472" spans="1:26" x14ac:dyDescent="0.15">
      <c r="A472" s="59">
        <v>41591.75</v>
      </c>
      <c r="B472">
        <v>13.437131000000001</v>
      </c>
      <c r="C472">
        <v>99.994308000000004</v>
      </c>
      <c r="D472">
        <v>49.644374999999997</v>
      </c>
      <c r="E472">
        <v>18.458500000000001</v>
      </c>
      <c r="F472">
        <v>1393.219971</v>
      </c>
      <c r="H472" s="50">
        <f t="shared" si="65"/>
        <v>0</v>
      </c>
      <c r="I472" s="50">
        <f t="shared" si="66"/>
        <v>7.9474731092530927E-3</v>
      </c>
      <c r="J472" s="50">
        <f t="shared" si="67"/>
        <v>1.5063390947585816E-4</v>
      </c>
      <c r="K472" s="50">
        <f t="shared" si="68"/>
        <v>8.1653831449013999E-3</v>
      </c>
      <c r="L472" s="50">
        <f t="shared" si="69"/>
        <v>-2.3987162330071261E-3</v>
      </c>
      <c r="P472" s="50">
        <f t="shared" si="64"/>
        <v>-2.3987162330071261E-3</v>
      </c>
      <c r="Q472" s="51">
        <f t="shared" si="70"/>
        <v>85.06914046108227</v>
      </c>
      <c r="R472" s="51">
        <f t="shared" si="71"/>
        <v>66.238105440811665</v>
      </c>
      <c r="Y472">
        <v>467</v>
      </c>
      <c r="Z472">
        <v>7.527300647998123</v>
      </c>
    </row>
    <row r="473" spans="1:26" x14ac:dyDescent="0.15">
      <c r="A473" s="59">
        <v>41592.75</v>
      </c>
      <c r="B473">
        <v>13.437131000000001</v>
      </c>
      <c r="C473">
        <v>99.205871999999999</v>
      </c>
      <c r="D473">
        <v>49.636898000000002</v>
      </c>
      <c r="E473">
        <v>18.309000000000001</v>
      </c>
      <c r="F473">
        <v>1396.5699460000001</v>
      </c>
      <c r="H473" s="50">
        <f t="shared" si="65"/>
        <v>-3.7850893516902761E-4</v>
      </c>
      <c r="I473" s="50">
        <f t="shared" si="66"/>
        <v>-2.5881205725187652E-3</v>
      </c>
      <c r="J473" s="50">
        <f t="shared" si="67"/>
        <v>-2.7018743746154037E-3</v>
      </c>
      <c r="K473" s="50">
        <f t="shared" si="68"/>
        <v>3.3978188195320416E-3</v>
      </c>
      <c r="L473" s="50">
        <f t="shared" si="69"/>
        <v>-2.2790078136322046E-3</v>
      </c>
      <c r="P473" s="50">
        <f t="shared" si="64"/>
        <v>-2.2790078136322046E-3</v>
      </c>
      <c r="Q473" s="51">
        <f t="shared" si="70"/>
        <v>84.875267225272481</v>
      </c>
      <c r="R473" s="51">
        <f t="shared" si="71"/>
        <v>66.213033726053652</v>
      </c>
      <c r="Y473">
        <v>468</v>
      </c>
      <c r="Z473">
        <v>6.2250669719546865</v>
      </c>
    </row>
    <row r="474" spans="1:26" x14ac:dyDescent="0.15">
      <c r="A474" s="59">
        <v>41593.75</v>
      </c>
      <c r="B474">
        <v>13.442219</v>
      </c>
      <c r="C474">
        <v>99.463295000000002</v>
      </c>
      <c r="D474">
        <v>49.771374000000002</v>
      </c>
      <c r="E474">
        <v>18.247</v>
      </c>
      <c r="F474">
        <v>1399.76001</v>
      </c>
      <c r="H474" s="50">
        <f t="shared" si="65"/>
        <v>4.4358247922435395E-3</v>
      </c>
      <c r="I474" s="50">
        <f t="shared" si="66"/>
        <v>7.0870007570318473E-3</v>
      </c>
      <c r="J474" s="50">
        <f t="shared" si="67"/>
        <v>2.1057935981603415E-3</v>
      </c>
      <c r="K474" s="50">
        <f t="shared" si="68"/>
        <v>6.5366687812009241E-3</v>
      </c>
      <c r="L474" s="50">
        <f t="shared" si="69"/>
        <v>-1.0276484801276515E-3</v>
      </c>
      <c r="P474" s="50">
        <f t="shared" si="64"/>
        <v>-1.0276484801276515E-3</v>
      </c>
      <c r="Q474" s="51">
        <f t="shared" si="70"/>
        <v>84.788045285908012</v>
      </c>
      <c r="R474" s="51">
        <f t="shared" si="71"/>
        <v>66.506743142625339</v>
      </c>
      <c r="Y474">
        <v>469</v>
      </c>
      <c r="Z474">
        <v>6.5838990648131119</v>
      </c>
    </row>
    <row r="475" spans="1:26" x14ac:dyDescent="0.15">
      <c r="A475" s="59">
        <v>41594.75</v>
      </c>
      <c r="B475">
        <v>13.382854999999999</v>
      </c>
      <c r="C475">
        <v>98.763358999999994</v>
      </c>
      <c r="D475">
        <v>49.666786000000002</v>
      </c>
      <c r="E475">
        <v>18.128499999999999</v>
      </c>
      <c r="F475">
        <v>1401.1999510000001</v>
      </c>
      <c r="H475" s="50">
        <f t="shared" si="65"/>
        <v>5.0717434140411482E-4</v>
      </c>
      <c r="I475" s="50">
        <f t="shared" si="66"/>
        <v>-9.1209044279452218E-3</v>
      </c>
      <c r="J475" s="50">
        <f t="shared" si="67"/>
        <v>3.5831343064660494E-2</v>
      </c>
      <c r="K475" s="50">
        <f t="shared" si="68"/>
        <v>-1.7212350494001518E-2</v>
      </c>
      <c r="L475" s="50">
        <f t="shared" si="69"/>
        <v>4.9978650481974688E-4</v>
      </c>
      <c r="P475" s="50">
        <f t="shared" si="64"/>
        <v>4.9978650481974688E-4</v>
      </c>
      <c r="Q475" s="51">
        <f t="shared" si="70"/>
        <v>84.830421206711961</v>
      </c>
      <c r="R475" s="51">
        <f t="shared" si="71"/>
        <v>66.540473656277626</v>
      </c>
      <c r="Y475">
        <v>470</v>
      </c>
      <c r="Z475">
        <v>4.9418549180921385</v>
      </c>
    </row>
    <row r="476" spans="1:26" x14ac:dyDescent="0.15">
      <c r="A476" s="59">
        <v>41597.75</v>
      </c>
      <c r="B476">
        <v>13.376071</v>
      </c>
      <c r="C476">
        <v>99.672461999999996</v>
      </c>
      <c r="D476">
        <v>47.948718999999997</v>
      </c>
      <c r="E476">
        <v>18.445999</v>
      </c>
      <c r="F476">
        <v>1400.5</v>
      </c>
      <c r="H476" s="50">
        <f t="shared" si="65"/>
        <v>-1.1903266907031354E-2</v>
      </c>
      <c r="I476" s="50">
        <f t="shared" si="66"/>
        <v>-1.0542313454755496E-2</v>
      </c>
      <c r="J476" s="50">
        <f t="shared" si="67"/>
        <v>7.6921434438805402E-3</v>
      </c>
      <c r="K476" s="50">
        <f t="shared" si="68"/>
        <v>-9.1053159520461582E-3</v>
      </c>
      <c r="L476" s="50">
        <f t="shared" si="69"/>
        <v>-1.646736837378146E-3</v>
      </c>
      <c r="P476" s="50">
        <f t="shared" si="64"/>
        <v>-1.646736837378146E-3</v>
      </c>
      <c r="Q476" s="51">
        <f t="shared" si="70"/>
        <v>84.690727827180567</v>
      </c>
      <c r="R476" s="51">
        <f t="shared" si="71"/>
        <v>65.748424638226666</v>
      </c>
      <c r="Y476">
        <v>471</v>
      </c>
      <c r="Z476">
        <v>7.3439051361698793</v>
      </c>
    </row>
    <row r="477" spans="1:26" x14ac:dyDescent="0.15">
      <c r="A477" s="59">
        <v>41598.75</v>
      </c>
      <c r="B477">
        <v>13.537208</v>
      </c>
      <c r="C477">
        <v>100.734436</v>
      </c>
      <c r="D477">
        <v>47.582706000000002</v>
      </c>
      <c r="E477">
        <v>18.615499</v>
      </c>
      <c r="F477">
        <v>1402.8100589999999</v>
      </c>
      <c r="H477" s="50">
        <f t="shared" si="65"/>
        <v>-7.7089210853007436E-3</v>
      </c>
      <c r="I477" s="50">
        <f t="shared" si="66"/>
        <v>3.1940689798352429E-4</v>
      </c>
      <c r="J477" s="50">
        <f t="shared" si="67"/>
        <v>-9.4088463732248852E-4</v>
      </c>
      <c r="K477" s="50">
        <f t="shared" si="68"/>
        <v>-1.1496494716626339E-2</v>
      </c>
      <c r="L477" s="50">
        <f t="shared" si="69"/>
        <v>-2.332643770533879E-3</v>
      </c>
      <c r="P477" s="50">
        <f t="shared" si="64"/>
        <v>-2.332643770533879E-3</v>
      </c>
      <c r="Q477" s="51">
        <f t="shared" si="70"/>
        <v>84.493174528492517</v>
      </c>
      <c r="R477" s="51">
        <f t="shared" si="71"/>
        <v>65.241575221207739</v>
      </c>
      <c r="Y477">
        <v>472</v>
      </c>
      <c r="Z477">
        <v>8.601311285853388</v>
      </c>
    </row>
    <row r="478" spans="1:26" x14ac:dyDescent="0.15">
      <c r="A478" s="59">
        <v>41599.75</v>
      </c>
      <c r="B478">
        <v>13.642376000000001</v>
      </c>
      <c r="C478">
        <v>100.702271</v>
      </c>
      <c r="D478">
        <v>47.627518000000002</v>
      </c>
      <c r="E478">
        <v>18.832001000000002</v>
      </c>
      <c r="F478">
        <v>1406.089966</v>
      </c>
      <c r="H478" s="50">
        <f t="shared" si="65"/>
        <v>-3.0984063532785307E-3</v>
      </c>
      <c r="I478" s="50">
        <f t="shared" si="66"/>
        <v>-7.9763437115605514E-5</v>
      </c>
      <c r="J478" s="50">
        <f t="shared" si="67"/>
        <v>-1.7226474152375825E-3</v>
      </c>
      <c r="K478" s="50">
        <f t="shared" si="68"/>
        <v>-1.2402652940574589E-2</v>
      </c>
      <c r="L478" s="50">
        <f t="shared" si="69"/>
        <v>3.6689497696409485E-3</v>
      </c>
      <c r="P478" s="50">
        <f t="shared" si="64"/>
        <v>3.6689497696409485E-3</v>
      </c>
      <c r="Q478" s="51">
        <f t="shared" si="70"/>
        <v>84.803175741715066</v>
      </c>
      <c r="R478" s="51">
        <f t="shared" si="71"/>
        <v>65.039430310044452</v>
      </c>
      <c r="Y478">
        <v>473</v>
      </c>
      <c r="Z478">
        <v>11.64083303791179</v>
      </c>
    </row>
    <row r="479" spans="1:26" x14ac:dyDescent="0.15">
      <c r="A479" s="59">
        <v>41601.75</v>
      </c>
      <c r="B479">
        <v>13.684777</v>
      </c>
      <c r="C479">
        <v>100.71030399999999</v>
      </c>
      <c r="D479">
        <v>47.709705</v>
      </c>
      <c r="E479">
        <v>19.068501000000001</v>
      </c>
      <c r="F479">
        <v>1400.9499510000001</v>
      </c>
      <c r="H479" s="50">
        <f t="shared" si="65"/>
        <v>-3.0891263771399306E-3</v>
      </c>
      <c r="I479" s="50">
        <f t="shared" si="66"/>
        <v>-1.5953706364503566E-3</v>
      </c>
      <c r="J479" s="50">
        <f t="shared" si="67"/>
        <v>-8.3837092834917644E-3</v>
      </c>
      <c r="K479" s="50">
        <f t="shared" si="68"/>
        <v>-1.3808796575790793E-2</v>
      </c>
      <c r="L479" s="50">
        <f t="shared" si="69"/>
        <v>1.3741346012845906E-2</v>
      </c>
      <c r="P479" s="50">
        <f t="shared" si="64"/>
        <v>1.3741346012845906E-2</v>
      </c>
      <c r="Q479" s="51">
        <f t="shared" si="70"/>
        <v>85.968485522570148</v>
      </c>
      <c r="R479" s="51">
        <f t="shared" si="71"/>
        <v>64.838515290319535</v>
      </c>
      <c r="Y479">
        <v>474</v>
      </c>
      <c r="Z479">
        <v>8.5372740597568644</v>
      </c>
    </row>
    <row r="480" spans="1:26" x14ac:dyDescent="0.15">
      <c r="A480" s="59">
        <v>41604.75</v>
      </c>
      <c r="B480">
        <v>13.727182000000001</v>
      </c>
      <c r="C480">
        <v>100.87123099999999</v>
      </c>
      <c r="D480">
        <v>48.113070999999998</v>
      </c>
      <c r="E480">
        <v>19.335501000000001</v>
      </c>
      <c r="F480">
        <v>1381.959961</v>
      </c>
      <c r="H480" s="50">
        <f t="shared" si="65"/>
        <v>-9.8757331476469678E-4</v>
      </c>
      <c r="I480" s="50">
        <f t="shared" si="66"/>
        <v>-3.9874555785133023E-4</v>
      </c>
      <c r="J480" s="50">
        <f t="shared" si="67"/>
        <v>7.5084428153161234E-3</v>
      </c>
      <c r="K480" s="50">
        <f t="shared" si="68"/>
        <v>-1.7554951476042895E-2</v>
      </c>
      <c r="L480" s="50">
        <f t="shared" si="69"/>
        <v>-3.4325675691880301E-3</v>
      </c>
      <c r="P480" s="50">
        <f t="shared" si="64"/>
        <v>-3.4325675691880301E-3</v>
      </c>
      <c r="Q480" s="51">
        <f t="shared" si="70"/>
        <v>85.67339288719316</v>
      </c>
      <c r="R480" s="51">
        <f t="shared" si="71"/>
        <v>64.77448250284985</v>
      </c>
      <c r="Y480">
        <v>475</v>
      </c>
      <c r="Z480">
        <v>13.11472828866439</v>
      </c>
    </row>
    <row r="481" spans="1:26" x14ac:dyDescent="0.15">
      <c r="A481" s="59">
        <v>41605.75</v>
      </c>
      <c r="B481">
        <v>13.740752000000001</v>
      </c>
      <c r="C481">
        <v>100.911469</v>
      </c>
      <c r="D481">
        <v>47.754508999999999</v>
      </c>
      <c r="E481">
        <v>19.681000000000001</v>
      </c>
      <c r="F481">
        <v>1386.719971</v>
      </c>
      <c r="H481" s="50">
        <f t="shared" si="65"/>
        <v>-1.2329083160181611E-3</v>
      </c>
      <c r="I481" s="50">
        <f t="shared" si="66"/>
        <v>1.4067588776425831E-2</v>
      </c>
      <c r="J481" s="50">
        <f t="shared" si="67"/>
        <v>1.9129353888394606E-2</v>
      </c>
      <c r="K481" s="50">
        <f t="shared" si="68"/>
        <v>3.3647718582718584E-3</v>
      </c>
      <c r="L481" s="50">
        <f t="shared" si="69"/>
        <v>-9.1176788395358685E-3</v>
      </c>
      <c r="P481" s="50">
        <f t="shared" si="64"/>
        <v>-9.1176788395358685E-3</v>
      </c>
      <c r="Q481" s="51">
        <f t="shared" si="70"/>
        <v>84.892250405754353</v>
      </c>
      <c r="R481" s="51">
        <f t="shared" si="71"/>
        <v>64.694621504706305</v>
      </c>
      <c r="Y481">
        <v>476</v>
      </c>
      <c r="Z481">
        <v>8.8269463104449351</v>
      </c>
    </row>
    <row r="482" spans="1:26" x14ac:dyDescent="0.15">
      <c r="A482" s="59">
        <v>41606.75</v>
      </c>
      <c r="B482">
        <v>13.757714</v>
      </c>
      <c r="C482">
        <v>99.511581000000007</v>
      </c>
      <c r="D482">
        <v>46.858142999999998</v>
      </c>
      <c r="E482">
        <v>19.614999999999998</v>
      </c>
      <c r="F482">
        <v>1399.4799800000001</v>
      </c>
      <c r="H482" s="50">
        <f t="shared" si="65"/>
        <v>-1.2314626324813646E-3</v>
      </c>
      <c r="I482" s="50">
        <f t="shared" si="66"/>
        <v>-1.0494887037718213E-3</v>
      </c>
      <c r="J482" s="50">
        <f t="shared" si="67"/>
        <v>-1.432296067494778E-3</v>
      </c>
      <c r="K482" s="50">
        <f t="shared" si="68"/>
        <v>1.9861696043258874E-2</v>
      </c>
      <c r="L482" s="50">
        <f t="shared" si="69"/>
        <v>-8.2107694101549264E-4</v>
      </c>
      <c r="P482" s="50">
        <f t="shared" si="64"/>
        <v>-8.2107694101549264E-4</v>
      </c>
      <c r="Q482" s="51">
        <f t="shared" si="70"/>
        <v>84.822547336475267</v>
      </c>
      <c r="R482" s="51">
        <f t="shared" si="71"/>
        <v>64.614952495800736</v>
      </c>
      <c r="Y482">
        <v>477</v>
      </c>
      <c r="Z482">
        <v>8.4183443569261165</v>
      </c>
    </row>
    <row r="483" spans="1:26" x14ac:dyDescent="0.15">
      <c r="A483" s="59">
        <v>41607.75</v>
      </c>
      <c r="B483">
        <v>13.774677000000001</v>
      </c>
      <c r="C483">
        <v>99.616127000000006</v>
      </c>
      <c r="D483">
        <v>46.925353999999999</v>
      </c>
      <c r="E483">
        <v>19.233000000000001</v>
      </c>
      <c r="F483">
        <v>1400.630005</v>
      </c>
      <c r="H483" s="50">
        <f t="shared" si="65"/>
        <v>-5.2350776707554506E-3</v>
      </c>
      <c r="I483" s="50">
        <f t="shared" si="66"/>
        <v>6.9119480397871408E-3</v>
      </c>
      <c r="J483" s="50">
        <f t="shared" si="67"/>
        <v>-7.739845708040421E-3</v>
      </c>
      <c r="K483" s="50">
        <f t="shared" si="68"/>
        <v>-3.3682246864958926E-3</v>
      </c>
      <c r="L483" s="50">
        <f t="shared" si="69"/>
        <v>2.8066270803949406E-3</v>
      </c>
      <c r="P483" s="50">
        <f t="shared" si="64"/>
        <v>2.8066270803949406E-3</v>
      </c>
      <c r="Q483" s="51">
        <f t="shared" si="70"/>
        <v>85.060612594857915</v>
      </c>
      <c r="R483" s="51">
        <f t="shared" si="71"/>
        <v>64.276688200793046</v>
      </c>
      <c r="Y483">
        <v>478</v>
      </c>
      <c r="Z483">
        <v>6.3131409179866331</v>
      </c>
    </row>
    <row r="484" spans="1:26" x14ac:dyDescent="0.15">
      <c r="A484" s="59">
        <v>41608.75</v>
      </c>
      <c r="B484">
        <v>13.847168</v>
      </c>
      <c r="C484">
        <v>98.932311999999996</v>
      </c>
      <c r="D484">
        <v>47.291381999999999</v>
      </c>
      <c r="E484">
        <v>19.297999999999998</v>
      </c>
      <c r="F484">
        <v>1396.709961</v>
      </c>
      <c r="H484" s="50">
        <f t="shared" si="65"/>
        <v>9.818242943409012E-3</v>
      </c>
      <c r="I484" s="50">
        <f t="shared" si="66"/>
        <v>1.6701028296143637E-2</v>
      </c>
      <c r="J484" s="50">
        <f t="shared" si="67"/>
        <v>1.0857389782144195E-2</v>
      </c>
      <c r="K484" s="50">
        <f t="shared" si="68"/>
        <v>3.8231941624907824E-3</v>
      </c>
      <c r="L484" s="50">
        <f t="shared" si="69"/>
        <v>-8.8069391137977539E-3</v>
      </c>
      <c r="P484" s="50">
        <f t="shared" si="64"/>
        <v>-8.8069391137977539E-3</v>
      </c>
      <c r="Q484" s="51">
        <f t="shared" si="70"/>
        <v>84.311488958752662</v>
      </c>
      <c r="R484" s="51">
        <f t="shared" si="71"/>
        <v>64.907772341146185</v>
      </c>
      <c r="Y484">
        <v>479</v>
      </c>
      <c r="Z484">
        <v>8.7399562154817723</v>
      </c>
    </row>
    <row r="485" spans="1:26" x14ac:dyDescent="0.15">
      <c r="A485" s="59">
        <v>41611.75</v>
      </c>
      <c r="B485">
        <v>13.712535000000001</v>
      </c>
      <c r="C485">
        <v>97.307181999999997</v>
      </c>
      <c r="D485">
        <v>46.783436000000002</v>
      </c>
      <c r="E485">
        <v>19.224501</v>
      </c>
      <c r="F485">
        <v>1409.119995</v>
      </c>
      <c r="H485" s="50">
        <f t="shared" si="65"/>
        <v>-6.2545832653625524E-3</v>
      </c>
      <c r="I485" s="50">
        <f t="shared" si="66"/>
        <v>-9.0941134901258089E-3</v>
      </c>
      <c r="J485" s="50">
        <f t="shared" si="67"/>
        <v>-1.1833094941670879E-2</v>
      </c>
      <c r="K485" s="50">
        <f t="shared" si="68"/>
        <v>-6.3573588318904294E-3</v>
      </c>
      <c r="L485" s="50">
        <f t="shared" si="69"/>
        <v>-3.9865524612898474E-3</v>
      </c>
      <c r="P485" s="50">
        <f t="shared" si="64"/>
        <v>-3.9865524612898474E-3</v>
      </c>
      <c r="Q485" s="51">
        <f t="shared" si="70"/>
        <v>83.975376784929139</v>
      </c>
      <c r="R485" s="51">
        <f t="shared" si="71"/>
        <v>64.501801274469287</v>
      </c>
      <c r="Y485">
        <v>480</v>
      </c>
      <c r="Z485">
        <v>8.8512515270905467</v>
      </c>
    </row>
    <row r="486" spans="1:26" x14ac:dyDescent="0.15">
      <c r="A486" s="59">
        <v>41612.75</v>
      </c>
      <c r="B486">
        <v>13.798840999999999</v>
      </c>
      <c r="C486">
        <v>98.200226000000001</v>
      </c>
      <c r="D486">
        <v>47.343657999999998</v>
      </c>
      <c r="E486">
        <v>19.3475</v>
      </c>
      <c r="F486">
        <v>1414.76001</v>
      </c>
      <c r="H486" s="50">
        <f t="shared" si="65"/>
        <v>-1.2470506635888173E-4</v>
      </c>
      <c r="I486" s="50">
        <f t="shared" si="66"/>
        <v>3.2879878516202891E-3</v>
      </c>
      <c r="J486" s="50">
        <f t="shared" si="67"/>
        <v>2.2133571085529292E-3</v>
      </c>
      <c r="K486" s="50">
        <f t="shared" si="68"/>
        <v>5.3522307855350766E-3</v>
      </c>
      <c r="L486" s="50">
        <f t="shared" si="69"/>
        <v>1.3164314306784491E-3</v>
      </c>
      <c r="P486" s="50">
        <f t="shared" si="64"/>
        <v>1.3164314306784491E-3</v>
      </c>
      <c r="Q486" s="51">
        <f t="shared" si="70"/>
        <v>84.085924610331887</v>
      </c>
      <c r="R486" s="51">
        <f t="shared" si="71"/>
        <v>64.493757573061089</v>
      </c>
      <c r="Y486">
        <v>481</v>
      </c>
      <c r="Z486">
        <v>8.9680648469403277</v>
      </c>
    </row>
    <row r="487" spans="1:26" x14ac:dyDescent="0.15">
      <c r="A487" s="59">
        <v>41613.75</v>
      </c>
      <c r="B487">
        <v>13.800561999999999</v>
      </c>
      <c r="C487">
        <v>97.878403000000006</v>
      </c>
      <c r="D487">
        <v>47.239100999999998</v>
      </c>
      <c r="E487">
        <v>19.244499000000001</v>
      </c>
      <c r="F487">
        <v>1412.900024</v>
      </c>
      <c r="H487" s="50">
        <f t="shared" si="65"/>
        <v>1.1001297398828864E-2</v>
      </c>
      <c r="I487" s="50">
        <f t="shared" si="66"/>
        <v>1.3495511414213505E-2</v>
      </c>
      <c r="J487" s="50">
        <f t="shared" si="67"/>
        <v>1.2667409887510981E-3</v>
      </c>
      <c r="K487" s="50">
        <f t="shared" si="68"/>
        <v>-7.4527309299086191E-3</v>
      </c>
      <c r="L487" s="50">
        <f t="shared" si="69"/>
        <v>3.9863744107692441E-3</v>
      </c>
      <c r="P487" s="50">
        <f t="shared" si="64"/>
        <v>3.9863744107692441E-3</v>
      </c>
      <c r="Q487" s="51">
        <f t="shared" si="70"/>
        <v>84.421122588504389</v>
      </c>
      <c r="R487" s="51">
        <f t="shared" si="71"/>
        <v>65.203272580490307</v>
      </c>
      <c r="Y487">
        <v>482</v>
      </c>
      <c r="Z487">
        <v>6.1453930136732291</v>
      </c>
    </row>
    <row r="488" spans="1:26" x14ac:dyDescent="0.15">
      <c r="A488" s="59">
        <v>41614.75</v>
      </c>
      <c r="B488">
        <v>13.65039</v>
      </c>
      <c r="C488">
        <v>96.575073000000003</v>
      </c>
      <c r="D488">
        <v>47.179336999999997</v>
      </c>
      <c r="E488">
        <v>19.388999999999999</v>
      </c>
      <c r="F488">
        <v>1407.290039</v>
      </c>
      <c r="H488" s="50">
        <f t="shared" si="65"/>
        <v>-1.2642728790171958E-4</v>
      </c>
      <c r="I488" s="50">
        <f t="shared" si="66"/>
        <v>1.2397788260278682E-2</v>
      </c>
      <c r="J488" s="50">
        <f t="shared" si="67"/>
        <v>3.6546263150708013E-3</v>
      </c>
      <c r="K488" s="50">
        <f t="shared" si="68"/>
        <v>1.4626179930077593E-2</v>
      </c>
      <c r="L488" s="50">
        <f t="shared" si="69"/>
        <v>-1.8086641473462281E-3</v>
      </c>
      <c r="P488" s="50">
        <f t="shared" si="64"/>
        <v>-1.8086641473462281E-3</v>
      </c>
      <c r="Q488" s="51">
        <f t="shared" si="70"/>
        <v>84.268433130799835</v>
      </c>
      <c r="R488" s="51">
        <f t="shared" si="71"/>
        <v>65.195029107575635</v>
      </c>
      <c r="Y488">
        <v>483</v>
      </c>
      <c r="Z488">
        <v>7.5749069090375052</v>
      </c>
    </row>
    <row r="489" spans="1:26" x14ac:dyDescent="0.15">
      <c r="A489" s="59">
        <v>41615.75</v>
      </c>
      <c r="B489">
        <v>13.652115999999999</v>
      </c>
      <c r="C489">
        <v>95.392418000000006</v>
      </c>
      <c r="D489">
        <v>47.007542000000001</v>
      </c>
      <c r="E489">
        <v>19.109501000000002</v>
      </c>
      <c r="F489">
        <v>1409.839966</v>
      </c>
      <c r="H489" s="50">
        <f t="shared" si="65"/>
        <v>7.5157884249581874E-3</v>
      </c>
      <c r="I489" s="50">
        <f t="shared" si="66"/>
        <v>2.9605247940193815E-3</v>
      </c>
      <c r="J489" s="50">
        <f t="shared" si="67"/>
        <v>6.3615348036621239E-4</v>
      </c>
      <c r="K489" s="50">
        <f t="shared" si="68"/>
        <v>2.465626229508282E-3</v>
      </c>
      <c r="L489" s="50">
        <f t="shared" si="69"/>
        <v>-2.2646725582274705E-3</v>
      </c>
      <c r="P489" s="50">
        <f t="shared" si="64"/>
        <v>-2.2646725582274705E-3</v>
      </c>
      <c r="Q489" s="51">
        <f t="shared" si="70"/>
        <v>84.077592722763683</v>
      </c>
      <c r="R489" s="51">
        <f t="shared" si="71"/>
        <v>65.685021152707165</v>
      </c>
      <c r="Y489">
        <v>484</v>
      </c>
      <c r="Z489">
        <v>8.946570500081398</v>
      </c>
    </row>
    <row r="490" spans="1:26" x14ac:dyDescent="0.15">
      <c r="A490" s="59">
        <v>41618.75</v>
      </c>
      <c r="B490">
        <v>13.550274999999999</v>
      </c>
      <c r="C490">
        <v>95.110839999999996</v>
      </c>
      <c r="D490">
        <v>46.977657000000001</v>
      </c>
      <c r="E490">
        <v>19.0625</v>
      </c>
      <c r="F490">
        <v>1413.040039</v>
      </c>
      <c r="H490" s="50">
        <f t="shared" si="65"/>
        <v>5.3790769798312812E-3</v>
      </c>
      <c r="I490" s="50">
        <f t="shared" si="66"/>
        <v>2.6294782649432732E-3</v>
      </c>
      <c r="J490" s="50">
        <f t="shared" si="67"/>
        <v>8.4991219630571133E-3</v>
      </c>
      <c r="K490" s="50">
        <f t="shared" si="68"/>
        <v>-7.7815948365604695E-3</v>
      </c>
      <c r="L490" s="50">
        <f t="shared" si="69"/>
        <v>1.0484711511662777E-3</v>
      </c>
      <c r="P490" s="50">
        <f t="shared" si="64"/>
        <v>1.0484711511662777E-3</v>
      </c>
      <c r="Q490" s="51">
        <f t="shared" si="70"/>
        <v>84.165745653192999</v>
      </c>
      <c r="R490" s="51">
        <f t="shared" si="71"/>
        <v>66.038345937909412</v>
      </c>
      <c r="Y490">
        <v>485</v>
      </c>
      <c r="Z490">
        <v>7.5871614232286131</v>
      </c>
    </row>
    <row r="491" spans="1:26" x14ac:dyDescent="0.15">
      <c r="A491" s="59">
        <v>41619.75</v>
      </c>
      <c r="B491">
        <v>13.477777</v>
      </c>
      <c r="C491">
        <v>94.861403999999993</v>
      </c>
      <c r="D491">
        <v>46.581752999999999</v>
      </c>
      <c r="E491">
        <v>19.212</v>
      </c>
      <c r="F491">
        <v>1411.5600589999999</v>
      </c>
      <c r="H491" s="50">
        <f t="shared" si="65"/>
        <v>4.373546100897417E-3</v>
      </c>
      <c r="I491" s="50">
        <f t="shared" si="66"/>
        <v>-7.630787443290714E-4</v>
      </c>
      <c r="J491" s="50">
        <f t="shared" si="67"/>
        <v>3.0562131987454414E-3</v>
      </c>
      <c r="K491" s="50">
        <f t="shared" si="68"/>
        <v>-1.2160320847366094E-2</v>
      </c>
      <c r="L491" s="50">
        <f t="shared" si="69"/>
        <v>-1.1674854024044845E-3</v>
      </c>
      <c r="P491" s="50">
        <f t="shared" si="64"/>
        <v>-1.1674854024044845E-3</v>
      </c>
      <c r="Q491" s="51">
        <f t="shared" si="70"/>
        <v>84.06748337376041</v>
      </c>
      <c r="R491" s="51">
        <f t="shared" si="71"/>
        <v>66.327167688295873</v>
      </c>
      <c r="Y491">
        <v>486</v>
      </c>
      <c r="Z491">
        <v>7.401720813038378</v>
      </c>
    </row>
    <row r="492" spans="1:26" x14ac:dyDescent="0.15">
      <c r="A492" s="59">
        <v>41620.75</v>
      </c>
      <c r="B492">
        <v>13.419088</v>
      </c>
      <c r="C492">
        <v>94.933846000000003</v>
      </c>
      <c r="D492">
        <v>46.439822999999997</v>
      </c>
      <c r="E492">
        <v>19.448499999999999</v>
      </c>
      <c r="F492">
        <v>1413.209961</v>
      </c>
      <c r="H492" s="50">
        <f t="shared" si="65"/>
        <v>6.3431675941476862E-3</v>
      </c>
      <c r="I492" s="50">
        <f t="shared" si="66"/>
        <v>3.8282659312819101E-3</v>
      </c>
      <c r="J492" s="50">
        <f t="shared" si="67"/>
        <v>8.434487870000321E-3</v>
      </c>
      <c r="K492" s="50">
        <f t="shared" si="68"/>
        <v>3.4051334967108962E-3</v>
      </c>
      <c r="L492" s="50">
        <f t="shared" si="69"/>
        <v>-8.614602056939041E-3</v>
      </c>
      <c r="P492" s="50">
        <f t="shared" si="64"/>
        <v>-8.614602056939041E-3</v>
      </c>
      <c r="Q492" s="51">
        <f t="shared" si="70"/>
        <v>83.34327545856712</v>
      </c>
      <c r="R492" s="51">
        <f t="shared" si="71"/>
        <v>66.747892028987863</v>
      </c>
      <c r="Y492">
        <v>487</v>
      </c>
      <c r="Z492">
        <v>6.6616989143720904</v>
      </c>
    </row>
    <row r="493" spans="1:26" x14ac:dyDescent="0.15">
      <c r="A493" s="59">
        <v>41621.75</v>
      </c>
      <c r="B493">
        <v>13.334505</v>
      </c>
      <c r="C493">
        <v>94.571799999999996</v>
      </c>
      <c r="D493">
        <v>46.051403000000001</v>
      </c>
      <c r="E493">
        <v>19.3825</v>
      </c>
      <c r="F493">
        <v>1425.48999</v>
      </c>
      <c r="H493" s="50">
        <f t="shared" si="65"/>
        <v>-8.8530878438510211E-3</v>
      </c>
      <c r="I493" s="50">
        <f t="shared" si="66"/>
        <v>-8.0165568399208648E-3</v>
      </c>
      <c r="J493" s="50">
        <f t="shared" si="67"/>
        <v>-2.9897500681315664E-2</v>
      </c>
      <c r="K493" s="50">
        <f t="shared" si="68"/>
        <v>-2.098696838064441E-2</v>
      </c>
      <c r="L493" s="50">
        <f t="shared" si="69"/>
        <v>-1.1211458549348174E-3</v>
      </c>
      <c r="P493" s="50">
        <f t="shared" si="64"/>
        <v>-1.1211458549348174E-3</v>
      </c>
      <c r="Q493" s="51">
        <f t="shared" si="70"/>
        <v>83.249835490750058</v>
      </c>
      <c r="R493" s="51">
        <f t="shared" si="71"/>
        <v>66.156967077463349</v>
      </c>
      <c r="Y493">
        <v>488</v>
      </c>
      <c r="Z493">
        <v>7.7525418143444034</v>
      </c>
    </row>
    <row r="494" spans="1:26" x14ac:dyDescent="0.15">
      <c r="A494" s="59">
        <v>41622.75</v>
      </c>
      <c r="B494">
        <v>13.453611</v>
      </c>
      <c r="C494">
        <v>95.336067</v>
      </c>
      <c r="D494">
        <v>47.470657000000003</v>
      </c>
      <c r="E494">
        <v>19.797999999999998</v>
      </c>
      <c r="F494">
        <v>1427.089966</v>
      </c>
      <c r="H494" s="50">
        <f t="shared" si="65"/>
        <v>9.062549736431641E-3</v>
      </c>
      <c r="I494" s="50">
        <f t="shared" si="66"/>
        <v>4.322250772482464E-3</v>
      </c>
      <c r="J494" s="50">
        <f t="shared" si="67"/>
        <v>2.2526284776155692E-2</v>
      </c>
      <c r="K494" s="50">
        <f t="shared" si="68"/>
        <v>1.9483791620040437E-3</v>
      </c>
      <c r="L494" s="50">
        <f t="shared" si="69"/>
        <v>3.2408090551825797E-3</v>
      </c>
      <c r="P494" s="50">
        <f t="shared" si="64"/>
        <v>3.2408090551825797E-3</v>
      </c>
      <c r="Q494" s="51">
        <f t="shared" si="70"/>
        <v>83.519632311450934</v>
      </c>
      <c r="R494" s="51">
        <f t="shared" si="71"/>
        <v>66.756517882014336</v>
      </c>
      <c r="Y494">
        <v>489</v>
      </c>
      <c r="Z494">
        <v>7.6649827850288936</v>
      </c>
    </row>
    <row r="495" spans="1:26" x14ac:dyDescent="0.15">
      <c r="A495" s="59">
        <v>41625.75</v>
      </c>
      <c r="B495">
        <v>13.332782</v>
      </c>
      <c r="C495">
        <v>94.925774000000004</v>
      </c>
      <c r="D495">
        <v>46.424877000000002</v>
      </c>
      <c r="E495">
        <v>19.759501</v>
      </c>
      <c r="F495">
        <v>1422.4799800000001</v>
      </c>
      <c r="H495" s="50">
        <f t="shared" si="65"/>
        <v>-2.45346739316999E-3</v>
      </c>
      <c r="I495" s="50">
        <f t="shared" si="66"/>
        <v>-4.5561019689075045E-3</v>
      </c>
      <c r="J495" s="50">
        <f t="shared" si="67"/>
        <v>-5.4412203278197523E-3</v>
      </c>
      <c r="K495" s="50">
        <f t="shared" si="68"/>
        <v>-1.7429138864786742E-2</v>
      </c>
      <c r="L495" s="50">
        <f t="shared" si="69"/>
        <v>-2.1536030966808071E-3</v>
      </c>
      <c r="P495" s="50">
        <f t="shared" si="64"/>
        <v>-2.1536030966808071E-3</v>
      </c>
      <c r="Q495" s="51">
        <f t="shared" si="70"/>
        <v>83.339764172671352</v>
      </c>
      <c r="R495" s="51">
        <f t="shared" si="71"/>
        <v>66.592732942109251</v>
      </c>
      <c r="Y495">
        <v>490</v>
      </c>
      <c r="Z495">
        <v>9.0283928626410059</v>
      </c>
    </row>
    <row r="496" spans="1:26" x14ac:dyDescent="0.15">
      <c r="A496" s="59">
        <v>41626.75</v>
      </c>
      <c r="B496">
        <v>13.365574000000001</v>
      </c>
      <c r="C496">
        <v>95.360245000000006</v>
      </c>
      <c r="D496">
        <v>46.678866999999997</v>
      </c>
      <c r="E496">
        <v>20.110001</v>
      </c>
      <c r="F496">
        <v>1425.5500489999999</v>
      </c>
      <c r="H496" s="50">
        <f t="shared" si="65"/>
        <v>-5.650696855297955E-3</v>
      </c>
      <c r="I496" s="50">
        <f t="shared" si="66"/>
        <v>-1.347883665663283E-3</v>
      </c>
      <c r="J496" s="50">
        <f t="shared" si="67"/>
        <v>9.8582776185094315E-3</v>
      </c>
      <c r="K496" s="50">
        <f t="shared" si="68"/>
        <v>-1.7869055891988651E-3</v>
      </c>
      <c r="L496" s="50">
        <f t="shared" si="69"/>
        <v>1.4190216987687665E-3</v>
      </c>
      <c r="P496" s="50">
        <f t="shared" si="64"/>
        <v>1.4190216987687665E-3</v>
      </c>
      <c r="Q496" s="51">
        <f t="shared" si="70"/>
        <v>83.458025106402644</v>
      </c>
      <c r="R496" s="51">
        <f t="shared" si="71"/>
        <v>66.216437595487577</v>
      </c>
      <c r="Y496">
        <v>491</v>
      </c>
      <c r="Z496">
        <v>6.3744489629437586</v>
      </c>
    </row>
    <row r="497" spans="1:26" x14ac:dyDescent="0.15">
      <c r="A497" s="59">
        <v>41627.75</v>
      </c>
      <c r="B497">
        <v>13.441528</v>
      </c>
      <c r="C497">
        <v>95.488952999999995</v>
      </c>
      <c r="D497">
        <v>46.223185999999998</v>
      </c>
      <c r="E497">
        <v>20.146000000000001</v>
      </c>
      <c r="F497">
        <v>1423.530029</v>
      </c>
      <c r="H497" s="50">
        <f t="shared" si="65"/>
        <v>-1.7942639251507617E-3</v>
      </c>
      <c r="I497" s="50">
        <f t="shared" si="66"/>
        <v>0</v>
      </c>
      <c r="J497" s="50">
        <f t="shared" si="67"/>
        <v>2.7544125203503239E-3</v>
      </c>
      <c r="K497" s="50">
        <f t="shared" si="68"/>
        <v>9.3186878416176757E-3</v>
      </c>
      <c r="L497" s="50">
        <f t="shared" si="69"/>
        <v>3.6874989912660358E-3</v>
      </c>
      <c r="P497" s="50">
        <f t="shared" si="64"/>
        <v>3.6874989912660358E-3</v>
      </c>
      <c r="Q497" s="51">
        <f t="shared" si="70"/>
        <v>83.76577648979557</v>
      </c>
      <c r="R497" s="51">
        <f t="shared" si="71"/>
        <v>66.097627830257991</v>
      </c>
      <c r="Y497">
        <v>492</v>
      </c>
      <c r="Z497">
        <v>10.213813124045627</v>
      </c>
    </row>
    <row r="498" spans="1:26" x14ac:dyDescent="0.15">
      <c r="A498" s="59">
        <v>41628.75</v>
      </c>
      <c r="B498">
        <v>13.465688999999999</v>
      </c>
      <c r="C498">
        <v>95.488952999999995</v>
      </c>
      <c r="D498">
        <v>46.096218</v>
      </c>
      <c r="E498">
        <v>19.959999</v>
      </c>
      <c r="F498">
        <v>1418.3000489999999</v>
      </c>
      <c r="H498" s="50">
        <f t="shared" si="65"/>
        <v>-4.8478023448769282E-3</v>
      </c>
      <c r="I498" s="50">
        <f t="shared" si="66"/>
        <v>5.0569626545748198E-4</v>
      </c>
      <c r="J498" s="50">
        <f t="shared" si="67"/>
        <v>-1.2323803447281361E-2</v>
      </c>
      <c r="K498" s="50">
        <f t="shared" si="68"/>
        <v>-1.2834194713024565E-2</v>
      </c>
      <c r="L498" s="50">
        <f t="shared" si="69"/>
        <v>5.3446645400729636E-3</v>
      </c>
      <c r="P498" s="50">
        <f t="shared" si="64"/>
        <v>5.3446645400729636E-3</v>
      </c>
      <c r="Q498" s="51">
        <f t="shared" si="70"/>
        <v>84.213476465072262</v>
      </c>
      <c r="R498" s="51">
        <f t="shared" si="71"/>
        <v>65.777199595071664</v>
      </c>
      <c r="Y498">
        <v>493</v>
      </c>
      <c r="Z498">
        <v>7.1438670358962071</v>
      </c>
    </row>
    <row r="499" spans="1:26" x14ac:dyDescent="0.15">
      <c r="A499" s="59">
        <v>41629.75</v>
      </c>
      <c r="B499">
        <v>13.531286</v>
      </c>
      <c r="C499">
        <v>95.440689000000006</v>
      </c>
      <c r="D499">
        <v>46.671387000000003</v>
      </c>
      <c r="E499">
        <v>20.2195</v>
      </c>
      <c r="F499">
        <v>1410.76001</v>
      </c>
      <c r="H499" s="50">
        <f t="shared" si="65"/>
        <v>-1.0194834366241197E-3</v>
      </c>
      <c r="I499" s="50">
        <f t="shared" si="66"/>
        <v>8.4358004742961755E-4</v>
      </c>
      <c r="J499" s="50">
        <f t="shared" si="67"/>
        <v>5.3098686723499697E-3</v>
      </c>
      <c r="K499" s="50">
        <f t="shared" si="68"/>
        <v>1.5851136246540262E-2</v>
      </c>
      <c r="L499" s="50">
        <f t="shared" si="69"/>
        <v>-4.3334137172687803E-3</v>
      </c>
      <c r="P499" s="50">
        <f t="shared" si="64"/>
        <v>-4.3334137172687803E-3</v>
      </c>
      <c r="Q499" s="51">
        <f t="shared" si="70"/>
        <v>83.848544630979617</v>
      </c>
      <c r="R499" s="51">
        <f t="shared" si="71"/>
        <v>65.710140829576972</v>
      </c>
      <c r="Y499">
        <v>494</v>
      </c>
      <c r="Z499">
        <v>7.8995640286103814</v>
      </c>
    </row>
    <row r="500" spans="1:26" x14ac:dyDescent="0.15">
      <c r="A500" s="59">
        <v>41633.75</v>
      </c>
      <c r="B500">
        <v>13.545095</v>
      </c>
      <c r="C500">
        <v>95.360245000000006</v>
      </c>
      <c r="D500">
        <v>46.424877000000002</v>
      </c>
      <c r="E500">
        <v>19.903998999999999</v>
      </c>
      <c r="F500">
        <v>1416.900024</v>
      </c>
      <c r="H500" s="50">
        <f t="shared" si="65"/>
        <v>-2.034817946861498E-3</v>
      </c>
      <c r="I500" s="50">
        <f t="shared" si="66"/>
        <v>-2.0206935961383293E-3</v>
      </c>
      <c r="J500" s="50">
        <f t="shared" si="67"/>
        <v>-5.1227581048957378E-3</v>
      </c>
      <c r="K500" s="50">
        <f t="shared" si="68"/>
        <v>1.1973357806982839E-2</v>
      </c>
      <c r="L500" s="50">
        <f t="shared" si="69"/>
        <v>-6.9664028460497815E-3</v>
      </c>
      <c r="P500" s="50">
        <f t="shared" si="64"/>
        <v>-6.9664028460497815E-3</v>
      </c>
      <c r="Q500" s="51">
        <f t="shared" si="70"/>
        <v>83.264421891025236</v>
      </c>
      <c r="R500" s="51">
        <f t="shared" si="71"/>
        <v>65.576432655726151</v>
      </c>
      <c r="Y500">
        <v>495</v>
      </c>
      <c r="Z500">
        <v>8.1377604713943015</v>
      </c>
    </row>
    <row r="501" spans="1:26" x14ac:dyDescent="0.15">
      <c r="A501" s="59">
        <v>41634.75</v>
      </c>
      <c r="B501">
        <v>13.572713</v>
      </c>
      <c r="C501">
        <v>95.553329000000005</v>
      </c>
      <c r="D501">
        <v>46.663924999999999</v>
      </c>
      <c r="E501">
        <v>19.668500999999999</v>
      </c>
      <c r="F501">
        <v>1426.839966</v>
      </c>
      <c r="H501" s="50">
        <f t="shared" si="65"/>
        <v>-7.6264043951172029E-4</v>
      </c>
      <c r="I501" s="50">
        <f t="shared" si="66"/>
        <v>-2.1004453307112893E-3</v>
      </c>
      <c r="J501" s="50">
        <f t="shared" si="67"/>
        <v>-1.2644284155693488E-2</v>
      </c>
      <c r="K501" s="50">
        <f t="shared" si="68"/>
        <v>-1.3591112435561993E-2</v>
      </c>
      <c r="L501" s="50">
        <f t="shared" si="69"/>
        <v>1.4809725559364836E-3</v>
      </c>
      <c r="P501" s="50">
        <f t="shared" si="64"/>
        <v>1.4809725559364836E-3</v>
      </c>
      <c r="Q501" s="51">
        <f t="shared" si="70"/>
        <v>83.387734214731751</v>
      </c>
      <c r="R501" s="51">
        <f t="shared" si="71"/>
        <v>65.526421416303975</v>
      </c>
      <c r="Y501">
        <v>496</v>
      </c>
      <c r="Z501">
        <v>10.089844956650976</v>
      </c>
    </row>
    <row r="502" spans="1:26" x14ac:dyDescent="0.15">
      <c r="A502" s="59">
        <v>41635.75</v>
      </c>
      <c r="B502">
        <v>13.583072</v>
      </c>
      <c r="C502">
        <v>95.754456000000005</v>
      </c>
      <c r="D502">
        <v>47.261513000000001</v>
      </c>
      <c r="E502">
        <v>19.939501</v>
      </c>
      <c r="F502">
        <v>1424.7299800000001</v>
      </c>
      <c r="H502" s="50">
        <f t="shared" si="65"/>
        <v>-2.7878184089400572E-3</v>
      </c>
      <c r="I502" s="50">
        <f t="shared" si="66"/>
        <v>1.0270922744743472E-2</v>
      </c>
      <c r="J502" s="50">
        <f t="shared" si="67"/>
        <v>1.4249613348131184E-3</v>
      </c>
      <c r="K502" s="50">
        <f t="shared" si="68"/>
        <v>2.0605070733975628E-3</v>
      </c>
      <c r="L502" s="50">
        <f t="shared" si="69"/>
        <v>4.533547752842336E-3</v>
      </c>
      <c r="P502" s="50">
        <f t="shared" si="64"/>
        <v>4.533547752842336E-3</v>
      </c>
      <c r="Q502" s="51">
        <f t="shared" si="70"/>
        <v>83.765776489795556</v>
      </c>
      <c r="R502" s="51">
        <f t="shared" si="71"/>
        <v>65.343745652407634</v>
      </c>
      <c r="Y502">
        <v>497</v>
      </c>
      <c r="Z502">
        <v>6.597834097434756</v>
      </c>
    </row>
    <row r="503" spans="1:26" x14ac:dyDescent="0.15">
      <c r="A503" s="59">
        <v>41636.75</v>
      </c>
      <c r="B503">
        <v>13.621045000000001</v>
      </c>
      <c r="C503">
        <v>94.780968000000001</v>
      </c>
      <c r="D503">
        <v>47.194262999999999</v>
      </c>
      <c r="E503">
        <v>19.898499999999999</v>
      </c>
      <c r="F503">
        <v>1418.3000489999999</v>
      </c>
      <c r="H503" s="50">
        <f t="shared" si="65"/>
        <v>3.3057936464385134E-3</v>
      </c>
      <c r="I503" s="50">
        <f t="shared" si="66"/>
        <v>4.4335145032550266E-3</v>
      </c>
      <c r="J503" s="50">
        <f t="shared" si="67"/>
        <v>-4.8828868348093166E-3</v>
      </c>
      <c r="K503" s="50">
        <f t="shared" si="68"/>
        <v>3.8592975552770034E-3</v>
      </c>
      <c r="L503" s="50">
        <f t="shared" si="69"/>
        <v>1.200108025414773E-3</v>
      </c>
      <c r="P503" s="50">
        <f t="shared" si="64"/>
        <v>1.200108025414773E-3</v>
      </c>
      <c r="Q503" s="51">
        <f t="shared" si="70"/>
        <v>83.866304470416054</v>
      </c>
      <c r="R503" s="51">
        <f t="shared" si="71"/>
        <v>65.559758591619854</v>
      </c>
      <c r="Y503">
        <v>498</v>
      </c>
      <c r="Z503">
        <v>8.8439004875692078</v>
      </c>
    </row>
    <row r="504" spans="1:26" x14ac:dyDescent="0.15">
      <c r="A504" s="59">
        <v>41641.75</v>
      </c>
      <c r="B504">
        <v>13.576165</v>
      </c>
      <c r="C504">
        <v>94.362610000000004</v>
      </c>
      <c r="D504">
        <v>47.425837999999999</v>
      </c>
      <c r="E504">
        <v>19.822001</v>
      </c>
      <c r="F504">
        <v>1416.599976</v>
      </c>
      <c r="H504" s="50">
        <f t="shared" si="65"/>
        <v>5.625836329273189E-3</v>
      </c>
      <c r="I504" s="50">
        <f t="shared" si="66"/>
        <v>7.6458083275329596E-3</v>
      </c>
      <c r="J504" s="50">
        <f t="shared" si="67"/>
        <v>6.8190324390616933E-3</v>
      </c>
      <c r="K504" s="50">
        <f t="shared" si="68"/>
        <v>7.1387855162862073E-3</v>
      </c>
      <c r="L504" s="50">
        <f t="shared" si="69"/>
        <v>-1.2267792219852276E-3</v>
      </c>
      <c r="P504" s="50">
        <f t="shared" si="64"/>
        <v>-1.2267792219852276E-3</v>
      </c>
      <c r="Q504" s="51">
        <f t="shared" si="70"/>
        <v>83.763419030667066</v>
      </c>
      <c r="R504" s="51">
        <f t="shared" si="71"/>
        <v>65.928587063242972</v>
      </c>
      <c r="Y504">
        <v>499</v>
      </c>
      <c r="Z504">
        <v>8.1802191680383416</v>
      </c>
    </row>
    <row r="505" spans="1:26" x14ac:dyDescent="0.15">
      <c r="A505" s="59">
        <v>41642.75</v>
      </c>
      <c r="B505">
        <v>13.500215000000001</v>
      </c>
      <c r="C505">
        <v>93.646606000000006</v>
      </c>
      <c r="D505">
        <v>47.10463</v>
      </c>
      <c r="E505">
        <v>19.681498999999999</v>
      </c>
      <c r="F505">
        <v>1418.339966</v>
      </c>
      <c r="H505" s="50">
        <f t="shared" si="65"/>
        <v>-3.059303808260179E-3</v>
      </c>
      <c r="I505" s="50">
        <f t="shared" si="66"/>
        <v>4.6609266639496367E-3</v>
      </c>
      <c r="J505" s="50">
        <f t="shared" si="67"/>
        <v>2.3840137039452059E-3</v>
      </c>
      <c r="K505" s="50">
        <f t="shared" si="68"/>
        <v>-1.105454307190201E-2</v>
      </c>
      <c r="L505" s="50">
        <f t="shared" si="69"/>
        <v>6.1218301911395677E-3</v>
      </c>
      <c r="P505" s="50">
        <f t="shared" si="64"/>
        <v>6.1218301911395677E-3</v>
      </c>
      <c r="Q505" s="51">
        <f t="shared" si="70"/>
        <v>84.276204458202088</v>
      </c>
      <c r="R505" s="51">
        <f t="shared" si="71"/>
        <v>65.726891485767183</v>
      </c>
      <c r="Y505">
        <v>500</v>
      </c>
      <c r="Z505">
        <v>9.2630582218872259</v>
      </c>
    </row>
    <row r="506" spans="1:26" x14ac:dyDescent="0.15">
      <c r="A506" s="59">
        <v>41643.75</v>
      </c>
      <c r="B506">
        <v>13.541643000000001</v>
      </c>
      <c r="C506">
        <v>93.212151000000006</v>
      </c>
      <c r="D506">
        <v>46.992598999999998</v>
      </c>
      <c r="E506">
        <v>19.901501</v>
      </c>
      <c r="F506">
        <v>1409.709961</v>
      </c>
      <c r="H506" s="50">
        <f t="shared" si="65"/>
        <v>7.9656094683083541E-3</v>
      </c>
      <c r="I506" s="50">
        <f t="shared" si="66"/>
        <v>1.5870105634756937E-2</v>
      </c>
      <c r="J506" s="50">
        <f t="shared" si="67"/>
        <v>3.5095051054112487E-3</v>
      </c>
      <c r="K506" s="50">
        <f t="shared" si="68"/>
        <v>-9.6785425120152722E-3</v>
      </c>
      <c r="L506" s="50">
        <f t="shared" si="69"/>
        <v>-2.2153995323770329E-3</v>
      </c>
      <c r="P506" s="50">
        <f t="shared" si="64"/>
        <v>-2.2153995323770329E-3</v>
      </c>
      <c r="Q506" s="51">
        <f t="shared" si="70"/>
        <v>84.089498994254882</v>
      </c>
      <c r="R506" s="51">
        <f t="shared" si="71"/>
        <v>66.250446234908679</v>
      </c>
      <c r="Y506">
        <v>501</v>
      </c>
      <c r="Z506">
        <v>8.0195094018008692</v>
      </c>
    </row>
    <row r="507" spans="1:26" x14ac:dyDescent="0.15">
      <c r="A507" s="59">
        <v>41646.75</v>
      </c>
      <c r="B507">
        <v>13.434628</v>
      </c>
      <c r="C507">
        <v>91.755973999999995</v>
      </c>
      <c r="D507">
        <v>46.828254999999999</v>
      </c>
      <c r="E507">
        <v>20.096001000000001</v>
      </c>
      <c r="F507">
        <v>1412.839966</v>
      </c>
      <c r="H507" s="50">
        <f t="shared" si="65"/>
        <v>-3.3289068585629885E-3</v>
      </c>
      <c r="I507" s="50">
        <f t="shared" si="66"/>
        <v>-3.7633980159916341E-2</v>
      </c>
      <c r="J507" s="50">
        <f t="shared" si="67"/>
        <v>-1.0262248852084392E-2</v>
      </c>
      <c r="K507" s="50">
        <f t="shared" si="68"/>
        <v>2.2692699798374386E-3</v>
      </c>
      <c r="L507" s="50">
        <f t="shared" si="69"/>
        <v>5.1694344474163074E-4</v>
      </c>
      <c r="P507" s="50">
        <f t="shared" si="64"/>
        <v>5.1694344474163074E-4</v>
      </c>
      <c r="Q507" s="51">
        <f t="shared" si="70"/>
        <v>84.132968509531565</v>
      </c>
      <c r="R507" s="51">
        <f t="shared" si="71"/>
        <v>66.029904670054435</v>
      </c>
      <c r="Y507">
        <v>502</v>
      </c>
      <c r="Z507">
        <v>8.3930795797714239</v>
      </c>
    </row>
    <row r="508" spans="1:26" x14ac:dyDescent="0.15">
      <c r="A508" s="59">
        <v>41647.75</v>
      </c>
      <c r="B508">
        <v>13.4795</v>
      </c>
      <c r="C508">
        <v>95.344154000000003</v>
      </c>
      <c r="D508">
        <v>47.313800999999998</v>
      </c>
      <c r="E508">
        <v>20.050501000000001</v>
      </c>
      <c r="F508">
        <v>1412.1099850000001</v>
      </c>
      <c r="H508" s="50">
        <f t="shared" si="65"/>
        <v>6.402702125882934E-4</v>
      </c>
      <c r="I508" s="50">
        <f t="shared" si="66"/>
        <v>5.6003826641625705E-3</v>
      </c>
      <c r="J508" s="50">
        <f t="shared" si="67"/>
        <v>1.1498084048160813E-2</v>
      </c>
      <c r="K508" s="50">
        <f t="shared" si="68"/>
        <v>8.424383062132574E-3</v>
      </c>
      <c r="L508" s="50">
        <f t="shared" si="69"/>
        <v>-1.9365947248670824E-3</v>
      </c>
      <c r="P508" s="50">
        <f t="shared" si="64"/>
        <v>-1.9365947248670824E-3</v>
      </c>
      <c r="Q508" s="51">
        <f t="shared" si="70"/>
        <v>83.970037046528603</v>
      </c>
      <c r="R508" s="51">
        <f t="shared" si="71"/>
        <v>66.072181651154722</v>
      </c>
      <c r="Y508">
        <v>503</v>
      </c>
      <c r="Z508">
        <v>6.0362556783231645</v>
      </c>
    </row>
    <row r="509" spans="1:26" x14ac:dyDescent="0.15">
      <c r="A509" s="59">
        <v>41648.75</v>
      </c>
      <c r="B509">
        <v>13.470874999999999</v>
      </c>
      <c r="C509">
        <v>94.813164</v>
      </c>
      <c r="D509">
        <v>46.775967000000001</v>
      </c>
      <c r="E509">
        <v>19.882999000000002</v>
      </c>
      <c r="F509">
        <v>1414.849976</v>
      </c>
      <c r="H509" s="50">
        <f t="shared" si="65"/>
        <v>7.0980474482076382E-3</v>
      </c>
      <c r="I509" s="50">
        <f t="shared" si="66"/>
        <v>2.6836468119697785E-2</v>
      </c>
      <c r="J509" s="50">
        <f t="shared" si="67"/>
        <v>1.821124868233889E-2</v>
      </c>
      <c r="K509" s="50">
        <f t="shared" si="68"/>
        <v>1.7085221750473282E-2</v>
      </c>
      <c r="L509" s="50">
        <f t="shared" si="69"/>
        <v>-6.2999328146791551E-3</v>
      </c>
      <c r="P509" s="50">
        <f t="shared" si="64"/>
        <v>-6.2999328146791551E-3</v>
      </c>
      <c r="Q509" s="51">
        <f t="shared" si="70"/>
        <v>83.441031454689352</v>
      </c>
      <c r="R509" s="51">
        <f t="shared" si="71"/>
        <v>66.541165131521211</v>
      </c>
      <c r="Y509">
        <v>504</v>
      </c>
      <c r="Z509">
        <v>7.3887863702767502</v>
      </c>
    </row>
    <row r="510" spans="1:26" x14ac:dyDescent="0.15">
      <c r="A510" s="59">
        <v>41649.75</v>
      </c>
      <c r="B510">
        <v>13.375932000000001</v>
      </c>
      <c r="C510">
        <v>92.335212999999996</v>
      </c>
      <c r="D510">
        <v>45.939354000000002</v>
      </c>
      <c r="E510">
        <v>19.548999999999999</v>
      </c>
      <c r="F510">
        <v>1423.8199460000001</v>
      </c>
      <c r="H510" s="50">
        <f t="shared" si="65"/>
        <v>-6.0291741134973712E-3</v>
      </c>
      <c r="I510" s="50">
        <f t="shared" si="66"/>
        <v>-1.2561554750568502E-2</v>
      </c>
      <c r="J510" s="50">
        <f t="shared" si="67"/>
        <v>-3.4029689810994644E-3</v>
      </c>
      <c r="K510" s="50">
        <f t="shared" si="68"/>
        <v>-1.6501533606603957E-2</v>
      </c>
      <c r="L510" s="50">
        <f t="shared" si="69"/>
        <v>-4.8297261514013952E-3</v>
      </c>
      <c r="P510" s="50">
        <f t="shared" si="64"/>
        <v>-4.8297261514013952E-3</v>
      </c>
      <c r="Q510" s="51">
        <f t="shared" si="70"/>
        <v>83.038034122972732</v>
      </c>
      <c r="R510" s="51">
        <f t="shared" si="71"/>
        <v>66.139976861228291</v>
      </c>
      <c r="Y510">
        <v>505</v>
      </c>
      <c r="Z510">
        <v>7.117074392734108</v>
      </c>
    </row>
    <row r="511" spans="1:26" x14ac:dyDescent="0.15">
      <c r="A511" s="59">
        <v>41650.75</v>
      </c>
      <c r="B511">
        <v>13.457067</v>
      </c>
      <c r="C511">
        <v>93.509842000000006</v>
      </c>
      <c r="D511">
        <v>46.096218</v>
      </c>
      <c r="E511">
        <v>19.877001</v>
      </c>
      <c r="F511">
        <v>1430.7299800000001</v>
      </c>
      <c r="H511" s="50">
        <f t="shared" si="65"/>
        <v>3.8632541702414524E-3</v>
      </c>
      <c r="I511" s="50">
        <f t="shared" si="66"/>
        <v>-8.5823171246814317E-5</v>
      </c>
      <c r="J511" s="50">
        <f t="shared" si="67"/>
        <v>2.4365992186051047E-3</v>
      </c>
      <c r="K511" s="50">
        <f t="shared" si="68"/>
        <v>4.218556383734277E-3</v>
      </c>
      <c r="L511" s="50">
        <f t="shared" si="69"/>
        <v>-8.1712688064034954E-4</v>
      </c>
      <c r="P511" s="50">
        <f t="shared" si="64"/>
        <v>-8.1712688064034954E-4</v>
      </c>
      <c r="Q511" s="51">
        <f t="shared" si="70"/>
        <v>82.970181513175319</v>
      </c>
      <c r="R511" s="51">
        <f t="shared" si="71"/>
        <v>66.395492402657112</v>
      </c>
      <c r="Y511">
        <v>506</v>
      </c>
      <c r="Z511">
        <v>7.8805100118210154</v>
      </c>
    </row>
    <row r="512" spans="1:26" x14ac:dyDescent="0.15">
      <c r="A512" s="59">
        <v>41654.75</v>
      </c>
      <c r="B512">
        <v>13.405279</v>
      </c>
      <c r="C512">
        <v>93.517868000000007</v>
      </c>
      <c r="D512">
        <v>45.984172999999998</v>
      </c>
      <c r="E512">
        <v>19.793500999999999</v>
      </c>
      <c r="F512">
        <v>1431.900024</v>
      </c>
      <c r="H512" s="50">
        <f t="shared" si="65"/>
        <v>1.1724896556018308E-2</v>
      </c>
      <c r="I512" s="50">
        <f t="shared" si="66"/>
        <v>5.8840286724357038E-3</v>
      </c>
      <c r="J512" s="50">
        <f t="shared" si="67"/>
        <v>1.2333541777038872E-2</v>
      </c>
      <c r="K512" s="50">
        <f t="shared" si="68"/>
        <v>1.7685698954734505E-4</v>
      </c>
      <c r="L512" s="50">
        <f t="shared" si="69"/>
        <v>8.9473724991521119E-4</v>
      </c>
      <c r="P512" s="50">
        <f t="shared" si="64"/>
        <v>8.9473724991521119E-4</v>
      </c>
      <c r="Q512" s="51">
        <f t="shared" si="70"/>
        <v>83.044418025207392</v>
      </c>
      <c r="R512" s="51">
        <f t="shared" si="71"/>
        <v>67.173972682864175</v>
      </c>
      <c r="Y512">
        <v>507</v>
      </c>
      <c r="Z512">
        <v>8.1926560912427586</v>
      </c>
    </row>
    <row r="513" spans="1:26" x14ac:dyDescent="0.15">
      <c r="A513" s="59">
        <v>41655.75</v>
      </c>
      <c r="B513">
        <v>13.249924999999999</v>
      </c>
      <c r="C513">
        <v>92.970825000000005</v>
      </c>
      <c r="D513">
        <v>45.423935</v>
      </c>
      <c r="E513">
        <v>19.790001</v>
      </c>
      <c r="F513">
        <v>1430.619995</v>
      </c>
      <c r="H513" s="50">
        <f t="shared" si="65"/>
        <v>7.4817156240920167E-3</v>
      </c>
      <c r="I513" s="50">
        <f t="shared" si="66"/>
        <v>-6.2768499672529324E-3</v>
      </c>
      <c r="J513" s="50">
        <f t="shared" si="67"/>
        <v>9.4621881599854223E-3</v>
      </c>
      <c r="K513" s="50">
        <f t="shared" si="68"/>
        <v>-9.5341963181198863E-3</v>
      </c>
      <c r="L513" s="50">
        <f t="shared" si="69"/>
        <v>2.9795915610241084E-3</v>
      </c>
      <c r="P513" s="50">
        <f t="shared" ref="P513:P576" si="72">(F513-F514)/F514</f>
        <v>2.9795915610241084E-3</v>
      </c>
      <c r="Q513" s="51">
        <f t="shared" si="70"/>
        <v>83.291856472345444</v>
      </c>
      <c r="R513" s="51">
        <f t="shared" si="71"/>
        <v>67.676549243817888</v>
      </c>
      <c r="Y513">
        <v>508</v>
      </c>
      <c r="Z513">
        <v>8.2707390904909968</v>
      </c>
    </row>
    <row r="514" spans="1:26" x14ac:dyDescent="0.15">
      <c r="A514" s="59">
        <v>41656.75</v>
      </c>
      <c r="B514">
        <v>13.151529</v>
      </c>
      <c r="C514">
        <v>93.558075000000002</v>
      </c>
      <c r="D514">
        <v>44.998154</v>
      </c>
      <c r="E514">
        <v>19.980498999999998</v>
      </c>
      <c r="F514">
        <v>1426.369995</v>
      </c>
      <c r="H514" s="50">
        <f t="shared" ref="H514:H577" si="73">(B514-B515)/B515</f>
        <v>4.6145020441337283E-3</v>
      </c>
      <c r="I514" s="50">
        <f t="shared" ref="I514:I577" si="74">(C514-C515)/C515</f>
        <v>1.1833066647395751E-2</v>
      </c>
      <c r="J514" s="50">
        <f t="shared" ref="J514:J577" si="75">(D514-D515)/D515</f>
        <v>1.7567807790651389E-2</v>
      </c>
      <c r="K514" s="50">
        <f t="shared" ref="K514:K577" si="76">(E514-E515)/E515</f>
        <v>-1.8277950213588096E-2</v>
      </c>
      <c r="L514" s="50">
        <f t="shared" ref="L514:L577" si="77">(F514-F515)/F515</f>
        <v>-2.8871059070255034E-3</v>
      </c>
      <c r="P514" s="50">
        <f t="shared" si="72"/>
        <v>-2.8871059070255034E-3</v>
      </c>
      <c r="Q514" s="51">
        <f t="shared" si="70"/>
        <v>83.051384061517012</v>
      </c>
      <c r="R514" s="51">
        <f t="shared" si="71"/>
        <v>67.988842818643406</v>
      </c>
      <c r="Y514">
        <v>509</v>
      </c>
      <c r="Z514">
        <v>7.5632904925007427</v>
      </c>
    </row>
    <row r="515" spans="1:26" x14ac:dyDescent="0.15">
      <c r="A515" s="59">
        <v>41657.75</v>
      </c>
      <c r="B515">
        <v>13.09112</v>
      </c>
      <c r="C515">
        <v>92.463943</v>
      </c>
      <c r="D515">
        <v>44.221283</v>
      </c>
      <c r="E515">
        <v>20.352501</v>
      </c>
      <c r="F515">
        <v>1430.5</v>
      </c>
      <c r="H515" s="50">
        <f t="shared" si="73"/>
        <v>6.5031145492455292E-3</v>
      </c>
      <c r="I515" s="50">
        <f t="shared" si="74"/>
        <v>1.037356767405768E-2</v>
      </c>
      <c r="J515" s="50">
        <f t="shared" si="75"/>
        <v>3.7301953458322252E-3</v>
      </c>
      <c r="K515" s="50">
        <f t="shared" si="76"/>
        <v>6.2046772237444071E-3</v>
      </c>
      <c r="L515" s="50">
        <f t="shared" si="77"/>
        <v>5.3059132506340307E-3</v>
      </c>
      <c r="P515" s="50">
        <f t="shared" si="72"/>
        <v>5.3059132506340307E-3</v>
      </c>
      <c r="Q515" s="51">
        <f t="shared" ref="Q515:Q578" si="78">Q514*(1+P515)</f>
        <v>83.492047500692522</v>
      </c>
      <c r="R515" s="51">
        <f t="shared" ref="R515:R578" si="79">R514*(1+H515)</f>
        <v>68.430982051563689</v>
      </c>
      <c r="Y515">
        <v>510</v>
      </c>
      <c r="Z515">
        <v>8.2369621016668599</v>
      </c>
    </row>
    <row r="516" spans="1:26" x14ac:dyDescent="0.15">
      <c r="A516" s="59">
        <v>41660.75</v>
      </c>
      <c r="B516">
        <v>13.006537</v>
      </c>
      <c r="C516">
        <v>91.514610000000005</v>
      </c>
      <c r="D516">
        <v>44.056941999999999</v>
      </c>
      <c r="E516">
        <v>20.226998999999999</v>
      </c>
      <c r="F516">
        <v>1422.9499510000001</v>
      </c>
      <c r="H516" s="50">
        <f t="shared" si="73"/>
        <v>5.2029431460872229E-3</v>
      </c>
      <c r="I516" s="50">
        <f t="shared" si="74"/>
        <v>8.4217208848681325E-3</v>
      </c>
      <c r="J516" s="50">
        <f t="shared" si="75"/>
        <v>5.6261222919394152E-3</v>
      </c>
      <c r="K516" s="50">
        <f t="shared" si="76"/>
        <v>1.167874559231742E-2</v>
      </c>
      <c r="L516" s="50">
        <f t="shared" si="77"/>
        <v>-3.529463816479539E-3</v>
      </c>
      <c r="P516" s="50">
        <f t="shared" si="72"/>
        <v>-3.529463816479539E-3</v>
      </c>
      <c r="Q516" s="51">
        <f t="shared" si="78"/>
        <v>83.197365340075038</v>
      </c>
      <c r="R516" s="51">
        <f t="shared" si="79"/>
        <v>68.787024560608884</v>
      </c>
      <c r="Y516">
        <v>511</v>
      </c>
      <c r="Z516">
        <v>5.5536642803440337</v>
      </c>
    </row>
    <row r="517" spans="1:26" x14ac:dyDescent="0.15">
      <c r="A517" s="59">
        <v>41661.75</v>
      </c>
      <c r="B517">
        <v>12.939215000000001</v>
      </c>
      <c r="C517">
        <v>90.750336000000004</v>
      </c>
      <c r="D517">
        <v>43.810459000000002</v>
      </c>
      <c r="E517">
        <v>19.993500000000001</v>
      </c>
      <c r="F517">
        <v>1427.98999</v>
      </c>
      <c r="H517" s="50">
        <f t="shared" si="73"/>
        <v>7.2559523369328362E-3</v>
      </c>
      <c r="I517" s="50">
        <f t="shared" si="74"/>
        <v>5.9755613913130201E-3</v>
      </c>
      <c r="J517" s="50">
        <f t="shared" si="75"/>
        <v>1.6112485280033458E-2</v>
      </c>
      <c r="K517" s="50">
        <f t="shared" si="76"/>
        <v>3.165639998227035E-2</v>
      </c>
      <c r="L517" s="50">
        <f t="shared" si="77"/>
        <v>-8.4298049188968518E-3</v>
      </c>
      <c r="P517" s="50">
        <f t="shared" si="72"/>
        <v>-8.4298049188968518E-3</v>
      </c>
      <c r="Q517" s="51">
        <f t="shared" si="78"/>
        <v>82.496027780492014</v>
      </c>
      <c r="R517" s="51">
        <f t="shared" si="79"/>
        <v>69.286139932220095</v>
      </c>
      <c r="Y517">
        <v>512</v>
      </c>
      <c r="Z517">
        <v>6.8470286598161074</v>
      </c>
    </row>
    <row r="518" spans="1:26" x14ac:dyDescent="0.15">
      <c r="A518" s="59">
        <v>41662.75</v>
      </c>
      <c r="B518">
        <v>12.846005</v>
      </c>
      <c r="C518">
        <v>90.211273000000006</v>
      </c>
      <c r="D518">
        <v>43.115757000000002</v>
      </c>
      <c r="E518">
        <v>19.379999000000002</v>
      </c>
      <c r="F518">
        <v>1440.130005</v>
      </c>
      <c r="H518" s="50">
        <f t="shared" si="73"/>
        <v>3.6412647187575443E-3</v>
      </c>
      <c r="I518" s="50">
        <f t="shared" si="74"/>
        <v>-8.4012107073394258E-3</v>
      </c>
      <c r="J518" s="50">
        <f t="shared" si="75"/>
        <v>1.7344695728991068E-4</v>
      </c>
      <c r="K518" s="50">
        <f t="shared" si="76"/>
        <v>3.4172104906913634E-3</v>
      </c>
      <c r="L518" s="50">
        <f t="shared" si="77"/>
        <v>1.1398258814833724E-2</v>
      </c>
      <c r="P518" s="50">
        <f t="shared" si="72"/>
        <v>1.1398258814833724E-2</v>
      </c>
      <c r="Q518" s="51">
        <f t="shared" si="78"/>
        <v>83.436338856329783</v>
      </c>
      <c r="R518" s="51">
        <f t="shared" si="79"/>
        <v>69.538429109054192</v>
      </c>
      <c r="Y518">
        <v>513</v>
      </c>
      <c r="Z518">
        <v>5.1370380785296961</v>
      </c>
    </row>
    <row r="519" spans="1:26" x14ac:dyDescent="0.15">
      <c r="A519" s="59">
        <v>41663.75</v>
      </c>
      <c r="B519">
        <v>12.799398999999999</v>
      </c>
      <c r="C519">
        <v>90.975577999999999</v>
      </c>
      <c r="D519">
        <v>43.108280000000001</v>
      </c>
      <c r="E519">
        <v>19.313998999999999</v>
      </c>
      <c r="F519">
        <v>1423.900024</v>
      </c>
      <c r="H519" s="50">
        <f t="shared" si="73"/>
        <v>-6.9639919873748218E-3</v>
      </c>
      <c r="I519" s="50">
        <f t="shared" si="74"/>
        <v>-1.136548104232136E-2</v>
      </c>
      <c r="J519" s="50">
        <f t="shared" si="75"/>
        <v>-3.1093545258247092E-3</v>
      </c>
      <c r="K519" s="50">
        <f t="shared" si="76"/>
        <v>-2.0662779200365078E-2</v>
      </c>
      <c r="L519" s="50">
        <f t="shared" si="77"/>
        <v>1.2093897640896762E-3</v>
      </c>
      <c r="P519" s="50">
        <f t="shared" si="72"/>
        <v>1.2093897640896762E-3</v>
      </c>
      <c r="Q519" s="51">
        <f t="shared" si="78"/>
        <v>83.537245910495741</v>
      </c>
      <c r="R519" s="51">
        <f t="shared" si="79"/>
        <v>69.054164045924111</v>
      </c>
      <c r="Y519">
        <v>514</v>
      </c>
      <c r="Z519">
        <v>9.0991589707364486</v>
      </c>
    </row>
    <row r="520" spans="1:26" x14ac:dyDescent="0.15">
      <c r="A520" s="59">
        <v>41664.75</v>
      </c>
      <c r="B520">
        <v>12.889158999999999</v>
      </c>
      <c r="C520">
        <v>92.021445999999997</v>
      </c>
      <c r="D520">
        <v>43.242736999999998</v>
      </c>
      <c r="E520">
        <v>19.721499999999999</v>
      </c>
      <c r="F520">
        <v>1422.1800539999999</v>
      </c>
      <c r="H520" s="50">
        <f t="shared" si="73"/>
        <v>7.6922661960356102E-3</v>
      </c>
      <c r="I520" s="50">
        <f t="shared" si="74"/>
        <v>1.9156857537577558E-2</v>
      </c>
      <c r="J520" s="50">
        <f t="shared" si="75"/>
        <v>1.7577371754127134E-2</v>
      </c>
      <c r="K520" s="50">
        <f t="shared" si="76"/>
        <v>2.6626810339761033E-2</v>
      </c>
      <c r="L520" s="50">
        <f t="shared" si="77"/>
        <v>1.0981536269309726E-3</v>
      </c>
      <c r="P520" s="50">
        <f t="shared" si="72"/>
        <v>1.0981536269309726E-3</v>
      </c>
      <c r="Q520" s="51">
        <f t="shared" si="78"/>
        <v>83.628982640076174</v>
      </c>
      <c r="R520" s="51">
        <f t="shared" si="79"/>
        <v>69.585347057710081</v>
      </c>
      <c r="Y520">
        <v>515</v>
      </c>
      <c r="Z520">
        <v>5.734633434294703</v>
      </c>
    </row>
    <row r="521" spans="1:26" x14ac:dyDescent="0.15">
      <c r="A521" s="59">
        <v>41667.75</v>
      </c>
      <c r="B521">
        <v>12.790768999999999</v>
      </c>
      <c r="C521">
        <v>90.291740000000004</v>
      </c>
      <c r="D521">
        <v>42.495773</v>
      </c>
      <c r="E521">
        <v>19.209999</v>
      </c>
      <c r="F521">
        <v>1420.619995</v>
      </c>
      <c r="H521" s="50">
        <f t="shared" si="73"/>
        <v>-8.6955962380128662E-3</v>
      </c>
      <c r="I521" s="50">
        <f t="shared" si="74"/>
        <v>-4.4352772073890465E-3</v>
      </c>
      <c r="J521" s="50">
        <f t="shared" si="75"/>
        <v>3.8826009533297207E-3</v>
      </c>
      <c r="K521" s="50">
        <f t="shared" si="76"/>
        <v>-4.6673782123211945E-2</v>
      </c>
      <c r="L521" s="50">
        <f t="shared" si="77"/>
        <v>-5.7389673366164328E-3</v>
      </c>
      <c r="P521" s="50">
        <f t="shared" si="72"/>
        <v>-5.7389673366164328E-3</v>
      </c>
      <c r="Q521" s="51">
        <f t="shared" si="78"/>
        <v>83.149038640310323</v>
      </c>
      <c r="R521" s="51">
        <f t="shared" si="79"/>
        <v>68.980260975614243</v>
      </c>
      <c r="Y521">
        <v>516</v>
      </c>
      <c r="Z521">
        <v>9.4090005778878929</v>
      </c>
    </row>
    <row r="522" spans="1:26" x14ac:dyDescent="0.15">
      <c r="A522" s="59">
        <v>41668.75</v>
      </c>
      <c r="B522">
        <v>12.902968</v>
      </c>
      <c r="C522">
        <v>90.693993000000006</v>
      </c>
      <c r="D522">
        <v>42.331417000000002</v>
      </c>
      <c r="E522">
        <v>20.150499</v>
      </c>
      <c r="F522">
        <v>1428.8199460000001</v>
      </c>
      <c r="H522" s="50">
        <f t="shared" si="73"/>
        <v>9.3748426698147928E-4</v>
      </c>
      <c r="I522" s="50">
        <f t="shared" si="74"/>
        <v>3.2928437848562821E-3</v>
      </c>
      <c r="J522" s="50">
        <f t="shared" si="75"/>
        <v>5.2960350525812767E-4</v>
      </c>
      <c r="K522" s="50">
        <f t="shared" si="76"/>
        <v>0.12356067913797431</v>
      </c>
      <c r="L522" s="50">
        <f t="shared" si="77"/>
        <v>-6.5497024596013085E-3</v>
      </c>
      <c r="P522" s="50">
        <f t="shared" si="72"/>
        <v>-6.5497024596013085E-3</v>
      </c>
      <c r="Q522" s="51">
        <f t="shared" si="78"/>
        <v>82.604437177414397</v>
      </c>
      <c r="R522" s="51">
        <f t="shared" si="79"/>
        <v>69.044928885011146</v>
      </c>
      <c r="Y522">
        <v>517</v>
      </c>
      <c r="Z522">
        <v>6.5036763551758048</v>
      </c>
    </row>
    <row r="523" spans="1:26" x14ac:dyDescent="0.15">
      <c r="A523" s="59">
        <v>41669.75</v>
      </c>
      <c r="B523">
        <v>12.890883000000001</v>
      </c>
      <c r="C523">
        <v>90.396332000000001</v>
      </c>
      <c r="D523">
        <v>42.309010000000001</v>
      </c>
      <c r="E523">
        <v>17.9345</v>
      </c>
      <c r="F523">
        <v>1438.23999</v>
      </c>
      <c r="H523" s="50">
        <f t="shared" si="73"/>
        <v>2.7800374814476513E-2</v>
      </c>
      <c r="I523" s="50">
        <f t="shared" si="74"/>
        <v>1.9785958999150536E-2</v>
      </c>
      <c r="J523" s="50">
        <f t="shared" si="75"/>
        <v>2.2198140314485786E-2</v>
      </c>
      <c r="K523" s="50">
        <f t="shared" si="76"/>
        <v>3.6227009318098635E-2</v>
      </c>
      <c r="L523" s="50">
        <f t="shared" si="77"/>
        <v>-5.325221872406978E-3</v>
      </c>
      <c r="P523" s="50">
        <f t="shared" si="72"/>
        <v>-5.325221872406978E-3</v>
      </c>
      <c r="Q523" s="51">
        <f t="shared" si="78"/>
        <v>82.16455022179936</v>
      </c>
      <c r="R523" s="51">
        <f t="shared" si="79"/>
        <v>70.964403787053342</v>
      </c>
      <c r="Y523">
        <v>518</v>
      </c>
      <c r="Z523">
        <v>10.386301111456245</v>
      </c>
    </row>
    <row r="524" spans="1:26" x14ac:dyDescent="0.15">
      <c r="A524" s="59">
        <v>41670.75</v>
      </c>
      <c r="B524">
        <v>12.542204999999999</v>
      </c>
      <c r="C524">
        <v>88.642455999999996</v>
      </c>
      <c r="D524">
        <v>41.390224000000003</v>
      </c>
      <c r="E524">
        <v>17.307500999999998</v>
      </c>
      <c r="F524">
        <v>1445.9399410000001</v>
      </c>
      <c r="H524" s="50">
        <f t="shared" si="73"/>
        <v>-9.6245999773149305E-4</v>
      </c>
      <c r="I524" s="50">
        <f t="shared" si="74"/>
        <v>-6.403008183990401E-3</v>
      </c>
      <c r="J524" s="50">
        <f t="shared" si="75"/>
        <v>5.2612597698831354E-3</v>
      </c>
      <c r="K524" s="50">
        <f t="shared" si="76"/>
        <v>-5.1730424010946264E-3</v>
      </c>
      <c r="L524" s="50">
        <f t="shared" si="77"/>
        <v>-1.6915844314211589E-3</v>
      </c>
      <c r="P524" s="50">
        <f t="shared" si="72"/>
        <v>-1.6915844314211589E-3</v>
      </c>
      <c r="Q524" s="51">
        <f t="shared" si="78"/>
        <v>82.025561947829445</v>
      </c>
      <c r="R524" s="51">
        <f t="shared" si="79"/>
        <v>70.896103387145445</v>
      </c>
      <c r="Y524">
        <v>519</v>
      </c>
      <c r="Z524">
        <v>8.332591721357451</v>
      </c>
    </row>
    <row r="525" spans="1:26" x14ac:dyDescent="0.15">
      <c r="A525" s="59">
        <v>41671.75</v>
      </c>
      <c r="B525">
        <v>12.554288</v>
      </c>
      <c r="C525">
        <v>89.213691999999995</v>
      </c>
      <c r="D525">
        <v>41.173599000000003</v>
      </c>
      <c r="E525">
        <v>17.397499</v>
      </c>
      <c r="F525">
        <v>1448.3900149999999</v>
      </c>
      <c r="H525" s="50">
        <f t="shared" si="73"/>
        <v>-1.9212217972098176E-3</v>
      </c>
      <c r="I525" s="50">
        <f t="shared" si="74"/>
        <v>3.4388487931748379E-3</v>
      </c>
      <c r="J525" s="50">
        <f t="shared" si="75"/>
        <v>9.0776367913109903E-4</v>
      </c>
      <c r="K525" s="50">
        <f t="shared" si="76"/>
        <v>4.3295713667194837E-3</v>
      </c>
      <c r="L525" s="50">
        <f t="shared" si="77"/>
        <v>9.6754297519357005E-4</v>
      </c>
      <c r="P525" s="50">
        <f t="shared" si="72"/>
        <v>9.6754297519357005E-4</v>
      </c>
      <c r="Q525" s="51">
        <f t="shared" si="78"/>
        <v>82.104925204078384</v>
      </c>
      <c r="R525" s="51">
        <f t="shared" si="79"/>
        <v>70.759896247980819</v>
      </c>
      <c r="Y525">
        <v>520</v>
      </c>
      <c r="Z525">
        <v>9.112753857566954</v>
      </c>
    </row>
    <row r="526" spans="1:26" x14ac:dyDescent="0.15">
      <c r="A526" s="59">
        <v>41674.75</v>
      </c>
      <c r="B526">
        <v>12.578454000000001</v>
      </c>
      <c r="C526">
        <v>88.907950999999997</v>
      </c>
      <c r="D526">
        <v>41.136257000000001</v>
      </c>
      <c r="E526">
        <v>17.322500000000002</v>
      </c>
      <c r="F526">
        <v>1446.98999</v>
      </c>
      <c r="H526" s="50">
        <f t="shared" si="73"/>
        <v>6.8688334439162189E-4</v>
      </c>
      <c r="I526" s="50">
        <f t="shared" si="74"/>
        <v>-3.2819672703246865E-2</v>
      </c>
      <c r="J526" s="50">
        <f t="shared" si="75"/>
        <v>-1.4142660210223392E-2</v>
      </c>
      <c r="K526" s="50">
        <f t="shared" si="76"/>
        <v>-2.2956090132265433E-2</v>
      </c>
      <c r="L526" s="50">
        <f t="shared" si="77"/>
        <v>-6.9752071823202049E-4</v>
      </c>
      <c r="P526" s="50">
        <f t="shared" si="72"/>
        <v>-6.9752071823202049E-4</v>
      </c>
      <c r="Q526" s="51">
        <f t="shared" si="78"/>
        <v>82.047655317679641</v>
      </c>
      <c r="R526" s="51">
        <f t="shared" si="79"/>
        <v>70.808500042164439</v>
      </c>
      <c r="Y526">
        <v>521</v>
      </c>
      <c r="Z526">
        <v>6.5325053571377234</v>
      </c>
    </row>
    <row r="527" spans="1:26" x14ac:dyDescent="0.15">
      <c r="A527" s="59">
        <v>41675.75</v>
      </c>
      <c r="B527">
        <v>12.56982</v>
      </c>
      <c r="C527">
        <v>91.924896000000004</v>
      </c>
      <c r="D527">
        <v>41.726379000000001</v>
      </c>
      <c r="E527">
        <v>17.729500000000002</v>
      </c>
      <c r="F527">
        <v>1448</v>
      </c>
      <c r="H527" s="50">
        <f t="shared" si="73"/>
        <v>-1.2610100067154522E-2</v>
      </c>
      <c r="I527" s="50">
        <f t="shared" si="74"/>
        <v>1.9291340307706181E-3</v>
      </c>
      <c r="J527" s="50">
        <f t="shared" si="75"/>
        <v>-8.3434476186175135E-3</v>
      </c>
      <c r="K527" s="50">
        <f t="shared" si="76"/>
        <v>-1.7973910602973708E-2</v>
      </c>
      <c r="L527" s="50">
        <f t="shared" si="77"/>
        <v>-1.3930980070191938E-3</v>
      </c>
      <c r="P527" s="50">
        <f t="shared" si="72"/>
        <v>-1.3930980070191938E-3</v>
      </c>
      <c r="Q527" s="51">
        <f t="shared" si="78"/>
        <v>81.933354892575991</v>
      </c>
      <c r="R527" s="51">
        <f t="shared" si="79"/>
        <v>69.91559777102762</v>
      </c>
      <c r="Y527">
        <v>522</v>
      </c>
      <c r="Z527">
        <v>5.2763093759202437</v>
      </c>
    </row>
    <row r="528" spans="1:26" x14ac:dyDescent="0.15">
      <c r="A528" s="59">
        <v>41676.75</v>
      </c>
      <c r="B528">
        <v>12.730351000000001</v>
      </c>
      <c r="C528">
        <v>91.747901999999996</v>
      </c>
      <c r="D528">
        <v>42.077449999999999</v>
      </c>
      <c r="E528">
        <v>18.054001</v>
      </c>
      <c r="F528">
        <v>1450.0200199999999</v>
      </c>
      <c r="H528" s="50">
        <f t="shared" si="73"/>
        <v>-1.3587723797863296E-4</v>
      </c>
      <c r="I528" s="50">
        <f t="shared" si="74"/>
        <v>1.668725456849108E-3</v>
      </c>
      <c r="J528" s="50">
        <f t="shared" si="75"/>
        <v>-3.1850971689286849E-3</v>
      </c>
      <c r="K528" s="50">
        <f t="shared" si="76"/>
        <v>5.8192697747518063E-4</v>
      </c>
      <c r="L528" s="50">
        <f t="shared" si="77"/>
        <v>1.1806594792144721E-3</v>
      </c>
      <c r="P528" s="50">
        <f t="shared" si="72"/>
        <v>1.1806594792144721E-3</v>
      </c>
      <c r="Q528" s="51">
        <f t="shared" si="78"/>
        <v>82.030090284693756</v>
      </c>
      <c r="R528" s="51">
        <f t="shared" si="79"/>
        <v>69.90609783271087</v>
      </c>
      <c r="Y528">
        <v>523</v>
      </c>
      <c r="Z528">
        <v>7.4122294885020263</v>
      </c>
    </row>
    <row r="529" spans="1:26" x14ac:dyDescent="0.15">
      <c r="A529" s="59">
        <v>41677.75</v>
      </c>
      <c r="B529">
        <v>12.732081000000001</v>
      </c>
      <c r="C529">
        <v>91.595055000000002</v>
      </c>
      <c r="D529">
        <v>42.211899000000003</v>
      </c>
      <c r="E529">
        <v>18.043500999999999</v>
      </c>
      <c r="F529">
        <v>1448.3100589999999</v>
      </c>
      <c r="H529" s="50">
        <f t="shared" si="73"/>
        <v>-1.3903698999349352E-2</v>
      </c>
      <c r="I529" s="50">
        <f t="shared" si="74"/>
        <v>-9.9140089835912937E-3</v>
      </c>
      <c r="J529" s="50">
        <f t="shared" si="75"/>
        <v>-1.1025781592444852E-2</v>
      </c>
      <c r="K529" s="50">
        <f t="shared" si="76"/>
        <v>-2.5428563531331378E-3</v>
      </c>
      <c r="L529" s="50">
        <f t="shared" si="77"/>
        <v>7.1276578025035045E-3</v>
      </c>
      <c r="P529" s="50">
        <f t="shared" si="72"/>
        <v>7.1276578025035045E-3</v>
      </c>
      <c r="Q529" s="51">
        <f t="shared" si="78"/>
        <v>82.614772697751519</v>
      </c>
      <c r="R529" s="51">
        <f t="shared" si="79"/>
        <v>68.93414449022579</v>
      </c>
      <c r="Y529">
        <v>524</v>
      </c>
      <c r="Z529">
        <v>5.5153319563303063</v>
      </c>
    </row>
    <row r="530" spans="1:26" x14ac:dyDescent="0.15">
      <c r="A530" s="59">
        <v>41678.75</v>
      </c>
      <c r="B530">
        <v>12.9116</v>
      </c>
      <c r="C530">
        <v>92.512221999999994</v>
      </c>
      <c r="D530">
        <v>42.682507000000001</v>
      </c>
      <c r="E530">
        <v>18.089500000000001</v>
      </c>
      <c r="F530">
        <v>1438.0600589999999</v>
      </c>
      <c r="H530" s="50">
        <f t="shared" si="73"/>
        <v>-2.1342098419417895E-3</v>
      </c>
      <c r="I530" s="50">
        <f t="shared" si="74"/>
        <v>-1.1320914881429117E-3</v>
      </c>
      <c r="J530" s="50">
        <f t="shared" si="75"/>
        <v>3.3359902466802639E-3</v>
      </c>
      <c r="K530" s="50">
        <f t="shared" si="76"/>
        <v>3.5905511811023763E-2</v>
      </c>
      <c r="L530" s="50">
        <f t="shared" si="77"/>
        <v>3.2720539821261521E-3</v>
      </c>
      <c r="P530" s="50">
        <f t="shared" si="72"/>
        <v>3.2720539821261521E-3</v>
      </c>
      <c r="Q530" s="51">
        <f t="shared" si="78"/>
        <v>82.885092693739637</v>
      </c>
      <c r="R530" s="51">
        <f t="shared" si="79"/>
        <v>68.787024560608913</v>
      </c>
      <c r="Y530">
        <v>525</v>
      </c>
      <c r="Z530">
        <v>9.5124207841874213</v>
      </c>
    </row>
    <row r="531" spans="1:26" x14ac:dyDescent="0.15">
      <c r="A531" s="59">
        <v>41681.75</v>
      </c>
      <c r="B531">
        <v>12.939215000000001</v>
      </c>
      <c r="C531">
        <v>92.617073000000005</v>
      </c>
      <c r="D531">
        <v>42.540591999999997</v>
      </c>
      <c r="E531">
        <v>17.462499999999999</v>
      </c>
      <c r="F531">
        <v>1433.369995</v>
      </c>
      <c r="H531" s="50">
        <f t="shared" si="73"/>
        <v>-5.3080107620824294E-3</v>
      </c>
      <c r="I531" s="50">
        <f t="shared" si="74"/>
        <v>-8.6350275449111197E-3</v>
      </c>
      <c r="J531" s="50">
        <f t="shared" si="75"/>
        <v>1.5830631129341972E-3</v>
      </c>
      <c r="K531" s="50">
        <f t="shared" si="76"/>
        <v>-2.2256493714642115E-2</v>
      </c>
      <c r="L531" s="50">
        <f t="shared" si="77"/>
        <v>-7.540203927684703E-3</v>
      </c>
      <c r="P531" s="50">
        <f t="shared" si="72"/>
        <v>-7.540203927684703E-3</v>
      </c>
      <c r="Q531" s="51">
        <f t="shared" si="78"/>
        <v>82.260122192263793</v>
      </c>
      <c r="R531" s="51">
        <f t="shared" si="79"/>
        <v>68.421902293949572</v>
      </c>
      <c r="Y531">
        <v>526</v>
      </c>
      <c r="Z531">
        <v>5.8995913747358832</v>
      </c>
    </row>
    <row r="532" spans="1:26" x14ac:dyDescent="0.15">
      <c r="A532" s="59">
        <v>41682.75</v>
      </c>
      <c r="B532">
        <v>13.008262999999999</v>
      </c>
      <c r="C532">
        <v>93.423789999999997</v>
      </c>
      <c r="D532">
        <v>42.473354</v>
      </c>
      <c r="E532">
        <v>17.860001</v>
      </c>
      <c r="F532">
        <v>1444.26001</v>
      </c>
      <c r="H532" s="50">
        <f t="shared" si="73"/>
        <v>-5.6738430013060772E-3</v>
      </c>
      <c r="I532" s="50">
        <f t="shared" si="74"/>
        <v>-2.4979035901977267E-3</v>
      </c>
      <c r="J532" s="50">
        <f t="shared" si="75"/>
        <v>6.5998538116265456E-3</v>
      </c>
      <c r="K532" s="50">
        <f t="shared" si="76"/>
        <v>-4.1970057366723135E-4</v>
      </c>
      <c r="L532" s="50">
        <f t="shared" si="77"/>
        <v>-7.5860912720961361E-3</v>
      </c>
      <c r="P532" s="50">
        <f t="shared" si="72"/>
        <v>-7.5860912720961361E-3</v>
      </c>
      <c r="Q532" s="51">
        <f t="shared" si="78"/>
        <v>81.636089397259497</v>
      </c>
      <c r="R532" s="51">
        <f t="shared" si="79"/>
        <v>68.033687162483005</v>
      </c>
      <c r="Y532">
        <v>527</v>
      </c>
      <c r="Z532">
        <v>6.5735942444342488</v>
      </c>
    </row>
    <row r="533" spans="1:26" x14ac:dyDescent="0.15">
      <c r="A533" s="59">
        <v>41683.75</v>
      </c>
      <c r="B533">
        <v>13.082490999999999</v>
      </c>
      <c r="C533">
        <v>93.657737999999995</v>
      </c>
      <c r="D533">
        <v>42.194873999999999</v>
      </c>
      <c r="E533">
        <v>17.8675</v>
      </c>
      <c r="F533">
        <v>1455.3000489999999</v>
      </c>
      <c r="H533" s="50">
        <f t="shared" si="73"/>
        <v>6.106472554826917E-3</v>
      </c>
      <c r="I533" s="50">
        <f t="shared" si="74"/>
        <v>6.4147541602274051E-3</v>
      </c>
      <c r="J533" s="50">
        <f t="shared" si="75"/>
        <v>-5.8520957958550458E-3</v>
      </c>
      <c r="K533" s="50">
        <f t="shared" si="76"/>
        <v>1.0462264359549662E-2</v>
      </c>
      <c r="L533" s="50">
        <f t="shared" si="77"/>
        <v>-1.0365181038333054E-3</v>
      </c>
      <c r="P533" s="50">
        <f t="shared" si="72"/>
        <v>-1.0365181038333054E-3</v>
      </c>
      <c r="Q533" s="51">
        <f t="shared" si="78"/>
        <v>81.551472112673082</v>
      </c>
      <c r="R533" s="51">
        <f t="shared" si="79"/>
        <v>68.44913300594439</v>
      </c>
      <c r="Y533">
        <v>528</v>
      </c>
      <c r="Z533">
        <v>5.2848315314596022</v>
      </c>
    </row>
    <row r="534" spans="1:26" x14ac:dyDescent="0.15">
      <c r="A534" s="59">
        <v>41684.75</v>
      </c>
      <c r="B534">
        <v>13.003088</v>
      </c>
      <c r="C534">
        <v>93.060776000000004</v>
      </c>
      <c r="D534">
        <v>42.443255999999998</v>
      </c>
      <c r="E534">
        <v>17.682500999999998</v>
      </c>
      <c r="F534">
        <v>1456.8100589999999</v>
      </c>
      <c r="H534" s="50">
        <f t="shared" si="73"/>
        <v>6.412965836291985E-3</v>
      </c>
      <c r="I534" s="50">
        <f t="shared" si="74"/>
        <v>3.916276454014417E-3</v>
      </c>
      <c r="J534" s="50">
        <f t="shared" si="75"/>
        <v>-1.6053031693110908E-2</v>
      </c>
      <c r="K534" s="50">
        <f t="shared" si="76"/>
        <v>1.8049514540244935E-2</v>
      </c>
      <c r="L534" s="50">
        <f t="shared" si="77"/>
        <v>8.7254212592631497E-4</v>
      </c>
      <c r="P534" s="50">
        <f t="shared" si="72"/>
        <v>8.7254212592631497E-4</v>
      </c>
      <c r="Q534" s="51">
        <f t="shared" si="78"/>
        <v>81.622629207522692</v>
      </c>
      <c r="R534" s="51">
        <f t="shared" si="79"/>
        <v>68.888094957435314</v>
      </c>
      <c r="Y534">
        <v>529</v>
      </c>
      <c r="Z534">
        <v>5.6999343949683015</v>
      </c>
    </row>
    <row r="535" spans="1:26" x14ac:dyDescent="0.15">
      <c r="A535" s="59">
        <v>41685.75</v>
      </c>
      <c r="B535">
        <v>12.920230999999999</v>
      </c>
      <c r="C535">
        <v>92.697745999999995</v>
      </c>
      <c r="D535">
        <v>43.135714999999998</v>
      </c>
      <c r="E535">
        <v>17.368998999999999</v>
      </c>
      <c r="F535">
        <v>1455.540039</v>
      </c>
      <c r="H535" s="50">
        <f t="shared" si="73"/>
        <v>1.80904825134659E-2</v>
      </c>
      <c r="I535" s="50">
        <f t="shared" si="74"/>
        <v>-1.3038096477993018E-3</v>
      </c>
      <c r="J535" s="50">
        <f t="shared" si="75"/>
        <v>1.218694176357466E-2</v>
      </c>
      <c r="K535" s="50">
        <f t="shared" si="76"/>
        <v>-6.9182961692395486E-3</v>
      </c>
      <c r="L535" s="50">
        <f t="shared" si="77"/>
        <v>-2.8362482508786468E-3</v>
      </c>
      <c r="P535" s="50">
        <f t="shared" si="72"/>
        <v>-2.8362482508786468E-3</v>
      </c>
      <c r="Q535" s="51">
        <f t="shared" si="78"/>
        <v>81.39112716820074</v>
      </c>
      <c r="R535" s="51">
        <f t="shared" si="79"/>
        <v>70.134313834648779</v>
      </c>
      <c r="Y535">
        <v>530</v>
      </c>
      <c r="Z535">
        <v>7.7631521534128209</v>
      </c>
    </row>
    <row r="536" spans="1:26" x14ac:dyDescent="0.15">
      <c r="A536" s="59">
        <v>41689.75</v>
      </c>
      <c r="B536">
        <v>12.690651000000001</v>
      </c>
      <c r="C536">
        <v>92.818764000000002</v>
      </c>
      <c r="D536">
        <v>42.616351999999999</v>
      </c>
      <c r="E536">
        <v>17.489999999999998</v>
      </c>
      <c r="F536">
        <v>1459.6800539999999</v>
      </c>
      <c r="H536" s="50">
        <f t="shared" si="73"/>
        <v>5.4703018403283879E-3</v>
      </c>
      <c r="I536" s="50">
        <f t="shared" si="74"/>
        <v>1.6520841112216078E-2</v>
      </c>
      <c r="J536" s="50">
        <f t="shared" si="75"/>
        <v>6.7565478145759951E-3</v>
      </c>
      <c r="K536" s="50">
        <f t="shared" si="76"/>
        <v>8.7669286403810782E-3</v>
      </c>
      <c r="L536" s="50">
        <f t="shared" si="77"/>
        <v>1.4064261801470974E-3</v>
      </c>
      <c r="P536" s="50">
        <f t="shared" si="72"/>
        <v>1.4064261801470974E-3</v>
      </c>
      <c r="Q536" s="51">
        <f t="shared" si="78"/>
        <v>81.505597780281789</v>
      </c>
      <c r="R536" s="51">
        <f t="shared" si="79"/>
        <v>70.517969700688624</v>
      </c>
      <c r="Y536">
        <v>531</v>
      </c>
      <c r="Z536">
        <v>7.4411653150212738</v>
      </c>
    </row>
    <row r="537" spans="1:26" x14ac:dyDescent="0.15">
      <c r="A537" s="59">
        <v>41690.75</v>
      </c>
      <c r="B537">
        <v>12.621606999999999</v>
      </c>
      <c r="C537">
        <v>91.310242000000002</v>
      </c>
      <c r="D537">
        <v>42.330345000000001</v>
      </c>
      <c r="E537">
        <v>17.337999</v>
      </c>
      <c r="F537">
        <v>1457.630005</v>
      </c>
      <c r="H537" s="50">
        <f t="shared" si="73"/>
        <v>-3.1357734705177547E-3</v>
      </c>
      <c r="I537" s="50">
        <f t="shared" si="74"/>
        <v>-6.5821834016761465E-3</v>
      </c>
      <c r="J537" s="50">
        <f t="shared" si="75"/>
        <v>1.7812770758884483E-3</v>
      </c>
      <c r="K537" s="50">
        <f t="shared" si="76"/>
        <v>-1.4270395459071253E-2</v>
      </c>
      <c r="L537" s="50">
        <f t="shared" si="77"/>
        <v>8.5829247566468752E-4</v>
      </c>
      <c r="P537" s="50">
        <f t="shared" si="72"/>
        <v>8.5829247566468752E-4</v>
      </c>
      <c r="Q537" s="51">
        <f t="shared" si="78"/>
        <v>81.575553421581148</v>
      </c>
      <c r="R537" s="51">
        <f t="shared" si="79"/>
        <v>70.296841322106431</v>
      </c>
      <c r="Y537">
        <v>532</v>
      </c>
      <c r="Z537">
        <v>9.1175892212024525</v>
      </c>
    </row>
    <row r="538" spans="1:26" x14ac:dyDescent="0.15">
      <c r="A538" s="59">
        <v>41691.75</v>
      </c>
      <c r="B538">
        <v>12.66131</v>
      </c>
      <c r="C538">
        <v>91.915244999999999</v>
      </c>
      <c r="D538">
        <v>42.255077</v>
      </c>
      <c r="E538">
        <v>17.589001</v>
      </c>
      <c r="F538">
        <v>1456.380005</v>
      </c>
      <c r="H538" s="50">
        <f t="shared" si="73"/>
        <v>0</v>
      </c>
      <c r="I538" s="50">
        <f t="shared" si="74"/>
        <v>-1.316463745484316E-2</v>
      </c>
      <c r="J538" s="50">
        <f t="shared" si="75"/>
        <v>-6.5473243503400141E-3</v>
      </c>
      <c r="K538" s="50">
        <f t="shared" si="76"/>
        <v>-1.8251786112971683E-2</v>
      </c>
      <c r="L538" s="50">
        <f t="shared" si="77"/>
        <v>3.5764194977974235E-3</v>
      </c>
      <c r="P538" s="50">
        <f t="shared" si="72"/>
        <v>3.5764194977974235E-3</v>
      </c>
      <c r="Q538" s="51">
        <f t="shared" si="78"/>
        <v>81.867301821381702</v>
      </c>
      <c r="R538" s="51">
        <f t="shared" si="79"/>
        <v>70.296841322106431</v>
      </c>
      <c r="Y538">
        <v>533</v>
      </c>
      <c r="Z538">
        <v>5.2548193280722355</v>
      </c>
    </row>
    <row r="539" spans="1:26" x14ac:dyDescent="0.15">
      <c r="A539" s="59">
        <v>41692.75</v>
      </c>
      <c r="B539">
        <v>12.66131</v>
      </c>
      <c r="C539">
        <v>93.141418000000002</v>
      </c>
      <c r="D539">
        <v>42.533557999999999</v>
      </c>
      <c r="E539">
        <v>17.916</v>
      </c>
      <c r="F539">
        <v>1451.1899410000001</v>
      </c>
      <c r="H539" s="50">
        <f t="shared" si="73"/>
        <v>-1.9122574293583681E-2</v>
      </c>
      <c r="I539" s="50">
        <f t="shared" si="74"/>
        <v>-3.6248504630977509E-3</v>
      </c>
      <c r="J539" s="50">
        <f t="shared" si="75"/>
        <v>-6.5796553000771543E-2</v>
      </c>
      <c r="K539" s="50">
        <f t="shared" si="76"/>
        <v>-4.1133963312950566E-3</v>
      </c>
      <c r="L539" s="50">
        <f t="shared" si="77"/>
        <v>1.2556807483792795E-3</v>
      </c>
      <c r="P539" s="50">
        <f t="shared" si="72"/>
        <v>1.2556807483792795E-3</v>
      </c>
      <c r="Q539" s="51">
        <f t="shared" si="78"/>
        <v>81.970101016200559</v>
      </c>
      <c r="R539" s="51">
        <f t="shared" si="79"/>
        <v>68.952584751320188</v>
      </c>
      <c r="Y539">
        <v>534</v>
      </c>
      <c r="Z539">
        <v>8.8925769102491596</v>
      </c>
    </row>
    <row r="540" spans="1:26" x14ac:dyDescent="0.15">
      <c r="A540" s="59">
        <v>41695.75</v>
      </c>
      <c r="B540">
        <v>12.908147</v>
      </c>
      <c r="C540">
        <v>93.480270000000004</v>
      </c>
      <c r="D540">
        <v>45.529223999999999</v>
      </c>
      <c r="E540">
        <v>17.989999999999998</v>
      </c>
      <c r="F540">
        <v>1449.369995</v>
      </c>
      <c r="H540" s="50">
        <f t="shared" si="73"/>
        <v>2.9504651607662139E-3</v>
      </c>
      <c r="I540" s="50">
        <f t="shared" si="74"/>
        <v>-2.9251603952053055E-3</v>
      </c>
      <c r="J540" s="50">
        <f t="shared" si="75"/>
        <v>-2.8021452581743983E-3</v>
      </c>
      <c r="K540" s="50">
        <f t="shared" si="76"/>
        <v>-9.163357676394983E-4</v>
      </c>
      <c r="L540" s="50">
        <f t="shared" si="77"/>
        <v>3.5974635891031878E-2</v>
      </c>
      <c r="P540" s="50">
        <f t="shared" si="72"/>
        <v>3.5974635891031878E-2</v>
      </c>
      <c r="Q540" s="51">
        <f t="shared" si="78"/>
        <v>84.918945554209472</v>
      </c>
      <c r="R540" s="51">
        <f t="shared" si="79"/>
        <v>69.156026950373729</v>
      </c>
      <c r="Y540">
        <v>535</v>
      </c>
      <c r="Z540">
        <v>7.2898950285607045</v>
      </c>
    </row>
    <row r="541" spans="1:26" x14ac:dyDescent="0.15">
      <c r="A541" s="59">
        <v>41696.75</v>
      </c>
      <c r="B541">
        <v>12.870174</v>
      </c>
      <c r="C541">
        <v>93.754517000000007</v>
      </c>
      <c r="D541">
        <v>45.657162</v>
      </c>
      <c r="E541">
        <v>18.006499999999999</v>
      </c>
      <c r="F541">
        <v>1399.040039</v>
      </c>
      <c r="H541" s="50">
        <f t="shared" si="73"/>
        <v>-1.8736911887035175E-3</v>
      </c>
      <c r="I541" s="50">
        <f t="shared" si="74"/>
        <v>-4.9660151505117696E-3</v>
      </c>
      <c r="J541" s="50">
        <f t="shared" si="75"/>
        <v>-3.0060868419705858E-2</v>
      </c>
      <c r="K541" s="50">
        <f t="shared" si="76"/>
        <v>-5.4404860535764354E-3</v>
      </c>
      <c r="L541" s="50">
        <f t="shared" si="77"/>
        <v>-5.5301369746147272E-3</v>
      </c>
      <c r="P541" s="50">
        <f t="shared" si="72"/>
        <v>-5.5301369746147272E-3</v>
      </c>
      <c r="Q541" s="51">
        <f t="shared" si="78"/>
        <v>84.449332153554849</v>
      </c>
      <c r="R541" s="51">
        <f t="shared" si="79"/>
        <v>69.026449912031069</v>
      </c>
      <c r="Y541">
        <v>536</v>
      </c>
      <c r="Z541">
        <v>6.6404182343636533</v>
      </c>
    </row>
    <row r="542" spans="1:26" x14ac:dyDescent="0.15">
      <c r="A542" s="59">
        <v>41697.75</v>
      </c>
      <c r="B542">
        <v>12.894334000000001</v>
      </c>
      <c r="C542">
        <v>94.222426999999996</v>
      </c>
      <c r="D542">
        <v>47.072192999999999</v>
      </c>
      <c r="E542">
        <v>18.105</v>
      </c>
      <c r="F542">
        <v>1406.8199460000001</v>
      </c>
      <c r="H542" s="50">
        <f t="shared" si="73"/>
        <v>7.8245458400176462E-3</v>
      </c>
      <c r="I542" s="50">
        <f t="shared" si="74"/>
        <v>9.0712331857608006E-3</v>
      </c>
      <c r="J542" s="50">
        <f t="shared" si="75"/>
        <v>9.3607793197336767E-3</v>
      </c>
      <c r="K542" s="50">
        <f t="shared" si="76"/>
        <v>6.4483851242425737E-3</v>
      </c>
      <c r="L542" s="50">
        <f t="shared" si="77"/>
        <v>2.6011829539885124E-3</v>
      </c>
      <c r="P542" s="50">
        <f t="shared" si="72"/>
        <v>2.6011829539885124E-3</v>
      </c>
      <c r="Q542" s="51">
        <f t="shared" si="78"/>
        <v>84.669000316828388</v>
      </c>
      <c r="R542" s="51">
        <f t="shared" si="79"/>
        <v>69.566550533541445</v>
      </c>
      <c r="Y542">
        <v>537</v>
      </c>
      <c r="Z542">
        <v>7.9689625022243709</v>
      </c>
    </row>
    <row r="543" spans="1:26" x14ac:dyDescent="0.15">
      <c r="A543" s="59">
        <v>41698.75</v>
      </c>
      <c r="B543">
        <v>12.794225000000001</v>
      </c>
      <c r="C543">
        <v>93.375397000000007</v>
      </c>
      <c r="D543">
        <v>46.635646999999999</v>
      </c>
      <c r="E543">
        <v>17.989000000000001</v>
      </c>
      <c r="F543">
        <v>1403.170044</v>
      </c>
      <c r="H543" s="50">
        <f t="shared" si="73"/>
        <v>-1.344327610649282E-2</v>
      </c>
      <c r="I543" s="50">
        <f t="shared" si="74"/>
        <v>-7.7152191449628088E-3</v>
      </c>
      <c r="J543" s="50">
        <f t="shared" si="75"/>
        <v>1.0272335184538375E-2</v>
      </c>
      <c r="K543" s="50">
        <f t="shared" si="76"/>
        <v>-1.1321791701016735E-2</v>
      </c>
      <c r="L543" s="50">
        <f t="shared" si="77"/>
        <v>1.1534274452656793E-2</v>
      </c>
      <c r="P543" s="50">
        <f t="shared" si="72"/>
        <v>1.1534274452656793E-2</v>
      </c>
      <c r="Q543" s="51">
        <f t="shared" si="78"/>
        <v>85.645595804114762</v>
      </c>
      <c r="R543" s="51">
        <f t="shared" si="79"/>
        <v>68.631348186942759</v>
      </c>
      <c r="Y543">
        <v>538</v>
      </c>
      <c r="Z543">
        <v>7.6868342083751386</v>
      </c>
    </row>
    <row r="544" spans="1:26" x14ac:dyDescent="0.15">
      <c r="A544" s="59">
        <v>41699.75</v>
      </c>
      <c r="B544">
        <v>12.968565</v>
      </c>
      <c r="C544">
        <v>94.101410000000001</v>
      </c>
      <c r="D544">
        <v>46.161461000000003</v>
      </c>
      <c r="E544">
        <v>18.195</v>
      </c>
      <c r="F544">
        <v>1387.170044</v>
      </c>
      <c r="H544" s="50">
        <f t="shared" si="73"/>
        <v>4.4119241612193636E-3</v>
      </c>
      <c r="I544" s="50">
        <f t="shared" si="74"/>
        <v>1.5455073747129603E-3</v>
      </c>
      <c r="J544" s="50">
        <f t="shared" si="75"/>
        <v>1.2046346660110526E-2</v>
      </c>
      <c r="K544" s="50">
        <f t="shared" si="76"/>
        <v>-2.2746193302360589E-2</v>
      </c>
      <c r="L544" s="50">
        <f t="shared" si="77"/>
        <v>9.4970228564354338E-3</v>
      </c>
      <c r="P544" s="50">
        <f t="shared" si="72"/>
        <v>9.4970228564354338E-3</v>
      </c>
      <c r="Q544" s="51">
        <f t="shared" si="78"/>
        <v>86.458973985019483</v>
      </c>
      <c r="R544" s="51">
        <f t="shared" si="79"/>
        <v>68.93414449022579</v>
      </c>
      <c r="Y544">
        <v>539</v>
      </c>
      <c r="Z544">
        <v>5.1211561297101769</v>
      </c>
    </row>
    <row r="545" spans="1:26" x14ac:dyDescent="0.15">
      <c r="A545" s="59">
        <v>41702.75</v>
      </c>
      <c r="B545">
        <v>12.9116</v>
      </c>
      <c r="C545">
        <v>93.956199999999995</v>
      </c>
      <c r="D545">
        <v>45.612003000000001</v>
      </c>
      <c r="E545">
        <v>18.618500000000001</v>
      </c>
      <c r="F545">
        <v>1374.119995</v>
      </c>
      <c r="H545" s="50">
        <f t="shared" si="73"/>
        <v>-1.0681289237646115E-3</v>
      </c>
      <c r="I545" s="50">
        <f t="shared" si="74"/>
        <v>2.8341756915897059E-2</v>
      </c>
      <c r="J545" s="50">
        <f t="shared" si="75"/>
        <v>-2.3049003883140024E-3</v>
      </c>
      <c r="K545" s="50">
        <f t="shared" si="76"/>
        <v>5.6427343078248055E-4</v>
      </c>
      <c r="L545" s="50">
        <f t="shared" si="77"/>
        <v>-1.5257192137977688E-2</v>
      </c>
      <c r="P545" s="50">
        <f t="shared" si="72"/>
        <v>-1.5257192137977688E-2</v>
      </c>
      <c r="Q545" s="51">
        <f t="shared" si="78"/>
        <v>85.139852806877627</v>
      </c>
      <c r="R545" s="51">
        <f t="shared" si="79"/>
        <v>68.860513936660809</v>
      </c>
      <c r="Y545">
        <v>540</v>
      </c>
      <c r="Z545">
        <v>9.7179395059051394</v>
      </c>
    </row>
    <row r="546" spans="1:26" x14ac:dyDescent="0.15">
      <c r="A546" s="59">
        <v>41703.75</v>
      </c>
      <c r="B546">
        <v>12.925406000000001</v>
      </c>
      <c r="C546">
        <v>91.366707000000005</v>
      </c>
      <c r="D546">
        <v>45.717376999999999</v>
      </c>
      <c r="E546">
        <v>18.608000000000001</v>
      </c>
      <c r="F546">
        <v>1395.410034</v>
      </c>
      <c r="H546" s="50">
        <f t="shared" si="73"/>
        <v>-1.5285864009802147E-2</v>
      </c>
      <c r="I546" s="50">
        <f t="shared" si="74"/>
        <v>-2.1141591091683059E-3</v>
      </c>
      <c r="J546" s="50">
        <f t="shared" si="75"/>
        <v>-1.648554185394072E-4</v>
      </c>
      <c r="K546" s="50">
        <f t="shared" si="76"/>
        <v>2.687200844638739E-4</v>
      </c>
      <c r="L546" s="50">
        <f t="shared" si="77"/>
        <v>2.4713629400558448E-3</v>
      </c>
      <c r="P546" s="50">
        <f t="shared" si="72"/>
        <v>2.4713629400558448E-3</v>
      </c>
      <c r="Q546" s="51">
        <f t="shared" si="78"/>
        <v>85.350264283826363</v>
      </c>
      <c r="R546" s="51">
        <f t="shared" si="79"/>
        <v>67.807921484979929</v>
      </c>
      <c r="Y546">
        <v>541</v>
      </c>
      <c r="Z546">
        <v>9.1392830309533561</v>
      </c>
    </row>
    <row r="547" spans="1:26" x14ac:dyDescent="0.15">
      <c r="A547" s="59">
        <v>41704.75</v>
      </c>
      <c r="B547">
        <v>13.126049</v>
      </c>
      <c r="C547">
        <v>91.560280000000006</v>
      </c>
      <c r="D547">
        <v>45.724915000000003</v>
      </c>
      <c r="E547">
        <v>18.603000999999999</v>
      </c>
      <c r="F547">
        <v>1391.969971</v>
      </c>
      <c r="H547" s="50">
        <f t="shared" si="73"/>
        <v>2.0153211738727231E-3</v>
      </c>
      <c r="I547" s="50">
        <f t="shared" si="74"/>
        <v>-9.5123520550143212E-3</v>
      </c>
      <c r="J547" s="50">
        <f t="shared" si="75"/>
        <v>-6.7032503228247617E-3</v>
      </c>
      <c r="K547" s="50">
        <f t="shared" si="76"/>
        <v>4.1292200831662355E-3</v>
      </c>
      <c r="L547" s="50">
        <f t="shared" si="77"/>
        <v>-7.0761927782187406E-3</v>
      </c>
      <c r="P547" s="50">
        <f t="shared" si="72"/>
        <v>-7.0761927782187406E-3</v>
      </c>
      <c r="Q547" s="51">
        <f t="shared" si="78"/>
        <v>84.746309360082094</v>
      </c>
      <c r="R547" s="51">
        <f t="shared" si="79"/>
        <v>67.944576224904907</v>
      </c>
      <c r="Y547">
        <v>542</v>
      </c>
      <c r="Z547">
        <v>6.6957489920354227</v>
      </c>
    </row>
    <row r="548" spans="1:26" x14ac:dyDescent="0.15">
      <c r="A548" s="59">
        <v>41705.75</v>
      </c>
      <c r="B548">
        <v>13.099648999999999</v>
      </c>
      <c r="C548">
        <v>92.439598000000004</v>
      </c>
      <c r="D548">
        <v>46.033489000000003</v>
      </c>
      <c r="E548">
        <v>18.526501</v>
      </c>
      <c r="F548">
        <v>1401.8900149999999</v>
      </c>
      <c r="H548" s="50">
        <f t="shared" si="73"/>
        <v>-6.5404003825301985E-3</v>
      </c>
      <c r="I548" s="50">
        <f t="shared" si="74"/>
        <v>-1.0462583837941148E-3</v>
      </c>
      <c r="J548" s="50">
        <f t="shared" si="75"/>
        <v>3.610018813808972E-3</v>
      </c>
      <c r="K548" s="50">
        <f t="shared" si="76"/>
        <v>4.6364622308985807E-3</v>
      </c>
      <c r="L548" s="50">
        <f t="shared" si="77"/>
        <v>-6.7716277196514906E-4</v>
      </c>
      <c r="P548" s="50">
        <f t="shared" si="72"/>
        <v>-6.7716277196514906E-4</v>
      </c>
      <c r="Q548" s="51">
        <f t="shared" si="78"/>
        <v>84.688922314321999</v>
      </c>
      <c r="R548" s="51">
        <f t="shared" si="79"/>
        <v>67.500191492572682</v>
      </c>
      <c r="Y548">
        <v>543</v>
      </c>
      <c r="Z548">
        <v>6.9891746029038915</v>
      </c>
    </row>
    <row r="549" spans="1:26" x14ac:dyDescent="0.15">
      <c r="A549" s="59">
        <v>41706.75</v>
      </c>
      <c r="B549">
        <v>13.185890000000001</v>
      </c>
      <c r="C549">
        <v>92.536415000000005</v>
      </c>
      <c r="D549">
        <v>45.867905</v>
      </c>
      <c r="E549">
        <v>18.440999999999999</v>
      </c>
      <c r="F549">
        <v>1402.839966</v>
      </c>
      <c r="H549" s="50">
        <f t="shared" si="73"/>
        <v>-8.0759808401950385E-3</v>
      </c>
      <c r="I549" s="50">
        <f t="shared" si="74"/>
        <v>-4.3398326903325108E-3</v>
      </c>
      <c r="J549" s="50">
        <f t="shared" si="75"/>
        <v>-2.6187075483380499E-3</v>
      </c>
      <c r="K549" s="50">
        <f t="shared" si="76"/>
        <v>-4.910425210446853E-3</v>
      </c>
      <c r="L549" s="50">
        <f t="shared" si="77"/>
        <v>-2.6731196247368385E-3</v>
      </c>
      <c r="P549" s="50">
        <f t="shared" si="72"/>
        <v>-2.6731196247368385E-3</v>
      </c>
      <c r="Q549" s="51">
        <f t="shared" si="78"/>
        <v>84.462538694085779</v>
      </c>
      <c r="R549" s="51">
        <f t="shared" si="79"/>
        <v>66.955061239369172</v>
      </c>
      <c r="Y549">
        <v>544</v>
      </c>
      <c r="Z549">
        <v>9.1073328300928864</v>
      </c>
    </row>
    <row r="550" spans="1:26" x14ac:dyDescent="0.15">
      <c r="A550" s="59">
        <v>41709.75</v>
      </c>
      <c r="B550">
        <v>13.293246</v>
      </c>
      <c r="C550">
        <v>92.939757999999998</v>
      </c>
      <c r="D550">
        <v>45.988334999999999</v>
      </c>
      <c r="E550">
        <v>18.532</v>
      </c>
      <c r="F550">
        <v>1406.599976</v>
      </c>
      <c r="H550" s="50">
        <f t="shared" si="73"/>
        <v>8.0073414152395123E-3</v>
      </c>
      <c r="I550" s="50">
        <f t="shared" si="74"/>
        <v>6.9924397900869633E-3</v>
      </c>
      <c r="J550" s="50">
        <f t="shared" si="75"/>
        <v>2.2936631085467122E-2</v>
      </c>
      <c r="K550" s="50">
        <f t="shared" si="76"/>
        <v>-2.3417942989422437E-3</v>
      </c>
      <c r="L550" s="50">
        <f t="shared" si="77"/>
        <v>2.079177475147638E-2</v>
      </c>
      <c r="P550" s="50">
        <f t="shared" si="72"/>
        <v>2.079177475147638E-2</v>
      </c>
      <c r="Q550" s="51">
        <f t="shared" si="78"/>
        <v>86.218664773551069</v>
      </c>
      <c r="R550" s="51">
        <f t="shared" si="79"/>
        <v>67.491193274191076</v>
      </c>
      <c r="Y550">
        <v>545</v>
      </c>
      <c r="Z550">
        <v>7.6125665024555742</v>
      </c>
    </row>
    <row r="551" spans="1:26" x14ac:dyDescent="0.15">
      <c r="A551" s="59">
        <v>41710.75</v>
      </c>
      <c r="B551">
        <v>13.187647999999999</v>
      </c>
      <c r="C551">
        <v>92.294394999999994</v>
      </c>
      <c r="D551">
        <v>44.957169</v>
      </c>
      <c r="E551">
        <v>18.575500000000002</v>
      </c>
      <c r="F551">
        <v>1377.9499510000001</v>
      </c>
      <c r="H551" s="50">
        <f t="shared" si="73"/>
        <v>8.7510031940043805E-3</v>
      </c>
      <c r="I551" s="50">
        <f t="shared" si="74"/>
        <v>8.4619466280785646E-3</v>
      </c>
      <c r="J551" s="50">
        <f t="shared" si="75"/>
        <v>6.2329717470665054E-3</v>
      </c>
      <c r="K551" s="50">
        <f t="shared" si="76"/>
        <v>-5.9667148284903663E-3</v>
      </c>
      <c r="L551" s="50">
        <f t="shared" si="77"/>
        <v>-6.6466926963136656E-3</v>
      </c>
      <c r="P551" s="50">
        <f t="shared" si="72"/>
        <v>-6.6466926963136656E-3</v>
      </c>
      <c r="Q551" s="51">
        <f t="shared" si="78"/>
        <v>85.645595804114791</v>
      </c>
      <c r="R551" s="51">
        <f t="shared" si="79"/>
        <v>68.081808922100691</v>
      </c>
      <c r="Y551">
        <v>546</v>
      </c>
      <c r="Z551">
        <v>10.035971691734627</v>
      </c>
    </row>
    <row r="552" spans="1:26" x14ac:dyDescent="0.15">
      <c r="A552" s="59">
        <v>41711.75</v>
      </c>
      <c r="B552">
        <v>13.073244000000001</v>
      </c>
      <c r="C552">
        <v>91.519958000000003</v>
      </c>
      <c r="D552">
        <v>44.678688000000001</v>
      </c>
      <c r="E552">
        <v>18.687000000000001</v>
      </c>
      <c r="F552">
        <v>1387.170044</v>
      </c>
      <c r="H552" s="50">
        <f t="shared" si="73"/>
        <v>-5.3566551148271921E-3</v>
      </c>
      <c r="I552" s="50">
        <f t="shared" si="74"/>
        <v>-8.8191562737650149E-5</v>
      </c>
      <c r="J552" s="50">
        <f t="shared" si="75"/>
        <v>-5.195091468852121E-3</v>
      </c>
      <c r="K552" s="50">
        <f t="shared" si="76"/>
        <v>-3.4663500711203435E-3</v>
      </c>
      <c r="L552" s="50">
        <f t="shared" si="77"/>
        <v>-3.6702278949373997E-3</v>
      </c>
      <c r="P552" s="50">
        <f t="shared" si="72"/>
        <v>-3.6702278949373997E-3</v>
      </c>
      <c r="Q552" s="51">
        <f t="shared" si="78"/>
        <v>85.331256949316</v>
      </c>
      <c r="R552" s="51">
        <f t="shared" si="79"/>
        <v>67.717118152111439</v>
      </c>
      <c r="Y552">
        <v>547</v>
      </c>
      <c r="Z552">
        <v>8.6753674427412975</v>
      </c>
    </row>
    <row r="553" spans="1:26" x14ac:dyDescent="0.15">
      <c r="A553" s="59">
        <v>41712.75</v>
      </c>
      <c r="B553">
        <v>13.143649999999999</v>
      </c>
      <c r="C553">
        <v>91.528030000000001</v>
      </c>
      <c r="D553">
        <v>44.912010000000002</v>
      </c>
      <c r="E553">
        <v>18.752001</v>
      </c>
      <c r="F553">
        <v>1392.280029</v>
      </c>
      <c r="H553" s="50">
        <f t="shared" si="73"/>
        <v>-1.2035422654741936E-3</v>
      </c>
      <c r="I553" s="50">
        <f t="shared" si="74"/>
        <v>-3.4257392308295049E-3</v>
      </c>
      <c r="J553" s="50">
        <f t="shared" si="75"/>
        <v>-8.3738138116750901E-4</v>
      </c>
      <c r="K553" s="50">
        <f t="shared" si="76"/>
        <v>-9.8475597247701767E-3</v>
      </c>
      <c r="L553" s="50">
        <f t="shared" si="77"/>
        <v>3.8430211531114995E-3</v>
      </c>
      <c r="P553" s="50">
        <f t="shared" si="72"/>
        <v>3.8430211531114995E-3</v>
      </c>
      <c r="Q553" s="51">
        <f t="shared" si="78"/>
        <v>85.65918677479381</v>
      </c>
      <c r="R553" s="51">
        <f t="shared" si="79"/>
        <v>67.635617738319269</v>
      </c>
      <c r="Y553">
        <v>548</v>
      </c>
      <c r="Z553">
        <v>8.1237091735605418</v>
      </c>
    </row>
    <row r="554" spans="1:26" x14ac:dyDescent="0.15">
      <c r="A554" s="59">
        <v>41713.75</v>
      </c>
      <c r="B554">
        <v>13.159488</v>
      </c>
      <c r="C554">
        <v>91.842658999999998</v>
      </c>
      <c r="D554">
        <v>44.949649999999998</v>
      </c>
      <c r="E554">
        <v>18.938499</v>
      </c>
      <c r="F554">
        <v>1386.9499510000001</v>
      </c>
      <c r="H554" s="50">
        <f t="shared" si="73"/>
        <v>5.2434345921237571E-3</v>
      </c>
      <c r="I554" s="50">
        <f t="shared" si="74"/>
        <v>8.8611784266863294E-3</v>
      </c>
      <c r="J554" s="50">
        <f t="shared" si="75"/>
        <v>4.0349564137102389E-3</v>
      </c>
      <c r="K554" s="50">
        <f t="shared" si="76"/>
        <v>1.484328618582176E-2</v>
      </c>
      <c r="L554" s="50">
        <f t="shared" si="77"/>
        <v>-1.0777076133797673E-2</v>
      </c>
      <c r="P554" s="50">
        <f t="shared" si="72"/>
        <v>-1.0777076133797673E-2</v>
      </c>
      <c r="Q554" s="51">
        <f t="shared" si="78"/>
        <v>84.736031197362664</v>
      </c>
      <c r="R554" s="51">
        <f t="shared" si="79"/>
        <v>67.990260676028029</v>
      </c>
      <c r="Y554">
        <v>549</v>
      </c>
      <c r="Z554">
        <v>6.2058809258386232</v>
      </c>
    </row>
    <row r="555" spans="1:26" x14ac:dyDescent="0.15">
      <c r="A555" s="59">
        <v>41716.75</v>
      </c>
      <c r="B555">
        <v>13.090847</v>
      </c>
      <c r="C555">
        <v>91.035972999999998</v>
      </c>
      <c r="D555">
        <v>44.769008999999997</v>
      </c>
      <c r="E555">
        <v>18.661501000000001</v>
      </c>
      <c r="F555">
        <v>1402.0600589999999</v>
      </c>
      <c r="H555" s="50">
        <f t="shared" si="73"/>
        <v>-1.3266300083765213E-2</v>
      </c>
      <c r="I555" s="50">
        <f t="shared" si="74"/>
        <v>-2.739389256677249E-3</v>
      </c>
      <c r="J555" s="50">
        <f t="shared" si="75"/>
        <v>-3.6849118615507001E-3</v>
      </c>
      <c r="K555" s="50">
        <f t="shared" si="76"/>
        <v>1.1545708323170013E-2</v>
      </c>
      <c r="L555" s="50">
        <f t="shared" si="77"/>
        <v>-6.2935931870399713E-3</v>
      </c>
      <c r="P555" s="50">
        <f t="shared" si="72"/>
        <v>-6.2935931870399713E-3</v>
      </c>
      <c r="Q555" s="51">
        <f t="shared" si="78"/>
        <v>84.202737088722145</v>
      </c>
      <c r="R555" s="51">
        <f t="shared" si="79"/>
        <v>67.088281475126422</v>
      </c>
      <c r="Y555">
        <v>550</v>
      </c>
      <c r="Z555">
        <v>4.5415151584291014</v>
      </c>
    </row>
    <row r="556" spans="1:26" x14ac:dyDescent="0.15">
      <c r="A556" s="59">
        <v>41717.75</v>
      </c>
      <c r="B556">
        <v>13.266849000000001</v>
      </c>
      <c r="C556">
        <v>91.286040999999997</v>
      </c>
      <c r="D556">
        <v>44.934589000000003</v>
      </c>
      <c r="E556">
        <v>18.448499999999999</v>
      </c>
      <c r="F556">
        <v>1410.9399410000001</v>
      </c>
      <c r="H556" s="50">
        <f t="shared" si="73"/>
        <v>-9.4612571152617227E-3</v>
      </c>
      <c r="I556" s="50">
        <f t="shared" si="74"/>
        <v>-5.8858163135125322E-3</v>
      </c>
      <c r="J556" s="50">
        <f t="shared" si="75"/>
        <v>4.2050282939897496E-3</v>
      </c>
      <c r="K556" s="50">
        <f t="shared" si="76"/>
        <v>2.3154567134379706E-2</v>
      </c>
      <c r="L556" s="50">
        <f t="shared" si="77"/>
        <v>-1.6794024797241139E-2</v>
      </c>
      <c r="P556" s="50">
        <f t="shared" si="72"/>
        <v>-1.6794024797241139E-2</v>
      </c>
      <c r="Q556" s="51">
        <f t="shared" si="78"/>
        <v>82.788634234058577</v>
      </c>
      <c r="R556" s="51">
        <f t="shared" si="79"/>
        <v>66.453541994669209</v>
      </c>
      <c r="Y556">
        <v>551</v>
      </c>
      <c r="Z556">
        <v>10.223326566618706</v>
      </c>
    </row>
    <row r="557" spans="1:26" x14ac:dyDescent="0.15">
      <c r="A557" s="59">
        <v>41718.75</v>
      </c>
      <c r="B557">
        <v>13.393568999999999</v>
      </c>
      <c r="C557">
        <v>91.826515000000001</v>
      </c>
      <c r="D557">
        <v>44.746428999999999</v>
      </c>
      <c r="E557">
        <v>18.030999999999999</v>
      </c>
      <c r="F557">
        <v>1435.040039</v>
      </c>
      <c r="H557" s="50">
        <f t="shared" si="73"/>
        <v>-8.5981012051539185E-3</v>
      </c>
      <c r="I557" s="50">
        <f t="shared" si="74"/>
        <v>4.0576490266224828E-3</v>
      </c>
      <c r="J557" s="50">
        <f t="shared" si="75"/>
        <v>-1.6800752416305377E-4</v>
      </c>
      <c r="K557" s="50">
        <f t="shared" si="76"/>
        <v>2.4925336084960305E-2</v>
      </c>
      <c r="L557" s="50">
        <f t="shared" si="77"/>
        <v>3.4854377459449915E-4</v>
      </c>
      <c r="P557" s="50">
        <f t="shared" si="72"/>
        <v>3.4854377459449915E-4</v>
      </c>
      <c r="Q557" s="51">
        <f t="shared" si="78"/>
        <v>82.817489697128039</v>
      </c>
      <c r="R557" s="51">
        <f t="shared" si="79"/>
        <v>65.88216771515809</v>
      </c>
      <c r="Y557">
        <v>552</v>
      </c>
      <c r="Z557">
        <v>8.087622745914226</v>
      </c>
    </row>
    <row r="558" spans="1:26" x14ac:dyDescent="0.15">
      <c r="A558" s="59">
        <v>41719.75</v>
      </c>
      <c r="B558">
        <v>13.509727</v>
      </c>
      <c r="C558">
        <v>91.455421000000001</v>
      </c>
      <c r="D558">
        <v>44.753948000000001</v>
      </c>
      <c r="E558">
        <v>17.592500999999999</v>
      </c>
      <c r="F558">
        <v>1434.540039</v>
      </c>
      <c r="H558" s="50">
        <f t="shared" si="73"/>
        <v>-1.4308432536273097E-3</v>
      </c>
      <c r="I558" s="50">
        <f t="shared" si="74"/>
        <v>-4.9155563401150635E-3</v>
      </c>
      <c r="J558" s="50">
        <f t="shared" si="75"/>
        <v>6.7726312926596147E-3</v>
      </c>
      <c r="K558" s="50">
        <f t="shared" si="76"/>
        <v>-8.0628682585774103E-3</v>
      </c>
      <c r="L558" s="50">
        <f t="shared" si="77"/>
        <v>-1.0931934297497923E-3</v>
      </c>
      <c r="P558" s="50">
        <f t="shared" si="72"/>
        <v>-1.0931934297497923E-3</v>
      </c>
      <c r="Q558" s="51">
        <f t="shared" si="78"/>
        <v>82.726954161522769</v>
      </c>
      <c r="R558" s="51">
        <f t="shared" si="79"/>
        <v>65.787900659948519</v>
      </c>
      <c r="Y558">
        <v>553</v>
      </c>
      <c r="Z558">
        <v>8.2085509184806327</v>
      </c>
    </row>
    <row r="559" spans="1:26" x14ac:dyDescent="0.15">
      <c r="A559" s="59">
        <v>41720.75</v>
      </c>
      <c r="B559">
        <v>13.529085</v>
      </c>
      <c r="C559">
        <v>91.907195999999999</v>
      </c>
      <c r="D559">
        <v>44.452885000000002</v>
      </c>
      <c r="E559">
        <v>17.735499999999998</v>
      </c>
      <c r="F559">
        <v>1436.1099850000001</v>
      </c>
      <c r="H559" s="50">
        <f t="shared" si="73"/>
        <v>8.3953660167455767E-3</v>
      </c>
      <c r="I559" s="50">
        <f t="shared" si="74"/>
        <v>1.2801368979842458E-2</v>
      </c>
      <c r="J559" s="50">
        <f t="shared" si="75"/>
        <v>-2.3649261723896944E-3</v>
      </c>
      <c r="K559" s="50">
        <f t="shared" si="76"/>
        <v>3.2905273579685958E-2</v>
      </c>
      <c r="L559" s="50">
        <f t="shared" si="77"/>
        <v>-9.669669565217033E-4</v>
      </c>
      <c r="P559" s="50">
        <f t="shared" si="72"/>
        <v>-9.669669565217033E-4</v>
      </c>
      <c r="Q559" s="51">
        <f t="shared" si="78"/>
        <v>82.646959930434889</v>
      </c>
      <c r="R559" s="51">
        <f t="shared" si="79"/>
        <v>66.340214165462086</v>
      </c>
      <c r="Y559">
        <v>554</v>
      </c>
      <c r="Z559">
        <v>9.0245542575358542</v>
      </c>
    </row>
    <row r="560" spans="1:26" x14ac:dyDescent="0.15">
      <c r="A560" s="59">
        <v>41723.75</v>
      </c>
      <c r="B560">
        <v>13.416449</v>
      </c>
      <c r="C560">
        <v>90.745529000000005</v>
      </c>
      <c r="D560">
        <v>44.558261999999999</v>
      </c>
      <c r="E560">
        <v>17.170500000000001</v>
      </c>
      <c r="F560">
        <v>1437.5</v>
      </c>
      <c r="H560" s="50">
        <f t="shared" si="73"/>
        <v>1.1821105430440165E-3</v>
      </c>
      <c r="I560" s="50">
        <f t="shared" si="74"/>
        <v>4.1058389213608918E-3</v>
      </c>
      <c r="J560" s="50">
        <f t="shared" si="75"/>
        <v>-9.0391123010420179E-3</v>
      </c>
      <c r="K560" s="50">
        <f t="shared" si="76"/>
        <v>1.4595089668212833E-2</v>
      </c>
      <c r="L560" s="50">
        <f t="shared" si="77"/>
        <v>6.2228425485909983E-3</v>
      </c>
      <c r="P560" s="50">
        <f t="shared" si="72"/>
        <v>6.2228425485909983E-3</v>
      </c>
      <c r="Q560" s="51">
        <f t="shared" si="78"/>
        <v>83.161258949201695</v>
      </c>
      <c r="R560" s="51">
        <f t="shared" si="79"/>
        <v>66.418635632054887</v>
      </c>
      <c r="Y560">
        <v>555</v>
      </c>
      <c r="Z560">
        <v>7.4375166643343933</v>
      </c>
    </row>
    <row r="561" spans="1:26" x14ac:dyDescent="0.15">
      <c r="A561" s="59">
        <v>41724.75</v>
      </c>
      <c r="B561">
        <v>13.400608</v>
      </c>
      <c r="C561">
        <v>90.374465999999998</v>
      </c>
      <c r="D561">
        <v>44.964703</v>
      </c>
      <c r="E561">
        <v>16.923500000000001</v>
      </c>
      <c r="F561">
        <v>1428.6099850000001</v>
      </c>
      <c r="H561" s="50">
        <f t="shared" si="73"/>
        <v>1.7101556093597641E-3</v>
      </c>
      <c r="I561" s="50">
        <f t="shared" si="74"/>
        <v>3.3136133537206148E-3</v>
      </c>
      <c r="J561" s="50">
        <f t="shared" si="75"/>
        <v>-4.0013207120539688E-3</v>
      </c>
      <c r="K561" s="50">
        <f t="shared" si="76"/>
        <v>5.321470059504198E-4</v>
      </c>
      <c r="L561" s="50">
        <f t="shared" si="77"/>
        <v>8.0297518120523974E-3</v>
      </c>
      <c r="P561" s="50">
        <f t="shared" si="72"/>
        <v>8.0297518120523974E-3</v>
      </c>
      <c r="Q561" s="51">
        <f t="shared" si="78"/>
        <v>83.829023218941614</v>
      </c>
      <c r="R561" s="51">
        <f t="shared" si="79"/>
        <v>66.532221834347069</v>
      </c>
      <c r="Y561">
        <v>556</v>
      </c>
      <c r="Z561">
        <v>12.384662236676654</v>
      </c>
    </row>
    <row r="562" spans="1:26" x14ac:dyDescent="0.15">
      <c r="A562" s="59">
        <v>41725.75</v>
      </c>
      <c r="B562">
        <v>13.37773</v>
      </c>
      <c r="C562">
        <v>90.075989000000007</v>
      </c>
      <c r="D562">
        <v>45.145344000000001</v>
      </c>
      <c r="E562">
        <v>16.914498999999999</v>
      </c>
      <c r="F562">
        <v>1417.2299800000001</v>
      </c>
      <c r="H562" s="50">
        <f t="shared" si="73"/>
        <v>-5.4951627120214085E-3</v>
      </c>
      <c r="I562" s="50">
        <f t="shared" si="74"/>
        <v>-1.7885030587908864E-4</v>
      </c>
      <c r="J562" s="50">
        <f t="shared" si="75"/>
        <v>-8.7589950401220397E-3</v>
      </c>
      <c r="K562" s="50">
        <f t="shared" si="76"/>
        <v>5.7078808628663177E-3</v>
      </c>
      <c r="L562" s="50">
        <f t="shared" si="77"/>
        <v>-3.7257905927832926E-3</v>
      </c>
      <c r="P562" s="50">
        <f t="shared" si="72"/>
        <v>-3.7257905927832926E-3</v>
      </c>
      <c r="Q562" s="51">
        <f t="shared" si="78"/>
        <v>83.516693832830271</v>
      </c>
      <c r="R562" s="51">
        <f t="shared" si="79"/>
        <v>66.16661644977502</v>
      </c>
      <c r="Y562">
        <v>557</v>
      </c>
      <c r="Z562">
        <v>7.0776664638209876</v>
      </c>
    </row>
    <row r="563" spans="1:26" x14ac:dyDescent="0.15">
      <c r="A563" s="59">
        <v>41726.75</v>
      </c>
      <c r="B563">
        <v>13.451649</v>
      </c>
      <c r="C563">
        <v>90.092101999999997</v>
      </c>
      <c r="D563">
        <v>45.544266</v>
      </c>
      <c r="E563">
        <v>16.818501000000001</v>
      </c>
      <c r="F563">
        <v>1422.530029</v>
      </c>
      <c r="H563" s="50">
        <f t="shared" si="73"/>
        <v>-4.4286761331303465E-3</v>
      </c>
      <c r="I563" s="50">
        <f t="shared" si="74"/>
        <v>-1.6093783273370868E-3</v>
      </c>
      <c r="J563" s="50">
        <f t="shared" si="75"/>
        <v>-9.9053675255911765E-4</v>
      </c>
      <c r="K563" s="50">
        <f t="shared" si="76"/>
        <v>-1.9300795941572552E-2</v>
      </c>
      <c r="L563" s="50">
        <f t="shared" si="77"/>
        <v>1.1753754892322916E-3</v>
      </c>
      <c r="P563" s="50">
        <f t="shared" si="72"/>
        <v>1.1753754892322916E-3</v>
      </c>
      <c r="Q563" s="51">
        <f t="shared" si="78"/>
        <v>83.614857307703105</v>
      </c>
      <c r="R563" s="51">
        <f t="shared" si="79"/>
        <v>65.873585934693907</v>
      </c>
      <c r="Y563">
        <v>558</v>
      </c>
      <c r="Z563">
        <v>5.961095139788358</v>
      </c>
    </row>
    <row r="564" spans="1:26" x14ac:dyDescent="0.15">
      <c r="A564" s="59">
        <v>41727.75</v>
      </c>
      <c r="B564">
        <v>13.511487000000001</v>
      </c>
      <c r="C564">
        <v>90.237328000000005</v>
      </c>
      <c r="D564">
        <v>45.589424000000001</v>
      </c>
      <c r="E564">
        <v>17.1495</v>
      </c>
      <c r="F564">
        <v>1420.8599850000001</v>
      </c>
      <c r="H564" s="50">
        <f t="shared" si="73"/>
        <v>-5.312196740109334E-3</v>
      </c>
      <c r="I564" s="50">
        <f t="shared" si="74"/>
        <v>2.7789378494127766E-3</v>
      </c>
      <c r="J564" s="50">
        <f t="shared" si="75"/>
        <v>-5.2553032846670341E-3</v>
      </c>
      <c r="K564" s="50">
        <f t="shared" si="76"/>
        <v>3.0120481927711296E-3</v>
      </c>
      <c r="L564" s="50">
        <f t="shared" si="77"/>
        <v>-2.5903365084225926E-3</v>
      </c>
      <c r="P564" s="50">
        <f t="shared" si="72"/>
        <v>-2.5903365084225926E-3</v>
      </c>
      <c r="Q564" s="51">
        <f t="shared" si="78"/>
        <v>83.39826669017242</v>
      </c>
      <c r="R564" s="51">
        <f t="shared" si="79"/>
        <v>65.523652486232322</v>
      </c>
      <c r="Y564">
        <v>559</v>
      </c>
      <c r="Z564">
        <v>7.7920125606991455</v>
      </c>
    </row>
    <row r="565" spans="1:26" x14ac:dyDescent="0.15">
      <c r="A565" s="59">
        <v>41730.75</v>
      </c>
      <c r="B565">
        <v>13.583646</v>
      </c>
      <c r="C565">
        <v>89.987258999999995</v>
      </c>
      <c r="D565">
        <v>45.830275999999998</v>
      </c>
      <c r="E565">
        <v>17.097999999999999</v>
      </c>
      <c r="F565">
        <v>1424.5500489999999</v>
      </c>
      <c r="H565" s="50">
        <f t="shared" si="73"/>
        <v>-3.6151433613211539E-3</v>
      </c>
      <c r="I565" s="50">
        <f t="shared" si="74"/>
        <v>-1.3428513507768647E-3</v>
      </c>
      <c r="J565" s="50">
        <f t="shared" si="75"/>
        <v>-1.3447981339017111E-2</v>
      </c>
      <c r="K565" s="50">
        <f t="shared" si="76"/>
        <v>2.4998501288891434E-2</v>
      </c>
      <c r="L565" s="50">
        <f t="shared" si="77"/>
        <v>-9.1947744187905571E-3</v>
      </c>
      <c r="P565" s="50">
        <f t="shared" si="72"/>
        <v>-9.1947744187905571E-3</v>
      </c>
      <c r="Q565" s="51">
        <f t="shared" si="78"/>
        <v>82.631438441038142</v>
      </c>
      <c r="R565" s="51">
        <f t="shared" si="79"/>
        <v>65.286775088937205</v>
      </c>
      <c r="Y565">
        <v>560</v>
      </c>
      <c r="Z565">
        <v>5.5864392990206131</v>
      </c>
    </row>
    <row r="566" spans="1:26" x14ac:dyDescent="0.15">
      <c r="A566" s="59">
        <v>41731.75</v>
      </c>
      <c r="B566">
        <v>13.632930999999999</v>
      </c>
      <c r="C566">
        <v>90.108260999999999</v>
      </c>
      <c r="D566">
        <v>46.455002</v>
      </c>
      <c r="E566">
        <v>16.681000000000001</v>
      </c>
      <c r="F566">
        <v>1437.7700199999999</v>
      </c>
      <c r="H566" s="50">
        <f t="shared" si="73"/>
        <v>1.9406129088349721E-3</v>
      </c>
      <c r="I566" s="50">
        <f t="shared" si="74"/>
        <v>9.4895190481105555E-3</v>
      </c>
      <c r="J566" s="50">
        <f t="shared" si="75"/>
        <v>9.4865875951824444E-3</v>
      </c>
      <c r="K566" s="50">
        <f t="shared" si="76"/>
        <v>3.2879256965944424E-2</v>
      </c>
      <c r="L566" s="50">
        <f t="shared" si="77"/>
        <v>-1.1115800701403989E-3</v>
      </c>
      <c r="P566" s="50">
        <f t="shared" si="72"/>
        <v>-1.1115800701403989E-3</v>
      </c>
      <c r="Q566" s="51">
        <f t="shared" si="78"/>
        <v>82.53958698090004</v>
      </c>
      <c r="R566" s="51">
        <f t="shared" si="79"/>
        <v>65.413471447451002</v>
      </c>
      <c r="Y566">
        <v>561</v>
      </c>
      <c r="Z566">
        <v>8.467892854728305</v>
      </c>
    </row>
    <row r="567" spans="1:26" x14ac:dyDescent="0.15">
      <c r="A567" s="59">
        <v>41732.75</v>
      </c>
      <c r="B567">
        <v>13.606526000000001</v>
      </c>
      <c r="C567">
        <v>89.261215000000007</v>
      </c>
      <c r="D567">
        <v>46.018444000000002</v>
      </c>
      <c r="E567">
        <v>16.149999999999999</v>
      </c>
      <c r="F567">
        <v>1439.369995</v>
      </c>
      <c r="H567" s="50">
        <f t="shared" si="73"/>
        <v>0</v>
      </c>
      <c r="I567" s="50">
        <f t="shared" si="74"/>
        <v>-1.2633186901312614E-3</v>
      </c>
      <c r="J567" s="50">
        <f t="shared" si="75"/>
        <v>1.0578204016198261E-2</v>
      </c>
      <c r="K567" s="50">
        <f t="shared" si="76"/>
        <v>1.6490433031218447E-2</v>
      </c>
      <c r="L567" s="50">
        <f t="shared" si="77"/>
        <v>-3.040681948241487E-3</v>
      </c>
      <c r="P567" s="50">
        <f t="shared" si="72"/>
        <v>-3.040681948241487E-3</v>
      </c>
      <c r="Q567" s="51">
        <f t="shared" si="78"/>
        <v>82.288610348751916</v>
      </c>
      <c r="R567" s="51">
        <f t="shared" si="79"/>
        <v>65.413471447451002</v>
      </c>
      <c r="Y567">
        <v>562</v>
      </c>
      <c r="Z567">
        <v>4.8205803362415365</v>
      </c>
    </row>
    <row r="568" spans="1:26" x14ac:dyDescent="0.15">
      <c r="A568" s="59">
        <v>41733.75</v>
      </c>
      <c r="B568">
        <v>13.606526000000001</v>
      </c>
      <c r="C568">
        <v>89.374122999999997</v>
      </c>
      <c r="D568">
        <v>45.536746999999998</v>
      </c>
      <c r="E568">
        <v>15.888</v>
      </c>
      <c r="F568">
        <v>1443.76001</v>
      </c>
      <c r="H568" s="50">
        <f t="shared" si="73"/>
        <v>-1.1128121401387915E-2</v>
      </c>
      <c r="I568" s="50">
        <f t="shared" si="74"/>
        <v>-1.6598981788422805E-2</v>
      </c>
      <c r="J568" s="50">
        <f t="shared" si="75"/>
        <v>-1.6259769352820853E-2</v>
      </c>
      <c r="K568" s="50">
        <f t="shared" si="76"/>
        <v>-2.8464854618277462E-2</v>
      </c>
      <c r="L568" s="50">
        <f t="shared" si="77"/>
        <v>-5.8837679984614379E-4</v>
      </c>
      <c r="P568" s="50">
        <f t="shared" si="72"/>
        <v>-5.8837679984614379E-4</v>
      </c>
      <c r="Q568" s="51">
        <f t="shared" si="78"/>
        <v>82.240193639531128</v>
      </c>
      <c r="R568" s="51">
        <f t="shared" si="79"/>
        <v>64.685542395897542</v>
      </c>
      <c r="Y568">
        <v>563</v>
      </c>
      <c r="Z568">
        <v>8.0391812644670164</v>
      </c>
    </row>
    <row r="569" spans="1:26" x14ac:dyDescent="0.15">
      <c r="A569" s="59">
        <v>41737.75</v>
      </c>
      <c r="B569">
        <v>13.759645000000001</v>
      </c>
      <c r="C569">
        <v>90.882683</v>
      </c>
      <c r="D569">
        <v>46.289402000000003</v>
      </c>
      <c r="E569">
        <v>16.3535</v>
      </c>
      <c r="F569">
        <v>1444.6099850000001</v>
      </c>
      <c r="H569" s="50">
        <f t="shared" si="73"/>
        <v>2.6932773948191557E-3</v>
      </c>
      <c r="I569" s="50">
        <f t="shared" si="74"/>
        <v>-3.4496423199284164E-3</v>
      </c>
      <c r="J569" s="50">
        <f t="shared" si="75"/>
        <v>4.7374994410818326E-3</v>
      </c>
      <c r="K569" s="50">
        <f t="shared" si="76"/>
        <v>-1.4285283746722423E-2</v>
      </c>
      <c r="L569" s="50">
        <f t="shared" si="77"/>
        <v>-2.6098150089773277E-3</v>
      </c>
      <c r="P569" s="50">
        <f t="shared" si="72"/>
        <v>-2.6098150089773277E-3</v>
      </c>
      <c r="Q569" s="51">
        <f t="shared" si="78"/>
        <v>82.025561947829488</v>
      </c>
      <c r="R569" s="51">
        <f t="shared" si="79"/>
        <v>64.859758505004024</v>
      </c>
      <c r="Y569">
        <v>564</v>
      </c>
      <c r="Z569">
        <v>6.4961818441570944</v>
      </c>
    </row>
    <row r="570" spans="1:26" x14ac:dyDescent="0.15">
      <c r="A570" s="59">
        <v>41738.75</v>
      </c>
      <c r="B570">
        <v>13.722685999999999</v>
      </c>
      <c r="C570">
        <v>91.197281000000004</v>
      </c>
      <c r="D570">
        <v>46.07114</v>
      </c>
      <c r="E570">
        <v>16.590499999999999</v>
      </c>
      <c r="F570">
        <v>1448.3900149999999</v>
      </c>
      <c r="H570" s="50">
        <f t="shared" si="73"/>
        <v>1.4046224954192136E-2</v>
      </c>
      <c r="I570" s="50">
        <f t="shared" si="74"/>
        <v>8.6544021915882889E-3</v>
      </c>
      <c r="J570" s="50">
        <f t="shared" si="75"/>
        <v>2.5808909465419104E-2</v>
      </c>
      <c r="K570" s="50">
        <f t="shared" si="76"/>
        <v>4.6356154015956573E-2</v>
      </c>
      <c r="L570" s="50">
        <f t="shared" si="77"/>
        <v>6.6163169939476921E-3</v>
      </c>
      <c r="P570" s="50">
        <f t="shared" si="72"/>
        <v>6.6163169939476921E-3</v>
      </c>
      <c r="Q570" s="51">
        <f t="shared" si="78"/>
        <v>82.568269067283026</v>
      </c>
      <c r="R570" s="51">
        <f t="shared" si="79"/>
        <v>65.770793263439884</v>
      </c>
      <c r="Y570">
        <v>565</v>
      </c>
      <c r="Z570">
        <v>8.1939470387572371</v>
      </c>
    </row>
    <row r="571" spans="1:26" x14ac:dyDescent="0.15">
      <c r="A571" s="59">
        <v>41739.75</v>
      </c>
      <c r="B571">
        <v>13.532603999999999</v>
      </c>
      <c r="C571">
        <v>90.414794999999998</v>
      </c>
      <c r="D571">
        <v>44.912010000000002</v>
      </c>
      <c r="E571">
        <v>15.855499999999999</v>
      </c>
      <c r="F571">
        <v>1438.869995</v>
      </c>
      <c r="H571" s="50">
        <f t="shared" si="73"/>
        <v>5.0979781958731497E-3</v>
      </c>
      <c r="I571" s="50">
        <f t="shared" si="74"/>
        <v>0</v>
      </c>
      <c r="J571" s="50">
        <f t="shared" si="75"/>
        <v>1.3072859619017732E-2</v>
      </c>
      <c r="K571" s="50">
        <f t="shared" si="76"/>
        <v>1.7258525005613843E-2</v>
      </c>
      <c r="L571" s="50">
        <f t="shared" si="77"/>
        <v>-6.1680160918408198E-3</v>
      </c>
      <c r="P571" s="50">
        <f t="shared" si="72"/>
        <v>-6.1680160918408198E-3</v>
      </c>
      <c r="Q571" s="51">
        <f t="shared" si="78"/>
        <v>82.058986655000581</v>
      </c>
      <c r="R571" s="51">
        <f t="shared" si="79"/>
        <v>66.106091333422185</v>
      </c>
      <c r="Y571">
        <v>566</v>
      </c>
      <c r="Z571">
        <v>6.9785656285321824</v>
      </c>
    </row>
    <row r="572" spans="1:26" x14ac:dyDescent="0.15">
      <c r="A572" s="59">
        <v>41740.75</v>
      </c>
      <c r="B572">
        <v>13.463965</v>
      </c>
      <c r="C572">
        <v>90.414794999999998</v>
      </c>
      <c r="D572">
        <v>44.332458000000003</v>
      </c>
      <c r="E572">
        <v>15.586499999999999</v>
      </c>
      <c r="F572">
        <v>1447.8000489999999</v>
      </c>
      <c r="H572" s="50">
        <f t="shared" si="73"/>
        <v>-1.1372767258084799E-2</v>
      </c>
      <c r="I572" s="50">
        <f t="shared" si="74"/>
        <v>-4.2643879799576867E-3</v>
      </c>
      <c r="J572" s="50">
        <f t="shared" si="75"/>
        <v>-8.7514811445827713E-3</v>
      </c>
      <c r="K572" s="50">
        <f t="shared" si="76"/>
        <v>-1.3231616599664551E-2</v>
      </c>
      <c r="L572" s="50">
        <f t="shared" si="77"/>
        <v>-3.4758764383254017E-3</v>
      </c>
      <c r="P572" s="50">
        <f t="shared" si="72"/>
        <v>-3.4758764383254017E-3</v>
      </c>
      <c r="Q572" s="51">
        <f t="shared" si="78"/>
        <v>81.773759756733611</v>
      </c>
      <c r="R572" s="51">
        <f t="shared" si="79"/>
        <v>65.354282142345482</v>
      </c>
      <c r="Y572">
        <v>567</v>
      </c>
      <c r="Z572">
        <v>6.4181034681700799</v>
      </c>
    </row>
    <row r="573" spans="1:26" x14ac:dyDescent="0.15">
      <c r="A573" s="59">
        <v>41741.75</v>
      </c>
      <c r="B573">
        <v>13.618849000000001</v>
      </c>
      <c r="C573">
        <v>90.802009999999996</v>
      </c>
      <c r="D573">
        <v>44.723858</v>
      </c>
      <c r="E573">
        <v>15.795500000000001</v>
      </c>
      <c r="F573">
        <v>1452.849976</v>
      </c>
      <c r="H573" s="50">
        <f t="shared" si="73"/>
        <v>6.5038800973716273E-3</v>
      </c>
      <c r="I573" s="50">
        <f t="shared" si="74"/>
        <v>4.4619135334739947E-3</v>
      </c>
      <c r="J573" s="50">
        <f t="shared" si="75"/>
        <v>-1.0085324872837157E-3</v>
      </c>
      <c r="K573" s="50">
        <f t="shared" si="76"/>
        <v>-5.3783852189317452E-4</v>
      </c>
      <c r="L573" s="50">
        <f t="shared" si="77"/>
        <v>-1.0542575894978246E-2</v>
      </c>
      <c r="P573" s="50">
        <f t="shared" si="72"/>
        <v>-1.0542575894978246E-2</v>
      </c>
      <c r="Q573" s="51">
        <f t="shared" si="78"/>
        <v>80.911653688280538</v>
      </c>
      <c r="R573" s="51">
        <f t="shared" si="79"/>
        <v>65.779338557249091</v>
      </c>
      <c r="Y573">
        <v>568</v>
      </c>
      <c r="Z573">
        <v>7.0079588132269697</v>
      </c>
    </row>
    <row r="574" spans="1:26" x14ac:dyDescent="0.15">
      <c r="A574" s="59">
        <v>41744.75</v>
      </c>
      <c r="B574">
        <v>13.530846</v>
      </c>
      <c r="C574">
        <v>90.398658999999995</v>
      </c>
      <c r="D574">
        <v>44.769008999999997</v>
      </c>
      <c r="E574">
        <v>15.804</v>
      </c>
      <c r="F574">
        <v>1468.329956</v>
      </c>
      <c r="H574" s="50">
        <f t="shared" si="73"/>
        <v>-4.4033816970748037E-3</v>
      </c>
      <c r="I574" s="50">
        <f t="shared" si="74"/>
        <v>-1.260039976732861E-2</v>
      </c>
      <c r="J574" s="50">
        <f t="shared" si="75"/>
        <v>-7.1773551590609084E-3</v>
      </c>
      <c r="K574" s="50">
        <f t="shared" si="76"/>
        <v>-2.3479980227385119E-2</v>
      </c>
      <c r="L574" s="50">
        <f t="shared" si="77"/>
        <v>-2.1407182175866438E-3</v>
      </c>
      <c r="P574" s="50">
        <f t="shared" si="72"/>
        <v>-2.1407182175866438E-3</v>
      </c>
      <c r="Q574" s="51">
        <f t="shared" si="78"/>
        <v>80.738444637214968</v>
      </c>
      <c r="R574" s="51">
        <f t="shared" si="79"/>
        <v>65.489687021800421</v>
      </c>
      <c r="Y574">
        <v>569</v>
      </c>
      <c r="Z574">
        <v>4.4843799149655084</v>
      </c>
    </row>
    <row r="575" spans="1:26" x14ac:dyDescent="0.15">
      <c r="A575" s="59">
        <v>41745.75</v>
      </c>
      <c r="B575">
        <v>13.590691</v>
      </c>
      <c r="C575">
        <v>91.552254000000005</v>
      </c>
      <c r="D575">
        <v>45.092655000000001</v>
      </c>
      <c r="E575">
        <v>16.184000000000001</v>
      </c>
      <c r="F575">
        <v>1471.4799800000001</v>
      </c>
      <c r="H575" s="50">
        <f t="shared" si="73"/>
        <v>-5.6652979102839798E-3</v>
      </c>
      <c r="I575" s="50">
        <f t="shared" si="74"/>
        <v>-8.7658098031165657E-5</v>
      </c>
      <c r="J575" s="50">
        <f t="shared" si="75"/>
        <v>-1.5001858707906859E-3</v>
      </c>
      <c r="K575" s="50">
        <f t="shared" si="76"/>
        <v>-3.7857250447369891E-3</v>
      </c>
      <c r="L575" s="50">
        <f t="shared" si="77"/>
        <v>-6.9271307300504674E-4</v>
      </c>
      <c r="P575" s="50">
        <f t="shared" si="72"/>
        <v>-6.9271307300504674E-4</v>
      </c>
      <c r="Q575" s="51">
        <f t="shared" si="78"/>
        <v>80.68251606112068</v>
      </c>
      <c r="R575" s="51">
        <f t="shared" si="79"/>
        <v>65.118668434770655</v>
      </c>
      <c r="Y575">
        <v>570</v>
      </c>
      <c r="Z575">
        <v>9.1788567896366171</v>
      </c>
    </row>
    <row r="576" spans="1:26" x14ac:dyDescent="0.15">
      <c r="A576" s="59">
        <v>41746.75</v>
      </c>
      <c r="B576">
        <v>13.668125</v>
      </c>
      <c r="C576">
        <v>91.560280000000006</v>
      </c>
      <c r="D576">
        <v>45.160404</v>
      </c>
      <c r="E576">
        <v>16.245501000000001</v>
      </c>
      <c r="F576">
        <v>1472.5</v>
      </c>
      <c r="H576" s="50">
        <f t="shared" si="73"/>
        <v>7.7319785774403443E-4</v>
      </c>
      <c r="I576" s="50">
        <f t="shared" si="74"/>
        <v>-5.2588466424442403E-3</v>
      </c>
      <c r="J576" s="50">
        <f t="shared" si="75"/>
        <v>4.0160505069802479E-3</v>
      </c>
      <c r="K576" s="50">
        <f t="shared" si="76"/>
        <v>-1.8013115845309787E-2</v>
      </c>
      <c r="L576" s="50">
        <f t="shared" si="77"/>
        <v>1.2034975991989578E-3</v>
      </c>
      <c r="P576" s="50">
        <f t="shared" si="72"/>
        <v>1.2034975991989578E-3</v>
      </c>
      <c r="Q576" s="51">
        <f t="shared" si="78"/>
        <v>80.779617275497571</v>
      </c>
      <c r="R576" s="51">
        <f t="shared" si="79"/>
        <v>65.169018049703567</v>
      </c>
      <c r="Y576">
        <v>571</v>
      </c>
      <c r="Z576">
        <v>8.1892760423652202</v>
      </c>
    </row>
    <row r="577" spans="1:26" x14ac:dyDescent="0.15">
      <c r="A577" s="59">
        <v>41747.75</v>
      </c>
      <c r="B577">
        <v>13.657565</v>
      </c>
      <c r="C577">
        <v>92.044326999999996</v>
      </c>
      <c r="D577">
        <v>44.979762999999998</v>
      </c>
      <c r="E577">
        <v>16.543500999999999</v>
      </c>
      <c r="F577">
        <v>1470.7299800000001</v>
      </c>
      <c r="H577" s="50">
        <f t="shared" si="73"/>
        <v>5.1551119487835224E-4</v>
      </c>
      <c r="I577" s="50">
        <f t="shared" si="74"/>
        <v>4.7551809783678324E-3</v>
      </c>
      <c r="J577" s="50">
        <f t="shared" si="75"/>
        <v>-9.283817233266262E-3</v>
      </c>
      <c r="K577" s="50">
        <f t="shared" si="76"/>
        <v>4.7067290173690053E-3</v>
      </c>
      <c r="L577" s="50">
        <f t="shared" si="77"/>
        <v>-9.1757309396149449E-3</v>
      </c>
      <c r="P577" s="50">
        <f t="shared" ref="P577:P640" si="80">(F577-F578)/F578</f>
        <v>-9.1757309396149449E-3</v>
      </c>
      <c r="Q577" s="51">
        <f t="shared" si="78"/>
        <v>80.038405241972526</v>
      </c>
      <c r="R577" s="51">
        <f t="shared" si="79"/>
        <v>65.202613408067407</v>
      </c>
      <c r="Y577">
        <v>572</v>
      </c>
      <c r="Z577">
        <v>8.6755073492963302</v>
      </c>
    </row>
    <row r="578" spans="1:26" x14ac:dyDescent="0.15">
      <c r="A578" s="59">
        <v>41748.75</v>
      </c>
      <c r="B578">
        <v>13.650528</v>
      </c>
      <c r="C578">
        <v>91.608711</v>
      </c>
      <c r="D578">
        <v>45.401260000000001</v>
      </c>
      <c r="E578">
        <v>16.466000000000001</v>
      </c>
      <c r="F578">
        <v>1484.349976</v>
      </c>
      <c r="H578" s="50">
        <f t="shared" ref="H578:H641" si="81">(B578-B579)/B579</f>
        <v>-6.1503444884577884E-3</v>
      </c>
      <c r="I578" s="50">
        <f t="shared" ref="I578:I641" si="82">(C578-C579)/C579</f>
        <v>-1.071532087788292E-2</v>
      </c>
      <c r="J578" s="50">
        <f t="shared" ref="J578:J641" si="83">(D578-D579)/D579</f>
        <v>-6.9145917973377699E-3</v>
      </c>
      <c r="K578" s="50">
        <f t="shared" ref="K578:K641" si="84">(E578-E579)/E579</f>
        <v>1.4603487583954765E-2</v>
      </c>
      <c r="L578" s="50">
        <f t="shared" ref="L578:L641" si="85">(F578-F579)/F579</f>
        <v>2.3093069053212976E-3</v>
      </c>
      <c r="P578" s="50">
        <f t="shared" si="80"/>
        <v>2.3093069053212976E-3</v>
      </c>
      <c r="Q578" s="51">
        <f t="shared" si="78"/>
        <v>80.223238483888721</v>
      </c>
      <c r="R578" s="51">
        <f t="shared" si="79"/>
        <v>64.801594874060058</v>
      </c>
      <c r="Y578">
        <v>573</v>
      </c>
      <c r="Z578">
        <v>9.560398633277515</v>
      </c>
    </row>
    <row r="579" spans="1:26" x14ac:dyDescent="0.15">
      <c r="A579" s="59">
        <v>41751.75</v>
      </c>
      <c r="B579">
        <v>13.735003000000001</v>
      </c>
      <c r="C579">
        <v>92.600960000000001</v>
      </c>
      <c r="D579">
        <v>45.717376999999999</v>
      </c>
      <c r="E579">
        <v>16.228999999999999</v>
      </c>
      <c r="F579">
        <v>1480.9300539999999</v>
      </c>
      <c r="H579" s="50">
        <f t="shared" si="81"/>
        <v>-3.4482063087409283E-3</v>
      </c>
      <c r="I579" s="50">
        <f t="shared" si="82"/>
        <v>-2.0863614606385504E-3</v>
      </c>
      <c r="J579" s="50">
        <f t="shared" si="83"/>
        <v>-1.1554001068499679E-2</v>
      </c>
      <c r="K579" s="50">
        <f t="shared" si="84"/>
        <v>-3.7283108408720296E-2</v>
      </c>
      <c r="L579" s="50">
        <f t="shared" si="85"/>
        <v>3.5126754619114618E-4</v>
      </c>
      <c r="P579" s="50">
        <f t="shared" si="80"/>
        <v>3.5126754619114618E-4</v>
      </c>
      <c r="Q579" s="51">
        <f t="shared" ref="Q579:Q642" si="86">Q578*(1+P579)</f>
        <v>80.251418304018472</v>
      </c>
      <c r="R579" s="51">
        <f t="shared" ref="R579:R642" si="87">R578*(1+H579)</f>
        <v>64.578145605798852</v>
      </c>
      <c r="Y579">
        <v>574</v>
      </c>
      <c r="Z579">
        <v>6.473854682763756</v>
      </c>
    </row>
    <row r="580" spans="1:26" x14ac:dyDescent="0.15">
      <c r="A580" s="59">
        <v>41752.75</v>
      </c>
      <c r="B580">
        <v>13.782527999999999</v>
      </c>
      <c r="C580">
        <v>92.794562999999997</v>
      </c>
      <c r="D580">
        <v>46.25177</v>
      </c>
      <c r="E580">
        <v>16.857500000000002</v>
      </c>
      <c r="F580">
        <v>1480.410034</v>
      </c>
      <c r="H580" s="50">
        <f t="shared" si="81"/>
        <v>-3.9429541781446581E-3</v>
      </c>
      <c r="I580" s="50">
        <f t="shared" si="82"/>
        <v>1.7391974106225187E-4</v>
      </c>
      <c r="J580" s="50">
        <f t="shared" si="83"/>
        <v>3.1013187685848286E-3</v>
      </c>
      <c r="K580" s="50">
        <f t="shared" si="84"/>
        <v>0.10966658986933497</v>
      </c>
      <c r="L580" s="50">
        <f t="shared" si="85"/>
        <v>-1.0037320323626722E-2</v>
      </c>
      <c r="P580" s="50">
        <f t="shared" si="80"/>
        <v>-1.0037320323626722E-2</v>
      </c>
      <c r="Q580" s="51">
        <f t="shared" si="86"/>
        <v>79.445909112075682</v>
      </c>
      <c r="R580" s="51">
        <f t="shared" si="87"/>
        <v>64.323516936765643</v>
      </c>
      <c r="Y580">
        <v>575</v>
      </c>
      <c r="Z580">
        <v>7.7424826230764134</v>
      </c>
    </row>
    <row r="581" spans="1:26" x14ac:dyDescent="0.15">
      <c r="A581" s="59">
        <v>41753.75</v>
      </c>
      <c r="B581">
        <v>13.837087</v>
      </c>
      <c r="C581">
        <v>92.778426999999994</v>
      </c>
      <c r="D581">
        <v>46.108772000000002</v>
      </c>
      <c r="E581">
        <v>15.1915</v>
      </c>
      <c r="F581">
        <v>1495.420044</v>
      </c>
      <c r="H581" s="50">
        <f t="shared" si="81"/>
        <v>-1.4292982454140669E-2</v>
      </c>
      <c r="I581" s="50">
        <f t="shared" si="82"/>
        <v>-5.0176786089770617E-3</v>
      </c>
      <c r="J581" s="50">
        <f t="shared" si="83"/>
        <v>-1.4795680147538008E-2</v>
      </c>
      <c r="K581" s="50">
        <f t="shared" si="84"/>
        <v>2.4445343583518707E-2</v>
      </c>
      <c r="L581" s="50">
        <f t="shared" si="85"/>
        <v>7.8303095198257436E-4</v>
      </c>
      <c r="P581" s="50">
        <f t="shared" si="80"/>
        <v>7.8303095198257436E-4</v>
      </c>
      <c r="Q581" s="51">
        <f t="shared" si="86"/>
        <v>79.508117717918822</v>
      </c>
      <c r="R581" s="51">
        <f t="shared" si="87"/>
        <v>63.404142037799829</v>
      </c>
      <c r="Y581">
        <v>576</v>
      </c>
      <c r="Z581">
        <v>9.7700565322789927</v>
      </c>
    </row>
    <row r="582" spans="1:26" x14ac:dyDescent="0.15">
      <c r="A582" s="59">
        <v>41754.75</v>
      </c>
      <c r="B582">
        <v>14.037728</v>
      </c>
      <c r="C582">
        <v>93.246307000000002</v>
      </c>
      <c r="D582">
        <v>46.801228000000002</v>
      </c>
      <c r="E582">
        <v>14.829000000000001</v>
      </c>
      <c r="F582">
        <v>1494.25</v>
      </c>
      <c r="H582" s="50">
        <f t="shared" si="81"/>
        <v>1.1298052202106939E-3</v>
      </c>
      <c r="I582" s="50">
        <f t="shared" si="82"/>
        <v>1.6464604821715941E-3</v>
      </c>
      <c r="J582" s="50">
        <f t="shared" si="83"/>
        <v>3.3889214791160186E-3</v>
      </c>
      <c r="K582" s="50">
        <f t="shared" si="84"/>
        <v>-1.2650642519475298E-2</v>
      </c>
      <c r="L582" s="50">
        <f t="shared" si="85"/>
        <v>1.2051243014557454E-4</v>
      </c>
      <c r="P582" s="50">
        <f t="shared" si="80"/>
        <v>1.2051243014557454E-4</v>
      </c>
      <c r="Q582" s="51">
        <f t="shared" si="86"/>
        <v>79.517699434401308</v>
      </c>
      <c r="R582" s="51">
        <f t="shared" si="87"/>
        <v>63.475776368457112</v>
      </c>
      <c r="Y582">
        <v>577</v>
      </c>
      <c r="Z582">
        <v>5.8621026634916555</v>
      </c>
    </row>
    <row r="583" spans="1:26" x14ac:dyDescent="0.15">
      <c r="A583" s="59">
        <v>41755.75</v>
      </c>
      <c r="B583">
        <v>14.021886</v>
      </c>
      <c r="C583">
        <v>93.093033000000005</v>
      </c>
      <c r="D583">
        <v>46.643158</v>
      </c>
      <c r="E583">
        <v>15.019</v>
      </c>
      <c r="F583">
        <v>1494.0699460000001</v>
      </c>
      <c r="H583" s="50">
        <f t="shared" si="81"/>
        <v>-5.018915559257801E-4</v>
      </c>
      <c r="I583" s="50">
        <f t="shared" si="82"/>
        <v>-2.4206344256604384E-3</v>
      </c>
      <c r="J583" s="50">
        <f t="shared" si="83"/>
        <v>3.5625996596165737E-3</v>
      </c>
      <c r="K583" s="50">
        <f t="shared" si="84"/>
        <v>-1.2330253510012166E-2</v>
      </c>
      <c r="L583" s="50">
        <f t="shared" si="85"/>
        <v>7.8927332848504235E-3</v>
      </c>
      <c r="P583" s="50">
        <f t="shared" si="80"/>
        <v>7.8927332848504235E-3</v>
      </c>
      <c r="Q583" s="51">
        <f t="shared" si="86"/>
        <v>80.145311427461934</v>
      </c>
      <c r="R583" s="51">
        <f t="shared" si="87"/>
        <v>63.44391841229195</v>
      </c>
      <c r="Y583">
        <v>578</v>
      </c>
      <c r="Z583">
        <v>7.977033412986275</v>
      </c>
    </row>
    <row r="584" spans="1:26" x14ac:dyDescent="0.15">
      <c r="A584" s="59">
        <v>41758.75</v>
      </c>
      <c r="B584">
        <v>14.028926999999999</v>
      </c>
      <c r="C584">
        <v>93.318923999999996</v>
      </c>
      <c r="D584">
        <v>46.477576999999997</v>
      </c>
      <c r="E584">
        <v>15.2065</v>
      </c>
      <c r="F584">
        <v>1482.369995</v>
      </c>
      <c r="H584" s="50">
        <f t="shared" si="81"/>
        <v>1.2539951043573757E-4</v>
      </c>
      <c r="I584" s="50">
        <f t="shared" si="82"/>
        <v>1.0383156874873862E-3</v>
      </c>
      <c r="J584" s="50">
        <f t="shared" si="83"/>
        <v>1.6186768016509723E-4</v>
      </c>
      <c r="K584" s="50">
        <f t="shared" si="84"/>
        <v>-1.2212153691253409E-2</v>
      </c>
      <c r="L584" s="50">
        <f t="shared" si="85"/>
        <v>-2.6441861471000515E-3</v>
      </c>
      <c r="P584" s="50">
        <f t="shared" si="80"/>
        <v>-2.6441861471000515E-3</v>
      </c>
      <c r="Q584" s="51">
        <f t="shared" si="86"/>
        <v>79.933392305230413</v>
      </c>
      <c r="R584" s="51">
        <f t="shared" si="87"/>
        <v>63.45187424860098</v>
      </c>
      <c r="Y584">
        <v>579</v>
      </c>
      <c r="Z584">
        <v>7.2982417758528513</v>
      </c>
    </row>
    <row r="585" spans="1:26" x14ac:dyDescent="0.15">
      <c r="A585" s="59">
        <v>41759.75</v>
      </c>
      <c r="B585">
        <v>14.027168</v>
      </c>
      <c r="C585">
        <v>93.222130000000007</v>
      </c>
      <c r="D585">
        <v>46.470055000000002</v>
      </c>
      <c r="E585">
        <v>15.394500000000001</v>
      </c>
      <c r="F585">
        <v>1486.3000489999999</v>
      </c>
      <c r="H585" s="50">
        <f t="shared" si="81"/>
        <v>7.3303644959760612E-3</v>
      </c>
      <c r="I585" s="50">
        <f t="shared" si="82"/>
        <v>3.5607723064465008E-3</v>
      </c>
      <c r="J585" s="50">
        <f t="shared" si="83"/>
        <v>-4.3540977143771168E-3</v>
      </c>
      <c r="K585" s="50">
        <f t="shared" si="84"/>
        <v>-3.895977403330055E-4</v>
      </c>
      <c r="L585" s="50">
        <f t="shared" si="85"/>
        <v>-6.4308216462403501E-3</v>
      </c>
      <c r="P585" s="50">
        <f t="shared" si="80"/>
        <v>-6.4308216462403501E-3</v>
      </c>
      <c r="Q585" s="51">
        <f t="shared" si="86"/>
        <v>79.41935491573652</v>
      </c>
      <c r="R585" s="51">
        <f t="shared" si="87"/>
        <v>63.916999614796069</v>
      </c>
      <c r="Y585">
        <v>580</v>
      </c>
      <c r="Z585">
        <v>8.877710540966687</v>
      </c>
    </row>
    <row r="586" spans="1:26" x14ac:dyDescent="0.15">
      <c r="A586" s="59">
        <v>41760.75</v>
      </c>
      <c r="B586">
        <v>13.925091999999999</v>
      </c>
      <c r="C586">
        <v>92.891364999999993</v>
      </c>
      <c r="D586">
        <v>46.673274999999997</v>
      </c>
      <c r="E586">
        <v>15.400499999999999</v>
      </c>
      <c r="F586">
        <v>1495.920044</v>
      </c>
      <c r="H586" s="50">
        <f t="shared" si="81"/>
        <v>6.3600814246523854E-3</v>
      </c>
      <c r="I586" s="50">
        <f t="shared" si="82"/>
        <v>5.7649003601979347E-3</v>
      </c>
      <c r="J586" s="50">
        <f t="shared" si="83"/>
        <v>3.574404355261062E-2</v>
      </c>
      <c r="K586" s="50">
        <f t="shared" si="84"/>
        <v>-6.5795839380745243E-3</v>
      </c>
      <c r="L586" s="50">
        <f t="shared" si="85"/>
        <v>-4.3064523428691633E-3</v>
      </c>
      <c r="P586" s="50">
        <f t="shared" si="80"/>
        <v>-4.3064523428691633E-3</v>
      </c>
      <c r="Q586" s="51">
        <f t="shared" si="86"/>
        <v>79.077339248690492</v>
      </c>
      <c r="R586" s="51">
        <f t="shared" si="87"/>
        <v>64.323516936765643</v>
      </c>
      <c r="Y586">
        <v>581</v>
      </c>
      <c r="Z586">
        <v>6.8610023167151031</v>
      </c>
    </row>
    <row r="587" spans="1:26" x14ac:dyDescent="0.15">
      <c r="A587" s="59">
        <v>41761.75</v>
      </c>
      <c r="B587">
        <v>13.837087</v>
      </c>
      <c r="C587">
        <v>92.358924999999999</v>
      </c>
      <c r="D587">
        <v>45.062556999999998</v>
      </c>
      <c r="E587">
        <v>15.5025</v>
      </c>
      <c r="F587">
        <v>1502.3900149999999</v>
      </c>
      <c r="H587" s="50">
        <f t="shared" si="81"/>
        <v>7.8196025179235861E-3</v>
      </c>
      <c r="I587" s="50">
        <f t="shared" si="82"/>
        <v>1.4712391278882714E-2</v>
      </c>
      <c r="J587" s="50">
        <f t="shared" si="83"/>
        <v>3.8688441897622682E-2</v>
      </c>
      <c r="K587" s="50">
        <f t="shared" si="84"/>
        <v>4.2605420673885244E-2</v>
      </c>
      <c r="L587" s="50">
        <f t="shared" si="85"/>
        <v>-2.1452823492823423E-3</v>
      </c>
      <c r="P587" s="50">
        <f t="shared" si="80"/>
        <v>-2.1452823492823423E-3</v>
      </c>
      <c r="Q587" s="51">
        <f t="shared" si="86"/>
        <v>78.907696028572062</v>
      </c>
      <c r="R587" s="51">
        <f t="shared" si="87"/>
        <v>64.826501271766077</v>
      </c>
      <c r="Y587">
        <v>582</v>
      </c>
      <c r="Z587">
        <v>9.6330038053854601</v>
      </c>
    </row>
    <row r="588" spans="1:26" x14ac:dyDescent="0.15">
      <c r="A588" s="59">
        <v>41762.75</v>
      </c>
      <c r="B588">
        <v>13.729725999999999</v>
      </c>
      <c r="C588">
        <v>91.019806000000003</v>
      </c>
      <c r="D588">
        <v>43.384093999999997</v>
      </c>
      <c r="E588">
        <v>14.869</v>
      </c>
      <c r="F588">
        <v>1505.619995</v>
      </c>
      <c r="H588" s="50">
        <f t="shared" si="81"/>
        <v>-1.7829434128983732E-2</v>
      </c>
      <c r="I588" s="50">
        <f t="shared" si="82"/>
        <v>7.5903642052838156E-3</v>
      </c>
      <c r="J588" s="50">
        <f t="shared" si="83"/>
        <v>-8.4294513276569928E-3</v>
      </c>
      <c r="K588" s="50">
        <f t="shared" si="84"/>
        <v>1.5954357555259428E-2</v>
      </c>
      <c r="L588" s="50">
        <f t="shared" si="85"/>
        <v>-2.5571621029382924E-3</v>
      </c>
      <c r="P588" s="50">
        <f t="shared" si="80"/>
        <v>-2.5571621029382924E-3</v>
      </c>
      <c r="Q588" s="51">
        <f t="shared" si="86"/>
        <v>78.705916258657624</v>
      </c>
      <c r="R588" s="51">
        <f t="shared" si="87"/>
        <v>63.670681437528643</v>
      </c>
      <c r="Y588">
        <v>583</v>
      </c>
      <c r="Z588">
        <v>7.2132846212997332</v>
      </c>
    </row>
    <row r="589" spans="1:26" x14ac:dyDescent="0.15">
      <c r="A589" s="59">
        <v>41765.75</v>
      </c>
      <c r="B589">
        <v>13.978963</v>
      </c>
      <c r="C589">
        <v>90.334136999999998</v>
      </c>
      <c r="D589">
        <v>43.752907</v>
      </c>
      <c r="E589">
        <v>14.6355</v>
      </c>
      <c r="F589">
        <v>1509.4799800000001</v>
      </c>
      <c r="H589" s="50">
        <f t="shared" si="81"/>
        <v>-9.2770580801611133E-3</v>
      </c>
      <c r="I589" s="50">
        <f t="shared" si="82"/>
        <v>-2.3969162857371044E-2</v>
      </c>
      <c r="J589" s="50">
        <f t="shared" si="83"/>
        <v>-3.2577296270986846E-3</v>
      </c>
      <c r="K589" s="50">
        <f t="shared" si="84"/>
        <v>1.5226137624861268E-2</v>
      </c>
      <c r="L589" s="50">
        <f t="shared" si="85"/>
        <v>1.167331489834117E-3</v>
      </c>
      <c r="P589" s="50">
        <f t="shared" si="80"/>
        <v>1.167331489834117E-3</v>
      </c>
      <c r="Q589" s="51">
        <f t="shared" si="86"/>
        <v>78.797792153142609</v>
      </c>
      <c r="R589" s="51">
        <f t="shared" si="87"/>
        <v>63.080004827829256</v>
      </c>
      <c r="Y589">
        <v>584</v>
      </c>
      <c r="Z589">
        <v>9.6528767291331139</v>
      </c>
    </row>
    <row r="590" spans="1:26" x14ac:dyDescent="0.15">
      <c r="A590" s="59">
        <v>41766.75</v>
      </c>
      <c r="B590">
        <v>14.109861</v>
      </c>
      <c r="C590">
        <v>92.552543999999997</v>
      </c>
      <c r="D590">
        <v>43.895907999999999</v>
      </c>
      <c r="E590">
        <v>14.416</v>
      </c>
      <c r="F590">
        <v>1507.719971</v>
      </c>
      <c r="H590" s="50">
        <f t="shared" si="81"/>
        <v>-6.4394063955653487E-3</v>
      </c>
      <c r="I590" s="50">
        <f t="shared" si="82"/>
        <v>-5.7199343773858113E-3</v>
      </c>
      <c r="J590" s="50">
        <f t="shared" si="83"/>
        <v>-1.3698798809075222E-2</v>
      </c>
      <c r="K590" s="50">
        <f t="shared" si="84"/>
        <v>-1.3413632630714463E-2</v>
      </c>
      <c r="L590" s="50">
        <f t="shared" si="85"/>
        <v>-3.2130433705152518E-3</v>
      </c>
      <c r="P590" s="50">
        <f t="shared" si="80"/>
        <v>-3.2130433705152518E-3</v>
      </c>
      <c r="Q590" s="51">
        <f t="shared" si="86"/>
        <v>78.544611429453724</v>
      </c>
      <c r="R590" s="51">
        <f t="shared" si="87"/>
        <v>62.673807041308635</v>
      </c>
      <c r="Y590">
        <v>585</v>
      </c>
      <c r="Z590">
        <v>7.0622732773228378</v>
      </c>
    </row>
    <row r="591" spans="1:26" x14ac:dyDescent="0.15">
      <c r="A591" s="59">
        <v>41767.75</v>
      </c>
      <c r="B591">
        <v>14.201309</v>
      </c>
      <c r="C591">
        <v>93.084984000000006</v>
      </c>
      <c r="D591">
        <v>44.505580999999999</v>
      </c>
      <c r="E591">
        <v>14.612</v>
      </c>
      <c r="F591">
        <v>1512.579956</v>
      </c>
      <c r="H591" s="50">
        <f t="shared" si="81"/>
        <v>6.3146708574701271E-4</v>
      </c>
      <c r="I591" s="50">
        <f t="shared" si="82"/>
        <v>-9.6129114196720766E-3</v>
      </c>
      <c r="J591" s="50">
        <f t="shared" si="83"/>
        <v>-8.5510989389819565E-3</v>
      </c>
      <c r="K591" s="50">
        <f t="shared" si="84"/>
        <v>-3.5065706927293175E-2</v>
      </c>
      <c r="L591" s="50">
        <f t="shared" si="85"/>
        <v>1.4153811615694978E-2</v>
      </c>
      <c r="P591" s="50">
        <f t="shared" si="80"/>
        <v>1.4153811615694978E-2</v>
      </c>
      <c r="Q591" s="51">
        <f t="shared" si="86"/>
        <v>79.656317063054175</v>
      </c>
      <c r="R591" s="51">
        <f t="shared" si="87"/>
        <v>62.713383487593681</v>
      </c>
      <c r="Y591">
        <v>586</v>
      </c>
      <c r="Z591">
        <v>6.9205639881326322</v>
      </c>
    </row>
    <row r="592" spans="1:26" x14ac:dyDescent="0.15">
      <c r="A592" s="59">
        <v>41768.75</v>
      </c>
      <c r="B592">
        <v>14.192347</v>
      </c>
      <c r="C592">
        <v>93.988487000000006</v>
      </c>
      <c r="D592">
        <v>44.889434999999999</v>
      </c>
      <c r="E592">
        <v>15.143000000000001</v>
      </c>
      <c r="F592">
        <v>1491.469971</v>
      </c>
      <c r="H592" s="50">
        <f t="shared" si="81"/>
        <v>1.2642213450034649E-4</v>
      </c>
      <c r="I592" s="50">
        <f t="shared" si="82"/>
        <v>1.8922413064382498E-3</v>
      </c>
      <c r="J592" s="50">
        <f t="shared" si="83"/>
        <v>1.3430523796449986E-3</v>
      </c>
      <c r="K592" s="50">
        <f t="shared" si="84"/>
        <v>-5.8429621848738603E-3</v>
      </c>
      <c r="L592" s="50">
        <f t="shared" si="85"/>
        <v>-9.5494273859854841E-3</v>
      </c>
      <c r="P592" s="50">
        <f t="shared" si="80"/>
        <v>-9.5494273859854841E-3</v>
      </c>
      <c r="Q592" s="51">
        <f t="shared" si="86"/>
        <v>78.895644847425501</v>
      </c>
      <c r="R592" s="51">
        <f t="shared" si="87"/>
        <v>62.721311847395917</v>
      </c>
      <c r="Y592">
        <v>587</v>
      </c>
      <c r="Z592">
        <v>7.7374682597043378</v>
      </c>
    </row>
    <row r="593" spans="1:26" x14ac:dyDescent="0.15">
      <c r="A593" s="59">
        <v>41769.75</v>
      </c>
      <c r="B593">
        <v>14.190553</v>
      </c>
      <c r="C593">
        <v>93.810974000000002</v>
      </c>
      <c r="D593">
        <v>44.829227000000003</v>
      </c>
      <c r="E593">
        <v>15.231999999999999</v>
      </c>
      <c r="F593">
        <v>1505.849976</v>
      </c>
      <c r="H593" s="50">
        <f t="shared" si="81"/>
        <v>5.0800958833126181E-3</v>
      </c>
      <c r="I593" s="50">
        <f t="shared" si="82"/>
        <v>6.9918601531360914E-3</v>
      </c>
      <c r="J593" s="50">
        <f t="shared" si="83"/>
        <v>4.8929018548136832E-3</v>
      </c>
      <c r="K593" s="50">
        <f t="shared" si="84"/>
        <v>2.3587124521201472E-2</v>
      </c>
      <c r="L593" s="50">
        <f t="shared" si="85"/>
        <v>1.7961959597453589E-3</v>
      </c>
      <c r="P593" s="50">
        <f t="shared" si="80"/>
        <v>1.7961959597453589E-3</v>
      </c>
      <c r="Q593" s="51">
        <f t="shared" si="86"/>
        <v>79.037356885941961</v>
      </c>
      <c r="R593" s="51">
        <f t="shared" si="87"/>
        <v>63.039942125507835</v>
      </c>
      <c r="Y593">
        <v>588</v>
      </c>
      <c r="Z593">
        <v>8.7211349226805872</v>
      </c>
    </row>
    <row r="594" spans="1:26" x14ac:dyDescent="0.15">
      <c r="A594" s="59">
        <v>41772.75</v>
      </c>
      <c r="B594">
        <v>14.118828000000001</v>
      </c>
      <c r="C594">
        <v>93.159615000000002</v>
      </c>
      <c r="D594">
        <v>44.610950000000003</v>
      </c>
      <c r="E594">
        <v>14.881</v>
      </c>
      <c r="F594">
        <v>1503.150024</v>
      </c>
      <c r="H594" s="50">
        <f t="shared" si="81"/>
        <v>2.485999918120536E-2</v>
      </c>
      <c r="I594" s="50">
        <f t="shared" si="82"/>
        <v>6.8213073924830222E-3</v>
      </c>
      <c r="J594" s="50">
        <f t="shared" si="83"/>
        <v>1.8734984626244098E-2</v>
      </c>
      <c r="K594" s="50">
        <f t="shared" si="84"/>
        <v>8.231986178393649E-3</v>
      </c>
      <c r="L594" s="50">
        <f t="shared" si="85"/>
        <v>1.3056862069660913E-3</v>
      </c>
      <c r="P594" s="50">
        <f t="shared" si="80"/>
        <v>1.3056862069660913E-3</v>
      </c>
      <c r="Q594" s="51">
        <f t="shared" si="86"/>
        <v>79.140554872662989</v>
      </c>
      <c r="R594" s="51">
        <f t="shared" si="87"/>
        <v>64.607115035131187</v>
      </c>
      <c r="Y594">
        <v>589</v>
      </c>
      <c r="Z594">
        <v>11.046453224500663</v>
      </c>
    </row>
    <row r="595" spans="1:26" x14ac:dyDescent="0.15">
      <c r="A595" s="59">
        <v>41773.75</v>
      </c>
      <c r="B595">
        <v>13.776348</v>
      </c>
      <c r="C595">
        <v>92.528450000000007</v>
      </c>
      <c r="D595">
        <v>43.790534999999998</v>
      </c>
      <c r="E595">
        <v>14.759499999999999</v>
      </c>
      <c r="F595">
        <v>1501.1899410000001</v>
      </c>
      <c r="H595" s="50">
        <f t="shared" si="81"/>
        <v>-2.337524385119838E-3</v>
      </c>
      <c r="I595" s="50">
        <f t="shared" si="82"/>
        <v>-1.0898883919711758E-2</v>
      </c>
      <c r="J595" s="50">
        <f t="shared" si="83"/>
        <v>-7.8445481100928166E-3</v>
      </c>
      <c r="K595" s="50">
        <f t="shared" si="84"/>
        <v>-8.4313066845818352E-3</v>
      </c>
      <c r="L595" s="50">
        <f t="shared" si="85"/>
        <v>-8.5527585769535706E-3</v>
      </c>
      <c r="P595" s="50">
        <f t="shared" si="80"/>
        <v>-8.5527585769535706E-3</v>
      </c>
      <c r="Q595" s="51">
        <f t="shared" si="86"/>
        <v>78.463684813190952</v>
      </c>
      <c r="R595" s="51">
        <f t="shared" si="87"/>
        <v>64.456094328284323</v>
      </c>
      <c r="Y595">
        <v>590</v>
      </c>
      <c r="Z595">
        <v>5.6169899814136039</v>
      </c>
    </row>
    <row r="596" spans="1:26" x14ac:dyDescent="0.15">
      <c r="A596" s="59">
        <v>41774.75</v>
      </c>
      <c r="B596">
        <v>13.808626</v>
      </c>
      <c r="C596">
        <v>93.548018999999996</v>
      </c>
      <c r="D596">
        <v>44.136768000000004</v>
      </c>
      <c r="E596">
        <v>14.885</v>
      </c>
      <c r="F596">
        <v>1514.1400149999999</v>
      </c>
      <c r="H596" s="50">
        <f t="shared" si="81"/>
        <v>5.2211914141055251E-3</v>
      </c>
      <c r="I596" s="50">
        <f t="shared" si="82"/>
        <v>-6.5307200215677392E-3</v>
      </c>
      <c r="J596" s="50">
        <f t="shared" si="83"/>
        <v>-1.3723424864011194E-3</v>
      </c>
      <c r="K596" s="50">
        <f t="shared" si="84"/>
        <v>3.1675427955250436E-3</v>
      </c>
      <c r="L596" s="50">
        <f t="shared" si="85"/>
        <v>9.1886630309036418E-4</v>
      </c>
      <c r="P596" s="50">
        <f t="shared" si="80"/>
        <v>9.1886630309036418E-4</v>
      </c>
      <c r="Q596" s="51">
        <f t="shared" si="86"/>
        <v>78.535782449182094</v>
      </c>
      <c r="R596" s="51">
        <f t="shared" si="87"/>
        <v>64.79263193457794</v>
      </c>
      <c r="Y596">
        <v>591</v>
      </c>
      <c r="Z596">
        <v>8.185368836304372</v>
      </c>
    </row>
    <row r="597" spans="1:26" x14ac:dyDescent="0.15">
      <c r="A597" s="59">
        <v>41775.75</v>
      </c>
      <c r="B597">
        <v>13.736903</v>
      </c>
      <c r="C597">
        <v>94.162970999999999</v>
      </c>
      <c r="D597">
        <v>44.197422000000003</v>
      </c>
      <c r="E597">
        <v>14.837999999999999</v>
      </c>
      <c r="F597">
        <v>1512.75</v>
      </c>
      <c r="H597" s="50">
        <f t="shared" si="81"/>
        <v>1.215500868851717E-2</v>
      </c>
      <c r="I597" s="50">
        <f t="shared" si="82"/>
        <v>1.0770289250336603E-2</v>
      </c>
      <c r="J597" s="50">
        <f t="shared" si="83"/>
        <v>2.9676782844901054E-2</v>
      </c>
      <c r="K597" s="50">
        <f t="shared" si="84"/>
        <v>-1.4708323649523602E-2</v>
      </c>
      <c r="L597" s="50">
        <f t="shared" si="85"/>
        <v>-6.5670661631915938E-3</v>
      </c>
      <c r="P597" s="50">
        <f t="shared" si="80"/>
        <v>-6.5670661631915938E-3</v>
      </c>
      <c r="Q597" s="51">
        <f t="shared" si="86"/>
        <v>78.02003276966029</v>
      </c>
      <c r="R597" s="51">
        <f t="shared" si="87"/>
        <v>65.580186938694624</v>
      </c>
      <c r="Y597">
        <v>592</v>
      </c>
      <c r="Z597">
        <v>8.0273036667407958</v>
      </c>
    </row>
    <row r="598" spans="1:26" x14ac:dyDescent="0.15">
      <c r="A598" s="59">
        <v>41776.75</v>
      </c>
      <c r="B598">
        <v>13.571936000000001</v>
      </c>
      <c r="C598">
        <v>93.159615000000002</v>
      </c>
      <c r="D598">
        <v>42.923588000000002</v>
      </c>
      <c r="E598">
        <v>15.0595</v>
      </c>
      <c r="F598">
        <v>1522.75</v>
      </c>
      <c r="H598" s="50">
        <f t="shared" si="81"/>
        <v>3.9648969152610757E-4</v>
      </c>
      <c r="I598" s="50">
        <f t="shared" si="82"/>
        <v>5.326482581303158E-3</v>
      </c>
      <c r="J598" s="50">
        <f t="shared" si="83"/>
        <v>-1.0314579063433272E-2</v>
      </c>
      <c r="K598" s="50">
        <f t="shared" si="84"/>
        <v>-1.2524179535097256E-2</v>
      </c>
      <c r="L598" s="50">
        <f t="shared" si="85"/>
        <v>-1.5408668526527927E-3</v>
      </c>
      <c r="P598" s="50">
        <f t="shared" si="80"/>
        <v>-1.5408668526527927E-3</v>
      </c>
      <c r="Q598" s="51">
        <f t="shared" si="86"/>
        <v>77.899814287322641</v>
      </c>
      <c r="R598" s="51">
        <f t="shared" si="87"/>
        <v>65.606188806784175</v>
      </c>
      <c r="Y598">
        <v>593</v>
      </c>
      <c r="Z598">
        <v>6.4505164235323331</v>
      </c>
    </row>
    <row r="599" spans="1:26" x14ac:dyDescent="0.15">
      <c r="A599" s="59">
        <v>41779.75</v>
      </c>
      <c r="B599">
        <v>13.566557</v>
      </c>
      <c r="C599">
        <v>92.666031000000004</v>
      </c>
      <c r="D599">
        <v>43.370941000000002</v>
      </c>
      <c r="E599">
        <v>15.250500000000001</v>
      </c>
      <c r="F599">
        <v>1525.099976</v>
      </c>
      <c r="H599" s="50">
        <f t="shared" si="81"/>
        <v>3.5816317925394187E-3</v>
      </c>
      <c r="I599" s="50">
        <f t="shared" si="82"/>
        <v>-1.8303469131188826E-3</v>
      </c>
      <c r="J599" s="50">
        <f t="shared" si="83"/>
        <v>2.1610708056965265E-2</v>
      </c>
      <c r="K599" s="50">
        <f t="shared" si="84"/>
        <v>3.2796562920211087E-4</v>
      </c>
      <c r="L599" s="50">
        <f t="shared" si="85"/>
        <v>6.4298152587385514E-4</v>
      </c>
      <c r="P599" s="50">
        <f t="shared" si="80"/>
        <v>6.4298152587385514E-4</v>
      </c>
      <c r="Q599" s="51">
        <f t="shared" si="86"/>
        <v>77.949902428778401</v>
      </c>
      <c r="R599" s="51">
        <f t="shared" si="87"/>
        <v>65.841166018401893</v>
      </c>
      <c r="Y599">
        <v>594</v>
      </c>
      <c r="Z599">
        <v>9.4882091039223315</v>
      </c>
    </row>
    <row r="600" spans="1:26" x14ac:dyDescent="0.15">
      <c r="A600" s="59">
        <v>41780.75</v>
      </c>
      <c r="B600">
        <v>13.518140000000001</v>
      </c>
      <c r="C600">
        <v>92.835953000000003</v>
      </c>
      <c r="D600">
        <v>42.453491</v>
      </c>
      <c r="E600">
        <v>15.2455</v>
      </c>
      <c r="F600">
        <v>1524.119995</v>
      </c>
      <c r="H600" s="50">
        <f t="shared" si="81"/>
        <v>-2.9098091917515319E-3</v>
      </c>
      <c r="I600" s="50">
        <f t="shared" si="82"/>
        <v>-1.8270028640663795E-3</v>
      </c>
      <c r="J600" s="50">
        <f t="shared" si="83"/>
        <v>5.3870579363429153E-3</v>
      </c>
      <c r="K600" s="50">
        <f t="shared" si="84"/>
        <v>-2.3475531642326432E-2</v>
      </c>
      <c r="L600" s="50">
        <f t="shared" si="85"/>
        <v>1.2086908879759099E-3</v>
      </c>
      <c r="P600" s="50">
        <f t="shared" si="80"/>
        <v>1.2086908879759099E-3</v>
      </c>
      <c r="Q600" s="51">
        <f t="shared" si="86"/>
        <v>78.044119765562669</v>
      </c>
      <c r="R600" s="51">
        <f t="shared" si="87"/>
        <v>65.649580788325906</v>
      </c>
      <c r="Y600">
        <v>595</v>
      </c>
      <c r="Z600">
        <v>6.0779716203518221</v>
      </c>
    </row>
    <row r="601" spans="1:26" x14ac:dyDescent="0.15">
      <c r="A601" s="59">
        <v>41781.75</v>
      </c>
      <c r="B601">
        <v>13.557589999999999</v>
      </c>
      <c r="C601">
        <v>93.005875000000003</v>
      </c>
      <c r="D601">
        <v>42.226016999999999</v>
      </c>
      <c r="E601">
        <v>15.612</v>
      </c>
      <c r="F601">
        <v>1522.280029</v>
      </c>
      <c r="H601" s="50">
        <f t="shared" si="81"/>
        <v>2.6442366928272214E-4</v>
      </c>
      <c r="I601" s="50">
        <f t="shared" si="82"/>
        <v>9.3968037982353723E-3</v>
      </c>
      <c r="J601" s="50">
        <f t="shared" si="83"/>
        <v>-1.4344235254822612E-3</v>
      </c>
      <c r="K601" s="50">
        <f t="shared" si="84"/>
        <v>4.5685605816871326E-3</v>
      </c>
      <c r="L601" s="50">
        <f t="shared" si="85"/>
        <v>9.7976258214033662E-3</v>
      </c>
      <c r="P601" s="50">
        <f t="shared" si="80"/>
        <v>9.7976258214033662E-3</v>
      </c>
      <c r="Q601" s="51">
        <f t="shared" si="86"/>
        <v>78.808766848586444</v>
      </c>
      <c r="R601" s="51">
        <f t="shared" si="87"/>
        <v>65.666940091364836</v>
      </c>
      <c r="Y601">
        <v>596</v>
      </c>
      <c r="Z601">
        <v>7.7815658877869334</v>
      </c>
    </row>
    <row r="602" spans="1:26" x14ac:dyDescent="0.15">
      <c r="A602" s="59">
        <v>41782.75</v>
      </c>
      <c r="B602">
        <v>13.554005999999999</v>
      </c>
      <c r="C602">
        <v>92.140052999999995</v>
      </c>
      <c r="D602">
        <v>42.286673999999998</v>
      </c>
      <c r="E602">
        <v>15.541</v>
      </c>
      <c r="F602">
        <v>1507.51001</v>
      </c>
      <c r="H602" s="50">
        <f t="shared" si="81"/>
        <v>7.9463974805443337E-4</v>
      </c>
      <c r="I602" s="50">
        <f t="shared" si="82"/>
        <v>-3.2389630657842076E-3</v>
      </c>
      <c r="J602" s="50">
        <f t="shared" si="83"/>
        <v>7.7703561374502308E-3</v>
      </c>
      <c r="K602" s="50">
        <f t="shared" si="84"/>
        <v>2.1279339695641766E-3</v>
      </c>
      <c r="L602" s="50">
        <f t="shared" si="85"/>
        <v>-5.4231097282908544E-3</v>
      </c>
      <c r="P602" s="50">
        <f t="shared" si="80"/>
        <v>-5.4231097282908544E-3</v>
      </c>
      <c r="Q602" s="51">
        <f t="shared" si="86"/>
        <v>78.381378258415268</v>
      </c>
      <c r="R602" s="51">
        <f t="shared" si="87"/>
        <v>65.719121652094543</v>
      </c>
      <c r="Y602">
        <v>597</v>
      </c>
      <c r="Z602">
        <v>7.7386662415745642</v>
      </c>
    </row>
    <row r="603" spans="1:26" x14ac:dyDescent="0.15">
      <c r="A603" s="59">
        <v>41783.75</v>
      </c>
      <c r="B603">
        <v>13.543244</v>
      </c>
      <c r="C603">
        <v>92.439460999999994</v>
      </c>
      <c r="D603">
        <v>41.960625</v>
      </c>
      <c r="E603">
        <v>15.507999999999999</v>
      </c>
      <c r="F603">
        <v>1515.7299800000001</v>
      </c>
      <c r="H603" s="50">
        <f t="shared" si="81"/>
        <v>-5.9226652154950685E-3</v>
      </c>
      <c r="I603" s="50">
        <f t="shared" si="82"/>
        <v>8.762915753701432E-4</v>
      </c>
      <c r="J603" s="50">
        <f t="shared" si="83"/>
        <v>-9.6636600242033955E-3</v>
      </c>
      <c r="K603" s="50">
        <f t="shared" si="84"/>
        <v>-1.153674549047109E-2</v>
      </c>
      <c r="L603" s="50">
        <f t="shared" si="85"/>
        <v>-1.5677421422137492E-3</v>
      </c>
      <c r="P603" s="50">
        <f t="shared" si="80"/>
        <v>-1.5677421422137492E-3</v>
      </c>
      <c r="Q603" s="51">
        <f t="shared" si="86"/>
        <v>78.258496468554753</v>
      </c>
      <c r="R603" s="51">
        <f t="shared" si="87"/>
        <v>65.329889296292791</v>
      </c>
      <c r="Y603">
        <v>598</v>
      </c>
      <c r="Z603">
        <v>9.4805517824550165</v>
      </c>
    </row>
    <row r="604" spans="1:26" x14ac:dyDescent="0.15">
      <c r="A604" s="59">
        <v>41787.75</v>
      </c>
      <c r="B604">
        <v>13.623934</v>
      </c>
      <c r="C604">
        <v>92.358528000000007</v>
      </c>
      <c r="D604">
        <v>42.370075</v>
      </c>
      <c r="E604">
        <v>15.689</v>
      </c>
      <c r="F604">
        <v>1518.1099850000001</v>
      </c>
      <c r="H604" s="50">
        <f t="shared" si="81"/>
        <v>-1.0290443096219288E-2</v>
      </c>
      <c r="I604" s="50">
        <f t="shared" si="82"/>
        <v>-1.6204057017145529E-2</v>
      </c>
      <c r="J604" s="50">
        <f t="shared" si="83"/>
        <v>-1.5504029792556535E-2</v>
      </c>
      <c r="K604" s="50">
        <f t="shared" si="84"/>
        <v>3.9353703407455165E-3</v>
      </c>
      <c r="L604" s="50">
        <f t="shared" si="85"/>
        <v>-7.9203748184308986E-3</v>
      </c>
      <c r="P604" s="50">
        <f t="shared" si="80"/>
        <v>-7.9203748184308986E-3</v>
      </c>
      <c r="Q604" s="51">
        <f t="shared" si="86"/>
        <v>77.638659843796944</v>
      </c>
      <c r="R604" s="51">
        <f t="shared" si="87"/>
        <v>64.657615788006979</v>
      </c>
      <c r="Y604">
        <v>599</v>
      </c>
      <c r="Z604">
        <v>7.5913882286848269</v>
      </c>
    </row>
    <row r="605" spans="1:26" x14ac:dyDescent="0.15">
      <c r="A605" s="59">
        <v>41788.75</v>
      </c>
      <c r="B605">
        <v>13.765587999999999</v>
      </c>
      <c r="C605">
        <v>93.879761000000002</v>
      </c>
      <c r="D605">
        <v>43.037326999999998</v>
      </c>
      <c r="E605">
        <v>15.6275</v>
      </c>
      <c r="F605">
        <v>1530.2299800000001</v>
      </c>
      <c r="H605" s="50">
        <f t="shared" si="81"/>
        <v>1.3034196821011117E-4</v>
      </c>
      <c r="I605" s="50">
        <f t="shared" si="82"/>
        <v>2.9388062081301142E-3</v>
      </c>
      <c r="J605" s="50">
        <f t="shared" si="83"/>
        <v>4.7797943416736949E-3</v>
      </c>
      <c r="K605" s="50">
        <f t="shared" si="84"/>
        <v>1.2012692656391617E-2</v>
      </c>
      <c r="L605" s="50">
        <f t="shared" si="85"/>
        <v>-2.5480850980255778E-4</v>
      </c>
      <c r="P605" s="50">
        <f t="shared" si="80"/>
        <v>-2.5480850980255778E-4</v>
      </c>
      <c r="Q605" s="51">
        <f t="shared" si="86"/>
        <v>77.618876852579078</v>
      </c>
      <c r="R605" s="51">
        <f t="shared" si="87"/>
        <v>64.666043388908562</v>
      </c>
      <c r="Y605">
        <v>600</v>
      </c>
      <c r="Z605">
        <v>5.2666224191750919</v>
      </c>
    </row>
    <row r="606" spans="1:26" x14ac:dyDescent="0.15">
      <c r="A606" s="59">
        <v>41789.75</v>
      </c>
      <c r="B606">
        <v>13.763794000000001</v>
      </c>
      <c r="C606">
        <v>93.604675</v>
      </c>
      <c r="D606">
        <v>42.832596000000002</v>
      </c>
      <c r="E606">
        <v>15.442</v>
      </c>
      <c r="F606">
        <v>1530.619995</v>
      </c>
      <c r="H606" s="50">
        <f t="shared" si="81"/>
        <v>6.5191659626109215E-4</v>
      </c>
      <c r="I606" s="50">
        <f t="shared" si="82"/>
        <v>1.4718011501585429E-3</v>
      </c>
      <c r="J606" s="50">
        <f t="shared" si="83"/>
        <v>-5.2829673032894296E-3</v>
      </c>
      <c r="K606" s="50">
        <f t="shared" si="84"/>
        <v>5.3712685959829143E-3</v>
      </c>
      <c r="L606" s="50">
        <f t="shared" si="85"/>
        <v>-3.7231154084290657E-3</v>
      </c>
      <c r="P606" s="50">
        <f t="shared" si="80"/>
        <v>-3.7231154084290657E-3</v>
      </c>
      <c r="Q606" s="51">
        <f t="shared" si="86"/>
        <v>77.329892816184284</v>
      </c>
      <c r="R606" s="51">
        <f t="shared" si="87"/>
        <v>64.708200255808336</v>
      </c>
      <c r="Y606">
        <v>601</v>
      </c>
      <c r="Z606">
        <v>10.223358378011872</v>
      </c>
    </row>
    <row r="607" spans="1:26" x14ac:dyDescent="0.15">
      <c r="A607" s="59">
        <v>41790.75</v>
      </c>
      <c r="B607">
        <v>13.754827000000001</v>
      </c>
      <c r="C607">
        <v>93.467110000000005</v>
      </c>
      <c r="D607">
        <v>43.060080999999997</v>
      </c>
      <c r="E607">
        <v>15.359500000000001</v>
      </c>
      <c r="F607">
        <v>1536.339966</v>
      </c>
      <c r="H607" s="50">
        <f t="shared" si="81"/>
        <v>-5.4454265026132953E-3</v>
      </c>
      <c r="I607" s="50">
        <f t="shared" si="82"/>
        <v>-6.8777990533012033E-3</v>
      </c>
      <c r="J607" s="50">
        <f t="shared" si="83"/>
        <v>-6.8203359819458713E-3</v>
      </c>
      <c r="K607" s="50">
        <f t="shared" si="84"/>
        <v>1.3364626116435351E-3</v>
      </c>
      <c r="L607" s="50">
        <f t="shared" si="85"/>
        <v>-1.8451954289682626E-3</v>
      </c>
      <c r="P607" s="50">
        <f t="shared" si="80"/>
        <v>-1.8451954289682626E-3</v>
      </c>
      <c r="Q607" s="51">
        <f t="shared" si="86"/>
        <v>77.187204051437263</v>
      </c>
      <c r="R607" s="51">
        <f t="shared" si="87"/>
        <v>64.355836507198944</v>
      </c>
      <c r="Y607">
        <v>602</v>
      </c>
      <c r="Z607">
        <v>9.2582253948060558</v>
      </c>
    </row>
    <row r="608" spans="1:26" x14ac:dyDescent="0.15">
      <c r="A608" s="59">
        <v>41793.75</v>
      </c>
      <c r="B608">
        <v>13.830138</v>
      </c>
      <c r="C608">
        <v>94.114410000000007</v>
      </c>
      <c r="D608">
        <v>43.355781999999998</v>
      </c>
      <c r="E608">
        <v>15.339</v>
      </c>
      <c r="F608">
        <v>1539.1800539999999</v>
      </c>
      <c r="H608" s="50">
        <f t="shared" si="81"/>
        <v>-2.4576227237164349E-3</v>
      </c>
      <c r="I608" s="50">
        <f t="shared" si="82"/>
        <v>-1.2229580212519631E-2</v>
      </c>
      <c r="J608" s="50">
        <f t="shared" si="83"/>
        <v>-5.3924398755032504E-3</v>
      </c>
      <c r="K608" s="50">
        <f t="shared" si="84"/>
        <v>-5.1889795215242049E-2</v>
      </c>
      <c r="L608" s="50">
        <f t="shared" si="85"/>
        <v>5.3758145356901169E-3</v>
      </c>
      <c r="P608" s="50">
        <f t="shared" si="80"/>
        <v>5.3758145356901169E-3</v>
      </c>
      <c r="Q608" s="51">
        <f t="shared" si="86"/>
        <v>77.602148144946256</v>
      </c>
      <c r="R608" s="51">
        <f t="shared" si="87"/>
        <v>64.197674140995076</v>
      </c>
      <c r="Y608">
        <v>603</v>
      </c>
      <c r="Z608">
        <v>6.2543009545059185</v>
      </c>
    </row>
    <row r="609" spans="1:26" x14ac:dyDescent="0.15">
      <c r="A609" s="59">
        <v>41794.75</v>
      </c>
      <c r="B609">
        <v>13.864210999999999</v>
      </c>
      <c r="C609">
        <v>95.279640000000001</v>
      </c>
      <c r="D609">
        <v>43.590843</v>
      </c>
      <c r="E609">
        <v>16.178498999999999</v>
      </c>
      <c r="F609">
        <v>1530.9499510000001</v>
      </c>
      <c r="H609" s="50">
        <f t="shared" si="81"/>
        <v>1.4249719545322752E-3</v>
      </c>
      <c r="I609" s="50">
        <f t="shared" si="82"/>
        <v>-4.0598408013744203E-3</v>
      </c>
      <c r="J609" s="50">
        <f t="shared" si="83"/>
        <v>-3.2936403864283295E-3</v>
      </c>
      <c r="K609" s="50">
        <f t="shared" si="84"/>
        <v>-1.8503412503412548E-2</v>
      </c>
      <c r="L609" s="50">
        <f t="shared" si="85"/>
        <v>8.9430109499828766E-3</v>
      </c>
      <c r="P609" s="50">
        <f t="shared" si="80"/>
        <v>8.9430109499828766E-3</v>
      </c>
      <c r="Q609" s="51">
        <f t="shared" si="86"/>
        <v>78.296145005548695</v>
      </c>
      <c r="R609" s="51">
        <f t="shared" si="87"/>
        <v>64.289154026192193</v>
      </c>
      <c r="Y609">
        <v>604</v>
      </c>
      <c r="Z609">
        <v>7.1802468432669748</v>
      </c>
    </row>
    <row r="610" spans="1:26" x14ac:dyDescent="0.15">
      <c r="A610" s="59">
        <v>41795.75</v>
      </c>
      <c r="B610">
        <v>13.844483</v>
      </c>
      <c r="C610">
        <v>95.668036999999998</v>
      </c>
      <c r="D610">
        <v>43.73489</v>
      </c>
      <c r="E610">
        <v>16.483499999999999</v>
      </c>
      <c r="F610">
        <v>1517.380005</v>
      </c>
      <c r="H610" s="50">
        <f t="shared" si="81"/>
        <v>2.5967102012901229E-3</v>
      </c>
      <c r="I610" s="50">
        <f t="shared" si="82"/>
        <v>3.8206194610028439E-3</v>
      </c>
      <c r="J610" s="50">
        <f t="shared" si="83"/>
        <v>1.3886904500227718E-3</v>
      </c>
      <c r="K610" s="50">
        <f t="shared" si="84"/>
        <v>6.6259541984732447E-3</v>
      </c>
      <c r="L610" s="50">
        <f t="shared" si="85"/>
        <v>1.7883998684284075E-2</v>
      </c>
      <c r="P610" s="50">
        <f t="shared" si="80"/>
        <v>1.7883998684284075E-2</v>
      </c>
      <c r="Q610" s="51">
        <f t="shared" si="86"/>
        <v>79.696393159812445</v>
      </c>
      <c r="R610" s="51">
        <f t="shared" si="87"/>
        <v>64.456094328284308</v>
      </c>
      <c r="Y610">
        <v>605</v>
      </c>
      <c r="Z610">
        <v>8.8586611585826862</v>
      </c>
    </row>
    <row r="611" spans="1:26" x14ac:dyDescent="0.15">
      <c r="A611" s="59">
        <v>41796.75</v>
      </c>
      <c r="B611">
        <v>13.808626</v>
      </c>
      <c r="C611">
        <v>95.303916999999998</v>
      </c>
      <c r="D611">
        <v>43.674239999999998</v>
      </c>
      <c r="E611">
        <v>16.375</v>
      </c>
      <c r="F611">
        <v>1490.719971</v>
      </c>
      <c r="H611" s="50">
        <f t="shared" si="81"/>
        <v>5.0901490345443062E-3</v>
      </c>
      <c r="I611" s="50">
        <f t="shared" si="82"/>
        <v>5.8072161897024391E-3</v>
      </c>
      <c r="J611" s="50">
        <f t="shared" si="83"/>
        <v>1.3014405721428531E-2</v>
      </c>
      <c r="K611" s="50">
        <f t="shared" si="84"/>
        <v>-1.4770974713698513E-2</v>
      </c>
      <c r="L611" s="50">
        <f t="shared" si="85"/>
        <v>-1.1242561373063916E-2</v>
      </c>
      <c r="P611" s="50">
        <f t="shared" si="80"/>
        <v>-1.1242561373063916E-2</v>
      </c>
      <c r="Q611" s="51">
        <f t="shared" si="86"/>
        <v>78.800401568501428</v>
      </c>
      <c r="R611" s="51">
        <f t="shared" si="87"/>
        <v>64.784185454599921</v>
      </c>
      <c r="Y611">
        <v>606</v>
      </c>
      <c r="Z611">
        <v>7.6746518556465189</v>
      </c>
    </row>
    <row r="612" spans="1:26" x14ac:dyDescent="0.15">
      <c r="A612" s="59">
        <v>41797.75</v>
      </c>
      <c r="B612">
        <v>13.738694000000001</v>
      </c>
      <c r="C612">
        <v>94.753662000000006</v>
      </c>
      <c r="D612">
        <v>43.113148000000002</v>
      </c>
      <c r="E612">
        <v>16.620501000000001</v>
      </c>
      <c r="F612">
        <v>1507.670044</v>
      </c>
      <c r="H612" s="50">
        <f t="shared" si="81"/>
        <v>6.0403306745666734E-3</v>
      </c>
      <c r="I612" s="50">
        <f t="shared" si="82"/>
        <v>7.3983987609320175E-3</v>
      </c>
      <c r="J612" s="50">
        <f t="shared" si="83"/>
        <v>-3.854093834159121E-3</v>
      </c>
      <c r="K612" s="50">
        <f t="shared" si="84"/>
        <v>-8.3233293556086337E-3</v>
      </c>
      <c r="L612" s="50">
        <f t="shared" si="85"/>
        <v>-9.6079238549884533E-4</v>
      </c>
      <c r="P612" s="50">
        <f t="shared" si="80"/>
        <v>-9.6079238549884533E-4</v>
      </c>
      <c r="Q612" s="51">
        <f t="shared" si="86"/>
        <v>78.724690742700162</v>
      </c>
      <c r="R612" s="51">
        <f t="shared" si="87"/>
        <v>65.175503357228152</v>
      </c>
      <c r="Y612">
        <v>607</v>
      </c>
      <c r="Z612">
        <v>8.5825097359491078</v>
      </c>
    </row>
    <row r="613" spans="1:26" x14ac:dyDescent="0.15">
      <c r="A613" s="59">
        <v>41800.75</v>
      </c>
      <c r="B613">
        <v>13.656205999999999</v>
      </c>
      <c r="C613">
        <v>94.057784999999996</v>
      </c>
      <c r="D613">
        <v>43.279952999999999</v>
      </c>
      <c r="E613">
        <v>16.760000000000002</v>
      </c>
      <c r="F613">
        <v>1509.119995</v>
      </c>
      <c r="H613" s="50">
        <f t="shared" si="81"/>
        <v>5.6775444046037746E-3</v>
      </c>
      <c r="I613" s="50">
        <f t="shared" si="82"/>
        <v>6.9298014123019688E-3</v>
      </c>
      <c r="J613" s="50">
        <f t="shared" si="83"/>
        <v>-2.7952867372182028E-3</v>
      </c>
      <c r="K613" s="50">
        <f t="shared" si="84"/>
        <v>2.8504801939185725E-2</v>
      </c>
      <c r="L613" s="50">
        <f t="shared" si="85"/>
        <v>1.0797049564634975E-2</v>
      </c>
      <c r="P613" s="50">
        <f t="shared" si="80"/>
        <v>1.0797049564634975E-2</v>
      </c>
      <c r="Q613" s="51">
        <f t="shared" si="86"/>
        <v>79.574685130609652</v>
      </c>
      <c r="R613" s="51">
        <f t="shared" si="87"/>
        <v>65.545540171631217</v>
      </c>
      <c r="Y613">
        <v>608</v>
      </c>
      <c r="Z613">
        <v>6.3924818921404603</v>
      </c>
    </row>
    <row r="614" spans="1:26" x14ac:dyDescent="0.15">
      <c r="A614" s="59">
        <v>41801.75</v>
      </c>
      <c r="B614">
        <v>13.57911</v>
      </c>
      <c r="C614">
        <v>93.410469000000006</v>
      </c>
      <c r="D614">
        <v>43.401271999999999</v>
      </c>
      <c r="E614">
        <v>16.295500000000001</v>
      </c>
      <c r="F614">
        <v>1493</v>
      </c>
      <c r="H614" s="50">
        <f t="shared" si="81"/>
        <v>5.9780347560779998E-3</v>
      </c>
      <c r="I614" s="50">
        <f t="shared" si="82"/>
        <v>1.2143561949085574E-3</v>
      </c>
      <c r="J614" s="50">
        <f t="shared" si="83"/>
        <v>1.7477196222642722E-4</v>
      </c>
      <c r="K614" s="50">
        <f t="shared" si="84"/>
        <v>-1.1033194043779115E-3</v>
      </c>
      <c r="L614" s="50">
        <f t="shared" si="85"/>
        <v>-1.4957110282506819E-2</v>
      </c>
      <c r="P614" s="50">
        <f t="shared" si="80"/>
        <v>-1.4957110282506819E-2</v>
      </c>
      <c r="Q614" s="51">
        <f t="shared" si="86"/>
        <v>78.384477789415371</v>
      </c>
      <c r="R614" s="51">
        <f t="shared" si="87"/>
        <v>65.937373688883142</v>
      </c>
      <c r="Y614">
        <v>609</v>
      </c>
      <c r="Z614">
        <v>8.0637915304355925</v>
      </c>
    </row>
    <row r="615" spans="1:26" x14ac:dyDescent="0.15">
      <c r="A615" s="59">
        <v>41802.75</v>
      </c>
      <c r="B615">
        <v>13.498416000000001</v>
      </c>
      <c r="C615">
        <v>93.297173000000001</v>
      </c>
      <c r="D615">
        <v>43.393687999999997</v>
      </c>
      <c r="E615">
        <v>16.313499</v>
      </c>
      <c r="F615">
        <v>1515.670044</v>
      </c>
      <c r="H615" s="50">
        <f t="shared" si="81"/>
        <v>-7.9649565598963526E-4</v>
      </c>
      <c r="I615" s="50">
        <f t="shared" si="82"/>
        <v>-1.1261599934537343E-3</v>
      </c>
      <c r="J615" s="50">
        <f t="shared" si="83"/>
        <v>-8.8329032016979878E-3</v>
      </c>
      <c r="K615" s="50">
        <f t="shared" si="84"/>
        <v>-4.1207493974269984E-3</v>
      </c>
      <c r="L615" s="50">
        <f t="shared" si="85"/>
        <v>-4.7932179484844383E-3</v>
      </c>
      <c r="P615" s="50">
        <f t="shared" si="80"/>
        <v>-4.7932179484844383E-3</v>
      </c>
      <c r="Q615" s="51">
        <f t="shared" si="86"/>
        <v>78.008763903592566</v>
      </c>
      <c r="R615" s="51">
        <f t="shared" si="87"/>
        <v>65.884854857172584</v>
      </c>
      <c r="Y615">
        <v>610</v>
      </c>
      <c r="Z615">
        <v>11.892396741396533</v>
      </c>
    </row>
    <row r="616" spans="1:26" x14ac:dyDescent="0.15">
      <c r="A616" s="59">
        <v>41803.75</v>
      </c>
      <c r="B616">
        <v>13.509176</v>
      </c>
      <c r="C616">
        <v>93.402359000000004</v>
      </c>
      <c r="D616">
        <v>43.780396000000003</v>
      </c>
      <c r="E616">
        <v>16.381001000000001</v>
      </c>
      <c r="F616">
        <v>1522.969971</v>
      </c>
      <c r="H616" s="50">
        <f t="shared" si="81"/>
        <v>4.6671158568600607E-3</v>
      </c>
      <c r="I616" s="50">
        <f t="shared" si="82"/>
        <v>-1.733809715490693E-4</v>
      </c>
      <c r="J616" s="50">
        <f t="shared" si="83"/>
        <v>-7.3919834364286549E-3</v>
      </c>
      <c r="K616" s="50">
        <f t="shared" si="84"/>
        <v>6.1421902831522912E-3</v>
      </c>
      <c r="L616" s="50">
        <f t="shared" si="85"/>
        <v>-6.4844399081022712E-3</v>
      </c>
      <c r="P616" s="50">
        <f t="shared" si="80"/>
        <v>-6.4844399081022712E-3</v>
      </c>
      <c r="Q616" s="51">
        <f t="shared" si="86"/>
        <v>77.502920761754382</v>
      </c>
      <c r="R616" s="51">
        <f t="shared" si="87"/>
        <v>66.192347108003418</v>
      </c>
      <c r="Y616">
        <v>611</v>
      </c>
      <c r="Z616">
        <v>6.3016059645628619</v>
      </c>
    </row>
    <row r="617" spans="1:26" x14ac:dyDescent="0.15">
      <c r="A617" s="59">
        <v>41804.75</v>
      </c>
      <c r="B617">
        <v>13.44642</v>
      </c>
      <c r="C617">
        <v>93.418555999999995</v>
      </c>
      <c r="D617">
        <v>44.106430000000003</v>
      </c>
      <c r="E617">
        <v>16.280999999999999</v>
      </c>
      <c r="F617">
        <v>1532.910034</v>
      </c>
      <c r="H617" s="50">
        <f t="shared" si="81"/>
        <v>-9.3791463363423026E-3</v>
      </c>
      <c r="I617" s="50">
        <f t="shared" si="82"/>
        <v>-7.0528187614859973E-3</v>
      </c>
      <c r="J617" s="50">
        <f t="shared" si="83"/>
        <v>-9.0290356425004482E-3</v>
      </c>
      <c r="K617" s="50">
        <f t="shared" si="84"/>
        <v>-2.6197739099228564E-2</v>
      </c>
      <c r="L617" s="50">
        <f t="shared" si="85"/>
        <v>1.2148427160920666E-3</v>
      </c>
      <c r="P617" s="50">
        <f t="shared" si="80"/>
        <v>1.2148427160920666E-3</v>
      </c>
      <c r="Q617" s="51">
        <f t="shared" si="86"/>
        <v>77.59707462051766</v>
      </c>
      <c r="R617" s="51">
        <f t="shared" si="87"/>
        <v>65.571519398131485</v>
      </c>
      <c r="Y617">
        <v>612</v>
      </c>
      <c r="Z617">
        <v>9.8563652579869903</v>
      </c>
    </row>
    <row r="618" spans="1:26" x14ac:dyDescent="0.15">
      <c r="A618" s="59">
        <v>41807.75</v>
      </c>
      <c r="B618">
        <v>13.573729999999999</v>
      </c>
      <c r="C618">
        <v>94.082099999999997</v>
      </c>
      <c r="D618">
        <v>44.508296999999999</v>
      </c>
      <c r="E618">
        <v>16.719000000000001</v>
      </c>
      <c r="F618">
        <v>1531.0500489999999</v>
      </c>
      <c r="H618" s="50">
        <f t="shared" si="81"/>
        <v>-2.2403362253797096E-3</v>
      </c>
      <c r="I618" s="50">
        <f t="shared" si="82"/>
        <v>8.6453248006441928E-5</v>
      </c>
      <c r="J618" s="50">
        <f t="shared" si="83"/>
        <v>-6.8091461469487185E-4</v>
      </c>
      <c r="K618" s="50">
        <f t="shared" si="84"/>
        <v>2.2568807339449524E-2</v>
      </c>
      <c r="L618" s="50">
        <f t="shared" si="85"/>
        <v>-1.727783846033461E-3</v>
      </c>
      <c r="P618" s="50">
        <f t="shared" si="80"/>
        <v>-1.727783846033461E-3</v>
      </c>
      <c r="Q618" s="51">
        <f t="shared" si="86"/>
        <v>77.463003648488879</v>
      </c>
      <c r="R618" s="51">
        <f t="shared" si="87"/>
        <v>65.424617147870663</v>
      </c>
      <c r="Y618">
        <v>613</v>
      </c>
      <c r="Z618">
        <v>6.4371942160597611</v>
      </c>
    </row>
    <row r="619" spans="1:26" x14ac:dyDescent="0.15">
      <c r="A619" s="59">
        <v>41808.75</v>
      </c>
      <c r="B619">
        <v>13.604208</v>
      </c>
      <c r="C619">
        <v>94.073966999999996</v>
      </c>
      <c r="D619">
        <v>44.538623999999999</v>
      </c>
      <c r="E619">
        <v>16.350000000000001</v>
      </c>
      <c r="F619">
        <v>1533.6999510000001</v>
      </c>
      <c r="H619" s="50">
        <f t="shared" si="81"/>
        <v>2.5105120507230979E-3</v>
      </c>
      <c r="I619" s="50">
        <f t="shared" si="82"/>
        <v>7.801546264689152E-3</v>
      </c>
      <c r="J619" s="50">
        <f t="shared" si="83"/>
        <v>7.7199525347880138E-3</v>
      </c>
      <c r="K619" s="50">
        <f t="shared" si="84"/>
        <v>8.6367062700004847E-3</v>
      </c>
      <c r="L619" s="50">
        <f t="shared" si="85"/>
        <v>1.3788626337757692E-2</v>
      </c>
      <c r="P619" s="50">
        <f t="shared" si="80"/>
        <v>1.3788626337757692E-2</v>
      </c>
      <c r="Q619" s="51">
        <f t="shared" si="86"/>
        <v>78.531112060798264</v>
      </c>
      <c r="R619" s="51">
        <f t="shared" si="87"/>
        <v>65.588866437634337</v>
      </c>
      <c r="Y619">
        <v>614</v>
      </c>
      <c r="Z619">
        <v>8.6533306813815791</v>
      </c>
    </row>
    <row r="620" spans="1:26" x14ac:dyDescent="0.15">
      <c r="A620" s="59">
        <v>41809.75</v>
      </c>
      <c r="B620">
        <v>13.57014</v>
      </c>
      <c r="C620">
        <v>93.345725999999999</v>
      </c>
      <c r="D620">
        <v>44.197422000000003</v>
      </c>
      <c r="E620">
        <v>16.209999</v>
      </c>
      <c r="F620">
        <v>1512.839966</v>
      </c>
      <c r="H620" s="50">
        <f t="shared" si="81"/>
        <v>-1.4513758195078387E-3</v>
      </c>
      <c r="I620" s="50">
        <f t="shared" si="82"/>
        <v>1.2149632190302589E-3</v>
      </c>
      <c r="J620" s="50">
        <f t="shared" si="83"/>
        <v>-2.2252127111280322E-3</v>
      </c>
      <c r="K620" s="50">
        <f t="shared" si="84"/>
        <v>-9.2898789878986983E-3</v>
      </c>
      <c r="L620" s="50">
        <f t="shared" si="85"/>
        <v>-6.1424496037975626E-3</v>
      </c>
      <c r="P620" s="50">
        <f t="shared" si="80"/>
        <v>-6.1424496037975626E-3</v>
      </c>
      <c r="Q620" s="51">
        <f t="shared" si="86"/>
        <v>78.048738662634634</v>
      </c>
      <c r="R620" s="51">
        <f t="shared" si="87"/>
        <v>65.49367234285782</v>
      </c>
      <c r="Y620">
        <v>615</v>
      </c>
      <c r="Z620">
        <v>4.8741342278554658</v>
      </c>
    </row>
    <row r="621" spans="1:26" x14ac:dyDescent="0.15">
      <c r="A621" s="59">
        <v>41810.75</v>
      </c>
      <c r="B621">
        <v>13.589864</v>
      </c>
      <c r="C621">
        <v>93.232451999999995</v>
      </c>
      <c r="D621">
        <v>44.295990000000003</v>
      </c>
      <c r="E621">
        <v>16.361999999999998</v>
      </c>
      <c r="F621">
        <v>1522.1899410000001</v>
      </c>
      <c r="H621" s="50">
        <f t="shared" si="81"/>
        <v>-2.3697442656791085E-3</v>
      </c>
      <c r="I621" s="50">
        <f t="shared" si="82"/>
        <v>-9.3711260581669856E-3</v>
      </c>
      <c r="J621" s="50">
        <f t="shared" si="83"/>
        <v>-4.7700544462529219E-3</v>
      </c>
      <c r="K621" s="50">
        <f t="shared" si="84"/>
        <v>9.501480750246788E-3</v>
      </c>
      <c r="L621" s="50">
        <f t="shared" si="85"/>
        <v>1.3064291096000829E-2</v>
      </c>
      <c r="P621" s="50">
        <f t="shared" si="80"/>
        <v>1.3064291096000829E-2</v>
      </c>
      <c r="Q621" s="51">
        <f t="shared" si="86"/>
        <v>79.068390104198983</v>
      </c>
      <c r="R621" s="51">
        <f t="shared" si="87"/>
        <v>65.338469088385068</v>
      </c>
      <c r="Y621">
        <v>616</v>
      </c>
      <c r="Z621">
        <v>5.6192765236770645</v>
      </c>
    </row>
    <row r="622" spans="1:26" x14ac:dyDescent="0.15">
      <c r="A622" s="59">
        <v>41811.75</v>
      </c>
      <c r="B622">
        <v>13.622145</v>
      </c>
      <c r="C622">
        <v>94.114410000000007</v>
      </c>
      <c r="D622">
        <v>44.508296999999999</v>
      </c>
      <c r="E622">
        <v>16.207999999999998</v>
      </c>
      <c r="F622">
        <v>1502.5600589999999</v>
      </c>
      <c r="H622" s="50">
        <f t="shared" si="81"/>
        <v>4.6283803242728114E-3</v>
      </c>
      <c r="I622" s="50">
        <f t="shared" si="82"/>
        <v>3.4342345674692222E-4</v>
      </c>
      <c r="J622" s="50">
        <f t="shared" si="83"/>
        <v>1.1023117765689195E-2</v>
      </c>
      <c r="K622" s="50">
        <f t="shared" si="84"/>
        <v>-1.001710236989992E-2</v>
      </c>
      <c r="L622" s="50">
        <f t="shared" si="85"/>
        <v>3.218228151870256E-3</v>
      </c>
      <c r="P622" s="50">
        <f t="shared" si="80"/>
        <v>3.218228151870256E-3</v>
      </c>
      <c r="Q622" s="51">
        <f t="shared" si="86"/>
        <v>79.32285022315537</v>
      </c>
      <c r="R622" s="51">
        <f t="shared" si="87"/>
        <v>65.640880373131864</v>
      </c>
      <c r="Y622">
        <v>617</v>
      </c>
      <c r="Z622">
        <v>8.1363178255775743</v>
      </c>
    </row>
    <row r="623" spans="1:26" x14ac:dyDescent="0.15">
      <c r="A623" s="59">
        <v>41814.75</v>
      </c>
      <c r="B623">
        <v>13.559386999999999</v>
      </c>
      <c r="C623">
        <v>94.082099999999997</v>
      </c>
      <c r="D623">
        <v>44.023026000000002</v>
      </c>
      <c r="E623">
        <v>16.372</v>
      </c>
      <c r="F623">
        <v>1497.73999</v>
      </c>
      <c r="H623" s="50">
        <f t="shared" si="81"/>
        <v>9.4781327919823289E-3</v>
      </c>
      <c r="I623" s="50">
        <f t="shared" si="82"/>
        <v>5.4484836549818704E-3</v>
      </c>
      <c r="J623" s="50">
        <f t="shared" si="83"/>
        <v>3.2830077077240847E-3</v>
      </c>
      <c r="K623" s="50">
        <f t="shared" si="84"/>
        <v>5.3732076514476082E-3</v>
      </c>
      <c r="L623" s="50">
        <f t="shared" si="85"/>
        <v>3.248715545866978E-3</v>
      </c>
      <c r="P623" s="50">
        <f t="shared" si="80"/>
        <v>3.248715545866978E-3</v>
      </c>
      <c r="Q623" s="51">
        <f t="shared" si="86"/>
        <v>79.580547599817805</v>
      </c>
      <c r="R623" s="51">
        <f t="shared" si="87"/>
        <v>66.263033353891032</v>
      </c>
      <c r="Y623">
        <v>618</v>
      </c>
      <c r="Z623">
        <v>7.6690497047115977</v>
      </c>
    </row>
    <row r="624" spans="1:26" x14ac:dyDescent="0.15">
      <c r="A624" s="59">
        <v>41815.75</v>
      </c>
      <c r="B624">
        <v>13.432076</v>
      </c>
      <c r="C624">
        <v>93.572272999999996</v>
      </c>
      <c r="D624">
        <v>43.878971</v>
      </c>
      <c r="E624">
        <v>16.284500000000001</v>
      </c>
      <c r="F624">
        <v>1492.8900149999999</v>
      </c>
      <c r="H624" s="50">
        <f t="shared" si="81"/>
        <v>-5.7072318844613263E-3</v>
      </c>
      <c r="I624" s="50">
        <f t="shared" si="82"/>
        <v>1.2985746956798196E-3</v>
      </c>
      <c r="J624" s="50">
        <f t="shared" si="83"/>
        <v>-4.3011432470292967E-3</v>
      </c>
      <c r="K624" s="50">
        <f t="shared" si="84"/>
        <v>3.4507194133777575E-3</v>
      </c>
      <c r="L624" s="50">
        <f t="shared" si="85"/>
        <v>-8.9288947406179729E-3</v>
      </c>
      <c r="P624" s="50">
        <f t="shared" si="80"/>
        <v>-8.9288947406179729E-3</v>
      </c>
      <c r="Q624" s="51">
        <f t="shared" si="86"/>
        <v>78.869981266898293</v>
      </c>
      <c r="R624" s="51">
        <f t="shared" si="87"/>
        <v>65.884854857172584</v>
      </c>
      <c r="Y624">
        <v>619</v>
      </c>
      <c r="Z624">
        <v>8.0901609390680012</v>
      </c>
    </row>
    <row r="625" spans="1:26" x14ac:dyDescent="0.15">
      <c r="A625" s="59">
        <v>41816.75</v>
      </c>
      <c r="B625">
        <v>13.509176</v>
      </c>
      <c r="C625">
        <v>93.450919999999996</v>
      </c>
      <c r="D625">
        <v>44.068516000000002</v>
      </c>
      <c r="E625">
        <v>16.2285</v>
      </c>
      <c r="F625">
        <v>1506.339966</v>
      </c>
      <c r="H625" s="50">
        <f t="shared" si="81"/>
        <v>3.5964523561625031E-3</v>
      </c>
      <c r="I625" s="50">
        <f t="shared" si="82"/>
        <v>2.8655272301924147E-3</v>
      </c>
      <c r="J625" s="50">
        <f t="shared" si="83"/>
        <v>2.9332061770567246E-3</v>
      </c>
      <c r="K625" s="50">
        <f t="shared" si="84"/>
        <v>-6.4659153888788708E-4</v>
      </c>
      <c r="L625" s="50">
        <f t="shared" si="85"/>
        <v>4.1841059454874842E-4</v>
      </c>
      <c r="P625" s="50">
        <f t="shared" si="80"/>
        <v>4.1841059454874842E-4</v>
      </c>
      <c r="Q625" s="51">
        <f t="shared" si="86"/>
        <v>78.902981302652236</v>
      </c>
      <c r="R625" s="51">
        <f t="shared" si="87"/>
        <v>66.121806598659077</v>
      </c>
      <c r="Y625">
        <v>620</v>
      </c>
      <c r="Z625">
        <v>10.492893196907335</v>
      </c>
    </row>
    <row r="626" spans="1:26" x14ac:dyDescent="0.15">
      <c r="A626" s="59">
        <v>41817.75</v>
      </c>
      <c r="B626">
        <v>13.460765</v>
      </c>
      <c r="C626">
        <v>93.183898999999997</v>
      </c>
      <c r="D626">
        <v>43.939632000000003</v>
      </c>
      <c r="E626">
        <v>16.239000000000001</v>
      </c>
      <c r="F626">
        <v>1505.709961</v>
      </c>
      <c r="H626" s="50">
        <f t="shared" si="81"/>
        <v>-2.7892902396844431E-3</v>
      </c>
      <c r="I626" s="50">
        <f t="shared" si="82"/>
        <v>-2.4255311254245972E-3</v>
      </c>
      <c r="J626" s="50">
        <f t="shared" si="83"/>
        <v>-7.1953184235294615E-3</v>
      </c>
      <c r="K626" s="50">
        <f t="shared" si="84"/>
        <v>-2.2894733469402438E-2</v>
      </c>
      <c r="L626" s="50">
        <f t="shared" si="85"/>
        <v>1.569817432850414E-3</v>
      </c>
      <c r="P626" s="50">
        <f t="shared" si="80"/>
        <v>1.569817432850414E-3</v>
      </c>
      <c r="Q626" s="51">
        <f t="shared" si="86"/>
        <v>79.026844578205015</v>
      </c>
      <c r="R626" s="51">
        <f t="shared" si="87"/>
        <v>65.937373688883142</v>
      </c>
      <c r="Y626">
        <v>621</v>
      </c>
      <c r="Z626">
        <v>8.4439558684082581</v>
      </c>
    </row>
    <row r="627" spans="1:26" x14ac:dyDescent="0.15">
      <c r="A627" s="59">
        <v>41818.75</v>
      </c>
      <c r="B627">
        <v>13.498416000000001</v>
      </c>
      <c r="C627">
        <v>93.410469000000006</v>
      </c>
      <c r="D627">
        <v>44.258082999999999</v>
      </c>
      <c r="E627">
        <v>16.619499000000001</v>
      </c>
      <c r="F627">
        <v>1503.349976</v>
      </c>
      <c r="H627" s="50">
        <f t="shared" si="81"/>
        <v>-4.4965897057144665E-3</v>
      </c>
      <c r="I627" s="50">
        <f t="shared" si="82"/>
        <v>-2.6781496581277631E-3</v>
      </c>
      <c r="J627" s="50">
        <f t="shared" si="83"/>
        <v>-6.8059851036436541E-3</v>
      </c>
      <c r="K627" s="50">
        <f t="shared" si="84"/>
        <v>-1.3820639927893746E-3</v>
      </c>
      <c r="L627" s="50">
        <f t="shared" si="85"/>
        <v>-1.0582966920831986E-2</v>
      </c>
      <c r="P627" s="50">
        <f t="shared" si="80"/>
        <v>-1.0582966920831986E-2</v>
      </c>
      <c r="Q627" s="51">
        <f t="shared" si="86"/>
        <v>78.190506096176151</v>
      </c>
      <c r="R627" s="51">
        <f t="shared" si="87"/>
        <v>65.640880373131864</v>
      </c>
      <c r="Y627">
        <v>622</v>
      </c>
      <c r="Z627">
        <v>8.6369525609748834</v>
      </c>
    </row>
    <row r="628" spans="1:26" x14ac:dyDescent="0.15">
      <c r="A628" s="59">
        <v>41821.75</v>
      </c>
      <c r="B628">
        <v>13.559386999999999</v>
      </c>
      <c r="C628">
        <v>93.661308000000005</v>
      </c>
      <c r="D628">
        <v>44.561366999999997</v>
      </c>
      <c r="E628">
        <v>16.642499999999998</v>
      </c>
      <c r="F628">
        <v>1519.4300539999999</v>
      </c>
      <c r="H628" s="50">
        <f t="shared" si="81"/>
        <v>-1.7160070221704977E-3</v>
      </c>
      <c r="I628" s="50">
        <f t="shared" si="82"/>
        <v>-5.1570510692085557E-3</v>
      </c>
      <c r="J628" s="50">
        <f t="shared" si="83"/>
        <v>-1.2434959501213535E-2</v>
      </c>
      <c r="K628" s="50">
        <f t="shared" si="84"/>
        <v>-1.3748555512756102E-2</v>
      </c>
      <c r="L628" s="50">
        <f t="shared" si="85"/>
        <v>-3.5674785508518644E-3</v>
      </c>
      <c r="P628" s="50">
        <f t="shared" si="80"/>
        <v>-3.5674785508518644E-3</v>
      </c>
      <c r="Q628" s="51">
        <f t="shared" si="86"/>
        <v>77.911563142797789</v>
      </c>
      <c r="R628" s="51">
        <f t="shared" si="87"/>
        <v>65.528240161470123</v>
      </c>
      <c r="Y628">
        <v>623</v>
      </c>
      <c r="Z628">
        <v>6.0761069453695882</v>
      </c>
    </row>
    <row r="629" spans="1:26" x14ac:dyDescent="0.15">
      <c r="A629" s="59">
        <v>41822.75</v>
      </c>
      <c r="B629">
        <v>13.582694999999999</v>
      </c>
      <c r="C629">
        <v>94.146827999999999</v>
      </c>
      <c r="D629">
        <v>45.122463000000003</v>
      </c>
      <c r="E629">
        <v>16.874500000000001</v>
      </c>
      <c r="F629">
        <v>1524.869995</v>
      </c>
      <c r="H629" s="50">
        <f t="shared" si="81"/>
        <v>-4.2067947421994744E-3</v>
      </c>
      <c r="I629" s="50">
        <f t="shared" si="82"/>
        <v>2.5825912863366686E-4</v>
      </c>
      <c r="J629" s="50">
        <f t="shared" si="83"/>
        <v>-8.0015084940840194E-3</v>
      </c>
      <c r="K629" s="50">
        <f t="shared" si="84"/>
        <v>1.1812321990706205E-2</v>
      </c>
      <c r="L629" s="50">
        <f t="shared" si="85"/>
        <v>-3.4746885515980113E-4</v>
      </c>
      <c r="P629" s="50">
        <f t="shared" si="80"/>
        <v>-3.4746885515980113E-4</v>
      </c>
      <c r="Q629" s="51">
        <f t="shared" si="86"/>
        <v>77.884491301148856</v>
      </c>
      <c r="R629" s="51">
        <f t="shared" si="87"/>
        <v>65.252576305293275</v>
      </c>
      <c r="Y629">
        <v>624</v>
      </c>
      <c r="Z629">
        <v>6.0654365834099453</v>
      </c>
    </row>
    <row r="630" spans="1:26" x14ac:dyDescent="0.15">
      <c r="A630" s="59">
        <v>41824.75</v>
      </c>
      <c r="B630">
        <v>13.640076000000001</v>
      </c>
      <c r="C630">
        <v>94.122519999999994</v>
      </c>
      <c r="D630">
        <v>45.486423000000002</v>
      </c>
      <c r="E630">
        <v>16.677499999999998</v>
      </c>
      <c r="F630">
        <v>1525.400024</v>
      </c>
      <c r="H630" s="50">
        <f t="shared" si="81"/>
        <v>-7.5665354173446425E-3</v>
      </c>
      <c r="I630" s="50">
        <f t="shared" si="82"/>
        <v>-9.7056245709992404E-3</v>
      </c>
      <c r="J630" s="50">
        <f t="shared" si="83"/>
        <v>3.1773603990653369E-3</v>
      </c>
      <c r="K630" s="50">
        <f t="shared" si="84"/>
        <v>3.0079367530341763E-2</v>
      </c>
      <c r="L630" s="50">
        <f t="shared" si="85"/>
        <v>-3.2931164856472204E-3</v>
      </c>
      <c r="P630" s="50">
        <f t="shared" si="80"/>
        <v>-3.2931164856472204E-3</v>
      </c>
      <c r="Q630" s="51">
        <f t="shared" si="86"/>
        <v>77.628008598868789</v>
      </c>
      <c r="R630" s="51">
        <f t="shared" si="87"/>
        <v>64.758840375606283</v>
      </c>
      <c r="Y630">
        <v>625</v>
      </c>
      <c r="Z630">
        <v>7.7262634107771788</v>
      </c>
    </row>
    <row r="631" spans="1:26" x14ac:dyDescent="0.15">
      <c r="A631" s="59">
        <v>41825.75</v>
      </c>
      <c r="B631">
        <v>13.744071</v>
      </c>
      <c r="C631">
        <v>95.044990999999996</v>
      </c>
      <c r="D631">
        <v>45.342354</v>
      </c>
      <c r="E631">
        <v>16.1905</v>
      </c>
      <c r="F631">
        <v>1530.4399410000001</v>
      </c>
      <c r="H631" s="50">
        <f t="shared" si="81"/>
        <v>-7.2528529956662436E-3</v>
      </c>
      <c r="I631" s="50">
        <f t="shared" si="82"/>
        <v>-6.911663517210862E-3</v>
      </c>
      <c r="J631" s="50">
        <f t="shared" si="83"/>
        <v>-4.1632337265681421E-3</v>
      </c>
      <c r="K631" s="50">
        <f t="shared" si="84"/>
        <v>-1.8668423270695976E-2</v>
      </c>
      <c r="L631" s="50">
        <f t="shared" si="85"/>
        <v>-9.2047852080253572E-4</v>
      </c>
      <c r="P631" s="50">
        <f t="shared" si="80"/>
        <v>-9.2047852080253572E-4</v>
      </c>
      <c r="Q631" s="51">
        <f t="shared" si="86"/>
        <v>77.556553684340855</v>
      </c>
      <c r="R631" s="51">
        <f t="shared" si="87"/>
        <v>64.289154026192193</v>
      </c>
      <c r="Y631">
        <v>626</v>
      </c>
      <c r="Z631">
        <v>8.4277311379518558</v>
      </c>
    </row>
    <row r="632" spans="1:26" x14ac:dyDescent="0.15">
      <c r="A632" s="59">
        <v>41828.75</v>
      </c>
      <c r="B632">
        <v>13.844483</v>
      </c>
      <c r="C632">
        <v>95.706481999999994</v>
      </c>
      <c r="D632">
        <v>45.531914</v>
      </c>
      <c r="E632">
        <v>16.498501000000001</v>
      </c>
      <c r="F632">
        <v>1531.849976</v>
      </c>
      <c r="H632" s="50">
        <f t="shared" si="81"/>
        <v>1.946069767722921E-3</v>
      </c>
      <c r="I632" s="50">
        <f t="shared" si="82"/>
        <v>-1.3546223568889335E-3</v>
      </c>
      <c r="J632" s="50">
        <f t="shared" si="83"/>
        <v>2.0026887665761553E-3</v>
      </c>
      <c r="K632" s="50">
        <f t="shared" si="84"/>
        <v>6.251585752622601E-3</v>
      </c>
      <c r="L632" s="50">
        <f t="shared" si="85"/>
        <v>1.438957239950985E-2</v>
      </c>
      <c r="P632" s="50">
        <f t="shared" si="80"/>
        <v>1.438957239950985E-2</v>
      </c>
      <c r="Q632" s="51">
        <f t="shared" si="86"/>
        <v>78.672559328638144</v>
      </c>
      <c r="R632" s="51">
        <f t="shared" si="87"/>
        <v>64.414265205235054</v>
      </c>
      <c r="Y632">
        <v>627</v>
      </c>
      <c r="Z632">
        <v>9.7139944453724851</v>
      </c>
    </row>
    <row r="633" spans="1:26" x14ac:dyDescent="0.15">
      <c r="A633" s="59">
        <v>41829.75</v>
      </c>
      <c r="B633">
        <v>13.817593</v>
      </c>
      <c r="C633">
        <v>95.836303999999998</v>
      </c>
      <c r="D633">
        <v>45.440910000000002</v>
      </c>
      <c r="E633">
        <v>16.396000000000001</v>
      </c>
      <c r="F633">
        <v>1510.119995</v>
      </c>
      <c r="H633" s="50">
        <f t="shared" si="81"/>
        <v>3.1244566521387456E-3</v>
      </c>
      <c r="I633" s="50">
        <f t="shared" si="82"/>
        <v>5.9319590432554579E-4</v>
      </c>
      <c r="J633" s="50">
        <f t="shared" si="83"/>
        <v>-1.1670329383852405E-3</v>
      </c>
      <c r="K633" s="50">
        <f t="shared" si="84"/>
        <v>-5.2801793922691756E-2</v>
      </c>
      <c r="L633" s="50">
        <f t="shared" si="85"/>
        <v>-5.6888612704517737E-3</v>
      </c>
      <c r="P633" s="50">
        <f t="shared" si="80"/>
        <v>-5.6888612704517737E-3</v>
      </c>
      <c r="Q633" s="51">
        <f t="shared" si="86"/>
        <v>78.225002052826142</v>
      </c>
      <c r="R633" s="51">
        <f t="shared" si="87"/>
        <v>64.615524784648173</v>
      </c>
      <c r="Y633">
        <v>628</v>
      </c>
      <c r="Z633">
        <v>5.191707926934968</v>
      </c>
    </row>
    <row r="634" spans="1:26" x14ac:dyDescent="0.15">
      <c r="A634" s="59">
        <v>41830.75</v>
      </c>
      <c r="B634">
        <v>13.774554999999999</v>
      </c>
      <c r="C634">
        <v>95.779488000000001</v>
      </c>
      <c r="D634">
        <v>45.494002999999999</v>
      </c>
      <c r="E634">
        <v>17.309999000000001</v>
      </c>
      <c r="F634">
        <v>1518.76001</v>
      </c>
      <c r="H634" s="50">
        <f t="shared" si="81"/>
        <v>3.5275771366083848E-3</v>
      </c>
      <c r="I634" s="50">
        <f t="shared" si="82"/>
        <v>5.5383960925941651E-3</v>
      </c>
      <c r="J634" s="50">
        <f t="shared" si="83"/>
        <v>-2.991048572219861E-3</v>
      </c>
      <c r="K634" s="50">
        <f t="shared" si="84"/>
        <v>-2.5667115520256811E-2</v>
      </c>
      <c r="L634" s="50">
        <f t="shared" si="85"/>
        <v>-1.8698676692017347E-2</v>
      </c>
      <c r="P634" s="50">
        <f t="shared" si="80"/>
        <v>-1.8698676692017347E-2</v>
      </c>
      <c r="Q634" s="51">
        <f t="shared" si="86"/>
        <v>76.762298030207958</v>
      </c>
      <c r="R634" s="51">
        <f t="shared" si="87"/>
        <v>64.843461032548447</v>
      </c>
      <c r="Y634">
        <v>629</v>
      </c>
      <c r="Z634">
        <v>7.6272983102952114</v>
      </c>
    </row>
    <row r="635" spans="1:26" x14ac:dyDescent="0.15">
      <c r="A635" s="59">
        <v>41831.75</v>
      </c>
      <c r="B635">
        <v>13.726134999999999</v>
      </c>
      <c r="C635">
        <v>95.251945000000006</v>
      </c>
      <c r="D635">
        <v>45.630485999999998</v>
      </c>
      <c r="E635">
        <v>17.766000999999999</v>
      </c>
      <c r="F635">
        <v>1547.6999510000001</v>
      </c>
      <c r="H635" s="50">
        <f t="shared" si="81"/>
        <v>-3.774529524701514E-3</v>
      </c>
      <c r="I635" s="50">
        <f t="shared" si="82"/>
        <v>-3.9044891806001118E-3</v>
      </c>
      <c r="J635" s="50">
        <f t="shared" si="83"/>
        <v>-8.7298406135808884E-3</v>
      </c>
      <c r="K635" s="50">
        <f t="shared" si="84"/>
        <v>2.4828461798892874E-3</v>
      </c>
      <c r="L635" s="50">
        <f t="shared" si="85"/>
        <v>-3.0918190016102701E-3</v>
      </c>
      <c r="P635" s="50">
        <f t="shared" si="80"/>
        <v>-3.0918190016102701E-3</v>
      </c>
      <c r="Q635" s="51">
        <f t="shared" si="86"/>
        <v>76.524962898550896</v>
      </c>
      <c r="R635" s="51">
        <f t="shared" si="87"/>
        <v>64.598707474397258</v>
      </c>
      <c r="Y635">
        <v>630</v>
      </c>
      <c r="Z635">
        <v>7.7570006703899175</v>
      </c>
    </row>
    <row r="636" spans="1:26" x14ac:dyDescent="0.15">
      <c r="A636" s="59">
        <v>41832.75</v>
      </c>
      <c r="B636">
        <v>13.778141</v>
      </c>
      <c r="C636">
        <v>95.625313000000006</v>
      </c>
      <c r="D636">
        <v>46.032341000000002</v>
      </c>
      <c r="E636">
        <v>17.722000000000001</v>
      </c>
      <c r="F636">
        <v>1552.5</v>
      </c>
      <c r="H636" s="50">
        <f t="shared" si="81"/>
        <v>-2.6034469259993365E-4</v>
      </c>
      <c r="I636" s="50">
        <f t="shared" si="82"/>
        <v>-2.5452260372950554E-4</v>
      </c>
      <c r="J636" s="50">
        <f t="shared" si="83"/>
        <v>9.4777309419233659E-3</v>
      </c>
      <c r="K636" s="50">
        <f t="shared" si="84"/>
        <v>-4.1022759202023256E-3</v>
      </c>
      <c r="L636" s="50">
        <f t="shared" si="85"/>
        <v>1.9231632773612495E-3</v>
      </c>
      <c r="P636" s="50">
        <f t="shared" si="80"/>
        <v>1.9231632773612495E-3</v>
      </c>
      <c r="Q636" s="51">
        <f t="shared" si="86"/>
        <v>76.672132896998832</v>
      </c>
      <c r="R636" s="51">
        <f t="shared" si="87"/>
        <v>64.581889543757484</v>
      </c>
      <c r="Y636">
        <v>631</v>
      </c>
      <c r="Z636">
        <v>10.910786078447821</v>
      </c>
    </row>
    <row r="637" spans="1:26" x14ac:dyDescent="0.15">
      <c r="A637" s="59">
        <v>41835.75</v>
      </c>
      <c r="B637">
        <v>13.781729</v>
      </c>
      <c r="C637">
        <v>95.649658000000002</v>
      </c>
      <c r="D637">
        <v>45.600155000000001</v>
      </c>
      <c r="E637">
        <v>17.795000000000002</v>
      </c>
      <c r="F637">
        <v>1549.5200199999999</v>
      </c>
      <c r="H637" s="50">
        <f t="shared" si="81"/>
        <v>3.2631809367803266E-3</v>
      </c>
      <c r="I637" s="50">
        <f t="shared" si="82"/>
        <v>9.0760517440014489E-3</v>
      </c>
      <c r="J637" s="50">
        <f t="shared" si="83"/>
        <v>7.0330863350159733E-3</v>
      </c>
      <c r="K637" s="50">
        <f t="shared" si="84"/>
        <v>9.7886798007479209E-3</v>
      </c>
      <c r="L637" s="50">
        <f t="shared" si="85"/>
        <v>9.6829679472342016E-5</v>
      </c>
      <c r="P637" s="50">
        <f t="shared" si="80"/>
        <v>9.6829679472342016E-5</v>
      </c>
      <c r="Q637" s="51">
        <f t="shared" si="86"/>
        <v>76.679557035051715</v>
      </c>
      <c r="R637" s="51">
        <f t="shared" si="87"/>
        <v>64.792631934577926</v>
      </c>
      <c r="Y637">
        <v>632</v>
      </c>
      <c r="Z637">
        <v>9.0701842120207505</v>
      </c>
    </row>
    <row r="638" spans="1:26" x14ac:dyDescent="0.15">
      <c r="A638" s="59">
        <v>41836.75</v>
      </c>
      <c r="B638">
        <v>13.736903</v>
      </c>
      <c r="C638">
        <v>94.789344999999997</v>
      </c>
      <c r="D638">
        <v>45.281685000000003</v>
      </c>
      <c r="E638">
        <v>17.622499000000001</v>
      </c>
      <c r="F638">
        <v>1549.369995</v>
      </c>
      <c r="H638" s="50">
        <f t="shared" si="81"/>
        <v>-6.2260878019955584E-3</v>
      </c>
      <c r="I638" s="50">
        <f t="shared" si="82"/>
        <v>-8.0685531814393523E-3</v>
      </c>
      <c r="J638" s="50">
        <f t="shared" si="83"/>
        <v>-4.8325799711328556E-3</v>
      </c>
      <c r="K638" s="50">
        <f t="shared" si="84"/>
        <v>-1.7314558784667419E-2</v>
      </c>
      <c r="L638" s="50">
        <f t="shared" si="85"/>
        <v>2.0695983681857282E-3</v>
      </c>
      <c r="P638" s="50">
        <f t="shared" si="80"/>
        <v>2.0695983681857282E-3</v>
      </c>
      <c r="Q638" s="51">
        <f t="shared" si="86"/>
        <v>76.838252921164667</v>
      </c>
      <c r="R638" s="51">
        <f t="shared" si="87"/>
        <v>64.389227319230869</v>
      </c>
      <c r="Y638">
        <v>633</v>
      </c>
      <c r="Z638">
        <v>7.2616342711249819</v>
      </c>
    </row>
    <row r="639" spans="1:26" x14ac:dyDescent="0.15">
      <c r="A639" s="59">
        <v>41837.75</v>
      </c>
      <c r="B639">
        <v>13.822965999999999</v>
      </c>
      <c r="C639">
        <v>95.560378999999998</v>
      </c>
      <c r="D639">
        <v>45.501575000000003</v>
      </c>
      <c r="E639">
        <v>17.933001000000001</v>
      </c>
      <c r="F639">
        <v>1546.170044</v>
      </c>
      <c r="H639" s="50">
        <f t="shared" si="81"/>
        <v>4.1682200571453928E-3</v>
      </c>
      <c r="I639" s="50">
        <f t="shared" si="82"/>
        <v>5.9808037601046422E-3</v>
      </c>
      <c r="J639" s="50">
        <f t="shared" si="83"/>
        <v>1.1972915471338262E-2</v>
      </c>
      <c r="K639" s="50">
        <f t="shared" si="84"/>
        <v>-3.0575937815435807E-3</v>
      </c>
      <c r="L639" s="50">
        <f t="shared" si="85"/>
        <v>-4.4491669429542729E-3</v>
      </c>
      <c r="P639" s="50">
        <f t="shared" si="80"/>
        <v>-4.4491669429542729E-3</v>
      </c>
      <c r="Q639" s="51">
        <f t="shared" si="86"/>
        <v>76.496386706313459</v>
      </c>
      <c r="R639" s="51">
        <f t="shared" si="87"/>
        <v>64.657615788006979</v>
      </c>
      <c r="Y639">
        <v>634</v>
      </c>
      <c r="Z639">
        <v>6.9924408108582385</v>
      </c>
    </row>
    <row r="640" spans="1:26" x14ac:dyDescent="0.15">
      <c r="A640" s="59">
        <v>41838.75</v>
      </c>
      <c r="B640">
        <v>13.765587999999999</v>
      </c>
      <c r="C640">
        <v>94.992249000000001</v>
      </c>
      <c r="D640">
        <v>44.963234</v>
      </c>
      <c r="E640">
        <v>17.988001000000001</v>
      </c>
      <c r="F640">
        <v>1553.079956</v>
      </c>
      <c r="H640" s="50">
        <f t="shared" si="81"/>
        <v>1.6960795442968785E-3</v>
      </c>
      <c r="I640" s="50">
        <f t="shared" si="82"/>
        <v>-4.3383156710723311E-3</v>
      </c>
      <c r="J640" s="50">
        <f t="shared" si="83"/>
        <v>-1.3473955243192108E-3</v>
      </c>
      <c r="K640" s="50">
        <f t="shared" si="84"/>
        <v>-2.9929608690833064E-3</v>
      </c>
      <c r="L640" s="50">
        <f t="shared" si="85"/>
        <v>1.2372061988742297E-2</v>
      </c>
      <c r="P640" s="50">
        <f t="shared" si="80"/>
        <v>1.2372061988742297E-2</v>
      </c>
      <c r="Q640" s="51">
        <f t="shared" si="86"/>
        <v>77.442804744558757</v>
      </c>
      <c r="R640" s="51">
        <f t="shared" si="87"/>
        <v>64.767280247528021</v>
      </c>
      <c r="Y640">
        <v>635</v>
      </c>
      <c r="Z640">
        <v>6.9310521865588601</v>
      </c>
    </row>
    <row r="641" spans="1:26" x14ac:dyDescent="0.15">
      <c r="A641" s="59">
        <v>41839.75</v>
      </c>
      <c r="B641">
        <v>13.742279999999999</v>
      </c>
      <c r="C641">
        <v>95.406150999999994</v>
      </c>
      <c r="D641">
        <v>45.023899</v>
      </c>
      <c r="E641">
        <v>18.042000000000002</v>
      </c>
      <c r="F641">
        <v>1534.099976</v>
      </c>
      <c r="H641" s="50">
        <f t="shared" si="81"/>
        <v>-4.5460936401557116E-3</v>
      </c>
      <c r="I641" s="50">
        <f t="shared" si="82"/>
        <v>-3.4022913700494363E-4</v>
      </c>
      <c r="J641" s="50">
        <f t="shared" si="83"/>
        <v>-2.2229326479889188E-2</v>
      </c>
      <c r="K641" s="50">
        <f t="shared" si="84"/>
        <v>7.5389512481153498E-3</v>
      </c>
      <c r="L641" s="50">
        <f t="shared" si="85"/>
        <v>-4.8456899535326715E-3</v>
      </c>
      <c r="P641" s="50">
        <f t="shared" ref="P641:P704" si="88">(F641-F642)/F642</f>
        <v>-4.8456899535326715E-3</v>
      </c>
      <c r="Q641" s="51">
        <f t="shared" si="86"/>
        <v>77.067540923634652</v>
      </c>
      <c r="R641" s="51">
        <f t="shared" si="87"/>
        <v>64.472842126704549</v>
      </c>
      <c r="Y641">
        <v>636</v>
      </c>
      <c r="Z641">
        <v>6.9314073283315984</v>
      </c>
    </row>
    <row r="642" spans="1:26" x14ac:dyDescent="0.15">
      <c r="A642" s="59">
        <v>41842.75</v>
      </c>
      <c r="B642">
        <v>13.805039000000001</v>
      </c>
      <c r="C642">
        <v>95.438621999999995</v>
      </c>
      <c r="D642">
        <v>46.047504000000004</v>
      </c>
      <c r="E642">
        <v>17.907</v>
      </c>
      <c r="F642">
        <v>1541.5699460000001</v>
      </c>
      <c r="H642" s="50">
        <f t="shared" ref="H642:H705" si="89">(B642-B643)/B643</f>
        <v>8.3828849310916675E-3</v>
      </c>
      <c r="I642" s="50">
        <f t="shared" ref="I642:I705" si="90">(C642-C643)/C643</f>
        <v>-4.6554513578295391E-3</v>
      </c>
      <c r="J642" s="50">
        <f t="shared" ref="J642:J705" si="91">(D642-D643)/D643</f>
        <v>-4.2631524181433681E-3</v>
      </c>
      <c r="K642" s="50">
        <f t="shared" ref="K642:K705" si="92">(E642-E643)/E643</f>
        <v>-1.3106159895149897E-3</v>
      </c>
      <c r="L642" s="50">
        <f t="shared" ref="L642:L705" si="93">(F642-F643)/F643</f>
        <v>2.0204565208083208E-2</v>
      </c>
      <c r="P642" s="50">
        <f t="shared" si="88"/>
        <v>2.0204565208083208E-2</v>
      </c>
      <c r="Q642" s="51">
        <f t="shared" si="86"/>
        <v>78.624657079652849</v>
      </c>
      <c r="R642" s="51">
        <f t="shared" si="87"/>
        <v>65.01331054343315</v>
      </c>
      <c r="Y642">
        <v>637</v>
      </c>
      <c r="Z642">
        <v>10.043063875560641</v>
      </c>
    </row>
    <row r="643" spans="1:26" x14ac:dyDescent="0.15">
      <c r="A643" s="59">
        <v>41843.75</v>
      </c>
      <c r="B643">
        <v>13.690275</v>
      </c>
      <c r="C643">
        <v>95.885009999999994</v>
      </c>
      <c r="D643">
        <v>46.244652000000002</v>
      </c>
      <c r="E643">
        <v>17.930499999999999</v>
      </c>
      <c r="F643">
        <v>1511.040039</v>
      </c>
      <c r="H643" s="50">
        <f t="shared" si="89"/>
        <v>5.0014149753948457E-3</v>
      </c>
      <c r="I643" s="50">
        <f t="shared" si="90"/>
        <v>5.019162758174784E-3</v>
      </c>
      <c r="J643" s="50">
        <f t="shared" si="91"/>
        <v>9.9355298342486045E-3</v>
      </c>
      <c r="K643" s="50">
        <f t="shared" si="92"/>
        <v>0.1067868275670502</v>
      </c>
      <c r="L643" s="50">
        <f t="shared" si="93"/>
        <v>-4.6439454563920258E-3</v>
      </c>
      <c r="P643" s="50">
        <f t="shared" si="88"/>
        <v>-4.6439454563920258E-3</v>
      </c>
      <c r="Q643" s="51">
        <f t="shared" ref="Q643:Q706" si="94">Q642*(1+P643)</f>
        <v>78.259528460647417</v>
      </c>
      <c r="R643" s="51">
        <f t="shared" ref="R643:R706" si="95">R642*(1+H643)</f>
        <v>65.338469088385068</v>
      </c>
      <c r="Y643">
        <v>638</v>
      </c>
      <c r="Z643">
        <v>8.3056618557695856</v>
      </c>
    </row>
    <row r="644" spans="1:26" x14ac:dyDescent="0.15">
      <c r="A644" s="59">
        <v>41844.75</v>
      </c>
      <c r="B644">
        <v>13.622145</v>
      </c>
      <c r="C644">
        <v>95.406150999999994</v>
      </c>
      <c r="D644">
        <v>45.789707</v>
      </c>
      <c r="E644">
        <v>16.200500000000002</v>
      </c>
      <c r="F644">
        <v>1518.089966</v>
      </c>
      <c r="H644" s="50">
        <f t="shared" si="89"/>
        <v>3.4344169921728643E-3</v>
      </c>
      <c r="I644" s="50">
        <f t="shared" si="90"/>
        <v>3.6711481726861709E-3</v>
      </c>
      <c r="J644" s="50">
        <f t="shared" si="91"/>
        <v>1.4924498271819222E-3</v>
      </c>
      <c r="K644" s="50">
        <f t="shared" si="92"/>
        <v>1.1235604381885913E-2</v>
      </c>
      <c r="L644" s="50">
        <f t="shared" si="93"/>
        <v>2.3896194129152608E-2</v>
      </c>
      <c r="P644" s="50">
        <f t="shared" si="88"/>
        <v>2.3896194129152608E-2</v>
      </c>
      <c r="Q644" s="51">
        <f t="shared" si="94"/>
        <v>80.129633345198997</v>
      </c>
      <c r="R644" s="51">
        <f t="shared" si="95"/>
        <v>65.562868636864778</v>
      </c>
      <c r="Y644">
        <v>639</v>
      </c>
      <c r="Z644">
        <v>9.8864503876336443</v>
      </c>
    </row>
    <row r="645" spans="1:26" x14ac:dyDescent="0.15">
      <c r="A645" s="59">
        <v>41845.75</v>
      </c>
      <c r="B645">
        <v>13.575521</v>
      </c>
      <c r="C645">
        <v>95.057181999999997</v>
      </c>
      <c r="D645">
        <v>45.721469999999997</v>
      </c>
      <c r="E645">
        <v>16.020499999999998</v>
      </c>
      <c r="F645">
        <v>1482.660034</v>
      </c>
      <c r="H645" s="50">
        <f t="shared" si="89"/>
        <v>3.5788132128739812E-3</v>
      </c>
      <c r="I645" s="50">
        <f t="shared" si="90"/>
        <v>-1.4970253572058938E-2</v>
      </c>
      <c r="J645" s="50">
        <f t="shared" si="91"/>
        <v>-1.3093360697598911E-2</v>
      </c>
      <c r="K645" s="50">
        <f t="shared" si="92"/>
        <v>1.2812499999999005E-3</v>
      </c>
      <c r="L645" s="50">
        <f t="shared" si="93"/>
        <v>1.6251471123974109E-2</v>
      </c>
      <c r="P645" s="50">
        <f t="shared" si="88"/>
        <v>1.6251471123974109E-2</v>
      </c>
      <c r="Q645" s="51">
        <f t="shared" si="94"/>
        <v>81.431857767683127</v>
      </c>
      <c r="R645" s="51">
        <f t="shared" si="95"/>
        <v>65.797505897416315</v>
      </c>
      <c r="Y645">
        <v>640</v>
      </c>
      <c r="Z645">
        <v>6.085256019824655</v>
      </c>
    </row>
    <row r="646" spans="1:26" x14ac:dyDescent="0.15">
      <c r="A646" s="59">
        <v>41846.75</v>
      </c>
      <c r="B646">
        <v>13.52711</v>
      </c>
      <c r="C646">
        <v>96.501839000000004</v>
      </c>
      <c r="D646">
        <v>46.328060000000001</v>
      </c>
      <c r="E646">
        <v>16</v>
      </c>
      <c r="F646">
        <v>1458.9499510000001</v>
      </c>
      <c r="H646" s="50">
        <f t="shared" si="89"/>
        <v>8.8260938014938419E-3</v>
      </c>
      <c r="I646" s="50">
        <f t="shared" si="90"/>
        <v>6.0924671017942023E-3</v>
      </c>
      <c r="J646" s="50">
        <f t="shared" si="91"/>
        <v>-4.5616962635207335E-3</v>
      </c>
      <c r="K646" s="50">
        <f t="shared" si="92"/>
        <v>-7.7827044122662148E-3</v>
      </c>
      <c r="L646" s="50">
        <f t="shared" si="93"/>
        <v>-1.014992954447852E-2</v>
      </c>
      <c r="P646" s="50">
        <f t="shared" si="88"/>
        <v>-1.014992954447852E-2</v>
      </c>
      <c r="Q646" s="51">
        <f t="shared" si="94"/>
        <v>80.605330148665146</v>
      </c>
      <c r="R646" s="51">
        <f t="shared" si="95"/>
        <v>66.378240856371264</v>
      </c>
      <c r="Y646">
        <v>641</v>
      </c>
      <c r="Z646">
        <v>7.290881084259917</v>
      </c>
    </row>
    <row r="647" spans="1:26" x14ac:dyDescent="0.15">
      <c r="A647" s="59">
        <v>41849.75</v>
      </c>
      <c r="B647">
        <v>13.408763</v>
      </c>
      <c r="C647">
        <v>95.917465000000007</v>
      </c>
      <c r="D647">
        <v>46.540362999999999</v>
      </c>
      <c r="E647">
        <v>16.125499999999999</v>
      </c>
      <c r="F647">
        <v>1473.910034</v>
      </c>
      <c r="H647" s="50">
        <f t="shared" si="89"/>
        <v>1.6308596429449117E-2</v>
      </c>
      <c r="I647" s="50">
        <f t="shared" si="90"/>
        <v>5.4448921394428433E-3</v>
      </c>
      <c r="J647" s="50">
        <f t="shared" si="91"/>
        <v>3.0038695202130889E-2</v>
      </c>
      <c r="K647" s="50">
        <f t="shared" si="92"/>
        <v>3.0416307230262889E-2</v>
      </c>
      <c r="L647" s="50">
        <f t="shared" si="93"/>
        <v>1.2808629150485808E-2</v>
      </c>
      <c r="P647" s="50">
        <f t="shared" si="88"/>
        <v>1.2808629150485808E-2</v>
      </c>
      <c r="Q647" s="51">
        <f t="shared" si="94"/>
        <v>81.637773930091882</v>
      </c>
      <c r="R647" s="51">
        <f t="shared" si="95"/>
        <v>67.460776798194601</v>
      </c>
      <c r="Y647">
        <v>642</v>
      </c>
      <c r="Z647">
        <v>7.6013816296178769</v>
      </c>
    </row>
    <row r="648" spans="1:26" x14ac:dyDescent="0.15">
      <c r="A648" s="59">
        <v>41850.75</v>
      </c>
      <c r="B648">
        <v>13.193593999999999</v>
      </c>
      <c r="C648">
        <v>95.398032999999998</v>
      </c>
      <c r="D648">
        <v>45.183121</v>
      </c>
      <c r="E648">
        <v>15.6495</v>
      </c>
      <c r="F648">
        <v>1455.2700199999999</v>
      </c>
      <c r="H648" s="50">
        <f t="shared" si="89"/>
        <v>5.439686780817839E-4</v>
      </c>
      <c r="I648" s="50">
        <f t="shared" si="90"/>
        <v>-2.8845660082129822E-3</v>
      </c>
      <c r="J648" s="50">
        <f t="shared" si="91"/>
        <v>-4.3444208531847953E-3</v>
      </c>
      <c r="K648" s="50">
        <f t="shared" si="92"/>
        <v>1.9312186543346578E-2</v>
      </c>
      <c r="L648" s="50">
        <f t="shared" si="93"/>
        <v>-7.190589896204266E-3</v>
      </c>
      <c r="P648" s="50">
        <f t="shared" si="88"/>
        <v>-7.190589896204266E-3</v>
      </c>
      <c r="Q648" s="51">
        <f t="shared" si="94"/>
        <v>81.050750177721554</v>
      </c>
      <c r="R648" s="51">
        <f t="shared" si="95"/>
        <v>67.497473347771887</v>
      </c>
      <c r="Y648">
        <v>643</v>
      </c>
      <c r="Z648">
        <v>7.7840652639576895</v>
      </c>
    </row>
    <row r="649" spans="1:26" x14ac:dyDescent="0.15">
      <c r="A649" s="59">
        <v>41851.75</v>
      </c>
      <c r="B649">
        <v>13.186420999999999</v>
      </c>
      <c r="C649">
        <v>95.674010999999993</v>
      </c>
      <c r="D649">
        <v>45.380271999999998</v>
      </c>
      <c r="E649">
        <v>15.353</v>
      </c>
      <c r="F649">
        <v>1465.8100589999999</v>
      </c>
      <c r="H649" s="50">
        <f t="shared" si="89"/>
        <v>0</v>
      </c>
      <c r="I649" s="50">
        <f t="shared" si="90"/>
        <v>-2.2849293046258491E-3</v>
      </c>
      <c r="J649" s="50">
        <f t="shared" si="91"/>
        <v>-1.4002942851144919E-2</v>
      </c>
      <c r="K649" s="50">
        <f t="shared" si="92"/>
        <v>-2.1010680695042212E-2</v>
      </c>
      <c r="L649" s="50">
        <f t="shared" si="93"/>
        <v>-4.3403696594744318E-3</v>
      </c>
      <c r="P649" s="50">
        <f t="shared" si="88"/>
        <v>-4.3403696594744318E-3</v>
      </c>
      <c r="Q649" s="51">
        <f t="shared" si="94"/>
        <v>80.698959960772527</v>
      </c>
      <c r="R649" s="51">
        <f t="shared" si="95"/>
        <v>67.497473347771887</v>
      </c>
      <c r="Y649">
        <v>644</v>
      </c>
      <c r="Z649">
        <v>11.403214096606371</v>
      </c>
    </row>
    <row r="650" spans="1:26" x14ac:dyDescent="0.15">
      <c r="A650" s="59">
        <v>41852.75</v>
      </c>
      <c r="B650">
        <v>13.186420999999999</v>
      </c>
      <c r="C650">
        <v>95.893119999999996</v>
      </c>
      <c r="D650">
        <v>46.024754000000001</v>
      </c>
      <c r="E650">
        <v>15.682499999999999</v>
      </c>
      <c r="F650">
        <v>1472.1999510000001</v>
      </c>
      <c r="H650" s="50">
        <f t="shared" si="89"/>
        <v>2.7273373633279066E-3</v>
      </c>
      <c r="I650" s="50">
        <f t="shared" si="90"/>
        <v>8.4709676844295324E-4</v>
      </c>
      <c r="J650" s="50">
        <f t="shared" si="91"/>
        <v>4.6010337296443909E-2</v>
      </c>
      <c r="K650" s="50">
        <f t="shared" si="92"/>
        <v>4.2584528688524312E-3</v>
      </c>
      <c r="L650" s="50">
        <f t="shared" si="93"/>
        <v>2.7312108626704912E-2</v>
      </c>
      <c r="P650" s="50">
        <f t="shared" si="88"/>
        <v>2.7312108626704912E-2</v>
      </c>
      <c r="Q650" s="51">
        <f t="shared" si="94"/>
        <v>82.90301872128326</v>
      </c>
      <c r="R650" s="51">
        <f t="shared" si="95"/>
        <v>67.681561728763498</v>
      </c>
      <c r="Y650">
        <v>645</v>
      </c>
      <c r="Z650">
        <v>10.307314758319732</v>
      </c>
    </row>
    <row r="651" spans="1:26" x14ac:dyDescent="0.15">
      <c r="A651" s="59">
        <v>41853.75</v>
      </c>
      <c r="B651">
        <v>13.150555000000001</v>
      </c>
      <c r="C651">
        <v>95.811958000000004</v>
      </c>
      <c r="D651">
        <v>44.000286000000003</v>
      </c>
      <c r="E651">
        <v>15.616</v>
      </c>
      <c r="F651">
        <v>1433.0600589999999</v>
      </c>
      <c r="H651" s="50">
        <f t="shared" si="89"/>
        <v>-3.0997487405156891E-2</v>
      </c>
      <c r="I651" s="50">
        <f t="shared" si="90"/>
        <v>-1.2877446505330485E-2</v>
      </c>
      <c r="J651" s="50">
        <f t="shared" si="91"/>
        <v>1.0351090761716798E-3</v>
      </c>
      <c r="K651" s="50">
        <f t="shared" si="92"/>
        <v>-5.0017522061868817E-3</v>
      </c>
      <c r="L651" s="50">
        <f t="shared" si="93"/>
        <v>-2.3581584390503545E-2</v>
      </c>
      <c r="P651" s="50">
        <f t="shared" si="88"/>
        <v>-2.3581584390503545E-2</v>
      </c>
      <c r="Q651" s="51">
        <f t="shared" si="94"/>
        <v>80.94803418907982</v>
      </c>
      <c r="R651" s="51">
        <f t="shared" si="95"/>
        <v>65.583603371514812</v>
      </c>
      <c r="Y651">
        <v>646</v>
      </c>
      <c r="Z651">
        <v>8.0652091127526653</v>
      </c>
    </row>
    <row r="652" spans="1:26" x14ac:dyDescent="0.15">
      <c r="A652" s="59">
        <v>41856.75</v>
      </c>
      <c r="B652">
        <v>13.571229000000001</v>
      </c>
      <c r="C652">
        <v>97.061867000000007</v>
      </c>
      <c r="D652">
        <v>43.954788000000001</v>
      </c>
      <c r="E652">
        <v>15.6945</v>
      </c>
      <c r="F652">
        <v>1467.670044</v>
      </c>
      <c r="H652" s="50">
        <f t="shared" si="89"/>
        <v>3.3806503624560611E-3</v>
      </c>
      <c r="I652" s="50">
        <f t="shared" si="90"/>
        <v>1.5195264649704566E-2</v>
      </c>
      <c r="J652" s="50">
        <f t="shared" si="91"/>
        <v>8.174059183623416E-3</v>
      </c>
      <c r="K652" s="50">
        <f t="shared" si="92"/>
        <v>7.8343233263766191E-3</v>
      </c>
      <c r="L652" s="50">
        <f t="shared" si="93"/>
        <v>-6.121660474124789E-3</v>
      </c>
      <c r="P652" s="50">
        <f t="shared" si="88"/>
        <v>-6.121660474124789E-3</v>
      </c>
      <c r="Q652" s="51">
        <f t="shared" si="94"/>
        <v>80.452497807726431</v>
      </c>
      <c r="R652" s="51">
        <f t="shared" si="95"/>
        <v>65.805318604023896</v>
      </c>
      <c r="Y652">
        <v>647</v>
      </c>
      <c r="Z652">
        <v>5.6463974711928282</v>
      </c>
    </row>
    <row r="653" spans="1:26" x14ac:dyDescent="0.15">
      <c r="A653" s="59">
        <v>41857.75</v>
      </c>
      <c r="B653">
        <v>13.525504</v>
      </c>
      <c r="C653">
        <v>95.609061999999994</v>
      </c>
      <c r="D653">
        <v>43.598412000000003</v>
      </c>
      <c r="E653">
        <v>15.5725</v>
      </c>
      <c r="F653">
        <v>1476.709961</v>
      </c>
      <c r="H653" s="50">
        <f t="shared" si="89"/>
        <v>-9.6425371126748829E-3</v>
      </c>
      <c r="I653" s="50">
        <f t="shared" si="90"/>
        <v>-1.1413227865396421E-2</v>
      </c>
      <c r="J653" s="50">
        <f t="shared" si="91"/>
        <v>-1.7765705968989281E-2</v>
      </c>
      <c r="K653" s="50">
        <f t="shared" si="92"/>
        <v>-1.6887626262626267E-2</v>
      </c>
      <c r="L653" s="50">
        <f t="shared" si="93"/>
        <v>-1.387657289114835E-2</v>
      </c>
      <c r="P653" s="50">
        <f t="shared" si="88"/>
        <v>-1.387657289114835E-2</v>
      </c>
      <c r="Q653" s="51">
        <f t="shared" si="94"/>
        <v>79.33609285762256</v>
      </c>
      <c r="R653" s="51">
        <f t="shared" si="95"/>
        <v>65.170788377173196</v>
      </c>
      <c r="Y653">
        <v>648</v>
      </c>
      <c r="Z653">
        <v>11.434381090959608</v>
      </c>
    </row>
    <row r="654" spans="1:26" x14ac:dyDescent="0.15">
      <c r="A654" s="59">
        <v>41858.75</v>
      </c>
      <c r="B654">
        <v>13.657194</v>
      </c>
      <c r="C654">
        <v>96.712868</v>
      </c>
      <c r="D654">
        <v>44.386977999999999</v>
      </c>
      <c r="E654">
        <v>15.84</v>
      </c>
      <c r="F654">
        <v>1497.48999</v>
      </c>
      <c r="H654" s="50">
        <f t="shared" si="89"/>
        <v>4.1690400487688446E-3</v>
      </c>
      <c r="I654" s="50">
        <f t="shared" si="90"/>
        <v>-1.6768482299765009E-4</v>
      </c>
      <c r="J654" s="50">
        <f t="shared" si="91"/>
        <v>3.0842137376978058E-3</v>
      </c>
      <c r="K654" s="50">
        <f t="shared" si="92"/>
        <v>-4.8063330506078186E-3</v>
      </c>
      <c r="L654" s="50">
        <f t="shared" si="93"/>
        <v>3.0555591903385308E-2</v>
      </c>
      <c r="P654" s="50">
        <f t="shared" si="88"/>
        <v>3.0555591903385308E-2</v>
      </c>
      <c r="Q654" s="51">
        <f t="shared" si="94"/>
        <v>81.760254134189154</v>
      </c>
      <c r="R654" s="51">
        <f t="shared" si="95"/>
        <v>65.442488003927465</v>
      </c>
      <c r="Y654">
        <v>649</v>
      </c>
      <c r="Z654">
        <v>6.6280208158732545</v>
      </c>
    </row>
    <row r="655" spans="1:26" x14ac:dyDescent="0.15">
      <c r="A655" s="59">
        <v>41859.75</v>
      </c>
      <c r="B655">
        <v>13.600493</v>
      </c>
      <c r="C655">
        <v>96.729088000000004</v>
      </c>
      <c r="D655">
        <v>44.250500000000002</v>
      </c>
      <c r="E655">
        <v>15.916499999999999</v>
      </c>
      <c r="F655">
        <v>1453.089966</v>
      </c>
      <c r="H655" s="50">
        <f t="shared" si="89"/>
        <v>1.8861296029749868E-3</v>
      </c>
      <c r="I655" s="50">
        <f t="shared" si="90"/>
        <v>1.4283196308149343E-3</v>
      </c>
      <c r="J655" s="50">
        <f t="shared" si="91"/>
        <v>-1.7103385070623082E-3</v>
      </c>
      <c r="K655" s="50">
        <f t="shared" si="92"/>
        <v>-3.1003382187147752E-3</v>
      </c>
      <c r="L655" s="50">
        <f t="shared" si="93"/>
        <v>-3.7839423400844158E-4</v>
      </c>
      <c r="P655" s="50">
        <f t="shared" si="88"/>
        <v>-3.7839423400844158E-4</v>
      </c>
      <c r="Q655" s="51">
        <f t="shared" si="94"/>
        <v>81.729316525453712</v>
      </c>
      <c r="R655" s="51">
        <f t="shared" si="95"/>
        <v>65.565921017844019</v>
      </c>
      <c r="Y655">
        <v>650</v>
      </c>
      <c r="Z655">
        <v>6.7705366888181144</v>
      </c>
    </row>
    <row r="656" spans="1:26" x14ac:dyDescent="0.15">
      <c r="A656" s="59">
        <v>41860.75</v>
      </c>
      <c r="B656">
        <v>13.574889000000001</v>
      </c>
      <c r="C656">
        <v>96.591125000000005</v>
      </c>
      <c r="D656">
        <v>44.326312999999999</v>
      </c>
      <c r="E656">
        <v>15.965999999999999</v>
      </c>
      <c r="F656">
        <v>1453.6400149999999</v>
      </c>
      <c r="H656" s="50">
        <f t="shared" si="89"/>
        <v>2.5663693285299469E-3</v>
      </c>
      <c r="I656" s="50">
        <f t="shared" si="90"/>
        <v>3.1187605355970874E-3</v>
      </c>
      <c r="J656" s="50">
        <f t="shared" si="91"/>
        <v>3.4325090685992533E-3</v>
      </c>
      <c r="K656" s="50">
        <f t="shared" si="92"/>
        <v>-2.1331311838378789E-2</v>
      </c>
      <c r="L656" s="50">
        <f t="shared" si="93"/>
        <v>4.9553380653890049E-4</v>
      </c>
      <c r="P656" s="50">
        <f t="shared" si="88"/>
        <v>4.9553380653890049E-4</v>
      </c>
      <c r="Q656" s="51">
        <f t="shared" si="94"/>
        <v>81.769816164777396</v>
      </c>
      <c r="R656" s="51">
        <f t="shared" si="95"/>
        <v>65.734187386541038</v>
      </c>
      <c r="Y656">
        <v>651</v>
      </c>
      <c r="Z656">
        <v>5.9491723179596727</v>
      </c>
    </row>
    <row r="657" spans="1:26" x14ac:dyDescent="0.15">
      <c r="A657" s="59">
        <v>41863.75</v>
      </c>
      <c r="B657">
        <v>13.540139999999999</v>
      </c>
      <c r="C657">
        <v>96.290817000000004</v>
      </c>
      <c r="D657">
        <v>44.174683000000002</v>
      </c>
      <c r="E657">
        <v>16.313998999999999</v>
      </c>
      <c r="F657">
        <v>1452.920044</v>
      </c>
      <c r="H657" s="50">
        <f t="shared" si="89"/>
        <v>-4.8389755709604158E-3</v>
      </c>
      <c r="I657" s="50">
        <f t="shared" si="90"/>
        <v>-5.1987917560492366E-3</v>
      </c>
      <c r="J657" s="50">
        <f t="shared" si="91"/>
        <v>-8.1713570675195756E-3</v>
      </c>
      <c r="K657" s="50">
        <f t="shared" si="92"/>
        <v>-2.0797755169412679E-2</v>
      </c>
      <c r="L657" s="50">
        <f t="shared" si="93"/>
        <v>1.8492299044401365E-2</v>
      </c>
      <c r="P657" s="50">
        <f t="shared" si="88"/>
        <v>1.8492299044401365E-2</v>
      </c>
      <c r="Q657" s="51">
        <f t="shared" si="94"/>
        <v>83.281928058102181</v>
      </c>
      <c r="R657" s="51">
        <f t="shared" si="95"/>
        <v>65.416101259600623</v>
      </c>
      <c r="Y657">
        <v>652</v>
      </c>
      <c r="Z657">
        <v>7.5498803693203538</v>
      </c>
    </row>
    <row r="658" spans="1:26" x14ac:dyDescent="0.15">
      <c r="A658" s="59">
        <v>41864.75</v>
      </c>
      <c r="B658">
        <v>13.605979</v>
      </c>
      <c r="C658">
        <v>96.794028999999995</v>
      </c>
      <c r="D658">
        <v>44.538623999999999</v>
      </c>
      <c r="E658">
        <v>16.660499999999999</v>
      </c>
      <c r="F658">
        <v>1426.540039</v>
      </c>
      <c r="H658" s="50">
        <f t="shared" si="89"/>
        <v>6.6305583205179446E-3</v>
      </c>
      <c r="I658" s="50">
        <f t="shared" si="90"/>
        <v>5.8191160482603038E-3</v>
      </c>
      <c r="J658" s="50">
        <f t="shared" si="91"/>
        <v>9.2783738069712948E-3</v>
      </c>
      <c r="K658" s="50">
        <f t="shared" si="92"/>
        <v>-1.2588197259730538E-3</v>
      </c>
      <c r="L658" s="50">
        <f t="shared" si="93"/>
        <v>1.4103994235512647E-2</v>
      </c>
      <c r="P658" s="50">
        <f t="shared" si="88"/>
        <v>1.4103994235512647E-2</v>
      </c>
      <c r="Q658" s="51">
        <f t="shared" si="94"/>
        <v>84.456535891356026</v>
      </c>
      <c r="R658" s="51">
        <f t="shared" si="95"/>
        <v>65.849846534103307</v>
      </c>
      <c r="Y658">
        <v>653</v>
      </c>
      <c r="Z658">
        <v>10.916457814978324</v>
      </c>
    </row>
    <row r="659" spans="1:26" x14ac:dyDescent="0.15">
      <c r="A659" s="59">
        <v>41865.75</v>
      </c>
      <c r="B659">
        <v>13.516358</v>
      </c>
      <c r="C659">
        <v>96.234031999999999</v>
      </c>
      <c r="D659">
        <v>44.129176999999999</v>
      </c>
      <c r="E659">
        <v>16.681498999999999</v>
      </c>
      <c r="F659">
        <v>1406.6999510000001</v>
      </c>
      <c r="H659" s="50">
        <f t="shared" si="89"/>
        <v>-7.9203527059473634E-3</v>
      </c>
      <c r="I659" s="50">
        <f t="shared" si="90"/>
        <v>-7.4500321587980872E-3</v>
      </c>
      <c r="J659" s="50">
        <f t="shared" si="91"/>
        <v>-1.4859380999580389E-2</v>
      </c>
      <c r="K659" s="50">
        <f t="shared" si="92"/>
        <v>-2.6904014587632039E-3</v>
      </c>
      <c r="L659" s="50">
        <f t="shared" si="93"/>
        <v>-3.2382669051524782E-3</v>
      </c>
      <c r="P659" s="50">
        <f t="shared" si="88"/>
        <v>-3.2382669051524782E-3</v>
      </c>
      <c r="Q659" s="51">
        <f t="shared" si="94"/>
        <v>84.183043086255225</v>
      </c>
      <c r="R659" s="51">
        <f t="shared" si="95"/>
        <v>65.328292523920709</v>
      </c>
      <c r="Y659">
        <v>654</v>
      </c>
      <c r="Z659">
        <v>8.1001808457671789</v>
      </c>
    </row>
    <row r="660" spans="1:26" x14ac:dyDescent="0.15">
      <c r="A660" s="59">
        <v>41866.75</v>
      </c>
      <c r="B660">
        <v>13.624267</v>
      </c>
      <c r="C660">
        <v>96.956360000000004</v>
      </c>
      <c r="D660">
        <v>44.794800000000002</v>
      </c>
      <c r="E660">
        <v>16.726500000000001</v>
      </c>
      <c r="F660">
        <v>1411.2700199999999</v>
      </c>
      <c r="H660" s="50">
        <f t="shared" si="89"/>
        <v>-5.2085337474419872E-3</v>
      </c>
      <c r="I660" s="50">
        <f t="shared" si="90"/>
        <v>-9.5347808595666987E-3</v>
      </c>
      <c r="J660" s="50">
        <f t="shared" si="91"/>
        <v>-1.1814184234793093E-2</v>
      </c>
      <c r="K660" s="50">
        <f t="shared" si="92"/>
        <v>-1.7903500134274809E-3</v>
      </c>
      <c r="L660" s="50">
        <f t="shared" si="93"/>
        <v>-2.3977428119194722E-2</v>
      </c>
      <c r="P660" s="50">
        <f t="shared" si="88"/>
        <v>-2.3977428119194722E-2</v>
      </c>
      <c r="Q660" s="51">
        <f t="shared" si="94"/>
        <v>82.164550221799473</v>
      </c>
      <c r="R660" s="51">
        <f t="shared" si="95"/>
        <v>64.988027907647108</v>
      </c>
      <c r="Y660">
        <v>655</v>
      </c>
      <c r="Z660">
        <v>7.9067070552071081</v>
      </c>
    </row>
    <row r="661" spans="1:26" x14ac:dyDescent="0.15">
      <c r="A661" s="59">
        <v>41867.75</v>
      </c>
      <c r="B661">
        <v>13.695601</v>
      </c>
      <c r="C661">
        <v>97.889717000000005</v>
      </c>
      <c r="D661">
        <v>45.330340999999997</v>
      </c>
      <c r="E661">
        <v>16.756499999999999</v>
      </c>
      <c r="F661">
        <v>1445.9399410000001</v>
      </c>
      <c r="H661" s="50">
        <f t="shared" si="89"/>
        <v>-1.0673049052262636E-3</v>
      </c>
      <c r="I661" s="50">
        <f t="shared" si="90"/>
        <v>-2.4814733504344598E-3</v>
      </c>
      <c r="J661" s="50">
        <f t="shared" si="91"/>
        <v>-1.7901401725590498E-2</v>
      </c>
      <c r="K661" s="50">
        <f t="shared" si="92"/>
        <v>-1.9357912919174705E-3</v>
      </c>
      <c r="L661" s="50">
        <f t="shared" si="93"/>
        <v>2.6971878301264226E-4</v>
      </c>
      <c r="P661" s="50">
        <f t="shared" si="88"/>
        <v>2.6971878301264226E-4</v>
      </c>
      <c r="Q661" s="51">
        <f t="shared" si="94"/>
        <v>82.186711544292081</v>
      </c>
      <c r="R661" s="51">
        <f t="shared" si="95"/>
        <v>64.9186658666803</v>
      </c>
      <c r="Y661">
        <v>656</v>
      </c>
      <c r="Z661">
        <v>8.3418438270772537</v>
      </c>
    </row>
    <row r="662" spans="1:26" x14ac:dyDescent="0.15">
      <c r="A662" s="59">
        <v>41870.75</v>
      </c>
      <c r="B662">
        <v>13.710234</v>
      </c>
      <c r="C662">
        <v>98.133232000000007</v>
      </c>
      <c r="D662">
        <v>46.156609000000003</v>
      </c>
      <c r="E662">
        <v>16.789000000000001</v>
      </c>
      <c r="F662">
        <v>1445.5500489999999</v>
      </c>
      <c r="H662" s="50">
        <f t="shared" si="89"/>
        <v>-7.8093694920700028E-3</v>
      </c>
      <c r="I662" s="50">
        <f t="shared" si="90"/>
        <v>-5.837586564780655E-3</v>
      </c>
      <c r="J662" s="50">
        <f t="shared" si="91"/>
        <v>-1.2117305648212572E-2</v>
      </c>
      <c r="K662" s="50">
        <f t="shared" si="92"/>
        <v>8.6209486047281892E-3</v>
      </c>
      <c r="L662" s="50">
        <f t="shared" si="93"/>
        <v>-1.0848761715852545E-3</v>
      </c>
      <c r="P662" s="50">
        <f t="shared" si="88"/>
        <v>-1.0848761715852545E-3</v>
      </c>
      <c r="Q662" s="51">
        <f t="shared" si="94"/>
        <v>82.097549139316726</v>
      </c>
      <c r="R662" s="51">
        <f t="shared" si="95"/>
        <v>64.411692017995165</v>
      </c>
      <c r="Y662">
        <v>657</v>
      </c>
      <c r="Z662">
        <v>8.6123607481152575</v>
      </c>
    </row>
    <row r="663" spans="1:26" x14ac:dyDescent="0.15">
      <c r="A663" s="59">
        <v>41871.75</v>
      </c>
      <c r="B663">
        <v>13.818144999999999</v>
      </c>
      <c r="C663">
        <v>98.709457</v>
      </c>
      <c r="D663">
        <v>46.722763</v>
      </c>
      <c r="E663">
        <v>16.645499999999998</v>
      </c>
      <c r="F663">
        <v>1447.119995</v>
      </c>
      <c r="H663" s="50">
        <f t="shared" si="89"/>
        <v>-2.3772887486767321E-3</v>
      </c>
      <c r="I663" s="50">
        <f t="shared" si="90"/>
        <v>2.7206171453775154E-3</v>
      </c>
      <c r="J663" s="50">
        <f t="shared" si="91"/>
        <v>3.274208600893985E-4</v>
      </c>
      <c r="K663" s="50">
        <f t="shared" si="92"/>
        <v>3.9808196869627523E-3</v>
      </c>
      <c r="L663" s="50">
        <f t="shared" si="93"/>
        <v>-1.1577282250967028E-2</v>
      </c>
      <c r="P663" s="50">
        <f t="shared" si="88"/>
        <v>-1.1577282250967028E-2</v>
      </c>
      <c r="Q663" s="51">
        <f t="shared" si="94"/>
        <v>81.147082640818226</v>
      </c>
      <c r="R663" s="51">
        <f t="shared" si="95"/>
        <v>64.258566827277562</v>
      </c>
      <c r="Y663">
        <v>658</v>
      </c>
      <c r="Z663">
        <v>10.219833896376834</v>
      </c>
    </row>
    <row r="664" spans="1:26" x14ac:dyDescent="0.15">
      <c r="A664" s="59">
        <v>41872.75</v>
      </c>
      <c r="B664">
        <v>13.851073</v>
      </c>
      <c r="C664">
        <v>98.441635000000005</v>
      </c>
      <c r="D664">
        <v>46.707470000000001</v>
      </c>
      <c r="E664">
        <v>16.579499999999999</v>
      </c>
      <c r="F664">
        <v>1464.0699460000001</v>
      </c>
      <c r="H664" s="50">
        <f t="shared" si="89"/>
        <v>5.289028963320904E-4</v>
      </c>
      <c r="I664" s="50">
        <f t="shared" si="90"/>
        <v>-8.2347464747385571E-4</v>
      </c>
      <c r="J664" s="50">
        <f t="shared" si="91"/>
        <v>1.1482426978237739E-3</v>
      </c>
      <c r="K664" s="50">
        <f t="shared" si="92"/>
        <v>-7.2750134722472338E-3</v>
      </c>
      <c r="L664" s="50">
        <f t="shared" si="93"/>
        <v>1.0734673504274E-3</v>
      </c>
      <c r="P664" s="50">
        <f t="shared" si="88"/>
        <v>1.0734673504274E-3</v>
      </c>
      <c r="Q664" s="51">
        <f t="shared" si="94"/>
        <v>81.234191384615571</v>
      </c>
      <c r="R664" s="51">
        <f t="shared" si="95"/>
        <v>64.292553369386653</v>
      </c>
      <c r="Y664">
        <v>659</v>
      </c>
      <c r="Z664">
        <v>7.4093399306701242</v>
      </c>
    </row>
    <row r="665" spans="1:26" x14ac:dyDescent="0.15">
      <c r="A665" s="59">
        <v>41873.75</v>
      </c>
      <c r="B665">
        <v>13.843750999999999</v>
      </c>
      <c r="C665">
        <v>98.522766000000004</v>
      </c>
      <c r="D665">
        <v>46.6539</v>
      </c>
      <c r="E665">
        <v>16.701000000000001</v>
      </c>
      <c r="F665">
        <v>1462.5</v>
      </c>
      <c r="H665" s="50">
        <f t="shared" si="89"/>
        <v>2.2510511734959689E-3</v>
      </c>
      <c r="I665" s="50">
        <f t="shared" si="90"/>
        <v>2.477551879351524E-3</v>
      </c>
      <c r="J665" s="50">
        <f t="shared" si="91"/>
        <v>4.6127357536396426E-3</v>
      </c>
      <c r="K665" s="50">
        <f t="shared" si="92"/>
        <v>-2.2847557139370773E-2</v>
      </c>
      <c r="L665" s="50">
        <f t="shared" si="93"/>
        <v>-1.1403499501150837E-2</v>
      </c>
      <c r="P665" s="50">
        <f t="shared" si="88"/>
        <v>-1.1403499501150837E-2</v>
      </c>
      <c r="Q665" s="51">
        <f t="shared" si="94"/>
        <v>80.307837323684723</v>
      </c>
      <c r="R665" s="51">
        <f t="shared" si="95"/>
        <v>64.437279197095862</v>
      </c>
      <c r="Y665">
        <v>660</v>
      </c>
      <c r="Z665">
        <v>7.1529672597101568</v>
      </c>
    </row>
    <row r="666" spans="1:26" x14ac:dyDescent="0.15">
      <c r="A666" s="59">
        <v>41874.75</v>
      </c>
      <c r="B666">
        <v>13.812658000000001</v>
      </c>
      <c r="C666">
        <v>98.279274000000001</v>
      </c>
      <c r="D666">
        <v>46.439686000000002</v>
      </c>
      <c r="E666">
        <v>17.091498999999999</v>
      </c>
      <c r="F666">
        <v>1479.369995</v>
      </c>
      <c r="H666" s="50">
        <f t="shared" si="89"/>
        <v>-4.3506764751569697E-3</v>
      </c>
      <c r="I666" s="50">
        <f t="shared" si="90"/>
        <v>-1.2372838721678933E-3</v>
      </c>
      <c r="J666" s="50">
        <f t="shared" si="91"/>
        <v>-1.4804807572871234E-3</v>
      </c>
      <c r="K666" s="50">
        <f t="shared" si="92"/>
        <v>-3.933853954193137E-3</v>
      </c>
      <c r="L666" s="50">
        <f t="shared" si="93"/>
        <v>8.5765212917429945E-3</v>
      </c>
      <c r="P666" s="50">
        <f t="shared" si="88"/>
        <v>8.5765212917429945E-3</v>
      </c>
      <c r="Q666" s="51">
        <f t="shared" si="94"/>
        <v>80.996599200385134</v>
      </c>
      <c r="R666" s="51">
        <f t="shared" si="95"/>
        <v>64.156933442369933</v>
      </c>
      <c r="Y666">
        <v>661</v>
      </c>
      <c r="Z666">
        <v>7.6741288719903356</v>
      </c>
    </row>
    <row r="667" spans="1:26" x14ac:dyDescent="0.15">
      <c r="A667" s="59">
        <v>41877.75</v>
      </c>
      <c r="B667">
        <v>13.873015000000001</v>
      </c>
      <c r="C667">
        <v>98.401024000000007</v>
      </c>
      <c r="D667">
        <v>46.508541000000001</v>
      </c>
      <c r="E667">
        <v>17.158999999999999</v>
      </c>
      <c r="F667">
        <v>1466.790039</v>
      </c>
      <c r="H667" s="50">
        <f t="shared" si="89"/>
        <v>-6.5854319325151509E-4</v>
      </c>
      <c r="I667" s="50">
        <f t="shared" si="90"/>
        <v>2.2317349954127969E-3</v>
      </c>
      <c r="J667" s="50">
        <f t="shared" si="91"/>
        <v>7.2906654493033176E-3</v>
      </c>
      <c r="K667" s="50">
        <f t="shared" si="92"/>
        <v>9.2936303331350549E-3</v>
      </c>
      <c r="L667" s="50">
        <f t="shared" si="93"/>
        <v>2.4037291156245144E-2</v>
      </c>
      <c r="P667" s="50">
        <f t="shared" si="88"/>
        <v>2.4037291156245144E-2</v>
      </c>
      <c r="Q667" s="51">
        <f t="shared" si="94"/>
        <v>82.943538038030482</v>
      </c>
      <c r="R667" s="51">
        <f t="shared" si="95"/>
        <v>64.114683330551571</v>
      </c>
      <c r="Y667">
        <v>662</v>
      </c>
      <c r="Z667">
        <v>7.6796020796751625</v>
      </c>
    </row>
    <row r="668" spans="1:26" x14ac:dyDescent="0.15">
      <c r="A668" s="59">
        <v>41878.75</v>
      </c>
      <c r="B668">
        <v>13.882156999999999</v>
      </c>
      <c r="C668">
        <v>98.181908000000007</v>
      </c>
      <c r="D668">
        <v>46.171917000000001</v>
      </c>
      <c r="E668">
        <v>17.000999</v>
      </c>
      <c r="F668">
        <v>1432.3599850000001</v>
      </c>
      <c r="H668" s="50">
        <f t="shared" si="89"/>
        <v>5.2974128114225858E-3</v>
      </c>
      <c r="I668" s="50">
        <f t="shared" si="90"/>
        <v>-9.081810333033812E-4</v>
      </c>
      <c r="J668" s="50">
        <f t="shared" si="91"/>
        <v>4.6613743062070634E-3</v>
      </c>
      <c r="K668" s="50">
        <f t="shared" si="92"/>
        <v>2.8904554034921222E-3</v>
      </c>
      <c r="L668" s="50">
        <f t="shared" si="93"/>
        <v>-2.1451621020852945E-2</v>
      </c>
      <c r="P668" s="50">
        <f t="shared" si="88"/>
        <v>-2.1451621020852945E-2</v>
      </c>
      <c r="Q668" s="51">
        <f t="shared" si="94"/>
        <v>81.164264693909956</v>
      </c>
      <c r="R668" s="51">
        <f t="shared" si="95"/>
        <v>64.454325275427138</v>
      </c>
      <c r="Y668">
        <v>663</v>
      </c>
      <c r="Z668">
        <v>6.3923258747584324</v>
      </c>
    </row>
    <row r="669" spans="1:26" x14ac:dyDescent="0.15">
      <c r="A669" s="59">
        <v>41879.75</v>
      </c>
      <c r="B669">
        <v>13.809005000000001</v>
      </c>
      <c r="C669">
        <v>98.271156000000005</v>
      </c>
      <c r="D669">
        <v>45.957690999999997</v>
      </c>
      <c r="E669">
        <v>16.952000000000002</v>
      </c>
      <c r="F669">
        <v>1463.76001</v>
      </c>
      <c r="H669" s="50">
        <f t="shared" si="89"/>
        <v>-3.3001011135044087E-3</v>
      </c>
      <c r="I669" s="50">
        <f t="shared" si="90"/>
        <v>-3.9488347296281973E-3</v>
      </c>
      <c r="J669" s="50">
        <f t="shared" si="91"/>
        <v>-1.9938541361583188E-3</v>
      </c>
      <c r="K669" s="50">
        <f t="shared" si="92"/>
        <v>-9.7551848679935677E-3</v>
      </c>
      <c r="L669" s="50">
        <f t="shared" si="93"/>
        <v>4.1985640741345987E-3</v>
      </c>
      <c r="P669" s="50">
        <f t="shared" si="88"/>
        <v>4.1985640741345987E-3</v>
      </c>
      <c r="Q669" s="51">
        <f t="shared" si="94"/>
        <v>81.505038059757368</v>
      </c>
      <c r="R669" s="51">
        <f t="shared" si="95"/>
        <v>64.24161948481553</v>
      </c>
      <c r="Y669">
        <v>664</v>
      </c>
      <c r="Z669">
        <v>6.1355566361281886</v>
      </c>
    </row>
    <row r="670" spans="1:26" x14ac:dyDescent="0.15">
      <c r="A670" s="59">
        <v>41880.75</v>
      </c>
      <c r="B670">
        <v>13.854727</v>
      </c>
      <c r="C670">
        <v>98.660751000000005</v>
      </c>
      <c r="D670">
        <v>46.049506999999998</v>
      </c>
      <c r="E670">
        <v>17.118998999999999</v>
      </c>
      <c r="F670">
        <v>1457.6400149999999</v>
      </c>
      <c r="H670" s="50">
        <f t="shared" si="89"/>
        <v>-3.4205897578965549E-3</v>
      </c>
      <c r="I670" s="50">
        <f t="shared" si="90"/>
        <v>1.7303729911505087E-3</v>
      </c>
      <c r="J670" s="50">
        <f t="shared" si="91"/>
        <v>-3.3119184868810087E-3</v>
      </c>
      <c r="K670" s="50">
        <f t="shared" si="92"/>
        <v>9.9703828926026861E-3</v>
      </c>
      <c r="L670" s="50">
        <f t="shared" si="93"/>
        <v>-1.1092324310832046E-2</v>
      </c>
      <c r="P670" s="50">
        <f t="shared" si="88"/>
        <v>-1.1092324310832046E-2</v>
      </c>
      <c r="Q670" s="51">
        <f t="shared" si="94"/>
        <v>80.600957744631827</v>
      </c>
      <c r="R670" s="51">
        <f t="shared" si="95"/>
        <v>64.021875259175076</v>
      </c>
      <c r="Y670">
        <v>665</v>
      </c>
      <c r="Z670">
        <v>7.9181354272089255</v>
      </c>
    </row>
    <row r="671" spans="1:26" x14ac:dyDescent="0.15">
      <c r="A671" s="59">
        <v>41881.75</v>
      </c>
      <c r="B671">
        <v>13.902281</v>
      </c>
      <c r="C671">
        <v>98.490325999999996</v>
      </c>
      <c r="D671">
        <v>46.202525999999999</v>
      </c>
      <c r="E671">
        <v>16.950001</v>
      </c>
      <c r="F671">
        <v>1473.98999</v>
      </c>
      <c r="H671" s="50">
        <f t="shared" si="89"/>
        <v>-7.1840940709406789E-3</v>
      </c>
      <c r="I671" s="50">
        <f t="shared" si="90"/>
        <v>-3.0363454095230526E-2</v>
      </c>
      <c r="J671" s="50">
        <f t="shared" si="91"/>
        <v>-1.0486386172170502E-2</v>
      </c>
      <c r="K671" s="50">
        <f t="shared" si="92"/>
        <v>-2.0089607163485648E-2</v>
      </c>
      <c r="L671" s="50">
        <f t="shared" si="93"/>
        <v>-1.0359773297102162E-2</v>
      </c>
      <c r="P671" s="50">
        <f t="shared" si="88"/>
        <v>-1.0359773297102162E-2</v>
      </c>
      <c r="Q671" s="51">
        <f t="shared" si="94"/>
        <v>79.765950094868131</v>
      </c>
      <c r="R671" s="51">
        <f t="shared" si="95"/>
        <v>63.561936084715136</v>
      </c>
      <c r="Y671">
        <v>666</v>
      </c>
      <c r="Z671">
        <v>6.89885167557581</v>
      </c>
    </row>
    <row r="672" spans="1:26" x14ac:dyDescent="0.15">
      <c r="A672" s="59">
        <v>41885.75</v>
      </c>
      <c r="B672">
        <v>14.002879</v>
      </c>
      <c r="C672">
        <v>101.574478</v>
      </c>
      <c r="D672">
        <v>46.692157999999999</v>
      </c>
      <c r="E672">
        <v>17.297501</v>
      </c>
      <c r="F672">
        <v>1489.420044</v>
      </c>
      <c r="H672" s="50">
        <f t="shared" si="89"/>
        <v>-1.2256156787614499E-2</v>
      </c>
      <c r="I672" s="50">
        <f t="shared" si="90"/>
        <v>-1.4644337501749514E-2</v>
      </c>
      <c r="J672" s="50">
        <f t="shared" si="91"/>
        <v>-8.1884557304355359E-4</v>
      </c>
      <c r="K672" s="50">
        <f t="shared" si="92"/>
        <v>-1.2413534268721407E-3</v>
      </c>
      <c r="L672" s="50">
        <f t="shared" si="93"/>
        <v>1.1634939139868747E-2</v>
      </c>
      <c r="P672" s="50">
        <f t="shared" si="88"/>
        <v>1.1634939139868747E-2</v>
      </c>
      <c r="Q672" s="51">
        <f t="shared" si="94"/>
        <v>80.69402206965573</v>
      </c>
      <c r="R672" s="51">
        <f t="shared" si="95"/>
        <v>62.782911030336535</v>
      </c>
      <c r="Y672">
        <v>667</v>
      </c>
      <c r="Z672">
        <v>6.6344357012452742</v>
      </c>
    </row>
    <row r="673" spans="1:26" x14ac:dyDescent="0.15">
      <c r="A673" s="59">
        <v>41886.75</v>
      </c>
      <c r="B673">
        <v>14.176629999999999</v>
      </c>
      <c r="C673">
        <v>103.084076</v>
      </c>
      <c r="D673">
        <v>46.730423000000002</v>
      </c>
      <c r="E673">
        <v>17.318999999999999</v>
      </c>
      <c r="F673">
        <v>1472.290039</v>
      </c>
      <c r="H673" s="50">
        <f t="shared" si="89"/>
        <v>1.2805606190013341E-2</v>
      </c>
      <c r="I673" s="50">
        <f t="shared" si="90"/>
        <v>3.2383815029621336E-3</v>
      </c>
      <c r="J673" s="50">
        <f t="shared" si="91"/>
        <v>8.5865050318363525E-3</v>
      </c>
      <c r="K673" s="50">
        <f t="shared" si="92"/>
        <v>1.1801074265287519E-2</v>
      </c>
      <c r="L673" s="50">
        <f t="shared" si="93"/>
        <v>-4.2338844087380402E-3</v>
      </c>
      <c r="P673" s="50">
        <f t="shared" si="88"/>
        <v>-4.2338844087380402E-3</v>
      </c>
      <c r="Q673" s="51">
        <f t="shared" si="94"/>
        <v>80.352372907736651</v>
      </c>
      <c r="R673" s="51">
        <f t="shared" si="95"/>
        <v>63.586884264453666</v>
      </c>
      <c r="Y673">
        <v>668</v>
      </c>
      <c r="Z673">
        <v>8.5257872427090291</v>
      </c>
    </row>
    <row r="674" spans="1:26" x14ac:dyDescent="0.15">
      <c r="A674" s="59">
        <v>41887.75</v>
      </c>
      <c r="B674">
        <v>13.997385</v>
      </c>
      <c r="C674">
        <v>102.751328</v>
      </c>
      <c r="D674">
        <v>46.332588000000001</v>
      </c>
      <c r="E674">
        <v>17.117000999999998</v>
      </c>
      <c r="F674">
        <v>1478.5500489999999</v>
      </c>
      <c r="H674" s="50">
        <f t="shared" si="89"/>
        <v>-2.7367877480140605E-3</v>
      </c>
      <c r="I674" s="50">
        <f t="shared" si="90"/>
        <v>3.8851563189704341E-3</v>
      </c>
      <c r="J674" s="50">
        <f t="shared" si="91"/>
        <v>-5.2561108815768294E-3</v>
      </c>
      <c r="K674" s="50">
        <f t="shared" si="92"/>
        <v>3.8180563346811948E-2</v>
      </c>
      <c r="L674" s="50">
        <f t="shared" si="93"/>
        <v>1.7199270171122948E-2</v>
      </c>
      <c r="P674" s="50">
        <f t="shared" si="88"/>
        <v>1.7199270171122948E-2</v>
      </c>
      <c r="Q674" s="51">
        <f t="shared" si="94"/>
        <v>81.734375078267632</v>
      </c>
      <c r="R674" s="51">
        <f t="shared" si="95"/>
        <v>63.412860458664319</v>
      </c>
      <c r="Y674">
        <v>669</v>
      </c>
      <c r="Z674">
        <v>9.7156850031719131</v>
      </c>
    </row>
    <row r="675" spans="1:26" x14ac:dyDescent="0.15">
      <c r="A675" s="59">
        <v>41888.75</v>
      </c>
      <c r="B675">
        <v>14.035798</v>
      </c>
      <c r="C675">
        <v>102.353668</v>
      </c>
      <c r="D675">
        <v>46.577404000000001</v>
      </c>
      <c r="E675">
        <v>16.487499</v>
      </c>
      <c r="F675">
        <v>1453.5500489999999</v>
      </c>
      <c r="H675" s="50">
        <f t="shared" si="89"/>
        <v>3.006346843385761E-3</v>
      </c>
      <c r="I675" s="50">
        <f t="shared" si="90"/>
        <v>-4.7511618413416244E-4</v>
      </c>
      <c r="J675" s="50">
        <f t="shared" si="91"/>
        <v>-1.7271975138337971E-2</v>
      </c>
      <c r="K675" s="50">
        <f t="shared" si="92"/>
        <v>-4.7687200072436334E-3</v>
      </c>
      <c r="L675" s="50">
        <f t="shared" si="93"/>
        <v>1.2744355324428118E-3</v>
      </c>
      <c r="P675" s="50">
        <f t="shared" si="88"/>
        <v>1.2744355324428118E-3</v>
      </c>
      <c r="Q675" s="51">
        <f t="shared" si="94"/>
        <v>81.838540270089382</v>
      </c>
      <c r="R675" s="51">
        <f t="shared" si="95"/>
        <v>63.60350151153429</v>
      </c>
      <c r="Y675">
        <v>670</v>
      </c>
      <c r="Z675">
        <v>8.8215255634149123</v>
      </c>
    </row>
    <row r="676" spans="1:26" x14ac:dyDescent="0.15">
      <c r="A676" s="59">
        <v>41891.75</v>
      </c>
      <c r="B676">
        <v>13.993728000000001</v>
      </c>
      <c r="C676">
        <v>102.402321</v>
      </c>
      <c r="D676">
        <v>47.396026999999997</v>
      </c>
      <c r="E676">
        <v>16.566500000000001</v>
      </c>
      <c r="F676">
        <v>1451.6999510000001</v>
      </c>
      <c r="H676" s="50">
        <f t="shared" si="89"/>
        <v>5.3872677017409477E-3</v>
      </c>
      <c r="I676" s="50">
        <f t="shared" si="90"/>
        <v>1.8260017360350659E-3</v>
      </c>
      <c r="J676" s="50">
        <f t="shared" si="91"/>
        <v>-1.022533378145633E-2</v>
      </c>
      <c r="K676" s="50">
        <f t="shared" si="92"/>
        <v>2.4507444300343093E-3</v>
      </c>
      <c r="L676" s="50">
        <f t="shared" si="93"/>
        <v>-1.3448979697102783E-2</v>
      </c>
      <c r="P676" s="50">
        <f t="shared" si="88"/>
        <v>-1.3448979697102783E-2</v>
      </c>
      <c r="Q676" s="51">
        <f t="shared" si="94"/>
        <v>80.737895403556422</v>
      </c>
      <c r="R676" s="51">
        <f t="shared" si="95"/>
        <v>63.946150600945018</v>
      </c>
      <c r="Y676">
        <v>671</v>
      </c>
      <c r="Z676">
        <v>7.3074109126706634</v>
      </c>
    </row>
    <row r="677" spans="1:26" x14ac:dyDescent="0.15">
      <c r="A677" s="59">
        <v>41892.75</v>
      </c>
      <c r="B677">
        <v>13.918744</v>
      </c>
      <c r="C677">
        <v>102.215675</v>
      </c>
      <c r="D677">
        <v>47.885674000000002</v>
      </c>
      <c r="E677">
        <v>16.525998999999999</v>
      </c>
      <c r="F677">
        <v>1471.48999</v>
      </c>
      <c r="H677" s="50">
        <f t="shared" si="89"/>
        <v>4.3557035991434075E-3</v>
      </c>
      <c r="I677" s="50">
        <f t="shared" si="90"/>
        <v>4.546605996376892E-3</v>
      </c>
      <c r="J677" s="50">
        <f t="shared" si="91"/>
        <v>9.5951546256362085E-4</v>
      </c>
      <c r="K677" s="50">
        <f t="shared" si="92"/>
        <v>-2.0230683293578377E-3</v>
      </c>
      <c r="L677" s="50">
        <f t="shared" si="93"/>
        <v>-4.7615453797714023E-5</v>
      </c>
      <c r="P677" s="50">
        <f t="shared" si="88"/>
        <v>-4.7615453797714023E-5</v>
      </c>
      <c r="Q677" s="51">
        <f t="shared" si="94"/>
        <v>80.734051032028106</v>
      </c>
      <c r="R677" s="51">
        <f t="shared" si="95"/>
        <v>64.224681079268933</v>
      </c>
      <c r="Y677">
        <v>672</v>
      </c>
      <c r="Z677">
        <v>6.0798514845266736</v>
      </c>
    </row>
    <row r="678" spans="1:26" x14ac:dyDescent="0.15">
      <c r="A678" s="59">
        <v>41893.75</v>
      </c>
      <c r="B678">
        <v>13.858381</v>
      </c>
      <c r="C678">
        <v>101.753044</v>
      </c>
      <c r="D678">
        <v>47.839770999999999</v>
      </c>
      <c r="E678">
        <v>16.5595</v>
      </c>
      <c r="F678">
        <v>1471.5600589999999</v>
      </c>
      <c r="H678" s="50">
        <f t="shared" si="89"/>
        <v>-5.2763305010928836E-4</v>
      </c>
      <c r="I678" s="50">
        <f t="shared" si="90"/>
        <v>-2.7046722275497008E-3</v>
      </c>
      <c r="J678" s="50">
        <f t="shared" si="91"/>
        <v>5.1438018048636687E-3</v>
      </c>
      <c r="K678" s="50">
        <f t="shared" si="92"/>
        <v>2.2538516162894713E-2</v>
      </c>
      <c r="L678" s="50">
        <f t="shared" si="93"/>
        <v>-8.3492654126582095E-3</v>
      </c>
      <c r="P678" s="50">
        <f t="shared" si="88"/>
        <v>-8.3492654126582095E-3</v>
      </c>
      <c r="Q678" s="51">
        <f t="shared" si="94"/>
        <v>80.059981012122606</v>
      </c>
      <c r="R678" s="51">
        <f t="shared" si="95"/>
        <v>64.190794014898785</v>
      </c>
      <c r="Y678">
        <v>673</v>
      </c>
      <c r="Z678">
        <v>6.1542161686851564</v>
      </c>
    </row>
    <row r="679" spans="1:26" x14ac:dyDescent="0.15">
      <c r="A679" s="59">
        <v>41894.75</v>
      </c>
      <c r="B679">
        <v>13.865697000000001</v>
      </c>
      <c r="C679">
        <v>102.028999</v>
      </c>
      <c r="D679">
        <v>47.594951999999999</v>
      </c>
      <c r="E679">
        <v>16.194500000000001</v>
      </c>
      <c r="F679">
        <v>1483.9499510000001</v>
      </c>
      <c r="H679" s="50">
        <f t="shared" si="89"/>
        <v>-6.6827227574848633E-3</v>
      </c>
      <c r="I679" s="50">
        <f t="shared" si="90"/>
        <v>-5.6950560876130665E-3</v>
      </c>
      <c r="J679" s="50">
        <f t="shared" si="91"/>
        <v>-1.0340213750926459E-2</v>
      </c>
      <c r="K679" s="50">
        <f t="shared" si="92"/>
        <v>-1.1807420063461081E-2</v>
      </c>
      <c r="L679" s="50">
        <f t="shared" si="93"/>
        <v>-2.0215529728815531E-4</v>
      </c>
      <c r="P679" s="50">
        <f t="shared" si="88"/>
        <v>-2.0215529728815531E-4</v>
      </c>
      <c r="Q679" s="51">
        <f t="shared" si="94"/>
        <v>80.043796462860215</v>
      </c>
      <c r="R679" s="51">
        <f t="shared" si="95"/>
        <v>63.761824734914399</v>
      </c>
      <c r="Y679">
        <v>674</v>
      </c>
      <c r="Z679">
        <v>7.4984565765953111</v>
      </c>
    </row>
    <row r="680" spans="1:26" x14ac:dyDescent="0.15">
      <c r="A680" s="59">
        <v>41895.75</v>
      </c>
      <c r="B680">
        <v>13.958981</v>
      </c>
      <c r="C680">
        <v>102.613388</v>
      </c>
      <c r="D680">
        <v>48.092236</v>
      </c>
      <c r="E680">
        <v>16.388000000000002</v>
      </c>
      <c r="F680">
        <v>1484.25</v>
      </c>
      <c r="H680" s="50">
        <f t="shared" si="89"/>
        <v>1.0493857439587636E-3</v>
      </c>
      <c r="I680" s="50">
        <f t="shared" si="90"/>
        <v>3.3332228115965047E-3</v>
      </c>
      <c r="J680" s="50">
        <f t="shared" si="91"/>
        <v>-1.5923111682461578E-4</v>
      </c>
      <c r="K680" s="50">
        <f t="shared" si="92"/>
        <v>1.16048758268596E-2</v>
      </c>
      <c r="L680" s="50">
        <f t="shared" si="93"/>
        <v>5.1467686157705096E-3</v>
      </c>
      <c r="P680" s="50">
        <f t="shared" si="88"/>
        <v>5.1467686157705096E-3</v>
      </c>
      <c r="Q680" s="51">
        <f t="shared" si="94"/>
        <v>80.455763362382385</v>
      </c>
      <c r="R680" s="51">
        <f t="shared" si="95"/>
        <v>63.828735484800021</v>
      </c>
      <c r="Y680">
        <v>675</v>
      </c>
      <c r="Z680">
        <v>7.5254554370391649</v>
      </c>
    </row>
    <row r="681" spans="1:26" x14ac:dyDescent="0.15">
      <c r="A681" s="59">
        <v>41898.75</v>
      </c>
      <c r="B681">
        <v>13.944348</v>
      </c>
      <c r="C681">
        <v>102.272491</v>
      </c>
      <c r="D681">
        <v>48.099894999999997</v>
      </c>
      <c r="E681">
        <v>16.200001</v>
      </c>
      <c r="F681">
        <v>1476.650024</v>
      </c>
      <c r="H681" s="50">
        <f t="shared" si="89"/>
        <v>2.6268434709742953E-4</v>
      </c>
      <c r="I681" s="50">
        <f t="shared" si="90"/>
        <v>-3.7158535505963184E-3</v>
      </c>
      <c r="J681" s="50">
        <f t="shared" si="91"/>
        <v>-1.6580670104621043E-2</v>
      </c>
      <c r="K681" s="50">
        <f t="shared" si="92"/>
        <v>-3.076861538461519E-3</v>
      </c>
      <c r="L681" s="50">
        <f t="shared" si="93"/>
        <v>-2.8379110250829585E-2</v>
      </c>
      <c r="P681" s="50">
        <f t="shared" si="88"/>
        <v>-2.8379110250829585E-2</v>
      </c>
      <c r="Q681" s="51">
        <f t="shared" si="94"/>
        <v>78.172500383606675</v>
      </c>
      <c r="R681" s="51">
        <f t="shared" si="95"/>
        <v>63.8455022945069</v>
      </c>
      <c r="Y681">
        <v>676</v>
      </c>
      <c r="Z681">
        <v>7.1604164973335607</v>
      </c>
    </row>
    <row r="682" spans="1:26" x14ac:dyDescent="0.15">
      <c r="A682" s="59">
        <v>41899.75</v>
      </c>
      <c r="B682">
        <v>13.940685999999999</v>
      </c>
      <c r="C682">
        <v>102.653938</v>
      </c>
      <c r="D682">
        <v>48.910870000000003</v>
      </c>
      <c r="E682">
        <v>16.25</v>
      </c>
      <c r="F682">
        <v>1519.780029</v>
      </c>
      <c r="H682" s="50">
        <f t="shared" si="89"/>
        <v>-8.0688983923325221E-3</v>
      </c>
      <c r="I682" s="50">
        <f t="shared" si="90"/>
        <v>-1.5820562350038998E-4</v>
      </c>
      <c r="J682" s="50">
        <f t="shared" si="91"/>
        <v>1.8807410729425739E-3</v>
      </c>
      <c r="K682" s="50">
        <f t="shared" si="92"/>
        <v>-1.9075214294337738E-2</v>
      </c>
      <c r="L682" s="50">
        <f t="shared" si="93"/>
        <v>-6.0495868783228459E-3</v>
      </c>
      <c r="P682" s="50">
        <f t="shared" si="88"/>
        <v>-6.0495868783228459E-3</v>
      </c>
      <c r="Q682" s="51">
        <f t="shared" si="94"/>
        <v>77.69958905104032</v>
      </c>
      <c r="R682" s="51">
        <f t="shared" si="95"/>
        <v>63.330339423685096</v>
      </c>
      <c r="Y682">
        <v>677</v>
      </c>
      <c r="Z682">
        <v>6.6062696309830384</v>
      </c>
    </row>
    <row r="683" spans="1:26" x14ac:dyDescent="0.15">
      <c r="A683" s="59">
        <v>41900.75</v>
      </c>
      <c r="B683">
        <v>14.054087000000001</v>
      </c>
      <c r="C683">
        <v>102.670181</v>
      </c>
      <c r="D683">
        <v>48.819054000000001</v>
      </c>
      <c r="E683">
        <v>16.565999999999999</v>
      </c>
      <c r="F683">
        <v>1529.030029</v>
      </c>
      <c r="H683" s="50">
        <f t="shared" si="89"/>
        <v>6.9451848056107874E-3</v>
      </c>
      <c r="I683" s="50">
        <f t="shared" si="90"/>
        <v>5.3245485858877959E-3</v>
      </c>
      <c r="J683" s="50">
        <f t="shared" si="91"/>
        <v>7.1023338532601975E-3</v>
      </c>
      <c r="K683" s="50">
        <f t="shared" si="92"/>
        <v>2.1016949152542218E-2</v>
      </c>
      <c r="L683" s="50">
        <f t="shared" si="93"/>
        <v>6.7687433744856055E-3</v>
      </c>
      <c r="P683" s="50">
        <f t="shared" si="88"/>
        <v>6.7687433744856055E-3</v>
      </c>
      <c r="Q683" s="51">
        <f t="shared" si="94"/>
        <v>78.225517629629806</v>
      </c>
      <c r="R683" s="51">
        <f t="shared" si="95"/>
        <v>63.770180334784648</v>
      </c>
      <c r="Y683">
        <v>678</v>
      </c>
      <c r="Z683">
        <v>6.2171724672908297</v>
      </c>
    </row>
    <row r="684" spans="1:26" x14ac:dyDescent="0.15">
      <c r="A684" s="59">
        <v>41901.75</v>
      </c>
      <c r="B684">
        <v>13.957152000000001</v>
      </c>
      <c r="C684">
        <v>102.12640399999999</v>
      </c>
      <c r="D684">
        <v>48.474769999999999</v>
      </c>
      <c r="E684">
        <v>16.225000000000001</v>
      </c>
      <c r="F684">
        <v>1518.75</v>
      </c>
      <c r="H684" s="50">
        <f t="shared" si="89"/>
        <v>9.3917903936194778E-3</v>
      </c>
      <c r="I684" s="50">
        <f t="shared" si="90"/>
        <v>2.5497545227476915E-3</v>
      </c>
      <c r="J684" s="50">
        <f t="shared" si="91"/>
        <v>4.4387181208339387E-3</v>
      </c>
      <c r="K684" s="50">
        <f t="shared" si="92"/>
        <v>2.6883170712430709E-3</v>
      </c>
      <c r="L684" s="50">
        <f t="shared" si="93"/>
        <v>-4.5879075864329018E-3</v>
      </c>
      <c r="P684" s="50">
        <f t="shared" si="88"/>
        <v>-4.5879075864329018E-3</v>
      </c>
      <c r="Q684" s="51">
        <f t="shared" si="94"/>
        <v>77.86662618384419</v>
      </c>
      <c r="R684" s="51">
        <f t="shared" si="95"/>
        <v>64.369096501852255</v>
      </c>
      <c r="Y684">
        <v>679</v>
      </c>
      <c r="Z684">
        <v>6.9739686434292558</v>
      </c>
    </row>
    <row r="685" spans="1:26" x14ac:dyDescent="0.15">
      <c r="A685" s="59">
        <v>41902.75</v>
      </c>
      <c r="B685">
        <v>13.827289</v>
      </c>
      <c r="C685">
        <v>101.866669</v>
      </c>
      <c r="D685">
        <v>48.260554999999997</v>
      </c>
      <c r="E685">
        <v>16.181498999999999</v>
      </c>
      <c r="F685">
        <v>1525.75</v>
      </c>
      <c r="H685" s="50">
        <f t="shared" si="89"/>
        <v>-1.920097228085944E-2</v>
      </c>
      <c r="I685" s="50">
        <f t="shared" si="90"/>
        <v>-1.6533693400421188E-2</v>
      </c>
      <c r="J685" s="50">
        <f t="shared" si="91"/>
        <v>-1.2523598082001671E-2</v>
      </c>
      <c r="K685" s="50">
        <f t="shared" si="92"/>
        <v>-1.3954541299777596E-2</v>
      </c>
      <c r="L685" s="50">
        <f t="shared" si="93"/>
        <v>5.2842205831632391E-3</v>
      </c>
      <c r="P685" s="50">
        <f t="shared" si="88"/>
        <v>5.2842205831632391E-3</v>
      </c>
      <c r="Q685" s="51">
        <f t="shared" si="94"/>
        <v>78.278090612666333</v>
      </c>
      <c r="R685" s="51">
        <f t="shared" si="95"/>
        <v>63.133147264176223</v>
      </c>
      <c r="Y685">
        <v>680</v>
      </c>
      <c r="Z685">
        <v>10.15214232533382</v>
      </c>
    </row>
    <row r="686" spans="1:26" x14ac:dyDescent="0.15">
      <c r="A686" s="59">
        <v>41905.75</v>
      </c>
      <c r="B686">
        <v>14.097984</v>
      </c>
      <c r="C686">
        <v>103.579216</v>
      </c>
      <c r="D686">
        <v>48.872616000000001</v>
      </c>
      <c r="E686">
        <v>16.410499999999999</v>
      </c>
      <c r="F686">
        <v>1517.7299800000001</v>
      </c>
      <c r="H686" s="50">
        <f t="shared" si="89"/>
        <v>1.2611691418986043E-2</v>
      </c>
      <c r="I686" s="50">
        <f t="shared" si="90"/>
        <v>1.5597979311432076E-2</v>
      </c>
      <c r="J686" s="50">
        <f t="shared" si="91"/>
        <v>1.5903452972236796E-2</v>
      </c>
      <c r="K686" s="50">
        <f t="shared" si="92"/>
        <v>1.9507346317522448E-2</v>
      </c>
      <c r="L686" s="50">
        <f t="shared" si="93"/>
        <v>3.4274689289365105E-4</v>
      </c>
      <c r="P686" s="50">
        <f t="shared" si="88"/>
        <v>3.4274689289365105E-4</v>
      </c>
      <c r="Q686" s="51">
        <f t="shared" si="94"/>
        <v>78.304920185005471</v>
      </c>
      <c r="R686" s="51">
        <f t="shared" si="95"/>
        <v>63.929363035781414</v>
      </c>
      <c r="Y686">
        <v>681</v>
      </c>
      <c r="Z686">
        <v>6.2429156278120077</v>
      </c>
    </row>
    <row r="687" spans="1:26" x14ac:dyDescent="0.15">
      <c r="A687" s="59">
        <v>41906.75</v>
      </c>
      <c r="B687">
        <v>13.922399</v>
      </c>
      <c r="C687">
        <v>101.98840300000001</v>
      </c>
      <c r="D687">
        <v>48.10754</v>
      </c>
      <c r="E687">
        <v>16.096499999999999</v>
      </c>
      <c r="F687">
        <v>1517.209961</v>
      </c>
      <c r="H687" s="50">
        <f t="shared" si="89"/>
        <v>-4.8372159914544547E-3</v>
      </c>
      <c r="I687" s="50">
        <f t="shared" si="90"/>
        <v>9.5573680672276107E-4</v>
      </c>
      <c r="J687" s="50">
        <f t="shared" si="91"/>
        <v>-4.2756450009617539E-3</v>
      </c>
      <c r="K687" s="50">
        <f t="shared" si="92"/>
        <v>-3.9602735063890386E-3</v>
      </c>
      <c r="L687" s="50">
        <f t="shared" si="93"/>
        <v>-5.3821785234126245E-3</v>
      </c>
      <c r="P687" s="50">
        <f t="shared" si="88"/>
        <v>-5.3821785234126245E-3</v>
      </c>
      <c r="Q687" s="51">
        <f t="shared" si="94"/>
        <v>77.883469125308196</v>
      </c>
      <c r="R687" s="51">
        <f t="shared" si="95"/>
        <v>63.620122898581236</v>
      </c>
      <c r="Y687">
        <v>682</v>
      </c>
      <c r="Z687">
        <v>8.3538797982470605</v>
      </c>
    </row>
    <row r="688" spans="1:26" x14ac:dyDescent="0.15">
      <c r="A688" s="59">
        <v>41907.75</v>
      </c>
      <c r="B688">
        <v>13.990072</v>
      </c>
      <c r="C688">
        <v>101.89102200000001</v>
      </c>
      <c r="D688">
        <v>48.314113999999996</v>
      </c>
      <c r="E688">
        <v>16.160499999999999</v>
      </c>
      <c r="F688">
        <v>1525.420044</v>
      </c>
      <c r="H688" s="50">
        <f t="shared" si="89"/>
        <v>5.3891166433657862E-3</v>
      </c>
      <c r="I688" s="50">
        <f t="shared" si="90"/>
        <v>1.7555961877471875E-3</v>
      </c>
      <c r="J688" s="50">
        <f t="shared" si="91"/>
        <v>1.744828282154188E-3</v>
      </c>
      <c r="K688" s="50">
        <f t="shared" si="92"/>
        <v>4.319184637374799E-3</v>
      </c>
      <c r="L688" s="50">
        <f t="shared" si="93"/>
        <v>-3.8918890024295578E-3</v>
      </c>
      <c r="P688" s="50">
        <f t="shared" si="88"/>
        <v>-3.8918890024295578E-3</v>
      </c>
      <c r="Q688" s="51">
        <f t="shared" si="94"/>
        <v>77.580355308348345</v>
      </c>
      <c r="R688" s="51">
        <f t="shared" si="95"/>
        <v>63.962979161746951</v>
      </c>
      <c r="Y688">
        <v>683</v>
      </c>
      <c r="Z688">
        <v>6.0191417306098787</v>
      </c>
    </row>
    <row r="689" spans="1:26" x14ac:dyDescent="0.15">
      <c r="A689" s="59">
        <v>41908.75</v>
      </c>
      <c r="B689">
        <v>13.915082</v>
      </c>
      <c r="C689">
        <v>101.712456</v>
      </c>
      <c r="D689">
        <v>48.229961000000003</v>
      </c>
      <c r="E689">
        <v>16.091000000000001</v>
      </c>
      <c r="F689">
        <v>1531.380005</v>
      </c>
      <c r="H689" s="50">
        <f t="shared" si="89"/>
        <v>-5.0998787322923955E-3</v>
      </c>
      <c r="I689" s="50">
        <f t="shared" si="90"/>
        <v>0</v>
      </c>
      <c r="J689" s="50">
        <f t="shared" si="91"/>
        <v>5.7436915494420236E-3</v>
      </c>
      <c r="K689" s="50">
        <f t="shared" si="92"/>
        <v>-1.9228383575238064E-3</v>
      </c>
      <c r="L689" s="50">
        <f t="shared" si="93"/>
        <v>3.0325888324872984E-3</v>
      </c>
      <c r="P689" s="50">
        <f t="shared" si="88"/>
        <v>3.0325888324872984E-3</v>
      </c>
      <c r="Q689" s="51">
        <f t="shared" si="94"/>
        <v>77.815624627476851</v>
      </c>
      <c r="R689" s="51">
        <f t="shared" si="95"/>
        <v>63.636775724665895</v>
      </c>
      <c r="Y689">
        <v>684</v>
      </c>
      <c r="Z689">
        <v>10.404732578348431</v>
      </c>
    </row>
    <row r="690" spans="1:26" x14ac:dyDescent="0.15">
      <c r="A690" s="59">
        <v>41909.75</v>
      </c>
      <c r="B690">
        <v>13.986411</v>
      </c>
      <c r="C690">
        <v>101.712456</v>
      </c>
      <c r="D690">
        <v>47.954524999999997</v>
      </c>
      <c r="E690">
        <v>16.122</v>
      </c>
      <c r="F690">
        <v>1526.75</v>
      </c>
      <c r="H690" s="50">
        <f t="shared" si="89"/>
        <v>4.5977708295818816E-3</v>
      </c>
      <c r="I690" s="50">
        <f t="shared" si="90"/>
        <v>4.4886750710379161E-3</v>
      </c>
      <c r="J690" s="50">
        <f t="shared" si="91"/>
        <v>9.8276545837605606E-3</v>
      </c>
      <c r="K690" s="50">
        <f t="shared" si="92"/>
        <v>1.5687015687015724E-2</v>
      </c>
      <c r="L690" s="50">
        <f t="shared" si="93"/>
        <v>-1.3115393582906473E-2</v>
      </c>
      <c r="P690" s="50">
        <f t="shared" si="88"/>
        <v>-1.3115393582906473E-2</v>
      </c>
      <c r="Q690" s="51">
        <f t="shared" si="94"/>
        <v>76.795042083587788</v>
      </c>
      <c r="R690" s="51">
        <f t="shared" si="95"/>
        <v>63.929363035781407</v>
      </c>
      <c r="Y690">
        <v>685</v>
      </c>
      <c r="Z690">
        <v>8.7371972576418226</v>
      </c>
    </row>
    <row r="691" spans="1:26" x14ac:dyDescent="0.15">
      <c r="A691" s="59">
        <v>41912.75</v>
      </c>
      <c r="B691">
        <v>13.922399</v>
      </c>
      <c r="C691">
        <v>101.257942</v>
      </c>
      <c r="D691">
        <v>47.487831</v>
      </c>
      <c r="E691">
        <v>15.872999999999999</v>
      </c>
      <c r="F691">
        <v>1547.040039</v>
      </c>
      <c r="H691" s="50">
        <f t="shared" si="89"/>
        <v>-1.4427813059551882E-3</v>
      </c>
      <c r="I691" s="50">
        <f t="shared" si="90"/>
        <v>-8.1882259186663933E-3</v>
      </c>
      <c r="J691" s="50">
        <f t="shared" si="91"/>
        <v>-7.9908120169739933E-3</v>
      </c>
      <c r="K691" s="50">
        <f t="shared" si="92"/>
        <v>-2.9835746364750607E-3</v>
      </c>
      <c r="L691" s="50">
        <f t="shared" si="93"/>
        <v>2.6511447383952442E-4</v>
      </c>
      <c r="P691" s="50">
        <f t="shared" si="88"/>
        <v>2.6511447383952442E-4</v>
      </c>
      <c r="Q691" s="51">
        <f t="shared" si="94"/>
        <v>76.815401560763263</v>
      </c>
      <c r="R691" s="51">
        <f t="shared" si="95"/>
        <v>63.837126945891754</v>
      </c>
      <c r="Y691">
        <v>686</v>
      </c>
      <c r="Z691">
        <v>5.5895674909575082</v>
      </c>
    </row>
    <row r="692" spans="1:26" x14ac:dyDescent="0.15">
      <c r="A692" s="59">
        <v>41913.75</v>
      </c>
      <c r="B692">
        <v>13.942515</v>
      </c>
      <c r="C692">
        <v>102.09390999999999</v>
      </c>
      <c r="D692">
        <v>47.870353999999999</v>
      </c>
      <c r="E692">
        <v>15.920500000000001</v>
      </c>
      <c r="F692">
        <v>1546.630005</v>
      </c>
      <c r="H692" s="50">
        <f t="shared" si="89"/>
        <v>-1.4097419444756896E-2</v>
      </c>
      <c r="I692" s="50">
        <f t="shared" si="90"/>
        <v>-1.0229111890947237E-2</v>
      </c>
      <c r="J692" s="50">
        <f t="shared" si="91"/>
        <v>-7.9277735311699821E-3</v>
      </c>
      <c r="K692" s="50">
        <f t="shared" si="92"/>
        <v>-1.3416311174091223E-2</v>
      </c>
      <c r="L692" s="50">
        <f t="shared" si="93"/>
        <v>4.5726713965866276E-3</v>
      </c>
      <c r="P692" s="50">
        <f t="shared" si="88"/>
        <v>4.5726713965866276E-3</v>
      </c>
      <c r="Q692" s="51">
        <f t="shared" si="94"/>
        <v>77.166653150297478</v>
      </c>
      <c r="R692" s="51">
        <f t="shared" si="95"/>
        <v>62.937188191187332</v>
      </c>
      <c r="Y692">
        <v>687</v>
      </c>
      <c r="Z692">
        <v>7.0432629708353884</v>
      </c>
    </row>
    <row r="693" spans="1:26" x14ac:dyDescent="0.15">
      <c r="A693" s="59">
        <v>41914.75</v>
      </c>
      <c r="B693">
        <v>14.141878999999999</v>
      </c>
      <c r="C693">
        <v>103.149033</v>
      </c>
      <c r="D693">
        <v>48.252892000000003</v>
      </c>
      <c r="E693">
        <v>16.136998999999999</v>
      </c>
      <c r="F693">
        <v>1539.589966</v>
      </c>
      <c r="H693" s="50">
        <f t="shared" si="89"/>
        <v>-3.8791670563149424E-4</v>
      </c>
      <c r="I693" s="50">
        <f t="shared" si="90"/>
        <v>6.9725718893635423E-3</v>
      </c>
      <c r="J693" s="50">
        <f t="shared" si="91"/>
        <v>1.2684174174596458E-2</v>
      </c>
      <c r="K693" s="50">
        <f t="shared" si="92"/>
        <v>1.6758534031126979E-3</v>
      </c>
      <c r="L693" s="50">
        <f t="shared" si="93"/>
        <v>-2.1065049335129813E-3</v>
      </c>
      <c r="P693" s="50">
        <f t="shared" si="88"/>
        <v>-2.1065049335129813E-3</v>
      </c>
      <c r="Q693" s="51">
        <f t="shared" si="94"/>
        <v>77.004101214733694</v>
      </c>
      <c r="R693" s="51">
        <f t="shared" si="95"/>
        <v>62.912773804482491</v>
      </c>
      <c r="Y693">
        <v>688</v>
      </c>
      <c r="Z693">
        <v>4.9964814680516456</v>
      </c>
    </row>
    <row r="694" spans="1:26" x14ac:dyDescent="0.15">
      <c r="A694" s="59">
        <v>41915.75</v>
      </c>
      <c r="B694">
        <v>14.147366999999999</v>
      </c>
      <c r="C694">
        <v>102.434799</v>
      </c>
      <c r="D694">
        <v>47.648510000000002</v>
      </c>
      <c r="E694">
        <v>16.110001</v>
      </c>
      <c r="F694">
        <v>1542.839966</v>
      </c>
      <c r="H694" s="50">
        <f t="shared" si="89"/>
        <v>6.4696970339962767E-4</v>
      </c>
      <c r="I694" s="50">
        <f t="shared" si="90"/>
        <v>7.5036374360700226E-3</v>
      </c>
      <c r="J694" s="50">
        <f t="shared" si="91"/>
        <v>1.2024780833499131E-2</v>
      </c>
      <c r="K694" s="50">
        <f t="shared" si="92"/>
        <v>1.6467979052306157E-2</v>
      </c>
      <c r="L694" s="50">
        <f t="shared" si="93"/>
        <v>-9.4697579735179161E-3</v>
      </c>
      <c r="P694" s="50">
        <f t="shared" si="88"/>
        <v>-9.4697579735179161E-3</v>
      </c>
      <c r="Q694" s="51">
        <f t="shared" si="94"/>
        <v>76.274891013261893</v>
      </c>
      <c r="R694" s="51">
        <f t="shared" si="95"/>
        <v>62.95347646309083</v>
      </c>
      <c r="Y694">
        <v>689</v>
      </c>
      <c r="Z694">
        <v>6.995791566004109</v>
      </c>
    </row>
    <row r="695" spans="1:26" x14ac:dyDescent="0.15">
      <c r="A695" s="59">
        <v>41916.75</v>
      </c>
      <c r="B695">
        <v>14.13822</v>
      </c>
      <c r="C695">
        <v>101.67189</v>
      </c>
      <c r="D695">
        <v>47.082355</v>
      </c>
      <c r="E695">
        <v>15.849</v>
      </c>
      <c r="F695">
        <v>1557.589966</v>
      </c>
      <c r="H695" s="50">
        <f t="shared" si="89"/>
        <v>-1.2014272950115194E-2</v>
      </c>
      <c r="I695" s="50">
        <f t="shared" si="90"/>
        <v>-2.6877680559025667E-2</v>
      </c>
      <c r="J695" s="50">
        <f t="shared" si="91"/>
        <v>-2.0219571379573011E-2</v>
      </c>
      <c r="K695" s="50">
        <f t="shared" si="92"/>
        <v>-1.7725441586613037E-2</v>
      </c>
      <c r="L695" s="50">
        <f t="shared" si="93"/>
        <v>3.2268933916341025E-3</v>
      </c>
      <c r="P695" s="50">
        <f t="shared" si="88"/>
        <v>3.2268933916341025E-3</v>
      </c>
      <c r="Q695" s="51">
        <f t="shared" si="94"/>
        <v>76.521021955020203</v>
      </c>
      <c r="R695" s="51">
        <f t="shared" si="95"/>
        <v>62.19713621370461</v>
      </c>
      <c r="Y695">
        <v>690</v>
      </c>
      <c r="Z695">
        <v>5.9793829924890121</v>
      </c>
    </row>
    <row r="696" spans="1:26" x14ac:dyDescent="0.15">
      <c r="A696" s="59">
        <v>41919.75</v>
      </c>
      <c r="B696">
        <v>14.310146</v>
      </c>
      <c r="C696">
        <v>104.48007200000001</v>
      </c>
      <c r="D696">
        <v>48.053986000000002</v>
      </c>
      <c r="E696">
        <v>16.135000000000002</v>
      </c>
      <c r="F696">
        <v>1552.579956</v>
      </c>
      <c r="H696" s="50">
        <f t="shared" si="89"/>
        <v>4.8803260132773757E-3</v>
      </c>
      <c r="I696" s="50">
        <f t="shared" si="90"/>
        <v>2.4918833763079243E-3</v>
      </c>
      <c r="J696" s="50">
        <f t="shared" si="91"/>
        <v>1.9642824026538382E-2</v>
      </c>
      <c r="K696" s="50">
        <f t="shared" si="92"/>
        <v>2.324254050797489E-2</v>
      </c>
      <c r="L696" s="50">
        <f t="shared" si="93"/>
        <v>-8.0312224433764512E-3</v>
      </c>
      <c r="P696" s="50">
        <f t="shared" si="88"/>
        <v>-8.0312224433764512E-3</v>
      </c>
      <c r="Q696" s="51">
        <f t="shared" si="94"/>
        <v>75.906464606104933</v>
      </c>
      <c r="R696" s="51">
        <f t="shared" si="95"/>
        <v>62.500678515519716</v>
      </c>
      <c r="Y696">
        <v>691</v>
      </c>
      <c r="Z696">
        <v>6.3677365929059562</v>
      </c>
    </row>
    <row r="697" spans="1:26" x14ac:dyDescent="0.15">
      <c r="A697" s="59">
        <v>41920.75</v>
      </c>
      <c r="B697">
        <v>14.240646999999999</v>
      </c>
      <c r="C697">
        <v>104.220367</v>
      </c>
      <c r="D697">
        <v>47.128253999999998</v>
      </c>
      <c r="E697">
        <v>15.7685</v>
      </c>
      <c r="F697">
        <v>1565.150024</v>
      </c>
      <c r="H697" s="50">
        <f t="shared" si="89"/>
        <v>-5.4923102697878225E-3</v>
      </c>
      <c r="I697" s="50">
        <f t="shared" si="90"/>
        <v>-3.8015704360088638E-3</v>
      </c>
      <c r="J697" s="50">
        <f t="shared" si="91"/>
        <v>1.6669686084000903E-2</v>
      </c>
      <c r="K697" s="50">
        <f t="shared" si="92"/>
        <v>1.278139953113458E-2</v>
      </c>
      <c r="L697" s="50">
        <f t="shared" si="93"/>
        <v>1.7152668849595724E-3</v>
      </c>
      <c r="P697" s="50">
        <f t="shared" si="88"/>
        <v>1.7152668849595724E-3</v>
      </c>
      <c r="Q697" s="51">
        <f t="shared" si="94"/>
        <v>76.036664451198149</v>
      </c>
      <c r="R697" s="51">
        <f t="shared" si="95"/>
        <v>62.157405397040222</v>
      </c>
      <c r="Y697">
        <v>692</v>
      </c>
      <c r="Z697">
        <v>9.7655040030451961</v>
      </c>
    </row>
    <row r="698" spans="1:26" x14ac:dyDescent="0.15">
      <c r="A698" s="59">
        <v>41921.75</v>
      </c>
      <c r="B698">
        <v>14.319293</v>
      </c>
      <c r="C698">
        <v>104.61808000000001</v>
      </c>
      <c r="D698">
        <v>46.355522000000001</v>
      </c>
      <c r="E698">
        <v>15.5695</v>
      </c>
      <c r="F698">
        <v>1562.469971</v>
      </c>
      <c r="H698" s="50">
        <f t="shared" si="89"/>
        <v>9.412175888323028E-3</v>
      </c>
      <c r="I698" s="50">
        <f t="shared" si="90"/>
        <v>1.5200573817188154E-2</v>
      </c>
      <c r="J698" s="50">
        <f t="shared" si="91"/>
        <v>2.4816629343179983E-3</v>
      </c>
      <c r="K698" s="50">
        <f t="shared" si="92"/>
        <v>1.6120084842551795E-2</v>
      </c>
      <c r="L698" s="50">
        <f t="shared" si="93"/>
        <v>5.1852064923044562E-3</v>
      </c>
      <c r="P698" s="50">
        <f t="shared" si="88"/>
        <v>5.1852064923044562E-3</v>
      </c>
      <c r="Q698" s="51">
        <f t="shared" si="94"/>
        <v>76.43093025736367</v>
      </c>
      <c r="R698" s="51">
        <f t="shared" si="95"/>
        <v>62.742441829398963</v>
      </c>
      <c r="Y698">
        <v>693</v>
      </c>
      <c r="Z698">
        <v>6.5026415191935998</v>
      </c>
    </row>
    <row r="699" spans="1:26" x14ac:dyDescent="0.15">
      <c r="A699" s="59">
        <v>41922.75</v>
      </c>
      <c r="B699">
        <v>14.185774</v>
      </c>
      <c r="C699">
        <v>103.051636</v>
      </c>
      <c r="D699">
        <v>46.240768000000003</v>
      </c>
      <c r="E699">
        <v>15.3225</v>
      </c>
      <c r="F699">
        <v>1554.410034</v>
      </c>
      <c r="H699" s="50">
        <f t="shared" si="89"/>
        <v>-5.3859775277873331E-3</v>
      </c>
      <c r="I699" s="50">
        <f t="shared" si="90"/>
        <v>5.7030312764675692E-3</v>
      </c>
      <c r="J699" s="50">
        <f t="shared" si="91"/>
        <v>-2.0262702954962662E-2</v>
      </c>
      <c r="K699" s="50">
        <f t="shared" si="92"/>
        <v>-6.0328889753819195E-3</v>
      </c>
      <c r="L699" s="50">
        <f t="shared" si="93"/>
        <v>-4.7317292663242505E-3</v>
      </c>
      <c r="P699" s="50">
        <f t="shared" si="88"/>
        <v>-4.7317292663242505E-3</v>
      </c>
      <c r="Q699" s="51">
        <f t="shared" si="94"/>
        <v>76.069279787812519</v>
      </c>
      <c r="R699" s="51">
        <f t="shared" si="95"/>
        <v>62.404512447667315</v>
      </c>
      <c r="Y699">
        <v>694</v>
      </c>
      <c r="Z699">
        <v>5.0536046572873738</v>
      </c>
    </row>
    <row r="700" spans="1:26" x14ac:dyDescent="0.15">
      <c r="A700" s="59">
        <v>41923.75</v>
      </c>
      <c r="B700">
        <v>14.262592</v>
      </c>
      <c r="C700">
        <v>102.46726200000001</v>
      </c>
      <c r="D700">
        <v>47.197108999999998</v>
      </c>
      <c r="E700">
        <v>15.4155</v>
      </c>
      <c r="F700">
        <v>1561.8000489999999</v>
      </c>
      <c r="H700" s="50">
        <f t="shared" si="89"/>
        <v>3.6967950717348153E-2</v>
      </c>
      <c r="I700" s="50">
        <f t="shared" si="90"/>
        <v>1.5687714438672659E-2</v>
      </c>
      <c r="J700" s="50">
        <f t="shared" si="91"/>
        <v>2.8509524320074239E-2</v>
      </c>
      <c r="K700" s="50">
        <f t="shared" si="92"/>
        <v>7.6478086086870676E-3</v>
      </c>
      <c r="L700" s="50">
        <f t="shared" si="93"/>
        <v>8.4522527326857701E-3</v>
      </c>
      <c r="P700" s="50">
        <f t="shared" si="88"/>
        <v>8.4522527326857701E-3</v>
      </c>
      <c r="Q700" s="51">
        <f t="shared" si="94"/>
        <v>76.7122365657725</v>
      </c>
      <c r="R700" s="51">
        <f t="shared" si="95"/>
        <v>64.711479388372823</v>
      </c>
      <c r="Y700">
        <v>695</v>
      </c>
      <c r="Z700">
        <v>11.251783566099302</v>
      </c>
    </row>
    <row r="701" spans="1:26" x14ac:dyDescent="0.15">
      <c r="A701" s="59">
        <v>41926.75</v>
      </c>
      <c r="B701">
        <v>13.75413</v>
      </c>
      <c r="C701">
        <v>100.884613</v>
      </c>
      <c r="D701">
        <v>45.888840000000002</v>
      </c>
      <c r="E701">
        <v>15.298500000000001</v>
      </c>
      <c r="F701">
        <v>1548.709961</v>
      </c>
      <c r="H701" s="50">
        <f t="shared" si="89"/>
        <v>1.8694277953372591E-2</v>
      </c>
      <c r="I701" s="50">
        <f t="shared" si="90"/>
        <v>1.098005615352601E-2</v>
      </c>
      <c r="J701" s="50">
        <f t="shared" si="91"/>
        <v>9.0848519099210896E-3</v>
      </c>
      <c r="K701" s="50">
        <f t="shared" si="92"/>
        <v>1.026877104932972E-2</v>
      </c>
      <c r="L701" s="50">
        <f t="shared" si="93"/>
        <v>6.6166612338510343E-3</v>
      </c>
      <c r="P701" s="50">
        <f t="shared" si="88"/>
        <v>6.6166612338510343E-3</v>
      </c>
      <c r="Q701" s="51">
        <f t="shared" si="94"/>
        <v>77.219815447619254</v>
      </c>
      <c r="R701" s="51">
        <f t="shared" si="95"/>
        <v>65.921213770833006</v>
      </c>
      <c r="Y701">
        <v>696</v>
      </c>
      <c r="Z701">
        <v>6.4907765040418059</v>
      </c>
    </row>
    <row r="702" spans="1:26" x14ac:dyDescent="0.15">
      <c r="A702" s="59">
        <v>41927.75</v>
      </c>
      <c r="B702">
        <v>13.501725</v>
      </c>
      <c r="C702">
        <v>99.788925000000006</v>
      </c>
      <c r="D702">
        <v>45.475700000000003</v>
      </c>
      <c r="E702">
        <v>15.143000000000001</v>
      </c>
      <c r="F702">
        <v>1538.530029</v>
      </c>
      <c r="H702" s="50">
        <f t="shared" si="89"/>
        <v>-3.7788113707292468E-3</v>
      </c>
      <c r="I702" s="50">
        <f t="shared" si="90"/>
        <v>-1.3638300006126362E-2</v>
      </c>
      <c r="J702" s="50">
        <f t="shared" si="91"/>
        <v>6.2635205935657554E-3</v>
      </c>
      <c r="K702" s="50">
        <f t="shared" si="92"/>
        <v>-2.5688315109998485E-3</v>
      </c>
      <c r="L702" s="50">
        <f t="shared" si="93"/>
        <v>-1.7582991731222995E-3</v>
      </c>
      <c r="P702" s="50">
        <f t="shared" si="88"/>
        <v>-1.7582991731222995E-3</v>
      </c>
      <c r="Q702" s="51">
        <f t="shared" si="94"/>
        <v>77.08403990996905</v>
      </c>
      <c r="R702" s="51">
        <f t="shared" si="95"/>
        <v>65.67210993866351</v>
      </c>
      <c r="Y702">
        <v>697</v>
      </c>
      <c r="Z702">
        <v>7.5556671435464384</v>
      </c>
    </row>
    <row r="703" spans="1:26" x14ac:dyDescent="0.15">
      <c r="A703" s="59">
        <v>41928.75</v>
      </c>
      <c r="B703">
        <v>13.552939</v>
      </c>
      <c r="C703">
        <v>101.168694</v>
      </c>
      <c r="D703">
        <v>45.192635000000003</v>
      </c>
      <c r="E703">
        <v>15.182</v>
      </c>
      <c r="F703">
        <v>1541.23999</v>
      </c>
      <c r="H703" s="50">
        <f t="shared" si="89"/>
        <v>-1.3840709345176533E-2</v>
      </c>
      <c r="I703" s="50">
        <f t="shared" si="90"/>
        <v>-2.9356646267542197E-2</v>
      </c>
      <c r="J703" s="50">
        <f t="shared" si="91"/>
        <v>-2.0235350505379612E-2</v>
      </c>
      <c r="K703" s="50">
        <f t="shared" si="92"/>
        <v>-8.392932954508275E-3</v>
      </c>
      <c r="L703" s="50">
        <f t="shared" si="93"/>
        <v>7.5322972387285327E-4</v>
      </c>
      <c r="P703" s="50">
        <f t="shared" si="88"/>
        <v>7.5322972387285327E-4</v>
      </c>
      <c r="Q703" s="51">
        <f t="shared" si="94"/>
        <v>77.142101900065441</v>
      </c>
      <c r="R703" s="51">
        <f t="shared" si="95"/>
        <v>64.76316135291799</v>
      </c>
      <c r="Y703">
        <v>698</v>
      </c>
      <c r="Z703">
        <v>8.7713071972662515</v>
      </c>
    </row>
    <row r="704" spans="1:26" x14ac:dyDescent="0.15">
      <c r="A704" s="59">
        <v>41929.75</v>
      </c>
      <c r="B704">
        <v>13.743154000000001</v>
      </c>
      <c r="C704">
        <v>104.228493</v>
      </c>
      <c r="D704">
        <v>46.126010999999998</v>
      </c>
      <c r="E704">
        <v>15.310499999999999</v>
      </c>
      <c r="F704">
        <v>1540.079956</v>
      </c>
      <c r="H704" s="50">
        <f t="shared" si="89"/>
        <v>-1.1575861116133606E-2</v>
      </c>
      <c r="I704" s="50">
        <f t="shared" si="90"/>
        <v>-1.4277045834775202E-2</v>
      </c>
      <c r="J704" s="50">
        <f t="shared" si="91"/>
        <v>-2.1901462883145695E-2</v>
      </c>
      <c r="K704" s="50">
        <f t="shared" si="92"/>
        <v>-2.8922081628769941E-2</v>
      </c>
      <c r="L704" s="50">
        <f t="shared" si="93"/>
        <v>2.6288925896826951E-2</v>
      </c>
      <c r="P704" s="50">
        <f t="shared" si="88"/>
        <v>2.6288925896826951E-2</v>
      </c>
      <c r="Q704" s="51">
        <f t="shared" si="94"/>
        <v>79.170084900441722</v>
      </c>
      <c r="R704" s="51">
        <f t="shared" si="95"/>
        <v>64.013471991654853</v>
      </c>
      <c r="Y704">
        <v>699</v>
      </c>
      <c r="Z704">
        <v>7.0139891991265841</v>
      </c>
    </row>
    <row r="705" spans="1:26" x14ac:dyDescent="0.15">
      <c r="A705" s="59">
        <v>41930.75</v>
      </c>
      <c r="B705">
        <v>13.904106000000001</v>
      </c>
      <c r="C705">
        <v>105.73812100000001</v>
      </c>
      <c r="D705">
        <v>47.158859</v>
      </c>
      <c r="E705">
        <v>15.766500000000001</v>
      </c>
      <c r="F705">
        <v>1500.630005</v>
      </c>
      <c r="H705" s="50">
        <f t="shared" si="89"/>
        <v>-1.3138277021748133E-4</v>
      </c>
      <c r="I705" s="50">
        <f t="shared" si="90"/>
        <v>-1.9915125297877588E-3</v>
      </c>
      <c r="J705" s="50">
        <f t="shared" si="91"/>
        <v>5.0549348485507163E-3</v>
      </c>
      <c r="K705" s="50">
        <f t="shared" si="92"/>
        <v>7.5406588490909881E-3</v>
      </c>
      <c r="L705" s="50">
        <f t="shared" si="93"/>
        <v>-3.7839989686828317E-3</v>
      </c>
      <c r="P705" s="50">
        <f t="shared" ref="P705:P768" si="96">(F705-F706)/F706</f>
        <v>-3.7839989686828317E-3</v>
      </c>
      <c r="Q705" s="51">
        <f t="shared" si="94"/>
        <v>78.870505380827922</v>
      </c>
      <c r="R705" s="51">
        <f t="shared" si="95"/>
        <v>64.005061724373348</v>
      </c>
      <c r="Y705">
        <v>700</v>
      </c>
      <c r="Z705">
        <v>6.4868573132115115</v>
      </c>
    </row>
    <row r="706" spans="1:26" x14ac:dyDescent="0.15">
      <c r="A706" s="59">
        <v>41933.75</v>
      </c>
      <c r="B706">
        <v>13.905932999999999</v>
      </c>
      <c r="C706">
        <v>105.94911999999999</v>
      </c>
      <c r="D706">
        <v>46.921672999999998</v>
      </c>
      <c r="E706">
        <v>15.6485</v>
      </c>
      <c r="F706">
        <v>1506.329956</v>
      </c>
      <c r="H706" s="50">
        <f t="shared" ref="H706:H769" si="97">(B706-B707)/B707</f>
        <v>-2.8854508770649193E-3</v>
      </c>
      <c r="I706" s="50">
        <f t="shared" ref="I706:I769" si="98">(C706-C707)/C707</f>
        <v>-3.8294284195970827E-4</v>
      </c>
      <c r="J706" s="50">
        <f t="shared" ref="J706:J769" si="99">(D706-D707)/D707</f>
        <v>-1.1285045503077282E-2</v>
      </c>
      <c r="K706" s="50">
        <f t="shared" ref="K706:K769" si="100">(E706-E707)/E707</f>
        <v>-6.7054090299510812E-4</v>
      </c>
      <c r="L706" s="50">
        <f t="shared" ref="L706:L769" si="101">(F706-F707)/F707</f>
        <v>-8.7260447204084556E-3</v>
      </c>
      <c r="P706" s="50">
        <f t="shared" si="96"/>
        <v>-8.7260447204084556E-3</v>
      </c>
      <c r="Q706" s="51">
        <f t="shared" si="94"/>
        <v>78.182277823753594</v>
      </c>
      <c r="R706" s="51">
        <f t="shared" si="95"/>
        <v>63.820378262884162</v>
      </c>
      <c r="Y706">
        <v>701</v>
      </c>
      <c r="Z706">
        <v>8.8583430000770189</v>
      </c>
    </row>
    <row r="707" spans="1:26" x14ac:dyDescent="0.15">
      <c r="A707" s="59">
        <v>41934.75</v>
      </c>
      <c r="B707">
        <v>13.946173999999999</v>
      </c>
      <c r="C707">
        <v>105.98970799999999</v>
      </c>
      <c r="D707">
        <v>47.457230000000003</v>
      </c>
      <c r="E707">
        <v>15.659000000000001</v>
      </c>
      <c r="F707">
        <v>1519.589966</v>
      </c>
      <c r="H707" s="50">
        <f t="shared" si="97"/>
        <v>-1.7020102647461559E-3</v>
      </c>
      <c r="I707" s="50">
        <f t="shared" si="98"/>
        <v>1.1499418058149675E-3</v>
      </c>
      <c r="J707" s="50">
        <f t="shared" si="99"/>
        <v>7.4710268832778254E-3</v>
      </c>
      <c r="K707" s="50">
        <f t="shared" si="100"/>
        <v>9.0991430362990386E-2</v>
      </c>
      <c r="L707" s="50">
        <f t="shared" si="101"/>
        <v>2.4473975431848387E-3</v>
      </c>
      <c r="P707" s="50">
        <f t="shared" si="96"/>
        <v>2.4473975431848387E-3</v>
      </c>
      <c r="Q707" s="51">
        <f t="shared" ref="Q707:Q770" si="102">Q706*(1+P707)</f>
        <v>78.373620938420046</v>
      </c>
      <c r="R707" s="51">
        <f t="shared" ref="R707:R770" si="103">R706*(1+H707)</f>
        <v>63.711755323980753</v>
      </c>
      <c r="Y707">
        <v>702</v>
      </c>
      <c r="Z707">
        <v>6.6475437037492435</v>
      </c>
    </row>
    <row r="708" spans="1:26" x14ac:dyDescent="0.15">
      <c r="A708" s="59">
        <v>41935.75</v>
      </c>
      <c r="B708">
        <v>13.969951</v>
      </c>
      <c r="C708">
        <v>105.867966</v>
      </c>
      <c r="D708">
        <v>47.105305000000001</v>
      </c>
      <c r="E708">
        <v>14.353</v>
      </c>
      <c r="F708">
        <v>1515.880005</v>
      </c>
      <c r="H708" s="50">
        <f t="shared" si="97"/>
        <v>-2.7422186672034533E-3</v>
      </c>
      <c r="I708" s="50">
        <f t="shared" si="98"/>
        <v>-3.6662998911192648E-3</v>
      </c>
      <c r="J708" s="50">
        <f t="shared" si="99"/>
        <v>1.6232228947263362E-4</v>
      </c>
      <c r="K708" s="50">
        <f t="shared" si="100"/>
        <v>-1.0035520915956836E-2</v>
      </c>
      <c r="L708" s="50">
        <f t="shared" si="101"/>
        <v>9.7727217151704986E-4</v>
      </c>
      <c r="P708" s="50">
        <f t="shared" si="96"/>
        <v>9.7727217151704986E-4</v>
      </c>
      <c r="Q708" s="51">
        <f t="shared" si="102"/>
        <v>78.450213297144188</v>
      </c>
      <c r="R708" s="51">
        <f t="shared" si="103"/>
        <v>63.537043759211031</v>
      </c>
      <c r="Y708">
        <v>703</v>
      </c>
      <c r="Z708">
        <v>6.2427960806070439</v>
      </c>
    </row>
    <row r="709" spans="1:26" x14ac:dyDescent="0.15">
      <c r="A709" s="59">
        <v>41936.75</v>
      </c>
      <c r="B709">
        <v>14.008365</v>
      </c>
      <c r="C709">
        <v>106.257538</v>
      </c>
      <c r="D709">
        <v>47.097659999999998</v>
      </c>
      <c r="E709">
        <v>14.4985</v>
      </c>
      <c r="F709">
        <v>1514.400024</v>
      </c>
      <c r="H709" s="50">
        <f t="shared" si="97"/>
        <v>3.143909160266987E-3</v>
      </c>
      <c r="I709" s="50">
        <f t="shared" si="98"/>
        <v>-1.0680433858628669E-3</v>
      </c>
      <c r="J709" s="50">
        <f t="shared" si="99"/>
        <v>1.500436322703463E-2</v>
      </c>
      <c r="K709" s="50">
        <f t="shared" si="100"/>
        <v>-1.9012821813999159E-2</v>
      </c>
      <c r="L709" s="50">
        <f t="shared" si="101"/>
        <v>-1.3600128058462476E-2</v>
      </c>
      <c r="P709" s="50">
        <f t="shared" si="96"/>
        <v>-1.3600128058462476E-2</v>
      </c>
      <c r="Q709" s="51">
        <f t="shared" si="102"/>
        <v>77.383280350089336</v>
      </c>
      <c r="R709" s="51">
        <f t="shared" si="103"/>
        <v>63.736798453101898</v>
      </c>
      <c r="Y709">
        <v>704</v>
      </c>
      <c r="Z709">
        <v>5.3589861400906234</v>
      </c>
    </row>
    <row r="710" spans="1:26" x14ac:dyDescent="0.15">
      <c r="A710" s="59">
        <v>41937.75</v>
      </c>
      <c r="B710">
        <v>13.964461999999999</v>
      </c>
      <c r="C710">
        <v>106.37114699999999</v>
      </c>
      <c r="D710">
        <v>46.401435999999997</v>
      </c>
      <c r="E710">
        <v>14.779500000000001</v>
      </c>
      <c r="F710">
        <v>1535.280029</v>
      </c>
      <c r="H710" s="50">
        <f t="shared" si="97"/>
        <v>-5.236985211403975E-4</v>
      </c>
      <c r="I710" s="50">
        <f t="shared" si="98"/>
        <v>-6.5946665850309975E-3</v>
      </c>
      <c r="J710" s="50">
        <f t="shared" si="99"/>
        <v>-3.9415218426717795E-3</v>
      </c>
      <c r="K710" s="50">
        <f t="shared" si="100"/>
        <v>4.9979600163199385E-3</v>
      </c>
      <c r="L710" s="50">
        <f t="shared" si="101"/>
        <v>-3.6989130773782378E-3</v>
      </c>
      <c r="P710" s="50">
        <f t="shared" si="96"/>
        <v>-3.6989130773782378E-3</v>
      </c>
      <c r="Q710" s="51">
        <f t="shared" si="102"/>
        <v>77.097046322431964</v>
      </c>
      <c r="R710" s="51">
        <f t="shared" si="103"/>
        <v>63.70341958600978</v>
      </c>
      <c r="Y710">
        <v>705</v>
      </c>
      <c r="Z710">
        <v>7.5633157036210727</v>
      </c>
    </row>
    <row r="711" spans="1:26" x14ac:dyDescent="0.15">
      <c r="A711" s="59">
        <v>41940.75</v>
      </c>
      <c r="B711">
        <v>13.971779</v>
      </c>
      <c r="C711">
        <v>107.077286</v>
      </c>
      <c r="D711">
        <v>46.585051999999997</v>
      </c>
      <c r="E711">
        <v>14.706</v>
      </c>
      <c r="F711">
        <v>1540.9799800000001</v>
      </c>
      <c r="H711" s="50">
        <f t="shared" si="97"/>
        <v>-7.8503837154853147E-4</v>
      </c>
      <c r="I711" s="50">
        <f t="shared" si="98"/>
        <v>-8.0451357202439774E-3</v>
      </c>
      <c r="J711" s="50">
        <f t="shared" si="99"/>
        <v>-1.4405822778538108E-2</v>
      </c>
      <c r="K711" s="50">
        <f t="shared" si="100"/>
        <v>-1.6551309058080083E-2</v>
      </c>
      <c r="L711" s="50">
        <f t="shared" si="101"/>
        <v>6.5054407322512591E-3</v>
      </c>
      <c r="P711" s="50">
        <f t="shared" si="96"/>
        <v>6.5054407322512591E-3</v>
      </c>
      <c r="Q711" s="51">
        <f t="shared" si="102"/>
        <v>77.598596587914187</v>
      </c>
      <c r="R711" s="51">
        <f t="shared" si="103"/>
        <v>63.653409957235908</v>
      </c>
      <c r="Y711">
        <v>706</v>
      </c>
      <c r="Z711">
        <v>8.9372369071863584</v>
      </c>
    </row>
    <row r="712" spans="1:26" x14ac:dyDescent="0.15">
      <c r="A712" s="59">
        <v>41941.75</v>
      </c>
      <c r="B712">
        <v>13.982756</v>
      </c>
      <c r="C712">
        <v>107.945724</v>
      </c>
      <c r="D712">
        <v>47.265957</v>
      </c>
      <c r="E712">
        <v>14.9535</v>
      </c>
      <c r="F712">
        <v>1531.0200199999999</v>
      </c>
      <c r="H712" s="50">
        <f t="shared" si="97"/>
        <v>2.3599562288729565E-3</v>
      </c>
      <c r="I712" s="50">
        <f t="shared" si="98"/>
        <v>-2.7738949805132364E-3</v>
      </c>
      <c r="J712" s="50">
        <f t="shared" si="99"/>
        <v>-6.4748866308122967E-4</v>
      </c>
      <c r="K712" s="50">
        <f t="shared" si="100"/>
        <v>-2.0919269298762502E-2</v>
      </c>
      <c r="L712" s="50">
        <f t="shared" si="101"/>
        <v>-1.1849891531290319E-2</v>
      </c>
      <c r="P712" s="50">
        <f t="shared" si="96"/>
        <v>-1.1849891531290319E-2</v>
      </c>
      <c r="Q712" s="51">
        <f t="shared" si="102"/>
        <v>76.679061635367049</v>
      </c>
      <c r="R712" s="51">
        <f t="shared" si="103"/>
        <v>63.803629218553489</v>
      </c>
      <c r="Y712">
        <v>707</v>
      </c>
      <c r="Z712">
        <v>9.4506453776861399</v>
      </c>
    </row>
    <row r="713" spans="1:26" x14ac:dyDescent="0.15">
      <c r="A713" s="59">
        <v>41942.75</v>
      </c>
      <c r="B713">
        <v>13.949835</v>
      </c>
      <c r="C713">
        <v>108.245987</v>
      </c>
      <c r="D713">
        <v>47.296581000000003</v>
      </c>
      <c r="E713">
        <v>15.273</v>
      </c>
      <c r="F713">
        <v>1549.380005</v>
      </c>
      <c r="H713" s="50">
        <f t="shared" si="97"/>
        <v>-1.3088047365825755E-4</v>
      </c>
      <c r="I713" s="50">
        <f t="shared" si="98"/>
        <v>-6.7032717498341316E-3</v>
      </c>
      <c r="J713" s="50">
        <f t="shared" si="99"/>
        <v>3.7345870240843831E-3</v>
      </c>
      <c r="K713" s="50">
        <f t="shared" si="100"/>
        <v>-8.50451393431892E-4</v>
      </c>
      <c r="L713" s="50">
        <f t="shared" si="101"/>
        <v>2.7140665589151149E-2</v>
      </c>
      <c r="P713" s="50">
        <f t="shared" si="96"/>
        <v>2.7140665589151149E-2</v>
      </c>
      <c r="Q713" s="51">
        <f t="shared" si="102"/>
        <v>78.760182404902451</v>
      </c>
      <c r="R713" s="51">
        <f t="shared" si="103"/>
        <v>63.795278569340248</v>
      </c>
      <c r="Y713">
        <v>708</v>
      </c>
      <c r="Z713">
        <v>7.9108025934546466</v>
      </c>
    </row>
    <row r="714" spans="1:26" x14ac:dyDescent="0.15">
      <c r="A714" s="59">
        <v>41943.75</v>
      </c>
      <c r="B714">
        <v>13.951661</v>
      </c>
      <c r="C714">
        <v>108.97648599999999</v>
      </c>
      <c r="D714">
        <v>47.120604999999998</v>
      </c>
      <c r="E714">
        <v>15.286</v>
      </c>
      <c r="F714">
        <v>1508.4399410000001</v>
      </c>
      <c r="H714" s="50">
        <f t="shared" si="97"/>
        <v>-1.2684817374452073E-2</v>
      </c>
      <c r="I714" s="50">
        <f t="shared" si="98"/>
        <v>-1.6696948408527198E-2</v>
      </c>
      <c r="J714" s="50">
        <f t="shared" si="99"/>
        <v>3.5848091754417041E-3</v>
      </c>
      <c r="K714" s="50">
        <f t="shared" si="100"/>
        <v>9.6099864601565457E-3</v>
      </c>
      <c r="L714" s="50">
        <f t="shared" si="101"/>
        <v>-8.0156525072856255E-4</v>
      </c>
      <c r="P714" s="50">
        <f t="shared" si="96"/>
        <v>-8.0156525072856255E-4</v>
      </c>
      <c r="Q714" s="51">
        <f t="shared" si="102"/>
        <v>78.697050979545637</v>
      </c>
      <c r="R714" s="51">
        <f t="shared" si="103"/>
        <v>62.986047111335871</v>
      </c>
      <c r="Y714">
        <v>709</v>
      </c>
      <c r="Z714">
        <v>9.5412036189890888</v>
      </c>
    </row>
    <row r="715" spans="1:26" x14ac:dyDescent="0.15">
      <c r="A715" s="59">
        <v>41944.75</v>
      </c>
      <c r="B715">
        <v>14.130909000000001</v>
      </c>
      <c r="C715">
        <v>110.826958</v>
      </c>
      <c r="D715">
        <v>46.952289999999998</v>
      </c>
      <c r="E715">
        <v>15.140499999999999</v>
      </c>
      <c r="F715">
        <v>1509.650024</v>
      </c>
      <c r="H715" s="50">
        <f t="shared" si="97"/>
        <v>-5.6624339085999597E-3</v>
      </c>
      <c r="I715" s="50">
        <f t="shared" si="98"/>
        <v>3.6609186687178494E-4</v>
      </c>
      <c r="J715" s="50">
        <f t="shared" si="99"/>
        <v>4.0904371262925135E-3</v>
      </c>
      <c r="K715" s="50">
        <f t="shared" si="100"/>
        <v>2.1212734385538841E-2</v>
      </c>
      <c r="L715" s="50">
        <f t="shared" si="101"/>
        <v>4.9794495835386726E-3</v>
      </c>
      <c r="P715" s="50">
        <f t="shared" si="96"/>
        <v>4.9794495835386726E-3</v>
      </c>
      <c r="Q715" s="51">
        <f t="shared" si="102"/>
        <v>79.088918977271462</v>
      </c>
      <c r="R715" s="51">
        <f t="shared" si="103"/>
        <v>62.629392782403968</v>
      </c>
      <c r="Y715">
        <v>710</v>
      </c>
      <c r="Z715">
        <v>7.9847183064286344</v>
      </c>
    </row>
    <row r="716" spans="1:26" x14ac:dyDescent="0.15">
      <c r="A716" s="59">
        <v>41947.75</v>
      </c>
      <c r="B716">
        <v>14.21138</v>
      </c>
      <c r="C716">
        <v>110.7864</v>
      </c>
      <c r="D716">
        <v>46.761017000000002</v>
      </c>
      <c r="E716">
        <v>14.826000000000001</v>
      </c>
      <c r="F716">
        <v>1502.170044</v>
      </c>
      <c r="H716" s="50">
        <f t="shared" si="97"/>
        <v>-1.4139055737054766E-3</v>
      </c>
      <c r="I716" s="50">
        <f t="shared" si="98"/>
        <v>-4.303482845512103E-3</v>
      </c>
      <c r="J716" s="50">
        <f t="shared" si="99"/>
        <v>-1.2441196281089887E-2</v>
      </c>
      <c r="K716" s="50">
        <f t="shared" si="100"/>
        <v>-4.0453074433658489E-4</v>
      </c>
      <c r="L716" s="50">
        <f t="shared" si="101"/>
        <v>-1.1905763951064411E-2</v>
      </c>
      <c r="P716" s="50">
        <f t="shared" si="96"/>
        <v>-1.1905763951064411E-2</v>
      </c>
      <c r="Q716" s="51">
        <f t="shared" si="102"/>
        <v>78.147304976783204</v>
      </c>
      <c r="R716" s="51">
        <f t="shared" si="103"/>
        <v>62.540840734871139</v>
      </c>
      <c r="Y716">
        <v>711</v>
      </c>
      <c r="Z716">
        <v>8.1722156490510969</v>
      </c>
    </row>
    <row r="717" spans="1:26" x14ac:dyDescent="0.15">
      <c r="A717" s="59">
        <v>41948.75</v>
      </c>
      <c r="B717">
        <v>14.231502000000001</v>
      </c>
      <c r="C717">
        <v>111.26522799999999</v>
      </c>
      <c r="D717">
        <v>47.350109000000003</v>
      </c>
      <c r="E717">
        <v>14.832000000000001</v>
      </c>
      <c r="F717">
        <v>1520.2700199999999</v>
      </c>
      <c r="H717" s="50">
        <f t="shared" si="97"/>
        <v>-1.2187199019593318E-2</v>
      </c>
      <c r="I717" s="50">
        <f t="shared" si="98"/>
        <v>-4.502343988886855E-3</v>
      </c>
      <c r="J717" s="50">
        <f t="shared" si="99"/>
        <v>-3.5530643402239159E-2</v>
      </c>
      <c r="K717" s="50">
        <f t="shared" si="100"/>
        <v>-1.073834456079501E-2</v>
      </c>
      <c r="L717" s="50">
        <f t="shared" si="101"/>
        <v>3.025848467172601E-2</v>
      </c>
      <c r="P717" s="50">
        <f t="shared" si="96"/>
        <v>3.025848467172601E-2</v>
      </c>
      <c r="Q717" s="51">
        <f t="shared" si="102"/>
        <v>80.511924006559894</v>
      </c>
      <c r="R717" s="51">
        <f t="shared" si="103"/>
        <v>61.778643061982578</v>
      </c>
      <c r="Y717">
        <v>712</v>
      </c>
      <c r="Z717">
        <v>10.142463317686589</v>
      </c>
    </row>
    <row r="718" spans="1:26" x14ac:dyDescent="0.15">
      <c r="A718" s="59">
        <v>41949.75</v>
      </c>
      <c r="B718">
        <v>14.407083999999999</v>
      </c>
      <c r="C718">
        <v>111.76844800000001</v>
      </c>
      <c r="D718">
        <v>49.094467000000002</v>
      </c>
      <c r="E718">
        <v>14.993</v>
      </c>
      <c r="F718">
        <v>1475.619995</v>
      </c>
      <c r="H718" s="50">
        <f t="shared" si="97"/>
        <v>-8.4342133970376279E-3</v>
      </c>
      <c r="I718" s="50">
        <f t="shared" si="98"/>
        <v>1.4534836247752689E-4</v>
      </c>
      <c r="J718" s="50">
        <f t="shared" si="99"/>
        <v>-2.0604514313114206E-2</v>
      </c>
      <c r="K718" s="50">
        <f t="shared" si="100"/>
        <v>-1.7206908983645196E-2</v>
      </c>
      <c r="L718" s="50">
        <f t="shared" si="101"/>
        <v>5.7634410007879455E-4</v>
      </c>
      <c r="P718" s="50">
        <f t="shared" si="96"/>
        <v>5.7634410007879455E-4</v>
      </c>
      <c r="Q718" s="51">
        <f t="shared" si="102"/>
        <v>80.55832657894706</v>
      </c>
      <c r="R718" s="51">
        <f t="shared" si="103"/>
        <v>61.2575888030184</v>
      </c>
      <c r="Y718">
        <v>713</v>
      </c>
      <c r="Z718">
        <v>6.6203047626898908</v>
      </c>
    </row>
    <row r="719" spans="1:26" x14ac:dyDescent="0.15">
      <c r="A719" s="59">
        <v>41950.75</v>
      </c>
      <c r="B719">
        <v>14.529629999999999</v>
      </c>
      <c r="C719">
        <v>111.752205</v>
      </c>
      <c r="D719">
        <v>50.127316</v>
      </c>
      <c r="E719">
        <v>15.2555</v>
      </c>
      <c r="F719">
        <v>1474.7700199999999</v>
      </c>
      <c r="H719" s="50">
        <f t="shared" si="97"/>
        <v>5.4423287329310645E-3</v>
      </c>
      <c r="I719" s="50">
        <f t="shared" si="98"/>
        <v>4.6697115724339371E-3</v>
      </c>
      <c r="J719" s="50">
        <f t="shared" si="99"/>
        <v>-3.0433765182724106E-3</v>
      </c>
      <c r="K719" s="50">
        <f t="shared" si="100"/>
        <v>-2.2114675811672743E-2</v>
      </c>
      <c r="L719" s="50">
        <f t="shared" si="101"/>
        <v>1.449409762001146E-2</v>
      </c>
      <c r="P719" s="50">
        <f t="shared" si="96"/>
        <v>1.449409762001146E-2</v>
      </c>
      <c r="Q719" s="51">
        <f t="shared" si="102"/>
        <v>81.725946828487082</v>
      </c>
      <c r="R719" s="51">
        <f t="shared" si="103"/>
        <v>61.590972738671141</v>
      </c>
      <c r="Y719">
        <v>714</v>
      </c>
      <c r="Z719">
        <v>6.5702514506739851</v>
      </c>
    </row>
    <row r="720" spans="1:26" x14ac:dyDescent="0.15">
      <c r="A720" s="59">
        <v>41951.75</v>
      </c>
      <c r="B720">
        <v>14.450983000000001</v>
      </c>
      <c r="C720">
        <v>111.23278000000001</v>
      </c>
      <c r="D720">
        <v>50.280338</v>
      </c>
      <c r="E720">
        <v>15.6005</v>
      </c>
      <c r="F720">
        <v>1453.6999510000001</v>
      </c>
      <c r="H720" s="50">
        <f t="shared" si="97"/>
        <v>-2.3985677488904348E-3</v>
      </c>
      <c r="I720" s="50">
        <f t="shared" si="98"/>
        <v>-1.4974022794877263E-3</v>
      </c>
      <c r="J720" s="50">
        <f t="shared" si="99"/>
        <v>-1.4988066507840694E-2</v>
      </c>
      <c r="K720" s="50">
        <f t="shared" si="100"/>
        <v>1.6050849089917084E-3</v>
      </c>
      <c r="L720" s="50">
        <f t="shared" si="101"/>
        <v>1.0089006555951149E-2</v>
      </c>
      <c r="P720" s="50">
        <f t="shared" si="96"/>
        <v>1.0089006555951149E-2</v>
      </c>
      <c r="Q720" s="51">
        <f t="shared" si="102"/>
        <v>82.550480441830999</v>
      </c>
      <c r="R720" s="51">
        <f t="shared" si="103"/>
        <v>61.44324261783737</v>
      </c>
      <c r="Y720">
        <v>715</v>
      </c>
      <c r="Z720">
        <v>5.8942734961248062</v>
      </c>
    </row>
    <row r="721" spans="1:26" x14ac:dyDescent="0.15">
      <c r="A721" s="59">
        <v>41954.75</v>
      </c>
      <c r="B721">
        <v>14.485728</v>
      </c>
      <c r="C721">
        <v>111.39959</v>
      </c>
      <c r="D721">
        <v>51.045409999999997</v>
      </c>
      <c r="E721">
        <v>15.5755</v>
      </c>
      <c r="F721">
        <v>1439.1800539999999</v>
      </c>
      <c r="H721" s="50">
        <f t="shared" si="97"/>
        <v>-4.5093324993948497E-2</v>
      </c>
      <c r="I721" s="50">
        <f t="shared" si="98"/>
        <v>-1.3048835905422568E-2</v>
      </c>
      <c r="J721" s="50">
        <f t="shared" si="99"/>
        <v>-1.1555461885317433E-2</v>
      </c>
      <c r="K721" s="50">
        <f t="shared" si="100"/>
        <v>-1.5703993933265922E-2</v>
      </c>
      <c r="L721" s="50">
        <f t="shared" si="101"/>
        <v>-2.8270479467098698E-2</v>
      </c>
      <c r="P721" s="50">
        <f t="shared" si="96"/>
        <v>-2.8270479467098698E-2</v>
      </c>
      <c r="Q721" s="51">
        <f t="shared" si="102"/>
        <v>80.216738779501085</v>
      </c>
      <c r="R721" s="51">
        <f t="shared" si="103"/>
        <v>58.672562509789202</v>
      </c>
      <c r="Y721">
        <v>716</v>
      </c>
      <c r="Z721">
        <v>9.6964506720258239</v>
      </c>
    </row>
    <row r="722" spans="1:26" x14ac:dyDescent="0.15">
      <c r="A722" s="59">
        <v>41955.75</v>
      </c>
      <c r="B722">
        <v>15.169784</v>
      </c>
      <c r="C722">
        <v>112.872444</v>
      </c>
      <c r="D722">
        <v>51.642158999999999</v>
      </c>
      <c r="E722">
        <v>15.824</v>
      </c>
      <c r="F722">
        <v>1481.0500489999999</v>
      </c>
      <c r="H722" s="50">
        <f t="shared" si="97"/>
        <v>-2.4094733956172347E-4</v>
      </c>
      <c r="I722" s="50">
        <f t="shared" si="98"/>
        <v>1.6607400878178131E-3</v>
      </c>
      <c r="J722" s="50">
        <f t="shared" si="99"/>
        <v>-9.246904496046874E-3</v>
      </c>
      <c r="K722" s="50">
        <f t="shared" si="100"/>
        <v>-3.4592213129631282E-2</v>
      </c>
      <c r="L722" s="50">
        <f t="shared" si="101"/>
        <v>7.1197033233600703E-3</v>
      </c>
      <c r="P722" s="50">
        <f t="shared" si="96"/>
        <v>7.1197033233600703E-3</v>
      </c>
      <c r="Q722" s="51">
        <f t="shared" si="102"/>
        <v>80.787858161178605</v>
      </c>
      <c r="R722" s="51">
        <f t="shared" si="103"/>
        <v>58.6584255119472</v>
      </c>
      <c r="Y722">
        <v>717</v>
      </c>
      <c r="Z722">
        <v>5.8711620457236293</v>
      </c>
    </row>
    <row r="723" spans="1:26" x14ac:dyDescent="0.15">
      <c r="A723" s="59">
        <v>41956.75</v>
      </c>
      <c r="B723">
        <v>15.173439999999999</v>
      </c>
      <c r="C723">
        <v>112.685303</v>
      </c>
      <c r="D723">
        <v>52.124146000000003</v>
      </c>
      <c r="E723">
        <v>16.391000999999999</v>
      </c>
      <c r="F723">
        <v>1470.579956</v>
      </c>
      <c r="H723" s="50">
        <f t="shared" si="97"/>
        <v>-7.2989186002176592E-3</v>
      </c>
      <c r="I723" s="50">
        <f t="shared" si="98"/>
        <v>7.2383799351962715E-5</v>
      </c>
      <c r="J723" s="50">
        <f t="shared" si="99"/>
        <v>7.1502949264550426E-3</v>
      </c>
      <c r="K723" s="50">
        <f t="shared" si="100"/>
        <v>1.4765578083887907E-2</v>
      </c>
      <c r="L723" s="50">
        <f t="shared" si="101"/>
        <v>1.3389333755060467E-2</v>
      </c>
      <c r="P723" s="50">
        <f t="shared" si="96"/>
        <v>1.3389333755060467E-2</v>
      </c>
      <c r="Q723" s="51">
        <f t="shared" si="102"/>
        <v>81.869553757455122</v>
      </c>
      <c r="R723" s="51">
        <f t="shared" si="103"/>
        <v>58.230282438918564</v>
      </c>
      <c r="Y723">
        <v>718</v>
      </c>
      <c r="Z723">
        <v>6.7993916359662991</v>
      </c>
    </row>
    <row r="724" spans="1:26" x14ac:dyDescent="0.15">
      <c r="A724" s="59">
        <v>41957.75</v>
      </c>
      <c r="B724">
        <v>15.285004000000001</v>
      </c>
      <c r="C724">
        <v>112.67714700000001</v>
      </c>
      <c r="D724">
        <v>51.754089</v>
      </c>
      <c r="E724">
        <v>16.1525</v>
      </c>
      <c r="F724">
        <v>1451.150024</v>
      </c>
      <c r="H724" s="50">
        <f t="shared" si="97"/>
        <v>-2.6257981520034406E-3</v>
      </c>
      <c r="I724" s="50">
        <f t="shared" si="98"/>
        <v>-5.3155524307713529E-3</v>
      </c>
      <c r="J724" s="50">
        <f t="shared" si="99"/>
        <v>-5.6287724280242252E-3</v>
      </c>
      <c r="K724" s="50">
        <f t="shared" si="100"/>
        <v>-5.7858615701844203E-3</v>
      </c>
      <c r="L724" s="50">
        <f t="shared" si="101"/>
        <v>-5.2030972291367732E-3</v>
      </c>
      <c r="P724" s="50">
        <f t="shared" si="96"/>
        <v>-5.2030972291367732E-3</v>
      </c>
      <c r="Q724" s="51">
        <f t="shared" si="102"/>
        <v>81.443578509149035</v>
      </c>
      <c r="R724" s="51">
        <f t="shared" si="103"/>
        <v>58.077381470899809</v>
      </c>
      <c r="Y724">
        <v>719</v>
      </c>
      <c r="Z724">
        <v>7.562972261769846</v>
      </c>
    </row>
    <row r="725" spans="1:26" x14ac:dyDescent="0.15">
      <c r="A725" s="59">
        <v>41958.75</v>
      </c>
      <c r="B725">
        <v>15.325245000000001</v>
      </c>
      <c r="C725">
        <v>113.27928900000001</v>
      </c>
      <c r="D725">
        <v>52.047049999999999</v>
      </c>
      <c r="E725">
        <v>16.246500000000001</v>
      </c>
      <c r="F725">
        <v>1458.73999</v>
      </c>
      <c r="H725" s="50">
        <f t="shared" si="97"/>
        <v>-1.4119512794336882E-2</v>
      </c>
      <c r="I725" s="50">
        <f t="shared" si="98"/>
        <v>-5.713968076424397E-3</v>
      </c>
      <c r="J725" s="50">
        <f t="shared" si="99"/>
        <v>-6.8827679022792257E-2</v>
      </c>
      <c r="K725" s="50">
        <f t="shared" si="100"/>
        <v>-4.9304832486066442E-3</v>
      </c>
      <c r="L725" s="50">
        <f t="shared" si="101"/>
        <v>1.7770531473197286E-2</v>
      </c>
      <c r="P725" s="50">
        <f t="shared" si="96"/>
        <v>1.7770531473197286E-2</v>
      </c>
      <c r="Q725" s="51">
        <f t="shared" si="102"/>
        <v>82.890874184335686</v>
      </c>
      <c r="R725" s="51">
        <f t="shared" si="103"/>
        <v>57.257357140159854</v>
      </c>
      <c r="Y725">
        <v>720</v>
      </c>
      <c r="Z725">
        <v>7.1218038258601695</v>
      </c>
    </row>
    <row r="726" spans="1:26" x14ac:dyDescent="0.15">
      <c r="A726" s="59">
        <v>41961.75</v>
      </c>
      <c r="B726">
        <v>15.544729</v>
      </c>
      <c r="C726">
        <v>113.930283</v>
      </c>
      <c r="D726">
        <v>55.894112</v>
      </c>
      <c r="E726">
        <v>16.327000000000002</v>
      </c>
      <c r="F726">
        <v>1433.2700199999999</v>
      </c>
      <c r="H726" s="50">
        <f t="shared" si="97"/>
        <v>4.8477882782090465E-3</v>
      </c>
      <c r="I726" s="50">
        <f t="shared" si="98"/>
        <v>5.4576454909175251E-3</v>
      </c>
      <c r="J726" s="50">
        <f t="shared" si="99"/>
        <v>1.8401186586050378E-2</v>
      </c>
      <c r="K726" s="50">
        <f t="shared" si="100"/>
        <v>-1.2101409814243316E-2</v>
      </c>
      <c r="L726" s="50">
        <f t="shared" si="101"/>
        <v>-4.4661604631812089E-3</v>
      </c>
      <c r="P726" s="50">
        <f t="shared" si="96"/>
        <v>-4.4661604631812089E-3</v>
      </c>
      <c r="Q726" s="51">
        <f t="shared" si="102"/>
        <v>82.520670239295086</v>
      </c>
      <c r="R726" s="51">
        <f t="shared" si="103"/>
        <v>57.534928684945143</v>
      </c>
      <c r="Y726">
        <v>721</v>
      </c>
      <c r="Z726">
        <v>6.6995261294147586</v>
      </c>
    </row>
    <row r="727" spans="1:26" x14ac:dyDescent="0.15">
      <c r="A727" s="59">
        <v>41962.75</v>
      </c>
      <c r="B727">
        <v>15.469735</v>
      </c>
      <c r="C727">
        <v>113.31186700000001</v>
      </c>
      <c r="D727">
        <v>54.884177999999999</v>
      </c>
      <c r="E727">
        <v>16.527000000000001</v>
      </c>
      <c r="F727">
        <v>1439.6999510000001</v>
      </c>
      <c r="H727" s="50">
        <f t="shared" si="97"/>
        <v>-8.2725428245215978E-4</v>
      </c>
      <c r="I727" s="50">
        <f t="shared" si="98"/>
        <v>-3.3637392831592874E-3</v>
      </c>
      <c r="J727" s="50">
        <f t="shared" si="99"/>
        <v>-4.4746798939563374E-3</v>
      </c>
      <c r="K727" s="50">
        <f t="shared" si="100"/>
        <v>-6.2832576736913713E-3</v>
      </c>
      <c r="L727" s="50">
        <f t="shared" si="101"/>
        <v>1.618465289094706E-2</v>
      </c>
      <c r="P727" s="50">
        <f t="shared" si="96"/>
        <v>1.618465289094706E-2</v>
      </c>
      <c r="Q727" s="51">
        <f t="shared" si="102"/>
        <v>83.856238643446389</v>
      </c>
      <c r="R727" s="51">
        <f t="shared" si="103"/>
        <v>57.487332668799944</v>
      </c>
      <c r="Y727">
        <v>722</v>
      </c>
      <c r="Z727">
        <v>7.413382171582569</v>
      </c>
    </row>
    <row r="728" spans="1:26" x14ac:dyDescent="0.15">
      <c r="A728" s="59">
        <v>41963.75</v>
      </c>
      <c r="B728">
        <v>15.482543</v>
      </c>
      <c r="C728">
        <v>113.694305</v>
      </c>
      <c r="D728">
        <v>55.130870999999999</v>
      </c>
      <c r="E728">
        <v>16.631499999999999</v>
      </c>
      <c r="F728">
        <v>1416.7700199999999</v>
      </c>
      <c r="H728" s="50">
        <f t="shared" si="97"/>
        <v>-8.7821687945967356E-3</v>
      </c>
      <c r="I728" s="50">
        <f t="shared" si="98"/>
        <v>-5.7220766435309655E-4</v>
      </c>
      <c r="J728" s="50">
        <f t="shared" si="99"/>
        <v>-8.3806486939611089E-4</v>
      </c>
      <c r="K728" s="50">
        <f t="shared" si="100"/>
        <v>-8.9679418424503023E-3</v>
      </c>
      <c r="L728" s="50">
        <f t="shared" si="101"/>
        <v>-1.6609933930649606E-2</v>
      </c>
      <c r="P728" s="50">
        <f t="shared" si="96"/>
        <v>-1.6609933930649606E-2</v>
      </c>
      <c r="Q728" s="51">
        <f t="shared" si="102"/>
        <v>82.463392059905956</v>
      </c>
      <c r="R728" s="51">
        <f t="shared" si="103"/>
        <v>56.982469209751407</v>
      </c>
      <c r="Y728">
        <v>723</v>
      </c>
      <c r="Z728">
        <v>9.2396322349173108</v>
      </c>
    </row>
    <row r="729" spans="1:26" x14ac:dyDescent="0.15">
      <c r="A729" s="59">
        <v>41965.75</v>
      </c>
      <c r="B729">
        <v>15.619718000000001</v>
      </c>
      <c r="C729">
        <v>113.759399</v>
      </c>
      <c r="D729">
        <v>55.177112999999999</v>
      </c>
      <c r="E729">
        <v>16.782</v>
      </c>
      <c r="F729">
        <v>1440.6999510000001</v>
      </c>
      <c r="H729" s="50">
        <f t="shared" si="97"/>
        <v>5.2976668048707702E-3</v>
      </c>
      <c r="I729" s="50">
        <f t="shared" si="98"/>
        <v>6.6966922148864348E-3</v>
      </c>
      <c r="J729" s="50">
        <f t="shared" si="99"/>
        <v>-7.3512740381125128E-3</v>
      </c>
      <c r="K729" s="50">
        <f t="shared" si="100"/>
        <v>1.7907711442949478E-3</v>
      </c>
      <c r="L729" s="50">
        <f t="shared" si="101"/>
        <v>2.3791575368425515E-2</v>
      </c>
      <c r="P729" s="50">
        <f t="shared" si="96"/>
        <v>2.3791575368425515E-2</v>
      </c>
      <c r="Q729" s="51">
        <f t="shared" si="102"/>
        <v>84.425326067235233</v>
      </c>
      <c r="R729" s="51">
        <f t="shared" si="103"/>
        <v>57.28434334534348</v>
      </c>
      <c r="Y729">
        <v>724</v>
      </c>
      <c r="Z729">
        <v>6.4325900545796344</v>
      </c>
    </row>
    <row r="730" spans="1:26" x14ac:dyDescent="0.15">
      <c r="A730" s="59">
        <v>41968.75</v>
      </c>
      <c r="B730">
        <v>15.537406000000001</v>
      </c>
      <c r="C730">
        <v>113.002655</v>
      </c>
      <c r="D730">
        <v>55.585738999999997</v>
      </c>
      <c r="E730">
        <v>16.752001</v>
      </c>
      <c r="F730">
        <v>1407.219971</v>
      </c>
      <c r="H730" s="50">
        <f t="shared" si="97"/>
        <v>-3.533446594064053E-4</v>
      </c>
      <c r="I730" s="50">
        <f t="shared" si="98"/>
        <v>-6.2970007177884681E-3</v>
      </c>
      <c r="J730" s="50">
        <f t="shared" si="99"/>
        <v>-8.3135621845195162E-4</v>
      </c>
      <c r="K730" s="50">
        <f t="shared" si="100"/>
        <v>4.406991300596132E-3</v>
      </c>
      <c r="L730" s="50">
        <f t="shared" si="101"/>
        <v>-1.4710522320782037E-2</v>
      </c>
      <c r="P730" s="50">
        <f t="shared" si="96"/>
        <v>-1.4710522320782037E-2</v>
      </c>
      <c r="Q730" s="51">
        <f t="shared" si="102"/>
        <v>83.183385423683859</v>
      </c>
      <c r="R730" s="51">
        <f t="shared" si="103"/>
        <v>57.264102228554798</v>
      </c>
      <c r="Y730">
        <v>725</v>
      </c>
      <c r="Z730">
        <v>8.6993402665460557</v>
      </c>
    </row>
    <row r="731" spans="1:26" x14ac:dyDescent="0.15">
      <c r="A731" s="59">
        <v>41969.75</v>
      </c>
      <c r="B731">
        <v>15.542897999999999</v>
      </c>
      <c r="C731">
        <v>113.71874200000001</v>
      </c>
      <c r="D731">
        <v>55.631988999999997</v>
      </c>
      <c r="E731">
        <v>16.678498999999999</v>
      </c>
      <c r="F731">
        <v>1428.2299800000001</v>
      </c>
      <c r="H731" s="50">
        <f t="shared" si="97"/>
        <v>-2.9243914512945661E-2</v>
      </c>
      <c r="I731" s="50">
        <f t="shared" si="98"/>
        <v>-1.6675889683614817E-2</v>
      </c>
      <c r="J731" s="50">
        <f t="shared" si="99"/>
        <v>-2.4865154697867996E-2</v>
      </c>
      <c r="K731" s="50">
        <f t="shared" si="100"/>
        <v>-1.497165219534932E-2</v>
      </c>
      <c r="L731" s="50">
        <f t="shared" si="101"/>
        <v>-2.7766837377750552E-2</v>
      </c>
      <c r="P731" s="50">
        <f t="shared" si="96"/>
        <v>-2.7766837377750552E-2</v>
      </c>
      <c r="Q731" s="51">
        <f t="shared" si="102"/>
        <v>80.873645888093691</v>
      </c>
      <c r="R731" s="51">
        <f t="shared" si="103"/>
        <v>55.589475718322362</v>
      </c>
      <c r="Y731">
        <v>726</v>
      </c>
      <c r="Z731">
        <v>5.4142544691808556</v>
      </c>
    </row>
    <row r="732" spans="1:26" x14ac:dyDescent="0.15">
      <c r="A732" s="59">
        <v>41970.75</v>
      </c>
      <c r="B732">
        <v>16.011126000000001</v>
      </c>
      <c r="C732">
        <v>115.647263</v>
      </c>
      <c r="D732">
        <v>57.050559999999997</v>
      </c>
      <c r="E732">
        <v>16.931999000000001</v>
      </c>
      <c r="F732">
        <v>1469.0200199999999</v>
      </c>
      <c r="H732" s="50">
        <f t="shared" si="97"/>
        <v>1.5309872214388018E-2</v>
      </c>
      <c r="I732" s="50">
        <f t="shared" si="98"/>
        <v>9.8599237338808476E-4</v>
      </c>
      <c r="J732" s="50">
        <f t="shared" si="99"/>
        <v>1.7182205088164652E-2</v>
      </c>
      <c r="K732" s="50">
        <f t="shared" si="100"/>
        <v>3.8773008513681595E-2</v>
      </c>
      <c r="L732" s="50">
        <f t="shared" si="101"/>
        <v>-4.7624786613180989E-4</v>
      </c>
      <c r="P732" s="50">
        <f t="shared" si="96"/>
        <v>-4.7624786613180989E-4</v>
      </c>
      <c r="Q732" s="51">
        <f t="shared" si="102"/>
        <v>80.835129986813186</v>
      </c>
      <c r="R732" s="51">
        <f t="shared" si="103"/>
        <v>56.440543488034706</v>
      </c>
      <c r="Y732">
        <v>727</v>
      </c>
      <c r="Z732">
        <v>7.4484913010882119</v>
      </c>
    </row>
    <row r="733" spans="1:26" x14ac:dyDescent="0.15">
      <c r="A733" s="59">
        <v>41971.75</v>
      </c>
      <c r="B733">
        <v>15.769693999999999</v>
      </c>
      <c r="C733">
        <v>115.533348</v>
      </c>
      <c r="D733">
        <v>56.086863999999998</v>
      </c>
      <c r="E733">
        <v>16.299999</v>
      </c>
      <c r="F733">
        <v>1469.719971</v>
      </c>
      <c r="H733" s="50">
        <f t="shared" si="97"/>
        <v>-2.0833259505895103E-3</v>
      </c>
      <c r="I733" s="50">
        <f t="shared" si="98"/>
        <v>-7.5492278857098834E-3</v>
      </c>
      <c r="J733" s="50">
        <f t="shared" si="99"/>
        <v>-4.3793603774686923E-3</v>
      </c>
      <c r="K733" s="50">
        <f t="shared" si="100"/>
        <v>-9.5007814654778772E-4</v>
      </c>
      <c r="L733" s="50">
        <f t="shared" si="101"/>
        <v>-7.7103068476615036E-3</v>
      </c>
      <c r="P733" s="50">
        <f t="shared" si="96"/>
        <v>-7.7103068476615036E-3</v>
      </c>
      <c r="Q733" s="51">
        <f t="shared" si="102"/>
        <v>80.211866330544254</v>
      </c>
      <c r="R733" s="51">
        <f t="shared" si="103"/>
        <v>56.322959439120709</v>
      </c>
      <c r="Y733">
        <v>728</v>
      </c>
      <c r="Z733">
        <v>8.5145332273523771</v>
      </c>
    </row>
    <row r="734" spans="1:26" x14ac:dyDescent="0.15">
      <c r="A734" s="59">
        <v>41972.75</v>
      </c>
      <c r="B734">
        <v>15.802616</v>
      </c>
      <c r="C734">
        <v>116.41217</v>
      </c>
      <c r="D734">
        <v>56.333568999999997</v>
      </c>
      <c r="E734">
        <v>16.3155</v>
      </c>
      <c r="F734">
        <v>1481.1400149999999</v>
      </c>
      <c r="H734" s="50">
        <f t="shared" si="97"/>
        <v>2.35206248536336E-4</v>
      </c>
      <c r="I734" s="50">
        <f t="shared" si="98"/>
        <v>2.5932152945728434E-3</v>
      </c>
      <c r="J734" s="50">
        <f t="shared" si="99"/>
        <v>-3.5459347630149838E-3</v>
      </c>
      <c r="K734" s="50">
        <f t="shared" si="100"/>
        <v>3.0995260663507163E-2</v>
      </c>
      <c r="L734" s="50">
        <f t="shared" si="101"/>
        <v>5.9222034062448468E-3</v>
      </c>
      <c r="P734" s="50">
        <f t="shared" si="96"/>
        <v>5.9222034062448468E-3</v>
      </c>
      <c r="Q734" s="51">
        <f t="shared" si="102"/>
        <v>80.686897318548262</v>
      </c>
      <c r="R734" s="51">
        <f t="shared" si="103"/>
        <v>56.336206951116843</v>
      </c>
      <c r="Y734">
        <v>729</v>
      </c>
      <c r="Z734">
        <v>8.4619893440768212</v>
      </c>
    </row>
    <row r="735" spans="1:26" x14ac:dyDescent="0.15">
      <c r="A735" s="59">
        <v>41975.75</v>
      </c>
      <c r="B735">
        <v>15.7989</v>
      </c>
      <c r="C735">
        <v>116.111069</v>
      </c>
      <c r="D735">
        <v>56.534035000000003</v>
      </c>
      <c r="E735">
        <v>15.824999999999999</v>
      </c>
      <c r="F735">
        <v>1472.420044</v>
      </c>
      <c r="H735" s="50">
        <f t="shared" si="97"/>
        <v>2.123698710449757E-3</v>
      </c>
      <c r="I735" s="50">
        <f t="shared" si="98"/>
        <v>-2.3075089025899353E-3</v>
      </c>
      <c r="J735" s="50">
        <f t="shared" si="99"/>
        <v>6.8278051576575521E-4</v>
      </c>
      <c r="K735" s="50">
        <f t="shared" si="100"/>
        <v>-1.3567664784022596E-3</v>
      </c>
      <c r="L735" s="50">
        <f t="shared" si="101"/>
        <v>6.5833132187468925E-3</v>
      </c>
      <c r="P735" s="50">
        <f t="shared" si="96"/>
        <v>6.5833132187468925E-3</v>
      </c>
      <c r="Q735" s="51">
        <f t="shared" si="102"/>
        <v>81.218084436245135</v>
      </c>
      <c r="R735" s="51">
        <f t="shared" si="103"/>
        <v>56.455848081170565</v>
      </c>
      <c r="Y735">
        <v>730</v>
      </c>
      <c r="Z735">
        <v>5.3231948760144032</v>
      </c>
    </row>
    <row r="736" spans="1:26" x14ac:dyDescent="0.15">
      <c r="A736" s="59">
        <v>41976.75</v>
      </c>
      <c r="B736">
        <v>15.765419</v>
      </c>
      <c r="C736">
        <v>116.379616</v>
      </c>
      <c r="D736">
        <v>56.495460999999999</v>
      </c>
      <c r="E736">
        <v>15.846500000000001</v>
      </c>
      <c r="F736">
        <v>1462.790039</v>
      </c>
      <c r="H736" s="50">
        <f t="shared" si="97"/>
        <v>7.6084076982686922E-3</v>
      </c>
      <c r="I736" s="50">
        <f t="shared" si="98"/>
        <v>-1.605706078132683E-3</v>
      </c>
      <c r="J736" s="50">
        <f t="shared" si="99"/>
        <v>-5.1590083494643868E-3</v>
      </c>
      <c r="K736" s="50">
        <f t="shared" si="100"/>
        <v>1.3754278220260362E-2</v>
      </c>
      <c r="L736" s="50">
        <f t="shared" si="101"/>
        <v>-1.4962842573700891E-2</v>
      </c>
      <c r="P736" s="50">
        <f t="shared" si="96"/>
        <v>-1.4962842573700891E-2</v>
      </c>
      <c r="Q736" s="51">
        <f t="shared" si="102"/>
        <v>80.002831024688064</v>
      </c>
      <c r="R736" s="51">
        <f t="shared" si="103"/>
        <v>56.885387190323634</v>
      </c>
      <c r="Y736">
        <v>731</v>
      </c>
      <c r="Z736">
        <v>9.2781214102423313</v>
      </c>
    </row>
    <row r="737" spans="1:26" x14ac:dyDescent="0.15">
      <c r="A737" s="59">
        <v>41977.75</v>
      </c>
      <c r="B737">
        <v>15.646375000000001</v>
      </c>
      <c r="C737">
        <v>116.566788</v>
      </c>
      <c r="D737">
        <v>56.788432999999998</v>
      </c>
      <c r="E737">
        <v>15.631500000000001</v>
      </c>
      <c r="F737">
        <v>1485.01001</v>
      </c>
      <c r="H737" s="50">
        <f t="shared" si="97"/>
        <v>-1.3061346520593022E-3</v>
      </c>
      <c r="I737" s="50">
        <f t="shared" si="98"/>
        <v>6.4640134345796321E-3</v>
      </c>
      <c r="J737" s="50">
        <f t="shared" si="99"/>
        <v>-1.62611622651444E-3</v>
      </c>
      <c r="K737" s="50">
        <f t="shared" si="100"/>
        <v>1.9534307331072271E-2</v>
      </c>
      <c r="L737" s="50">
        <f t="shared" si="101"/>
        <v>-1.4814147109266018E-2</v>
      </c>
      <c r="P737" s="50">
        <f t="shared" si="96"/>
        <v>-1.4814147109266018E-2</v>
      </c>
      <c r="Q737" s="51">
        <f t="shared" si="102"/>
        <v>78.817657316730589</v>
      </c>
      <c r="R737" s="51">
        <f t="shared" si="103"/>
        <v>56.811087214918544</v>
      </c>
      <c r="Y737">
        <v>732</v>
      </c>
      <c r="Z737">
        <v>9.6277514594369613</v>
      </c>
    </row>
    <row r="738" spans="1:26" x14ac:dyDescent="0.15">
      <c r="A738" s="59">
        <v>41978.75</v>
      </c>
      <c r="B738">
        <v>15.666838</v>
      </c>
      <c r="C738">
        <v>115.818138</v>
      </c>
      <c r="D738">
        <v>56.880927999999997</v>
      </c>
      <c r="E738">
        <v>15.332000000000001</v>
      </c>
      <c r="F738">
        <v>1507.339966</v>
      </c>
      <c r="H738" s="50">
        <f t="shared" si="97"/>
        <v>8.0184200269022635E-3</v>
      </c>
      <c r="I738" s="50">
        <f t="shared" si="98"/>
        <v>-4.9636120288172707E-3</v>
      </c>
      <c r="J738" s="50">
        <f t="shared" si="99"/>
        <v>2.445376958781218E-3</v>
      </c>
      <c r="K738" s="50">
        <f t="shared" si="100"/>
        <v>-1.8751999999999953E-2</v>
      </c>
      <c r="L738" s="50">
        <f t="shared" si="101"/>
        <v>1.7810880460987961E-3</v>
      </c>
      <c r="P738" s="50">
        <f t="shared" si="96"/>
        <v>1.7810880460987961E-3</v>
      </c>
      <c r="Q738" s="51">
        <f t="shared" si="102"/>
        <v>78.958038503998935</v>
      </c>
      <c r="R738" s="51">
        <f t="shared" si="103"/>
        <v>57.266622374392739</v>
      </c>
      <c r="Y738">
        <v>733</v>
      </c>
      <c r="Z738">
        <v>5.6859063101450245</v>
      </c>
    </row>
    <row r="739" spans="1:26" x14ac:dyDescent="0.15">
      <c r="A739" s="59">
        <v>41979.75</v>
      </c>
      <c r="B739">
        <v>15.542214</v>
      </c>
      <c r="C739">
        <v>116.395882</v>
      </c>
      <c r="D739">
        <v>56.742171999999997</v>
      </c>
      <c r="E739">
        <v>15.625</v>
      </c>
      <c r="F739">
        <v>1504.660034</v>
      </c>
      <c r="H739" s="50">
        <f t="shared" si="97"/>
        <v>6.9893506284493178E-3</v>
      </c>
      <c r="I739" s="50">
        <f t="shared" si="98"/>
        <v>1.989281055540186E-2</v>
      </c>
      <c r="J739" s="50">
        <f t="shared" si="99"/>
        <v>9.463742825525201E-3</v>
      </c>
      <c r="K739" s="50">
        <f t="shared" si="100"/>
        <v>2.1776092074287223E-2</v>
      </c>
      <c r="L739" s="50">
        <f t="shared" si="101"/>
        <v>-7.4539745710342177E-3</v>
      </c>
      <c r="P739" s="50">
        <f t="shared" si="96"/>
        <v>-7.4539745710342177E-3</v>
      </c>
      <c r="Q739" s="51">
        <f t="shared" si="102"/>
        <v>78.369487292811385</v>
      </c>
      <c r="R739" s="51">
        <f t="shared" si="103"/>
        <v>57.666878877474367</v>
      </c>
      <c r="Y739">
        <v>734</v>
      </c>
      <c r="Z739">
        <v>5.5349597672999886</v>
      </c>
    </row>
    <row r="740" spans="1:26" x14ac:dyDescent="0.15">
      <c r="A740" s="59">
        <v>41982.75</v>
      </c>
      <c r="B740">
        <v>15.434338</v>
      </c>
      <c r="C740">
        <v>114.125603</v>
      </c>
      <c r="D740">
        <v>56.210213000000003</v>
      </c>
      <c r="E740">
        <v>15.292</v>
      </c>
      <c r="F740">
        <v>1515.959961</v>
      </c>
      <c r="H740" s="50">
        <f t="shared" si="97"/>
        <v>-1.0139149556656728E-2</v>
      </c>
      <c r="I740" s="50">
        <f t="shared" si="98"/>
        <v>-8.2027478196240716E-3</v>
      </c>
      <c r="J740" s="50">
        <f t="shared" si="99"/>
        <v>-8.4316856826791558E-3</v>
      </c>
      <c r="K740" s="50">
        <f t="shared" si="100"/>
        <v>-4.9453409682457383E-3</v>
      </c>
      <c r="L740" s="50">
        <f t="shared" si="101"/>
        <v>2.5926258841924527E-2</v>
      </c>
      <c r="P740" s="50">
        <f t="shared" si="96"/>
        <v>2.5926258841924527E-2</v>
      </c>
      <c r="Q740" s="51">
        <f t="shared" si="102"/>
        <v>80.401314905673729</v>
      </c>
      <c r="R740" s="51">
        <f t="shared" si="103"/>
        <v>57.082185768070048</v>
      </c>
      <c r="Y740">
        <v>735</v>
      </c>
      <c r="Z740">
        <v>5.8383203516864199</v>
      </c>
    </row>
    <row r="741" spans="1:26" x14ac:dyDescent="0.15">
      <c r="A741" s="59">
        <v>41983.75</v>
      </c>
      <c r="B741">
        <v>15.592432000000001</v>
      </c>
      <c r="C741">
        <v>115.069489</v>
      </c>
      <c r="D741">
        <v>56.688189999999999</v>
      </c>
      <c r="E741">
        <v>15.368</v>
      </c>
      <c r="F741">
        <v>1477.650024</v>
      </c>
      <c r="H741" s="50">
        <f t="shared" si="97"/>
        <v>2.3837755463636124E-4</v>
      </c>
      <c r="I741" s="50">
        <f t="shared" si="98"/>
        <v>2.5601925698050379E-2</v>
      </c>
      <c r="J741" s="50">
        <f t="shared" si="99"/>
        <v>1.5607604992169044E-2</v>
      </c>
      <c r="K741" s="50">
        <f t="shared" si="100"/>
        <v>1.3015749056362541E-4</v>
      </c>
      <c r="L741" s="50">
        <f t="shared" si="101"/>
        <v>-6.0137241636675854E-3</v>
      </c>
      <c r="P741" s="50">
        <f t="shared" si="96"/>
        <v>-6.0137241636675854E-3</v>
      </c>
      <c r="Q741" s="51">
        <f t="shared" si="102"/>
        <v>79.917803575434831</v>
      </c>
      <c r="R741" s="51">
        <f t="shared" si="103"/>
        <v>57.095792879926741</v>
      </c>
      <c r="Y741">
        <v>736</v>
      </c>
      <c r="Z741">
        <v>9.8027031320026623</v>
      </c>
    </row>
    <row r="742" spans="1:26" x14ac:dyDescent="0.15">
      <c r="A742" s="59">
        <v>41984.75</v>
      </c>
      <c r="B742">
        <v>15.588716</v>
      </c>
      <c r="C742">
        <v>112.197029</v>
      </c>
      <c r="D742">
        <v>55.817019999999999</v>
      </c>
      <c r="E742">
        <v>15.366</v>
      </c>
      <c r="F742">
        <v>1486.589966</v>
      </c>
      <c r="H742" s="50">
        <f t="shared" si="97"/>
        <v>-1.5486557746017106E-3</v>
      </c>
      <c r="I742" s="50">
        <f t="shared" si="98"/>
        <v>-2.2435796364723586E-3</v>
      </c>
      <c r="J742" s="50">
        <f t="shared" si="99"/>
        <v>-1.0928792586666193E-2</v>
      </c>
      <c r="K742" s="50">
        <f t="shared" si="100"/>
        <v>4.0840330643316892E-3</v>
      </c>
      <c r="L742" s="50">
        <f t="shared" si="101"/>
        <v>-1.2228270156904842E-3</v>
      </c>
      <c r="P742" s="50">
        <f t="shared" si="96"/>
        <v>-1.2228270156904842E-3</v>
      </c>
      <c r="Q742" s="51">
        <f t="shared" si="102"/>
        <v>79.820077926188148</v>
      </c>
      <c r="R742" s="51">
        <f t="shared" si="103"/>
        <v>57.007371150577775</v>
      </c>
      <c r="Y742">
        <v>737</v>
      </c>
      <c r="Z742">
        <v>7.6509954580411295</v>
      </c>
    </row>
    <row r="743" spans="1:26" x14ac:dyDescent="0.15">
      <c r="A743" s="59">
        <v>41985.75</v>
      </c>
      <c r="B743">
        <v>15.612895</v>
      </c>
      <c r="C743">
        <v>112.44931800000001</v>
      </c>
      <c r="D743">
        <v>56.433773000000002</v>
      </c>
      <c r="E743">
        <v>15.3035</v>
      </c>
      <c r="F743">
        <v>1488.410034</v>
      </c>
      <c r="H743" s="50">
        <f t="shared" si="97"/>
        <v>1.1812945356548981E-2</v>
      </c>
      <c r="I743" s="50">
        <f t="shared" si="98"/>
        <v>6.4088990678162856E-3</v>
      </c>
      <c r="J743" s="50">
        <f t="shared" si="99"/>
        <v>1.2728025782550622E-2</v>
      </c>
      <c r="K743" s="50">
        <f t="shared" si="100"/>
        <v>3.7314444519758662E-2</v>
      </c>
      <c r="L743" s="50">
        <f t="shared" si="101"/>
        <v>1.3937861427810994E-2</v>
      </c>
      <c r="P743" s="50">
        <f t="shared" si="96"/>
        <v>1.3937861427810994E-2</v>
      </c>
      <c r="Q743" s="51">
        <f t="shared" si="102"/>
        <v>80.932599111480428</v>
      </c>
      <c r="R743" s="51">
        <f t="shared" si="103"/>
        <v>57.680796110900054</v>
      </c>
      <c r="Y743">
        <v>738</v>
      </c>
      <c r="Z743">
        <v>7.4989520405056318</v>
      </c>
    </row>
    <row r="744" spans="1:26" x14ac:dyDescent="0.15">
      <c r="A744" s="59">
        <v>41986.75</v>
      </c>
      <c r="B744">
        <v>15.430614</v>
      </c>
      <c r="C744">
        <v>111.733231</v>
      </c>
      <c r="D744">
        <v>55.724510000000002</v>
      </c>
      <c r="E744">
        <v>14.753</v>
      </c>
      <c r="F744">
        <v>1467.9499510000001</v>
      </c>
      <c r="H744" s="50">
        <f t="shared" si="97"/>
        <v>-1.5077962764407213E-2</v>
      </c>
      <c r="I744" s="50">
        <f t="shared" si="98"/>
        <v>-1.4498049409961293E-2</v>
      </c>
      <c r="J744" s="50">
        <f t="shared" si="99"/>
        <v>-1.7534063746688165E-2</v>
      </c>
      <c r="K744" s="50">
        <f t="shared" si="100"/>
        <v>-1.278104925053538E-2</v>
      </c>
      <c r="L744" s="50">
        <f t="shared" si="101"/>
        <v>1.5249966549554484E-2</v>
      </c>
      <c r="P744" s="50">
        <f t="shared" si="96"/>
        <v>1.5249966549554484E-2</v>
      </c>
      <c r="Q744" s="51">
        <f t="shared" si="102"/>
        <v>82.166818540699012</v>
      </c>
      <c r="R744" s="51">
        <f t="shared" si="103"/>
        <v>56.811087214918537</v>
      </c>
      <c r="Y744">
        <v>739</v>
      </c>
      <c r="Z744">
        <v>8.3497593834688129</v>
      </c>
    </row>
    <row r="745" spans="1:26" x14ac:dyDescent="0.15">
      <c r="A745" s="59">
        <v>41989.75</v>
      </c>
      <c r="B745">
        <v>15.666838</v>
      </c>
      <c r="C745">
        <v>113.376976</v>
      </c>
      <c r="D745">
        <v>56.719025000000002</v>
      </c>
      <c r="E745">
        <v>14.944000000000001</v>
      </c>
      <c r="F745">
        <v>1445.900024</v>
      </c>
      <c r="H745" s="50">
        <f t="shared" si="97"/>
        <v>-1.9897530781866679E-2</v>
      </c>
      <c r="I745" s="50">
        <f t="shared" si="98"/>
        <v>-1.575280259667618E-2</v>
      </c>
      <c r="J745" s="50">
        <f t="shared" si="99"/>
        <v>-1.4335684283929187E-2</v>
      </c>
      <c r="K745" s="50">
        <f t="shared" si="100"/>
        <v>3.8625600376180429E-3</v>
      </c>
      <c r="L745" s="50">
        <f t="shared" si="101"/>
        <v>-6.2406054549286908E-3</v>
      </c>
      <c r="P745" s="50">
        <f t="shared" si="96"/>
        <v>-6.2406054549286908E-3</v>
      </c>
      <c r="Q745" s="51">
        <f t="shared" si="102"/>
        <v>81.654047844699789</v>
      </c>
      <c r="R745" s="51">
        <f t="shared" si="103"/>
        <v>55.680686858308377</v>
      </c>
      <c r="Y745">
        <v>740</v>
      </c>
      <c r="Z745">
        <v>6.7788504814875665</v>
      </c>
    </row>
    <row r="746" spans="1:26" x14ac:dyDescent="0.15">
      <c r="A746" s="59">
        <v>41990.75</v>
      </c>
      <c r="B746">
        <v>15.984897999999999</v>
      </c>
      <c r="C746">
        <v>115.19156599999999</v>
      </c>
      <c r="D746">
        <v>57.543956999999999</v>
      </c>
      <c r="E746">
        <v>14.8865</v>
      </c>
      <c r="F746">
        <v>1454.9799800000001</v>
      </c>
      <c r="H746" s="50">
        <f t="shared" si="97"/>
        <v>9.1591324370561972E-3</v>
      </c>
      <c r="I746" s="50">
        <f t="shared" si="98"/>
        <v>-1.4813398088427646E-3</v>
      </c>
      <c r="J746" s="50">
        <f t="shared" si="99"/>
        <v>9.3303313462901605E-3</v>
      </c>
      <c r="K746" s="50">
        <f t="shared" si="100"/>
        <v>-7.2357452484160976E-3</v>
      </c>
      <c r="L746" s="50">
        <f t="shared" si="101"/>
        <v>1.3626841018582717E-3</v>
      </c>
      <c r="P746" s="50">
        <f t="shared" si="96"/>
        <v>1.3626841018582717E-3</v>
      </c>
      <c r="Q746" s="51">
        <f t="shared" si="102"/>
        <v>81.765316517550147</v>
      </c>
      <c r="R746" s="51">
        <f t="shared" si="103"/>
        <v>56.190673643429875</v>
      </c>
      <c r="Y746">
        <v>741</v>
      </c>
      <c r="Z746">
        <v>6.4929350887233754</v>
      </c>
    </row>
    <row r="747" spans="1:26" x14ac:dyDescent="0.15">
      <c r="A747" s="59">
        <v>41991.75</v>
      </c>
      <c r="B747">
        <v>15.839819</v>
      </c>
      <c r="C747">
        <v>115.36245700000001</v>
      </c>
      <c r="D747">
        <v>57.012016000000003</v>
      </c>
      <c r="E747">
        <v>14.994999999999999</v>
      </c>
      <c r="F747">
        <v>1453</v>
      </c>
      <c r="H747" s="50">
        <f t="shared" si="97"/>
        <v>-1.4123526505504759E-2</v>
      </c>
      <c r="I747" s="50">
        <f t="shared" si="98"/>
        <v>-1.0054885606752512E-2</v>
      </c>
      <c r="J747" s="50">
        <f t="shared" si="99"/>
        <v>-7.3820584897153962E-3</v>
      </c>
      <c r="K747" s="50">
        <f t="shared" si="100"/>
        <v>-2.1661120897762166E-2</v>
      </c>
      <c r="L747" s="50">
        <f t="shared" si="101"/>
        <v>-4.8763081283603798E-3</v>
      </c>
      <c r="P747" s="50">
        <f t="shared" si="96"/>
        <v>-4.8763081283603798E-3</v>
      </c>
      <c r="Q747" s="51">
        <f t="shared" si="102"/>
        <v>81.366603639997663</v>
      </c>
      <c r="R747" s="51">
        <f t="shared" si="103"/>
        <v>55.397063174864726</v>
      </c>
      <c r="Y747">
        <v>742</v>
      </c>
      <c r="Z747">
        <v>7.9471913414190469</v>
      </c>
    </row>
    <row r="748" spans="1:26" x14ac:dyDescent="0.15">
      <c r="A748" s="59">
        <v>41992.75</v>
      </c>
      <c r="B748">
        <v>16.066738000000001</v>
      </c>
      <c r="C748">
        <v>116.534195</v>
      </c>
      <c r="D748">
        <v>57.436011999999998</v>
      </c>
      <c r="E748">
        <v>15.327</v>
      </c>
      <c r="F748">
        <v>1460.119995</v>
      </c>
      <c r="H748" s="50">
        <f t="shared" si="97"/>
        <v>-3.2308824668014122E-3</v>
      </c>
      <c r="I748" s="50">
        <f t="shared" si="98"/>
        <v>-6.5212587717933162E-3</v>
      </c>
      <c r="J748" s="50">
        <f t="shared" si="99"/>
        <v>-2.5439153845655291E-3</v>
      </c>
      <c r="K748" s="50">
        <f t="shared" si="100"/>
        <v>8.1621992229581695E-4</v>
      </c>
      <c r="L748" s="50">
        <f t="shared" si="101"/>
        <v>-1.6396512293671762E-2</v>
      </c>
      <c r="P748" s="50">
        <f t="shared" si="96"/>
        <v>-1.6396512293671762E-2</v>
      </c>
      <c r="Q748" s="51">
        <f t="shared" si="102"/>
        <v>80.032475123120122</v>
      </c>
      <c r="R748" s="51">
        <f t="shared" si="103"/>
        <v>55.218081774740767</v>
      </c>
      <c r="Y748">
        <v>743</v>
      </c>
      <c r="Z748">
        <v>8.5806589116919056</v>
      </c>
    </row>
    <row r="749" spans="1:26" x14ac:dyDescent="0.15">
      <c r="A749" s="59">
        <v>41993.75</v>
      </c>
      <c r="B749">
        <v>16.118815999999999</v>
      </c>
      <c r="C749">
        <v>117.299133</v>
      </c>
      <c r="D749">
        <v>57.582496999999996</v>
      </c>
      <c r="E749">
        <v>15.314500000000001</v>
      </c>
      <c r="F749">
        <v>1484.459961</v>
      </c>
      <c r="H749" s="50">
        <f t="shared" si="97"/>
        <v>2.6607295502212463E-3</v>
      </c>
      <c r="I749" s="50">
        <f t="shared" si="98"/>
        <v>3.4806406750255824E-3</v>
      </c>
      <c r="J749" s="50">
        <f t="shared" si="99"/>
        <v>5.3564040800197551E-4</v>
      </c>
      <c r="K749" s="50">
        <f t="shared" si="100"/>
        <v>1.0758010758010774E-2</v>
      </c>
      <c r="L749" s="50">
        <f t="shared" si="101"/>
        <v>-8.0122893465215759E-3</v>
      </c>
      <c r="P749" s="50">
        <f t="shared" si="96"/>
        <v>-8.0122893465215759E-3</v>
      </c>
      <c r="Q749" s="51">
        <f t="shared" si="102"/>
        <v>79.39123177531539</v>
      </c>
      <c r="R749" s="51">
        <f t="shared" si="103"/>
        <v>55.365002156625351</v>
      </c>
      <c r="Y749">
        <v>744</v>
      </c>
      <c r="Z749">
        <v>10.96003693469495</v>
      </c>
    </row>
    <row r="750" spans="1:26" x14ac:dyDescent="0.15">
      <c r="A750" s="59">
        <v>41996.75</v>
      </c>
      <c r="B750">
        <v>16.076042000000001</v>
      </c>
      <c r="C750">
        <v>116.892273</v>
      </c>
      <c r="D750">
        <v>57.551670000000001</v>
      </c>
      <c r="E750">
        <v>15.1515</v>
      </c>
      <c r="F750">
        <v>1496.4499510000001</v>
      </c>
      <c r="H750" s="50">
        <f t="shared" si="97"/>
        <v>-5.5226875215197216E-3</v>
      </c>
      <c r="I750" s="50">
        <f t="shared" si="98"/>
        <v>1.4640933569480649E-3</v>
      </c>
      <c r="J750" s="50">
        <f t="shared" si="99"/>
        <v>-5.4620066059599699E-3</v>
      </c>
      <c r="K750" s="50">
        <f t="shared" si="100"/>
        <v>-1.9605940017470579E-2</v>
      </c>
      <c r="L750" s="50">
        <f t="shared" si="101"/>
        <v>-8.0798243428317361E-4</v>
      </c>
      <c r="P750" s="50">
        <f t="shared" si="96"/>
        <v>-8.0798243428317361E-4</v>
      </c>
      <c r="Q750" s="51">
        <f t="shared" si="102"/>
        <v>79.327085054604837</v>
      </c>
      <c r="R750" s="51">
        <f t="shared" si="103"/>
        <v>55.059238550086043</v>
      </c>
      <c r="Y750">
        <v>745</v>
      </c>
      <c r="Z750">
        <v>4.7577979510368289</v>
      </c>
    </row>
    <row r="751" spans="1:26" x14ac:dyDescent="0.15">
      <c r="A751" s="59">
        <v>41998.75</v>
      </c>
      <c r="B751">
        <v>16.165317999999999</v>
      </c>
      <c r="C751">
        <v>116.72138200000001</v>
      </c>
      <c r="D751">
        <v>57.867744000000002</v>
      </c>
      <c r="E751">
        <v>15.454499999999999</v>
      </c>
      <c r="F751">
        <v>1497.660034</v>
      </c>
      <c r="H751" s="50">
        <f t="shared" si="97"/>
        <v>3.1161455333106481E-3</v>
      </c>
      <c r="I751" s="50">
        <f t="shared" si="98"/>
        <v>6.9765942315151285E-4</v>
      </c>
      <c r="J751" s="50">
        <f t="shared" si="99"/>
        <v>-6.2225396450147361E-3</v>
      </c>
      <c r="K751" s="50">
        <f t="shared" si="100"/>
        <v>-9.4539161645943379E-3</v>
      </c>
      <c r="L751" s="50">
        <f t="shared" si="101"/>
        <v>1.448922873879134E-2</v>
      </c>
      <c r="P751" s="50">
        <f t="shared" si="96"/>
        <v>1.448922873879134E-2</v>
      </c>
      <c r="Q751" s="51">
        <f t="shared" si="102"/>
        <v>80.476473335142572</v>
      </c>
      <c r="R751" s="51">
        <f t="shared" si="103"/>
        <v>55.230811150361376</v>
      </c>
      <c r="Y751">
        <v>746</v>
      </c>
      <c r="Z751">
        <v>7.9491324271321426</v>
      </c>
    </row>
    <row r="752" spans="1:26" x14ac:dyDescent="0.15">
      <c r="A752" s="59">
        <v>41999.75</v>
      </c>
      <c r="B752">
        <v>16.115100999999999</v>
      </c>
      <c r="C752">
        <v>116.640007</v>
      </c>
      <c r="D752">
        <v>58.230083</v>
      </c>
      <c r="E752">
        <v>15.602</v>
      </c>
      <c r="F752">
        <v>1476.2700199999999</v>
      </c>
      <c r="H752" s="50">
        <f t="shared" si="97"/>
        <v>-1.7282413429970543E-3</v>
      </c>
      <c r="I752" s="50">
        <f t="shared" si="98"/>
        <v>-1.0452026419166698E-3</v>
      </c>
      <c r="J752" s="50">
        <f t="shared" si="99"/>
        <v>-2.3782015681776637E-3</v>
      </c>
      <c r="K752" s="50">
        <f t="shared" si="100"/>
        <v>5.6074766355140018E-3</v>
      </c>
      <c r="L752" s="50">
        <f t="shared" si="101"/>
        <v>-1.5015116876104808E-3</v>
      </c>
      <c r="P752" s="50">
        <f t="shared" si="96"/>
        <v>-1.5015116876104808E-3</v>
      </c>
      <c r="Q752" s="51">
        <f t="shared" si="102"/>
        <v>80.355636969852185</v>
      </c>
      <c r="R752" s="51">
        <f t="shared" si="103"/>
        <v>55.135358979124057</v>
      </c>
      <c r="Y752">
        <v>747</v>
      </c>
      <c r="Z752">
        <v>7.6295282972852636</v>
      </c>
    </row>
    <row r="753" spans="1:26" x14ac:dyDescent="0.15">
      <c r="A753" s="59">
        <v>42000.75</v>
      </c>
      <c r="B753">
        <v>16.143000000000001</v>
      </c>
      <c r="C753">
        <v>116.762047</v>
      </c>
      <c r="D753">
        <v>58.368895999999999</v>
      </c>
      <c r="E753">
        <v>15.515000000000001</v>
      </c>
      <c r="F753">
        <v>1478.48999</v>
      </c>
      <c r="H753" s="50">
        <f t="shared" si="97"/>
        <v>1.0596393980719356E-2</v>
      </c>
      <c r="I753" s="50">
        <f t="shared" si="98"/>
        <v>1.2274839660721791E-2</v>
      </c>
      <c r="J753" s="50">
        <f t="shared" si="99"/>
        <v>-2.6344311288791075E-3</v>
      </c>
      <c r="K753" s="50">
        <f t="shared" si="100"/>
        <v>-1.6110842597064621E-4</v>
      </c>
      <c r="L753" s="50">
        <f t="shared" si="101"/>
        <v>6.8988566179157915E-3</v>
      </c>
      <c r="P753" s="50">
        <f t="shared" si="96"/>
        <v>6.8988566179157915E-3</v>
      </c>
      <c r="Q753" s="51">
        <f t="shared" si="102"/>
        <v>80.909998987748494</v>
      </c>
      <c r="R753" s="51">
        <f t="shared" si="103"/>
        <v>55.719594965135251</v>
      </c>
      <c r="Y753">
        <v>748</v>
      </c>
      <c r="Z753">
        <v>8.108006713125139</v>
      </c>
    </row>
    <row r="754" spans="1:26" x14ac:dyDescent="0.15">
      <c r="A754" s="59">
        <v>42003.75</v>
      </c>
      <c r="B754">
        <v>15.973736000000001</v>
      </c>
      <c r="C754">
        <v>115.346191</v>
      </c>
      <c r="D754">
        <v>58.523071000000002</v>
      </c>
      <c r="E754">
        <v>15.5175</v>
      </c>
      <c r="F754">
        <v>1468.3599850000001</v>
      </c>
      <c r="H754" s="50">
        <f t="shared" si="97"/>
        <v>-2.3307834912433267E-4</v>
      </c>
      <c r="I754" s="50">
        <f t="shared" si="98"/>
        <v>9.8869012915843674E-4</v>
      </c>
      <c r="J754" s="50">
        <f t="shared" si="99"/>
        <v>7.699352316805172E-3</v>
      </c>
      <c r="K754" s="50">
        <f t="shared" si="100"/>
        <v>5.9315441462465908E-3</v>
      </c>
      <c r="L754" s="50">
        <f t="shared" si="101"/>
        <v>1.4649348034717808E-2</v>
      </c>
      <c r="P754" s="50">
        <f t="shared" si="96"/>
        <v>1.4649348034717808E-2</v>
      </c>
      <c r="Q754" s="51">
        <f t="shared" si="102"/>
        <v>82.095277722408696</v>
      </c>
      <c r="R754" s="51">
        <f t="shared" si="103"/>
        <v>55.706607933926897</v>
      </c>
      <c r="Y754">
        <v>749</v>
      </c>
      <c r="Z754">
        <v>8.9560804148597395</v>
      </c>
    </row>
    <row r="755" spans="1:26" x14ac:dyDescent="0.15">
      <c r="A755" s="59">
        <v>42005.75</v>
      </c>
      <c r="B755">
        <v>15.977460000000001</v>
      </c>
      <c r="C755">
        <v>115.23226200000001</v>
      </c>
      <c r="D755">
        <v>58.075924000000001</v>
      </c>
      <c r="E755">
        <v>15.426</v>
      </c>
      <c r="F755">
        <v>1447.160034</v>
      </c>
      <c r="H755" s="50">
        <f t="shared" si="97"/>
        <v>2.9190966317401506E-3</v>
      </c>
      <c r="I755" s="50">
        <f t="shared" si="98"/>
        <v>1.1499797493341582E-2</v>
      </c>
      <c r="J755" s="50">
        <f t="shared" si="99"/>
        <v>1.8248297145987011E-2</v>
      </c>
      <c r="K755" s="50">
        <f t="shared" si="100"/>
        <v>2.0947086270227309E-2</v>
      </c>
      <c r="L755" s="50">
        <f t="shared" si="101"/>
        <v>0</v>
      </c>
      <c r="P755" s="50">
        <f t="shared" si="96"/>
        <v>0</v>
      </c>
      <c r="Q755" s="51">
        <f t="shared" si="102"/>
        <v>82.095277722408696</v>
      </c>
      <c r="R755" s="51">
        <f t="shared" si="103"/>
        <v>55.869220905512485</v>
      </c>
      <c r="Y755">
        <v>750</v>
      </c>
      <c r="Z755">
        <v>6.3073123624013565</v>
      </c>
    </row>
    <row r="756" spans="1:26" x14ac:dyDescent="0.15">
      <c r="A756" s="59">
        <v>42006.75</v>
      </c>
      <c r="B756">
        <v>15.930956</v>
      </c>
      <c r="C756">
        <v>113.92218</v>
      </c>
      <c r="D756">
        <v>57.035130000000002</v>
      </c>
      <c r="E756">
        <v>15.109500000000001</v>
      </c>
      <c r="F756">
        <v>1447.160034</v>
      </c>
      <c r="H756" s="50">
        <f t="shared" si="97"/>
        <v>-7.6470749458691402E-3</v>
      </c>
      <c r="I756" s="50">
        <f t="shared" si="98"/>
        <v>-1.304189239912475E-2</v>
      </c>
      <c r="J756" s="50">
        <f t="shared" si="99"/>
        <v>1.3533842286239661E-4</v>
      </c>
      <c r="K756" s="50">
        <f t="shared" si="100"/>
        <v>2.3366859697246816E-2</v>
      </c>
      <c r="L756" s="50">
        <f t="shared" si="101"/>
        <v>2.5169505376162655E-2</v>
      </c>
      <c r="P756" s="50">
        <f t="shared" si="96"/>
        <v>2.5169505376162655E-2</v>
      </c>
      <c r="Q756" s="51">
        <f t="shared" si="102"/>
        <v>84.161575256400425</v>
      </c>
      <c r="R756" s="51">
        <f t="shared" si="103"/>
        <v>55.44198478608071</v>
      </c>
      <c r="Y756">
        <v>751</v>
      </c>
      <c r="Z756">
        <v>7.8289860548157</v>
      </c>
    </row>
    <row r="757" spans="1:26" x14ac:dyDescent="0.15">
      <c r="A757" s="59">
        <v>42007.75</v>
      </c>
      <c r="B757">
        <v>16.053719999999998</v>
      </c>
      <c r="C757">
        <v>115.42757400000001</v>
      </c>
      <c r="D757">
        <v>57.027411999999998</v>
      </c>
      <c r="E757">
        <v>14.7645</v>
      </c>
      <c r="F757">
        <v>1411.630005</v>
      </c>
      <c r="H757" s="50">
        <f t="shared" si="97"/>
        <v>-2.5846288800410913E-2</v>
      </c>
      <c r="I757" s="50">
        <f t="shared" si="98"/>
        <v>-1.711473129725137E-2</v>
      </c>
      <c r="J757" s="50">
        <f t="shared" si="99"/>
        <v>-3.6472513628500826E-2</v>
      </c>
      <c r="K757" s="50">
        <f t="shared" si="100"/>
        <v>-1.0488573151933477E-2</v>
      </c>
      <c r="L757" s="50">
        <f t="shared" si="101"/>
        <v>-3.2129028982920168E-3</v>
      </c>
      <c r="P757" s="50">
        <f t="shared" si="96"/>
        <v>-3.2129028982920168E-3</v>
      </c>
      <c r="Q757" s="51">
        <f t="shared" si="102"/>
        <v>83.891172287334314</v>
      </c>
      <c r="R757" s="51">
        <f t="shared" si="103"/>
        <v>54.009015235631679</v>
      </c>
      <c r="Y757">
        <v>752</v>
      </c>
      <c r="Z757">
        <v>7.0565192857533106</v>
      </c>
    </row>
    <row r="758" spans="1:26" x14ac:dyDescent="0.15">
      <c r="A758" s="59">
        <v>42010.75</v>
      </c>
      <c r="B758">
        <v>16.479658000000001</v>
      </c>
      <c r="C758">
        <v>117.437485</v>
      </c>
      <c r="D758">
        <v>59.186076999999997</v>
      </c>
      <c r="E758">
        <v>14.920999999999999</v>
      </c>
      <c r="F758">
        <v>1416.1800539999999</v>
      </c>
      <c r="H758" s="50">
        <f t="shared" si="97"/>
        <v>-2.0669880457442273E-2</v>
      </c>
      <c r="I758" s="50">
        <f t="shared" si="98"/>
        <v>-8.5186317091870307E-3</v>
      </c>
      <c r="J758" s="50">
        <f t="shared" si="99"/>
        <v>-4.6676763818370333E-3</v>
      </c>
      <c r="K758" s="50">
        <f t="shared" si="100"/>
        <v>-6.7895892964121886E-3</v>
      </c>
      <c r="L758" s="50">
        <f t="shared" si="101"/>
        <v>1.8695368333124657E-2</v>
      </c>
      <c r="P758" s="50">
        <f t="shared" si="96"/>
        <v>1.8695368333124657E-2</v>
      </c>
      <c r="Q758" s="51">
        <f t="shared" si="102"/>
        <v>85.459548653143642</v>
      </c>
      <c r="R758" s="51">
        <f t="shared" si="103"/>
        <v>52.892655347086993</v>
      </c>
      <c r="Y758">
        <v>753</v>
      </c>
      <c r="Z758">
        <v>8.2603647138156813</v>
      </c>
    </row>
    <row r="759" spans="1:26" x14ac:dyDescent="0.15">
      <c r="A759" s="59">
        <v>42011.75</v>
      </c>
      <c r="B759">
        <v>16.827480000000001</v>
      </c>
      <c r="C759">
        <v>118.446487</v>
      </c>
      <c r="D759">
        <v>59.463633999999999</v>
      </c>
      <c r="E759">
        <v>15.023</v>
      </c>
      <c r="F759">
        <v>1390.1899410000001</v>
      </c>
      <c r="H759" s="50">
        <f t="shared" si="97"/>
        <v>1.2534929563227052E-2</v>
      </c>
      <c r="I759" s="50">
        <f t="shared" si="98"/>
        <v>1.5629218024881032E-2</v>
      </c>
      <c r="J759" s="50">
        <f t="shared" si="99"/>
        <v>9.1586668236825555E-3</v>
      </c>
      <c r="K759" s="50">
        <f t="shared" si="100"/>
        <v>1.1888323847371365E-2</v>
      </c>
      <c r="L759" s="50">
        <f t="shared" si="101"/>
        <v>-1.3440962815918389E-2</v>
      </c>
      <c r="P759" s="50">
        <f t="shared" si="96"/>
        <v>-1.3440962815918389E-2</v>
      </c>
      <c r="Q759" s="51">
        <f t="shared" si="102"/>
        <v>84.310890037431562</v>
      </c>
      <c r="R759" s="51">
        <f t="shared" si="103"/>
        <v>53.555661056274779</v>
      </c>
      <c r="Y759">
        <v>754</v>
      </c>
      <c r="Z759">
        <v>7.9582359846708854</v>
      </c>
    </row>
    <row r="760" spans="1:26" x14ac:dyDescent="0.15">
      <c r="A760" s="59">
        <v>42012.75</v>
      </c>
      <c r="B760">
        <v>16.619160000000001</v>
      </c>
      <c r="C760">
        <v>116.623749</v>
      </c>
      <c r="D760">
        <v>58.923969</v>
      </c>
      <c r="E760">
        <v>14.846500000000001</v>
      </c>
      <c r="F760">
        <v>1409.130005</v>
      </c>
      <c r="H760" s="50">
        <f t="shared" si="97"/>
        <v>-7.4427638203559869E-3</v>
      </c>
      <c r="I760" s="50">
        <f t="shared" si="98"/>
        <v>5.6131362137414554E-3</v>
      </c>
      <c r="J760" s="50">
        <f t="shared" si="99"/>
        <v>-2.6101349684640365E-3</v>
      </c>
      <c r="K760" s="50">
        <f t="shared" si="100"/>
        <v>1.894238358326767E-2</v>
      </c>
      <c r="L760" s="50">
        <f t="shared" si="101"/>
        <v>-7.8854571451424452E-3</v>
      </c>
      <c r="P760" s="50">
        <f t="shared" si="96"/>
        <v>-7.8854571451424452E-3</v>
      </c>
      <c r="Q760" s="51">
        <f t="shared" si="102"/>
        <v>83.646060127172575</v>
      </c>
      <c r="R760" s="51">
        <f t="shared" si="103"/>
        <v>53.15705891978989</v>
      </c>
      <c r="Y760">
        <v>755</v>
      </c>
      <c r="Z760">
        <v>10.667382004574986</v>
      </c>
    </row>
    <row r="761" spans="1:26" x14ac:dyDescent="0.15">
      <c r="A761" s="59">
        <v>42013.75</v>
      </c>
      <c r="B761">
        <v>16.743780000000001</v>
      </c>
      <c r="C761">
        <v>115.97277800000001</v>
      </c>
      <c r="D761">
        <v>59.078170999999998</v>
      </c>
      <c r="E761">
        <v>14.570499999999999</v>
      </c>
      <c r="F761">
        <v>1420.329956</v>
      </c>
      <c r="H761" s="50">
        <f t="shared" si="97"/>
        <v>7.9497482530558813E-3</v>
      </c>
      <c r="I761" s="50">
        <f t="shared" si="98"/>
        <v>1.013558853164289E-2</v>
      </c>
      <c r="J761" s="50">
        <f t="shared" si="99"/>
        <v>8.9537512227623652E-3</v>
      </c>
      <c r="K761" s="50">
        <f t="shared" si="100"/>
        <v>-1.1298093234715409E-2</v>
      </c>
      <c r="L761" s="50">
        <f t="shared" si="101"/>
        <v>1.3782769499610796E-2</v>
      </c>
      <c r="P761" s="50">
        <f t="shared" si="96"/>
        <v>1.3782769499610796E-2</v>
      </c>
      <c r="Q761" s="51">
        <f t="shared" si="102"/>
        <v>84.798934493455988</v>
      </c>
      <c r="R761" s="51">
        <f t="shared" si="103"/>
        <v>53.579644156075084</v>
      </c>
      <c r="Y761">
        <v>756</v>
      </c>
      <c r="Z761">
        <v>7.45345841041489</v>
      </c>
    </row>
    <row r="762" spans="1:26" x14ac:dyDescent="0.15">
      <c r="A762" s="59">
        <v>42014.75</v>
      </c>
      <c r="B762">
        <v>16.611720999999999</v>
      </c>
      <c r="C762">
        <v>114.80911999999999</v>
      </c>
      <c r="D762">
        <v>58.553894</v>
      </c>
      <c r="E762">
        <v>14.737</v>
      </c>
      <c r="F762">
        <v>1401.0200199999999</v>
      </c>
      <c r="H762" s="50">
        <f t="shared" si="97"/>
        <v>3.1174431311282103E-2</v>
      </c>
      <c r="I762" s="50">
        <f t="shared" si="98"/>
        <v>1.2777475345789409E-2</v>
      </c>
      <c r="J762" s="50">
        <f t="shared" si="99"/>
        <v>2.1794553972101342E-2</v>
      </c>
      <c r="K762" s="50">
        <f t="shared" si="100"/>
        <v>5.0124458689943894E-3</v>
      </c>
      <c r="L762" s="50">
        <f t="shared" si="101"/>
        <v>-1.0753736981465185E-2</v>
      </c>
      <c r="P762" s="50">
        <f t="shared" si="96"/>
        <v>-1.0753736981465185E-2</v>
      </c>
      <c r="Q762" s="51">
        <f t="shared" si="102"/>
        <v>83.88702905560487</v>
      </c>
      <c r="R762" s="51">
        <f t="shared" si="103"/>
        <v>55.249959092501584</v>
      </c>
      <c r="Y762">
        <v>757</v>
      </c>
      <c r="Z762">
        <v>8.7501998003729771</v>
      </c>
    </row>
    <row r="763" spans="1:26" x14ac:dyDescent="0.15">
      <c r="A763" s="59">
        <v>42017.75</v>
      </c>
      <c r="B763">
        <v>16.109515999999999</v>
      </c>
      <c r="C763">
        <v>113.360657</v>
      </c>
      <c r="D763">
        <v>57.304957999999999</v>
      </c>
      <c r="E763">
        <v>14.663500000000001</v>
      </c>
      <c r="F763">
        <v>1416.25</v>
      </c>
      <c r="H763" s="50">
        <f t="shared" si="97"/>
        <v>-8.8119937967364864E-3</v>
      </c>
      <c r="I763" s="50">
        <f t="shared" si="98"/>
        <v>0</v>
      </c>
      <c r="J763" s="50">
        <f t="shared" si="99"/>
        <v>-1.7708480964288946E-2</v>
      </c>
      <c r="K763" s="50">
        <f t="shared" si="100"/>
        <v>2.2024742986583079E-2</v>
      </c>
      <c r="L763" s="50">
        <f t="shared" si="101"/>
        <v>2.5562149427962828E-2</v>
      </c>
      <c r="P763" s="50">
        <f t="shared" si="96"/>
        <v>2.5562149427962828E-2</v>
      </c>
      <c r="Q763" s="51">
        <f t="shared" si="102"/>
        <v>86.031361827392089</v>
      </c>
      <c r="R763" s="51">
        <f t="shared" si="103"/>
        <v>54.763096795708513</v>
      </c>
      <c r="Y763">
        <v>758</v>
      </c>
      <c r="Z763">
        <v>12.549254999881279</v>
      </c>
    </row>
    <row r="764" spans="1:26" x14ac:dyDescent="0.15">
      <c r="A764" s="59">
        <v>42018.75</v>
      </c>
      <c r="B764">
        <v>16.252735000000001</v>
      </c>
      <c r="C764">
        <v>113.360657</v>
      </c>
      <c r="D764">
        <v>58.338036000000002</v>
      </c>
      <c r="E764">
        <v>14.3475</v>
      </c>
      <c r="F764">
        <v>1380.9499510000001</v>
      </c>
      <c r="H764" s="50">
        <f t="shared" si="97"/>
        <v>7.0300555632145734E-3</v>
      </c>
      <c r="I764" s="50">
        <f t="shared" si="98"/>
        <v>-2.9346060913077099E-3</v>
      </c>
      <c r="J764" s="50">
        <f t="shared" si="99"/>
        <v>9.7410929061968066E-3</v>
      </c>
      <c r="K764" s="50">
        <f t="shared" si="100"/>
        <v>-1.3035702001788585E-2</v>
      </c>
      <c r="L764" s="50">
        <f t="shared" si="101"/>
        <v>5.6437520219515354E-3</v>
      </c>
      <c r="P764" s="50">
        <f t="shared" si="96"/>
        <v>5.6437520219515354E-3</v>
      </c>
      <c r="Q764" s="51">
        <f t="shared" si="102"/>
        <v>86.516901499656669</v>
      </c>
      <c r="R764" s="51">
        <f t="shared" si="103"/>
        <v>55.148084408996041</v>
      </c>
      <c r="Y764">
        <v>759</v>
      </c>
      <c r="Z764">
        <v>9.1148013886781118</v>
      </c>
    </row>
    <row r="765" spans="1:26" x14ac:dyDescent="0.15">
      <c r="A765" s="59">
        <v>42019.75</v>
      </c>
      <c r="B765">
        <v>16.139275000000001</v>
      </c>
      <c r="C765">
        <v>113.694305</v>
      </c>
      <c r="D765">
        <v>57.775241999999999</v>
      </c>
      <c r="E765">
        <v>14.537000000000001</v>
      </c>
      <c r="F765">
        <v>1373.1999510000001</v>
      </c>
      <c r="H765" s="50">
        <f t="shared" si="97"/>
        <v>9.2282532150828349E-4</v>
      </c>
      <c r="I765" s="50">
        <f t="shared" si="98"/>
        <v>2.4392057617555257E-3</v>
      </c>
      <c r="J765" s="50">
        <f t="shared" si="99"/>
        <v>1.7238900693584157E-2</v>
      </c>
      <c r="K765" s="50">
        <f t="shared" si="100"/>
        <v>4.4914317302377892E-3</v>
      </c>
      <c r="L765" s="50">
        <f t="shared" si="101"/>
        <v>2.9964336021001355E-2</v>
      </c>
      <c r="P765" s="50">
        <f t="shared" si="96"/>
        <v>2.9964336021001355E-2</v>
      </c>
      <c r="Q765" s="51">
        <f t="shared" si="102"/>
        <v>89.109323007688261</v>
      </c>
      <c r="R765" s="51">
        <f t="shared" si="103"/>
        <v>55.198976457721344</v>
      </c>
      <c r="Y765">
        <v>760</v>
      </c>
      <c r="Z765">
        <v>8.0995371671491974</v>
      </c>
    </row>
    <row r="766" spans="1:26" x14ac:dyDescent="0.15">
      <c r="A766" s="59">
        <v>42020.75</v>
      </c>
      <c r="B766">
        <v>16.124395</v>
      </c>
      <c r="C766">
        <v>113.41765599999999</v>
      </c>
      <c r="D766">
        <v>56.796138999999997</v>
      </c>
      <c r="E766">
        <v>14.472</v>
      </c>
      <c r="F766">
        <v>1333.25</v>
      </c>
      <c r="H766" s="50">
        <f t="shared" si="97"/>
        <v>5.7672614028299166E-4</v>
      </c>
      <c r="I766" s="50">
        <f t="shared" si="98"/>
        <v>1.7250393767244221E-3</v>
      </c>
      <c r="J766" s="50">
        <f t="shared" si="99"/>
        <v>-3.7865175649990359E-3</v>
      </c>
      <c r="K766" s="50">
        <f t="shared" si="100"/>
        <v>-2.627417998317922E-2</v>
      </c>
      <c r="L766" s="50">
        <f t="shared" si="101"/>
        <v>6.0821915037460351E-3</v>
      </c>
      <c r="P766" s="50">
        <f t="shared" si="96"/>
        <v>6.0821915037460351E-3</v>
      </c>
      <c r="Q766" s="51">
        <f t="shared" si="102"/>
        <v>89.651302974990188</v>
      </c>
      <c r="R766" s="51">
        <f t="shared" si="103"/>
        <v>55.230811150361376</v>
      </c>
      <c r="Y766">
        <v>761</v>
      </c>
      <c r="Z766">
        <v>7.4023341150805511</v>
      </c>
    </row>
    <row r="767" spans="1:26" x14ac:dyDescent="0.15">
      <c r="A767" s="59">
        <v>42021.75</v>
      </c>
      <c r="B767">
        <v>16.115100999999999</v>
      </c>
      <c r="C767">
        <v>113.222343</v>
      </c>
      <c r="D767">
        <v>57.012016000000003</v>
      </c>
      <c r="E767">
        <v>14.862500000000001</v>
      </c>
      <c r="F767">
        <v>1325.1899410000001</v>
      </c>
      <c r="H767" s="50">
        <f t="shared" si="97"/>
        <v>-1.8799357690540388E-2</v>
      </c>
      <c r="I767" s="50">
        <f t="shared" si="98"/>
        <v>-1.5077852604814306E-2</v>
      </c>
      <c r="J767" s="50">
        <f t="shared" si="99"/>
        <v>-2.401996906761129E-2</v>
      </c>
      <c r="K767" s="50">
        <f t="shared" si="100"/>
        <v>-4.2117813869553961E-2</v>
      </c>
      <c r="L767" s="50">
        <f t="shared" si="101"/>
        <v>1.120941701640602E-2</v>
      </c>
      <c r="P767" s="50">
        <f t="shared" si="96"/>
        <v>1.120941701640602E-2</v>
      </c>
      <c r="Q767" s="51">
        <f t="shared" si="102"/>
        <v>90.656241816101016</v>
      </c>
      <c r="R767" s="51">
        <f t="shared" si="103"/>
        <v>54.192507376007043</v>
      </c>
      <c r="Y767">
        <v>762</v>
      </c>
      <c r="Z767">
        <v>6.209426692963655</v>
      </c>
    </row>
    <row r="768" spans="1:26" x14ac:dyDescent="0.15">
      <c r="A768" s="59">
        <v>42025.75</v>
      </c>
      <c r="B768">
        <v>16.423859</v>
      </c>
      <c r="C768">
        <v>114.95562700000001</v>
      </c>
      <c r="D768">
        <v>58.415146</v>
      </c>
      <c r="E768">
        <v>15.516</v>
      </c>
      <c r="F768">
        <v>1310.5</v>
      </c>
      <c r="H768" s="50">
        <f t="shared" si="97"/>
        <v>-2.3726047610389874E-3</v>
      </c>
      <c r="I768" s="50">
        <f t="shared" si="98"/>
        <v>-5.4909869105661596E-3</v>
      </c>
      <c r="J768" s="50">
        <f t="shared" si="99"/>
        <v>6.3754583032546884E-3</v>
      </c>
      <c r="K768" s="50">
        <f t="shared" si="100"/>
        <v>-6.6263324690291215E-3</v>
      </c>
      <c r="L768" s="50">
        <f t="shared" si="101"/>
        <v>-2.0992063726138877E-2</v>
      </c>
      <c r="P768" s="50">
        <f t="shared" si="96"/>
        <v>-2.0992063726138877E-2</v>
      </c>
      <c r="Q768" s="51">
        <f t="shared" si="102"/>
        <v>88.753180210725162</v>
      </c>
      <c r="R768" s="51">
        <f t="shared" si="103"/>
        <v>54.063929974994089</v>
      </c>
      <c r="Y768">
        <v>763</v>
      </c>
      <c r="Z768">
        <v>10.17784019128063</v>
      </c>
    </row>
    <row r="769" spans="1:26" x14ac:dyDescent="0.15">
      <c r="A769" s="59">
        <v>42026.75</v>
      </c>
      <c r="B769">
        <v>16.462918999999999</v>
      </c>
      <c r="C769">
        <v>115.590332</v>
      </c>
      <c r="D769">
        <v>58.045082000000001</v>
      </c>
      <c r="E769">
        <v>15.6195</v>
      </c>
      <c r="F769">
        <v>1338.599976</v>
      </c>
      <c r="H769" s="50">
        <f t="shared" si="97"/>
        <v>-1.3541808270585468E-3</v>
      </c>
      <c r="I769" s="50">
        <f t="shared" si="98"/>
        <v>-6.0175621977843641E-3</v>
      </c>
      <c r="J769" s="50">
        <f t="shared" si="99"/>
        <v>5.3174882101782606E-4</v>
      </c>
      <c r="K769" s="50">
        <f t="shared" si="100"/>
        <v>8.8161209068009973E-3</v>
      </c>
      <c r="L769" s="50">
        <f t="shared" si="101"/>
        <v>-9.9624801511563974E-3</v>
      </c>
      <c r="P769" s="50">
        <f t="shared" ref="P769:P832" si="104">(F769-F770)/F770</f>
        <v>-9.9624801511563974E-3</v>
      </c>
      <c r="Q769" s="51">
        <f t="shared" si="102"/>
        <v>87.868978414523809</v>
      </c>
      <c r="R769" s="51">
        <f t="shared" si="103"/>
        <v>53.990717637586521</v>
      </c>
      <c r="Y769">
        <v>764</v>
      </c>
      <c r="Z769">
        <v>9.6747853798536045</v>
      </c>
    </row>
    <row r="770" spans="1:26" x14ac:dyDescent="0.15">
      <c r="A770" s="59">
        <v>42027.75</v>
      </c>
      <c r="B770">
        <v>16.485243000000001</v>
      </c>
      <c r="C770">
        <v>116.290115</v>
      </c>
      <c r="D770">
        <v>58.014232999999997</v>
      </c>
      <c r="E770">
        <v>15.483000000000001</v>
      </c>
      <c r="F770">
        <v>1352.0699460000001</v>
      </c>
      <c r="H770" s="50">
        <f t="shared" ref="H770:H833" si="105">(B770-B771)/B771</f>
        <v>1.2567133409112505E-2</v>
      </c>
      <c r="I770" s="50">
        <f t="shared" ref="I770:I833" si="106">(C770-C771)/C771</f>
        <v>1.3617862765359496E-2</v>
      </c>
      <c r="J770" s="50">
        <f t="shared" ref="J770:J833" si="107">(D770-D771)/D771</f>
        <v>6.5540958279928299E-3</v>
      </c>
      <c r="K770" s="50">
        <f t="shared" ref="K770:K833" si="108">(E770-E771)/E771</f>
        <v>9.4865525672371762E-3</v>
      </c>
      <c r="L770" s="50">
        <f t="shared" ref="L770:L833" si="109">(F770-F771)/F771</f>
        <v>1.6127912192091375E-2</v>
      </c>
      <c r="P770" s="50">
        <f t="shared" si="104"/>
        <v>1.6127912192091375E-2</v>
      </c>
      <c r="Q770" s="51">
        <f t="shared" si="102"/>
        <v>89.286121582802025</v>
      </c>
      <c r="R770" s="51">
        <f t="shared" si="103"/>
        <v>54.669226188991786</v>
      </c>
      <c r="Y770">
        <v>765</v>
      </c>
      <c r="Z770">
        <v>9.7238773347059269</v>
      </c>
    </row>
    <row r="771" spans="1:26" x14ac:dyDescent="0.15">
      <c r="A771" s="59">
        <v>42028.75</v>
      </c>
      <c r="B771">
        <v>16.280642</v>
      </c>
      <c r="C771">
        <v>114.727768</v>
      </c>
      <c r="D771">
        <v>57.636477999999997</v>
      </c>
      <c r="E771">
        <v>15.3375</v>
      </c>
      <c r="F771">
        <v>1330.6099850000001</v>
      </c>
      <c r="H771" s="50">
        <f t="shared" si="105"/>
        <v>8.1782448296521069E-3</v>
      </c>
      <c r="I771" s="50">
        <f t="shared" si="106"/>
        <v>9.8125268092265853E-3</v>
      </c>
      <c r="J771" s="50">
        <f t="shared" si="107"/>
        <v>6.732929135522139E-3</v>
      </c>
      <c r="K771" s="50">
        <f t="shared" si="108"/>
        <v>9.3448718370571053E-3</v>
      </c>
      <c r="L771" s="50">
        <f t="shared" si="109"/>
        <v>-1.7245691654540714E-2</v>
      </c>
      <c r="P771" s="50">
        <f t="shared" si="104"/>
        <v>-1.7245691654540714E-2</v>
      </c>
      <c r="Q771" s="51">
        <f t="shared" ref="Q771:Q834" si="110">Q770*(1+P771)</f>
        <v>87.746320660955192</v>
      </c>
      <c r="R771" s="51">
        <f t="shared" ref="R771:R834" si="111">R770*(1+H771)</f>
        <v>55.11632450541299</v>
      </c>
      <c r="Y771">
        <v>766</v>
      </c>
      <c r="Z771">
        <v>8.234604949750949</v>
      </c>
    </row>
    <row r="772" spans="1:26" x14ac:dyDescent="0.15">
      <c r="A772" s="59">
        <v>42031.75</v>
      </c>
      <c r="B772">
        <v>16.148575000000001</v>
      </c>
      <c r="C772">
        <v>113.612938</v>
      </c>
      <c r="D772">
        <v>57.251010999999998</v>
      </c>
      <c r="E772">
        <v>15.195499999999999</v>
      </c>
      <c r="F772">
        <v>1353.959961</v>
      </c>
      <c r="H772" s="50">
        <f t="shared" si="105"/>
        <v>-1.0260125978342929E-2</v>
      </c>
      <c r="I772" s="50">
        <f t="shared" si="106"/>
        <v>-7.2526007216504483E-3</v>
      </c>
      <c r="J772" s="50">
        <f t="shared" si="107"/>
        <v>-1.6292959381658059E-2</v>
      </c>
      <c r="K772" s="50">
        <f t="shared" si="108"/>
        <v>-2.5242157931875123E-2</v>
      </c>
      <c r="L772" s="50">
        <f t="shared" si="109"/>
        <v>-6.1220639360043978E-3</v>
      </c>
      <c r="P772" s="50">
        <f t="shared" si="104"/>
        <v>-6.1220639360043978E-3</v>
      </c>
      <c r="Q772" s="51">
        <f t="shared" si="110"/>
        <v>87.20913207571968</v>
      </c>
      <c r="R772" s="51">
        <f t="shared" si="111"/>
        <v>54.550824072524222</v>
      </c>
      <c r="Y772">
        <v>767</v>
      </c>
      <c r="Z772">
        <v>8.012371022701398</v>
      </c>
    </row>
    <row r="773" spans="1:26" x14ac:dyDescent="0.15">
      <c r="A773" s="59">
        <v>42032.75</v>
      </c>
      <c r="B773">
        <v>16.315978999999999</v>
      </c>
      <c r="C773">
        <v>114.442947</v>
      </c>
      <c r="D773">
        <v>58.199249000000002</v>
      </c>
      <c r="E773">
        <v>15.589</v>
      </c>
      <c r="F773">
        <v>1362.3000489999999</v>
      </c>
      <c r="H773" s="50">
        <f t="shared" si="105"/>
        <v>3.2242825631085353E-2</v>
      </c>
      <c r="I773" s="50">
        <f t="shared" si="106"/>
        <v>-1.6434886228407823E-2</v>
      </c>
      <c r="J773" s="50">
        <f t="shared" si="107"/>
        <v>2.553977656688906E-2</v>
      </c>
      <c r="K773" s="50">
        <f t="shared" si="108"/>
        <v>-0.12058217922319696</v>
      </c>
      <c r="L773" s="50">
        <f t="shared" si="109"/>
        <v>4.7867988269587212E-3</v>
      </c>
      <c r="P773" s="50">
        <f t="shared" si="104"/>
        <v>4.7867988269587212E-3</v>
      </c>
      <c r="Q773" s="51">
        <f t="shared" si="110"/>
        <v>87.626584646839831</v>
      </c>
      <c r="R773" s="51">
        <f t="shared" si="111"/>
        <v>56.309696781126632</v>
      </c>
      <c r="Y773">
        <v>768</v>
      </c>
      <c r="Z773">
        <v>6.7118328196304926</v>
      </c>
    </row>
    <row r="774" spans="1:26" x14ac:dyDescent="0.15">
      <c r="A774" s="59">
        <v>42033.75</v>
      </c>
      <c r="B774">
        <v>15.806338</v>
      </c>
      <c r="C774">
        <v>116.355232</v>
      </c>
      <c r="D774">
        <v>56.749870000000001</v>
      </c>
      <c r="E774">
        <v>17.726500000000001</v>
      </c>
      <c r="F774">
        <v>1355.8100589999999</v>
      </c>
      <c r="H774" s="50">
        <f t="shared" si="105"/>
        <v>-8.5168127639784728E-3</v>
      </c>
      <c r="I774" s="50">
        <f t="shared" si="106"/>
        <v>-2.0615986074063265E-2</v>
      </c>
      <c r="J774" s="50">
        <f t="shared" si="107"/>
        <v>-8.6195097244516645E-3</v>
      </c>
      <c r="K774" s="50">
        <f t="shared" si="108"/>
        <v>-2.7272424466892931E-2</v>
      </c>
      <c r="L774" s="50">
        <f t="shared" si="109"/>
        <v>-1.6495585355421533E-2</v>
      </c>
      <c r="P774" s="50">
        <f t="shared" si="104"/>
        <v>-1.6495585355421533E-2</v>
      </c>
      <c r="Q774" s="51">
        <f t="shared" si="110"/>
        <v>86.181132840393815</v>
      </c>
      <c r="R774" s="51">
        <f t="shared" si="111"/>
        <v>55.83011763684538</v>
      </c>
      <c r="Y774">
        <v>769</v>
      </c>
      <c r="Z774">
        <v>7.5720233499835867</v>
      </c>
    </row>
    <row r="775" spans="1:26" x14ac:dyDescent="0.15">
      <c r="A775" s="59">
        <v>42034.75</v>
      </c>
      <c r="B775">
        <v>15.942114</v>
      </c>
      <c r="C775">
        <v>118.80450399999999</v>
      </c>
      <c r="D775">
        <v>57.243279000000001</v>
      </c>
      <c r="E775">
        <v>18.223499</v>
      </c>
      <c r="F775">
        <v>1378.5500489999999</v>
      </c>
      <c r="H775" s="50">
        <f t="shared" si="105"/>
        <v>-5.5696310547492843E-3</v>
      </c>
      <c r="I775" s="50">
        <f t="shared" si="106"/>
        <v>-5.0406917980536398E-2</v>
      </c>
      <c r="J775" s="50">
        <f t="shared" si="107"/>
        <v>-2.1352158083809171E-2</v>
      </c>
      <c r="K775" s="50">
        <f t="shared" si="108"/>
        <v>2.5305460046762154E-3</v>
      </c>
      <c r="L775" s="50">
        <f t="shared" si="109"/>
        <v>-1.208954613525676E-2</v>
      </c>
      <c r="P775" s="50">
        <f t="shared" si="104"/>
        <v>-1.208954613525676E-2</v>
      </c>
      <c r="Q775" s="51">
        <f t="shared" si="110"/>
        <v>85.139242058931174</v>
      </c>
      <c r="R775" s="51">
        <f t="shared" si="111"/>
        <v>55.519164479864898</v>
      </c>
      <c r="Y775">
        <v>770</v>
      </c>
      <c r="Z775">
        <v>9.2188174673821219</v>
      </c>
    </row>
    <row r="776" spans="1:26" x14ac:dyDescent="0.15">
      <c r="A776" s="59">
        <v>42035.75</v>
      </c>
      <c r="B776">
        <v>16.031403000000001</v>
      </c>
      <c r="C776">
        <v>125.110962</v>
      </c>
      <c r="D776">
        <v>58.492213999999997</v>
      </c>
      <c r="E776">
        <v>18.177499999999998</v>
      </c>
      <c r="F776">
        <v>1395.420044</v>
      </c>
      <c r="H776" s="50">
        <f t="shared" si="105"/>
        <v>-5.3085690286151909E-3</v>
      </c>
      <c r="I776" s="50">
        <f t="shared" si="106"/>
        <v>-1.3917271203531848E-2</v>
      </c>
      <c r="J776" s="50">
        <f t="shared" si="107"/>
        <v>3.4382197947106247E-3</v>
      </c>
      <c r="K776" s="50">
        <f t="shared" si="108"/>
        <v>-3.2898699542081534E-3</v>
      </c>
      <c r="L776" s="50">
        <f t="shared" si="109"/>
        <v>1.0573498769549125E-2</v>
      </c>
      <c r="P776" s="50">
        <f t="shared" si="104"/>
        <v>1.0573498769549125E-2</v>
      </c>
      <c r="Q776" s="51">
        <f t="shared" si="110"/>
        <v>86.039461730081626</v>
      </c>
      <c r="R776" s="51">
        <f t="shared" si="111"/>
        <v>55.224437162812492</v>
      </c>
      <c r="Y776">
        <v>771</v>
      </c>
      <c r="Z776">
        <v>7.4942654882702033</v>
      </c>
    </row>
    <row r="777" spans="1:26" x14ac:dyDescent="0.15">
      <c r="A777" s="59">
        <v>42038.75</v>
      </c>
      <c r="B777">
        <v>16.116961</v>
      </c>
      <c r="C777">
        <v>126.87674</v>
      </c>
      <c r="D777">
        <v>58.291794000000003</v>
      </c>
      <c r="E777">
        <v>18.237499</v>
      </c>
      <c r="F777">
        <v>1380.8199460000001</v>
      </c>
      <c r="H777" s="50">
        <f t="shared" si="105"/>
        <v>-7.2180602113817022E-3</v>
      </c>
      <c r="I777" s="50">
        <f t="shared" si="106"/>
        <v>1.2274462358985624E-2</v>
      </c>
      <c r="J777" s="50">
        <f t="shared" si="107"/>
        <v>-4.4762180974675511E-3</v>
      </c>
      <c r="K777" s="50">
        <f t="shared" si="108"/>
        <v>-2.4445746075048905E-2</v>
      </c>
      <c r="L777" s="50">
        <f t="shared" si="109"/>
        <v>3.3052976496442933E-2</v>
      </c>
      <c r="P777" s="50">
        <f t="shared" si="104"/>
        <v>3.3052976496442933E-2</v>
      </c>
      <c r="Q777" s="51">
        <f t="shared" si="110"/>
        <v>88.883322036412608</v>
      </c>
      <c r="R777" s="51">
        <f t="shared" si="111"/>
        <v>54.825823850231643</v>
      </c>
      <c r="Y777">
        <v>772</v>
      </c>
      <c r="Z777">
        <v>8.7316880687078324</v>
      </c>
    </row>
    <row r="778" spans="1:26" x14ac:dyDescent="0.15">
      <c r="A778" s="59">
        <v>42039.75</v>
      </c>
      <c r="B778">
        <v>16.23414</v>
      </c>
      <c r="C778">
        <v>125.33828</v>
      </c>
      <c r="D778">
        <v>58.553894</v>
      </c>
      <c r="E778">
        <v>18.694500000000001</v>
      </c>
      <c r="F778">
        <v>1336.6400149999999</v>
      </c>
      <c r="H778" s="50">
        <f t="shared" si="105"/>
        <v>-5.7247729375525802E-4</v>
      </c>
      <c r="I778" s="50">
        <f t="shared" si="106"/>
        <v>2.622829801543076E-3</v>
      </c>
      <c r="J778" s="50">
        <f t="shared" si="107"/>
        <v>-5.3695431521920073E-3</v>
      </c>
      <c r="K778" s="50">
        <f t="shared" si="108"/>
        <v>-1.0420540214782618E-3</v>
      </c>
      <c r="L778" s="50">
        <f t="shared" si="109"/>
        <v>7.6822076794662965E-3</v>
      </c>
      <c r="P778" s="50">
        <f t="shared" si="104"/>
        <v>7.6822076794662965E-3</v>
      </c>
      <c r="Q778" s="51">
        <f t="shared" si="110"/>
        <v>89.566142175537209</v>
      </c>
      <c r="R778" s="51">
        <f t="shared" si="111"/>
        <v>54.794437310965961</v>
      </c>
      <c r="Y778">
        <v>773</v>
      </c>
      <c r="Z778">
        <v>6.4252922742783971</v>
      </c>
    </row>
    <row r="779" spans="1:26" x14ac:dyDescent="0.15">
      <c r="A779" s="59">
        <v>42040.75</v>
      </c>
      <c r="B779">
        <v>16.243438999999999</v>
      </c>
      <c r="C779">
        <v>125.01039900000001</v>
      </c>
      <c r="D779">
        <v>58.869999</v>
      </c>
      <c r="E779">
        <v>18.714001</v>
      </c>
      <c r="F779">
        <v>1326.4499510000001</v>
      </c>
      <c r="H779" s="50">
        <f t="shared" si="105"/>
        <v>1.6529119051723988E-2</v>
      </c>
      <c r="I779" s="50">
        <f t="shared" si="106"/>
        <v>7.8623818255702978E-3</v>
      </c>
      <c r="J779" s="50">
        <f t="shared" si="107"/>
        <v>1.2866519141775326E-2</v>
      </c>
      <c r="K779" s="50">
        <f t="shared" si="108"/>
        <v>1.0038914075993145E-2</v>
      </c>
      <c r="L779" s="50">
        <f t="shared" si="109"/>
        <v>-7.8240739720560285E-3</v>
      </c>
      <c r="P779" s="50">
        <f t="shared" si="104"/>
        <v>-7.8240739720560285E-3</v>
      </c>
      <c r="Q779" s="51">
        <f t="shared" si="110"/>
        <v>88.865370053764124</v>
      </c>
      <c r="R779" s="51">
        <f t="shared" si="111"/>
        <v>55.700141088651151</v>
      </c>
      <c r="Y779">
        <v>774</v>
      </c>
      <c r="Z779">
        <v>7.4985260758833379</v>
      </c>
    </row>
    <row r="780" spans="1:26" x14ac:dyDescent="0.15">
      <c r="A780" s="59">
        <v>42041.75</v>
      </c>
      <c r="B780">
        <v>15.979315</v>
      </c>
      <c r="C780">
        <v>124.03518699999999</v>
      </c>
      <c r="D780">
        <v>58.122169</v>
      </c>
      <c r="E780">
        <v>18.527999999999999</v>
      </c>
      <c r="F780">
        <v>1336.910034</v>
      </c>
      <c r="H780" s="50">
        <f t="shared" si="105"/>
        <v>-1.5809741831763723E-2</v>
      </c>
      <c r="I780" s="50">
        <f t="shared" si="106"/>
        <v>-4.5880368988912108E-3</v>
      </c>
      <c r="J780" s="50">
        <f t="shared" si="107"/>
        <v>-1.6438436835138199E-2</v>
      </c>
      <c r="K780" s="50">
        <f t="shared" si="108"/>
        <v>-6.5415549597855173E-3</v>
      </c>
      <c r="L780" s="50">
        <f t="shared" si="109"/>
        <v>4.2214655224352788E-3</v>
      </c>
      <c r="P780" s="50">
        <f t="shared" si="104"/>
        <v>4.2214655224352788E-3</v>
      </c>
      <c r="Q780" s="51">
        <f t="shared" si="110"/>
        <v>89.240512149584546</v>
      </c>
      <c r="R780" s="51">
        <f t="shared" si="111"/>
        <v>54.819536238046759</v>
      </c>
      <c r="Y780">
        <v>775</v>
      </c>
      <c r="Z780">
        <v>6.9106390032560663</v>
      </c>
    </row>
    <row r="781" spans="1:26" x14ac:dyDescent="0.15">
      <c r="A781" s="59">
        <v>42042.75</v>
      </c>
      <c r="B781">
        <v>16.236001999999999</v>
      </c>
      <c r="C781">
        <v>124.606888</v>
      </c>
      <c r="D781">
        <v>59.093575000000001</v>
      </c>
      <c r="E781">
        <v>18.649999999999999</v>
      </c>
      <c r="F781">
        <v>1331.290039</v>
      </c>
      <c r="H781" s="50">
        <f t="shared" si="105"/>
        <v>1.1003220688725054E-2</v>
      </c>
      <c r="I781" s="50">
        <f t="shared" si="106"/>
        <v>2.7463591898032177E-3</v>
      </c>
      <c r="J781" s="50">
        <f t="shared" si="107"/>
        <v>3.0097467842998774E-3</v>
      </c>
      <c r="K781" s="50">
        <f t="shared" si="108"/>
        <v>-5.7045369728636166E-3</v>
      </c>
      <c r="L781" s="50">
        <f t="shared" si="109"/>
        <v>-5.8545219438944649E-3</v>
      </c>
      <c r="P781" s="50">
        <f t="shared" si="104"/>
        <v>-5.8545219438944649E-3</v>
      </c>
      <c r="Q781" s="51">
        <f t="shared" si="110"/>
        <v>88.718051612920419</v>
      </c>
      <c r="R781" s="51">
        <f t="shared" si="111"/>
        <v>55.422727693327545</v>
      </c>
      <c r="Y781">
        <v>776</v>
      </c>
      <c r="Z781">
        <v>7.1859617232645796</v>
      </c>
    </row>
    <row r="782" spans="1:26" x14ac:dyDescent="0.15">
      <c r="A782" s="59">
        <v>42045.75</v>
      </c>
      <c r="B782">
        <v>16.059297999999998</v>
      </c>
      <c r="C782">
        <v>124.26561</v>
      </c>
      <c r="D782">
        <v>58.916252</v>
      </c>
      <c r="E782">
        <v>18.757000000000001</v>
      </c>
      <c r="F782">
        <v>1339.130005</v>
      </c>
      <c r="H782" s="50">
        <f t="shared" si="105"/>
        <v>5.2393663435153738E-3</v>
      </c>
      <c r="I782" s="50">
        <f t="shared" si="106"/>
        <v>-2.0301577593326283E-3</v>
      </c>
      <c r="J782" s="50">
        <f t="shared" si="107"/>
        <v>-5.8540897836336708E-3</v>
      </c>
      <c r="K782" s="50">
        <f t="shared" si="108"/>
        <v>-5.3821884031072425E-3</v>
      </c>
      <c r="L782" s="50">
        <f t="shared" si="109"/>
        <v>-7.2134840592814149E-3</v>
      </c>
      <c r="P782" s="50">
        <f t="shared" si="104"/>
        <v>-7.2134840592814149E-3</v>
      </c>
      <c r="Q782" s="51">
        <f t="shared" si="110"/>
        <v>88.07808536184011</v>
      </c>
      <c r="R782" s="51">
        <f t="shared" si="111"/>
        <v>55.713107667469778</v>
      </c>
      <c r="Y782">
        <v>777</v>
      </c>
      <c r="Z782">
        <v>7.4220694558913021</v>
      </c>
    </row>
    <row r="783" spans="1:26" x14ac:dyDescent="0.15">
      <c r="A783" s="59">
        <v>42046.75</v>
      </c>
      <c r="B783">
        <v>15.975595999999999</v>
      </c>
      <c r="C783">
        <v>124.51840199999999</v>
      </c>
      <c r="D783">
        <v>59.263184000000003</v>
      </c>
      <c r="E783">
        <v>18.858499999999999</v>
      </c>
      <c r="F783">
        <v>1348.8599850000001</v>
      </c>
      <c r="H783" s="50">
        <f t="shared" si="105"/>
        <v>9.3241442707388039E-4</v>
      </c>
      <c r="I783" s="50">
        <f t="shared" si="106"/>
        <v>4.4864058904639081E-3</v>
      </c>
      <c r="J783" s="50">
        <f t="shared" si="107"/>
        <v>3.0215628233496022E-3</v>
      </c>
      <c r="K783" s="50">
        <f t="shared" si="108"/>
        <v>-1.2204332409938031E-2</v>
      </c>
      <c r="L783" s="50">
        <f t="shared" si="109"/>
        <v>-1.342147623513399E-2</v>
      </c>
      <c r="P783" s="50">
        <f t="shared" si="104"/>
        <v>-1.342147623513399E-2</v>
      </c>
      <c r="Q783" s="51">
        <f t="shared" si="110"/>
        <v>86.895947432320071</v>
      </c>
      <c r="R783" s="51">
        <f t="shared" si="111"/>
        <v>55.765055372836052</v>
      </c>
      <c r="Y783">
        <v>778</v>
      </c>
      <c r="Z783">
        <v>7.2396219411515013</v>
      </c>
    </row>
    <row r="784" spans="1:26" x14ac:dyDescent="0.15">
      <c r="A784" s="59">
        <v>42047.75</v>
      </c>
      <c r="B784">
        <v>15.960713999999999</v>
      </c>
      <c r="C784">
        <v>123.96225699999999</v>
      </c>
      <c r="D784">
        <v>59.084656000000003</v>
      </c>
      <c r="E784">
        <v>19.091498999999999</v>
      </c>
      <c r="F784">
        <v>1367.209961</v>
      </c>
      <c r="H784" s="50">
        <f t="shared" si="105"/>
        <v>-1.7452415211872132E-3</v>
      </c>
      <c r="I784" s="50">
        <f t="shared" si="106"/>
        <v>-2.914122659953498E-3</v>
      </c>
      <c r="J784" s="50">
        <f t="shared" si="107"/>
        <v>-6.7851501471053515E-3</v>
      </c>
      <c r="K784" s="50">
        <f t="shared" si="108"/>
        <v>1.7047066030951137E-2</v>
      </c>
      <c r="L784" s="50">
        <f t="shared" si="109"/>
        <v>1.360406284125922E-2</v>
      </c>
      <c r="P784" s="50">
        <f t="shared" si="104"/>
        <v>1.360406284125922E-2</v>
      </c>
      <c r="Q784" s="51">
        <f t="shared" si="110"/>
        <v>88.07808536184011</v>
      </c>
      <c r="R784" s="51">
        <f t="shared" si="111"/>
        <v>55.667731882768074</v>
      </c>
      <c r="Y784">
        <v>779</v>
      </c>
      <c r="Z784">
        <v>6.0336191841852855</v>
      </c>
    </row>
    <row r="785" spans="1:26" x14ac:dyDescent="0.15">
      <c r="A785" s="59">
        <v>42048.75</v>
      </c>
      <c r="B785">
        <v>15.988618000000001</v>
      </c>
      <c r="C785">
        <v>124.32455400000001</v>
      </c>
      <c r="D785">
        <v>59.488292999999999</v>
      </c>
      <c r="E785">
        <v>18.7715</v>
      </c>
      <c r="F785">
        <v>1348.8599850000001</v>
      </c>
      <c r="H785" s="50">
        <f t="shared" si="105"/>
        <v>-3.8244857430227617E-3</v>
      </c>
      <c r="I785" s="50">
        <f t="shared" si="106"/>
        <v>2.037466027120655E-3</v>
      </c>
      <c r="J785" s="50">
        <f t="shared" si="107"/>
        <v>-9.1788085164033421E-3</v>
      </c>
      <c r="K785" s="50">
        <f t="shared" si="108"/>
        <v>5.5172614019733304E-3</v>
      </c>
      <c r="L785" s="50">
        <f t="shared" si="109"/>
        <v>-8.3704694728883346E-4</v>
      </c>
      <c r="P785" s="50">
        <f t="shared" si="104"/>
        <v>-8.3704694728883346E-4</v>
      </c>
      <c r="Q785" s="51">
        <f t="shared" si="110"/>
        <v>88.004359869364933</v>
      </c>
      <c r="R785" s="51">
        <f t="shared" si="111"/>
        <v>55.454831435836013</v>
      </c>
      <c r="Y785">
        <v>780</v>
      </c>
      <c r="Z785">
        <v>7.790136385592441</v>
      </c>
    </row>
    <row r="786" spans="1:26" x14ac:dyDescent="0.15">
      <c r="A786" s="59">
        <v>42049.75</v>
      </c>
      <c r="B786">
        <v>16.050001000000002</v>
      </c>
      <c r="C786">
        <v>124.07176200000001</v>
      </c>
      <c r="D786">
        <v>60.039383000000001</v>
      </c>
      <c r="E786">
        <v>18.668500999999999</v>
      </c>
      <c r="F786">
        <v>1349.98999</v>
      </c>
      <c r="H786" s="50">
        <f t="shared" si="105"/>
        <v>3.3165711594609834E-2</v>
      </c>
      <c r="I786" s="50">
        <f t="shared" si="106"/>
        <v>3.8182171948116348E-3</v>
      </c>
      <c r="J786" s="50">
        <f t="shared" si="107"/>
        <v>8.7373615242145181E-3</v>
      </c>
      <c r="K786" s="50">
        <f t="shared" si="108"/>
        <v>-1.4854880482592122E-2</v>
      </c>
      <c r="L786" s="50">
        <f t="shared" si="109"/>
        <v>8.9707808092109669E-4</v>
      </c>
      <c r="P786" s="50">
        <f t="shared" si="104"/>
        <v>8.9707808092109669E-4</v>
      </c>
      <c r="Q786" s="51">
        <f t="shared" si="110"/>
        <v>88.083306651629229</v>
      </c>
      <c r="R786" s="51">
        <f t="shared" si="111"/>
        <v>57.294030381764649</v>
      </c>
      <c r="Y786">
        <v>781</v>
      </c>
      <c r="Z786">
        <v>9.8571170238938048</v>
      </c>
    </row>
    <row r="787" spans="1:26" x14ac:dyDescent="0.15">
      <c r="A787" s="59">
        <v>42053.75</v>
      </c>
      <c r="B787">
        <v>15.534779</v>
      </c>
      <c r="C787">
        <v>123.59983099999999</v>
      </c>
      <c r="D787">
        <v>59.519340999999997</v>
      </c>
      <c r="E787">
        <v>18.950001</v>
      </c>
      <c r="F787">
        <v>1348.780029</v>
      </c>
      <c r="H787" s="50">
        <f t="shared" si="105"/>
        <v>-9.2522551072385228E-3</v>
      </c>
      <c r="I787" s="50">
        <f t="shared" si="106"/>
        <v>-5.8968174177410964E-3</v>
      </c>
      <c r="J787" s="50">
        <f t="shared" si="107"/>
        <v>-2.4716585769943887E-3</v>
      </c>
      <c r="K787" s="50">
        <f t="shared" si="108"/>
        <v>-1.2146170455811399E-2</v>
      </c>
      <c r="L787" s="50">
        <f t="shared" si="109"/>
        <v>-8.2718761792869213E-3</v>
      </c>
      <c r="P787" s="50">
        <f t="shared" si="104"/>
        <v>-8.2718761792869213E-3</v>
      </c>
      <c r="Q787" s="51">
        <f t="shared" si="110"/>
        <v>87.354692445544785</v>
      </c>
      <c r="R787" s="51">
        <f t="shared" si="111"/>
        <v>56.763931396550689</v>
      </c>
      <c r="Y787">
        <v>782</v>
      </c>
      <c r="Z787">
        <v>7.8397188107456186</v>
      </c>
    </row>
    <row r="788" spans="1:26" x14ac:dyDescent="0.15">
      <c r="A788" s="59">
        <v>42054.75</v>
      </c>
      <c r="B788">
        <v>15.679853</v>
      </c>
      <c r="C788">
        <v>124.333</v>
      </c>
      <c r="D788">
        <v>59.666817000000002</v>
      </c>
      <c r="E788">
        <v>19.183001000000001</v>
      </c>
      <c r="F788">
        <v>1360.030029</v>
      </c>
      <c r="H788" s="50">
        <f t="shared" si="105"/>
        <v>-3.5464672944425439E-3</v>
      </c>
      <c r="I788" s="50">
        <f t="shared" si="106"/>
        <v>-5.7281487722990266E-3</v>
      </c>
      <c r="J788" s="50">
        <f t="shared" si="107"/>
        <v>2.3470653359362209E-3</v>
      </c>
      <c r="K788" s="50">
        <f t="shared" si="108"/>
        <v>9.2597990214131325E-3</v>
      </c>
      <c r="L788" s="50">
        <f t="shared" si="109"/>
        <v>1.3035090181956742E-2</v>
      </c>
      <c r="P788" s="50">
        <f t="shared" si="104"/>
        <v>1.3035090181956742E-2</v>
      </c>
      <c r="Q788" s="51">
        <f t="shared" si="110"/>
        <v>88.493368739389553</v>
      </c>
      <c r="R788" s="51">
        <f t="shared" si="111"/>
        <v>56.562619970348841</v>
      </c>
      <c r="Y788">
        <v>783</v>
      </c>
      <c r="Z788">
        <v>7.2572910254576168</v>
      </c>
    </row>
    <row r="789" spans="1:26" x14ac:dyDescent="0.15">
      <c r="A789" s="59">
        <v>42055.75</v>
      </c>
      <c r="B789">
        <v>15.735659</v>
      </c>
      <c r="C789">
        <v>125.049301</v>
      </c>
      <c r="D789">
        <v>59.527102999999997</v>
      </c>
      <c r="E789">
        <v>19.007000000000001</v>
      </c>
      <c r="F789">
        <v>1342.530029</v>
      </c>
      <c r="H789" s="50">
        <f t="shared" si="105"/>
        <v>3.5505236656864747E-4</v>
      </c>
      <c r="I789" s="50">
        <f t="shared" si="106"/>
        <v>1.2144907748197291E-3</v>
      </c>
      <c r="J789" s="50">
        <f t="shared" si="107"/>
        <v>-3.3788157146532067E-3</v>
      </c>
      <c r="K789" s="50">
        <f t="shared" si="108"/>
        <v>4.0940857342199937E-3</v>
      </c>
      <c r="L789" s="50">
        <f t="shared" si="109"/>
        <v>-7.818991890744224E-3</v>
      </c>
      <c r="P789" s="50">
        <f t="shared" si="104"/>
        <v>-7.818991890744224E-3</v>
      </c>
      <c r="Q789" s="51">
        <f t="shared" si="110"/>
        <v>87.801439806831624</v>
      </c>
      <c r="R789" s="51">
        <f t="shared" si="111"/>
        <v>56.582702662428645</v>
      </c>
      <c r="Y789">
        <v>784</v>
      </c>
      <c r="Z789">
        <v>7.4893227373593065</v>
      </c>
    </row>
    <row r="790" spans="1:26" x14ac:dyDescent="0.15">
      <c r="A790" s="59">
        <v>42056.75</v>
      </c>
      <c r="B790">
        <v>15.730074</v>
      </c>
      <c r="C790">
        <v>124.897614</v>
      </c>
      <c r="D790">
        <v>59.728915999999998</v>
      </c>
      <c r="E790">
        <v>18.929500999999998</v>
      </c>
      <c r="F790">
        <v>1353.1099850000001</v>
      </c>
      <c r="H790" s="50">
        <f t="shared" si="105"/>
        <v>1.1965649428312873E-2</v>
      </c>
      <c r="I790" s="50">
        <f t="shared" si="106"/>
        <v>4.9499922422655256E-3</v>
      </c>
      <c r="J790" s="50">
        <f t="shared" si="107"/>
        <v>-2.5921385801223281E-3</v>
      </c>
      <c r="K790" s="50">
        <f t="shared" si="108"/>
        <v>-1.7593378705834852E-2</v>
      </c>
      <c r="L790" s="50">
        <f t="shared" si="109"/>
        <v>-1.3624481216212505E-2</v>
      </c>
      <c r="P790" s="50">
        <f t="shared" si="104"/>
        <v>-1.3624481216212505E-2</v>
      </c>
      <c r="Q790" s="51">
        <f t="shared" si="110"/>
        <v>86.60519073942703</v>
      </c>
      <c r="R790" s="51">
        <f t="shared" si="111"/>
        <v>57.259751446193732</v>
      </c>
      <c r="Y790">
        <v>785</v>
      </c>
      <c r="Z790">
        <v>5.1297462082930387</v>
      </c>
    </row>
    <row r="791" spans="1:26" x14ac:dyDescent="0.15">
      <c r="A791" s="59">
        <v>42059.75</v>
      </c>
      <c r="B791">
        <v>15.544079</v>
      </c>
      <c r="C791">
        <v>124.282417</v>
      </c>
      <c r="D791">
        <v>59.884143999999999</v>
      </c>
      <c r="E791">
        <v>19.268498999999998</v>
      </c>
      <c r="F791">
        <v>1371.8000489999999</v>
      </c>
      <c r="H791" s="50">
        <f t="shared" si="105"/>
        <v>-2.7446836630341028E-3</v>
      </c>
      <c r="I791" s="50">
        <f t="shared" si="106"/>
        <v>5.6598012272921607E-3</v>
      </c>
      <c r="J791" s="50">
        <f t="shared" si="107"/>
        <v>3.2508237295355274E-3</v>
      </c>
      <c r="K791" s="50">
        <f t="shared" si="108"/>
        <v>1.481237006237009E-3</v>
      </c>
      <c r="L791" s="50">
        <f t="shared" si="109"/>
        <v>-6.8703818402038258E-3</v>
      </c>
      <c r="P791" s="50">
        <f t="shared" si="104"/>
        <v>-6.8703818402038258E-3</v>
      </c>
      <c r="Q791" s="51">
        <f t="shared" si="110"/>
        <v>86.010180009703475</v>
      </c>
      <c r="R791" s="51">
        <f t="shared" si="111"/>
        <v>57.102591541849968</v>
      </c>
      <c r="Y791">
        <v>786</v>
      </c>
      <c r="Z791">
        <v>9.5883528891705545</v>
      </c>
    </row>
    <row r="792" spans="1:26" x14ac:dyDescent="0.15">
      <c r="A792" s="59">
        <v>42060.75</v>
      </c>
      <c r="B792">
        <v>15.58686</v>
      </c>
      <c r="C792">
        <v>123.58296199999999</v>
      </c>
      <c r="D792">
        <v>59.690102000000003</v>
      </c>
      <c r="E792">
        <v>19.239999999999998</v>
      </c>
      <c r="F792">
        <v>1381.290039</v>
      </c>
      <c r="H792" s="50">
        <f t="shared" si="105"/>
        <v>-1.5487759366161892E-3</v>
      </c>
      <c r="I792" s="50">
        <f t="shared" si="106"/>
        <v>-2.1097146239456807E-3</v>
      </c>
      <c r="J792" s="50">
        <f t="shared" si="107"/>
        <v>9.1114786571453983E-4</v>
      </c>
      <c r="K792" s="50">
        <f t="shared" si="108"/>
        <v>1.2205440456935881E-2</v>
      </c>
      <c r="L792" s="50">
        <f t="shared" si="109"/>
        <v>9.2029027231072165E-4</v>
      </c>
      <c r="P792" s="50">
        <f t="shared" si="104"/>
        <v>9.2029027231072165E-4</v>
      </c>
      <c r="Q792" s="51">
        <f t="shared" si="110"/>
        <v>86.089334341686097</v>
      </c>
      <c r="R792" s="51">
        <f t="shared" si="111"/>
        <v>57.014152422151525</v>
      </c>
      <c r="Y792">
        <v>787</v>
      </c>
      <c r="Z792">
        <v>8.3070089260293933</v>
      </c>
    </row>
    <row r="793" spans="1:26" x14ac:dyDescent="0.15">
      <c r="A793" s="59">
        <v>42061.75</v>
      </c>
      <c r="B793">
        <v>15.611038000000001</v>
      </c>
      <c r="C793">
        <v>123.844238</v>
      </c>
      <c r="D793">
        <v>59.635764999999999</v>
      </c>
      <c r="E793">
        <v>19.007999000000002</v>
      </c>
      <c r="F793">
        <v>1380.0200199999999</v>
      </c>
      <c r="H793" s="50">
        <f t="shared" si="105"/>
        <v>-3.5718365617748817E-4</v>
      </c>
      <c r="I793" s="50">
        <f t="shared" si="106"/>
        <v>-6.6244189013878055E-3</v>
      </c>
      <c r="J793" s="50">
        <f t="shared" si="107"/>
        <v>-1.0942105570852872E-2</v>
      </c>
      <c r="K793" s="50">
        <f t="shared" si="108"/>
        <v>-1.4261369379174802E-2</v>
      </c>
      <c r="L793" s="50">
        <f t="shared" si="109"/>
        <v>9.0225531650547884E-3</v>
      </c>
      <c r="P793" s="50">
        <f t="shared" si="104"/>
        <v>9.0225531650547884E-3</v>
      </c>
      <c r="Q793" s="51">
        <f t="shared" si="110"/>
        <v>86.866079937728131</v>
      </c>
      <c r="R793" s="51">
        <f t="shared" si="111"/>
        <v>56.993787898735519</v>
      </c>
      <c r="Y793">
        <v>788</v>
      </c>
      <c r="Z793">
        <v>8.0714977212145378</v>
      </c>
    </row>
    <row r="794" spans="1:26" x14ac:dyDescent="0.15">
      <c r="A794" s="59">
        <v>42062.75</v>
      </c>
      <c r="B794">
        <v>15.616616</v>
      </c>
      <c r="C794">
        <v>124.67010500000001</v>
      </c>
      <c r="D794">
        <v>60.295524999999998</v>
      </c>
      <c r="E794">
        <v>19.283000999999999</v>
      </c>
      <c r="F794">
        <v>1367.6800539999999</v>
      </c>
      <c r="H794" s="50">
        <f t="shared" si="105"/>
        <v>7.076535893968657E-3</v>
      </c>
      <c r="I794" s="50">
        <f t="shared" si="106"/>
        <v>3.8680330544227969E-3</v>
      </c>
      <c r="J794" s="50">
        <f t="shared" si="107"/>
        <v>-4.1028228000939554E-3</v>
      </c>
      <c r="K794" s="50">
        <f t="shared" si="108"/>
        <v>2.7301423639605241E-3</v>
      </c>
      <c r="L794" s="50">
        <f t="shared" si="109"/>
        <v>2.7843990335991217E-2</v>
      </c>
      <c r="P794" s="50">
        <f t="shared" si="104"/>
        <v>2.7843990335991217E-2</v>
      </c>
      <c r="Q794" s="51">
        <f t="shared" si="110"/>
        <v>89.284778228039684</v>
      </c>
      <c r="R794" s="51">
        <f t="shared" si="111"/>
        <v>57.397106484534156</v>
      </c>
      <c r="Y794">
        <v>789</v>
      </c>
      <c r="Z794">
        <v>6.9002007700177357</v>
      </c>
    </row>
    <row r="795" spans="1:26" x14ac:dyDescent="0.15">
      <c r="A795" s="59">
        <v>42063.75</v>
      </c>
      <c r="B795">
        <v>15.506881</v>
      </c>
      <c r="C795">
        <v>124.189735</v>
      </c>
      <c r="D795">
        <v>60.543925999999999</v>
      </c>
      <c r="E795">
        <v>19.230498999999998</v>
      </c>
      <c r="F795">
        <v>1330.630005</v>
      </c>
      <c r="H795" s="50">
        <f t="shared" si="105"/>
        <v>9.5667059051088247E-3</v>
      </c>
      <c r="I795" s="50">
        <f t="shared" si="106"/>
        <v>1.3585979304834635E-3</v>
      </c>
      <c r="J795" s="50">
        <f t="shared" si="107"/>
        <v>3.6025736244520599E-3</v>
      </c>
      <c r="K795" s="50">
        <f t="shared" si="108"/>
        <v>4.9382838628762018E-3</v>
      </c>
      <c r="L795" s="50">
        <f t="shared" si="109"/>
        <v>-5.3326799925723937E-4</v>
      </c>
      <c r="P795" s="50">
        <f t="shared" si="104"/>
        <v>-5.3326799925723937E-4</v>
      </c>
      <c r="Q795" s="51">
        <f t="shared" si="110"/>
        <v>89.23716551298989</v>
      </c>
      <c r="R795" s="51">
        <f t="shared" si="111"/>
        <v>57.946207722075904</v>
      </c>
      <c r="Y795">
        <v>790</v>
      </c>
      <c r="Z795">
        <v>8.1808652180071739</v>
      </c>
    </row>
    <row r="796" spans="1:26" x14ac:dyDescent="0.15">
      <c r="A796" s="59">
        <v>42066.75</v>
      </c>
      <c r="B796">
        <v>15.359937</v>
      </c>
      <c r="C796">
        <v>124.02124000000001</v>
      </c>
      <c r="D796">
        <v>60.326594999999998</v>
      </c>
      <c r="E796">
        <v>19.135999999999999</v>
      </c>
      <c r="F796">
        <v>1331.339966</v>
      </c>
      <c r="H796" s="50">
        <f t="shared" si="105"/>
        <v>-1.1846440049616293E-2</v>
      </c>
      <c r="I796" s="50">
        <f t="shared" si="106"/>
        <v>-2.6459731010734247E-2</v>
      </c>
      <c r="J796" s="50">
        <f t="shared" si="107"/>
        <v>-6.1377955943175506E-3</v>
      </c>
      <c r="K796" s="50">
        <f t="shared" si="108"/>
        <v>-1.3175876028156739E-2</v>
      </c>
      <c r="L796" s="50">
        <f t="shared" si="109"/>
        <v>3.4595560580365585E-3</v>
      </c>
      <c r="P796" s="50">
        <f t="shared" si="104"/>
        <v>3.4595560580365585E-3</v>
      </c>
      <c r="Q796" s="51">
        <f t="shared" si="110"/>
        <v>89.545886489542369</v>
      </c>
      <c r="R796" s="51">
        <f t="shared" si="111"/>
        <v>57.259751446193718</v>
      </c>
      <c r="Y796">
        <v>791</v>
      </c>
      <c r="Z796">
        <v>8.512618739719672</v>
      </c>
    </row>
    <row r="797" spans="1:26" x14ac:dyDescent="0.15">
      <c r="A797" s="59">
        <v>42067.75</v>
      </c>
      <c r="B797">
        <v>15.544079</v>
      </c>
      <c r="C797">
        <v>127.391998</v>
      </c>
      <c r="D797">
        <v>60.699154</v>
      </c>
      <c r="E797">
        <v>19.391500000000001</v>
      </c>
      <c r="F797">
        <v>1326.75</v>
      </c>
      <c r="H797" s="50">
        <f t="shared" si="105"/>
        <v>1.1865995356272143E-2</v>
      </c>
      <c r="I797" s="50">
        <f t="shared" si="106"/>
        <v>1.0899843314172099E-2</v>
      </c>
      <c r="J797" s="50">
        <f t="shared" si="107"/>
        <v>1.2822342711754043E-2</v>
      </c>
      <c r="K797" s="50">
        <f t="shared" si="108"/>
        <v>2.0363651785821953E-2</v>
      </c>
      <c r="L797" s="50">
        <f t="shared" si="109"/>
        <v>-5.2110304081431696E-3</v>
      </c>
      <c r="P797" s="50">
        <f t="shared" si="104"/>
        <v>-5.2110304081431696E-3</v>
      </c>
      <c r="Q797" s="51">
        <f t="shared" si="110"/>
        <v>89.079260152121222</v>
      </c>
      <c r="R797" s="51">
        <f t="shared" si="111"/>
        <v>57.939195390955547</v>
      </c>
      <c r="Y797">
        <v>792</v>
      </c>
      <c r="Z797">
        <v>7.2558579627552362</v>
      </c>
    </row>
    <row r="798" spans="1:26" x14ac:dyDescent="0.15">
      <c r="A798" s="59">
        <v>42068.75</v>
      </c>
      <c r="B798">
        <v>15.361796</v>
      </c>
      <c r="C798">
        <v>126.018417</v>
      </c>
      <c r="D798">
        <v>59.930701999999997</v>
      </c>
      <c r="E798">
        <v>19.004498999999999</v>
      </c>
      <c r="F798">
        <v>1333.6999510000001</v>
      </c>
      <c r="H798" s="50">
        <f t="shared" si="105"/>
        <v>-3.4988281128117268E-3</v>
      </c>
      <c r="I798" s="50">
        <f t="shared" si="106"/>
        <v>-7.5655218166645775E-3</v>
      </c>
      <c r="J798" s="50">
        <f t="shared" si="107"/>
        <v>-1.7309352704842029E-2</v>
      </c>
      <c r="K798" s="50">
        <f t="shared" si="108"/>
        <v>4.0416316590041737E-3</v>
      </c>
      <c r="L798" s="50">
        <f t="shared" si="109"/>
        <v>2.250945747682476E-2</v>
      </c>
      <c r="P798" s="50">
        <f t="shared" si="104"/>
        <v>2.250945747682476E-2</v>
      </c>
      <c r="Q798" s="51">
        <f t="shared" si="110"/>
        <v>91.084385970582403</v>
      </c>
      <c r="R798" s="51">
        <f t="shared" si="111"/>
        <v>57.736476105287977</v>
      </c>
      <c r="Y798">
        <v>793</v>
      </c>
      <c r="Z798">
        <v>10.30164996077969</v>
      </c>
    </row>
    <row r="799" spans="1:26" x14ac:dyDescent="0.15">
      <c r="A799" s="59">
        <v>42069.75</v>
      </c>
      <c r="B799">
        <v>15.415732999999999</v>
      </c>
      <c r="C799">
        <v>126.97908</v>
      </c>
      <c r="D799">
        <v>60.986336000000001</v>
      </c>
      <c r="E799">
        <v>18.927999</v>
      </c>
      <c r="F799">
        <v>1304.339966</v>
      </c>
      <c r="H799" s="50">
        <f t="shared" si="105"/>
        <v>9.8691922917660234E-3</v>
      </c>
      <c r="I799" s="50">
        <f t="shared" si="106"/>
        <v>1.700843192438381E-2</v>
      </c>
      <c r="J799" s="50">
        <f t="shared" si="107"/>
        <v>1.1587075104792852E-2</v>
      </c>
      <c r="K799" s="50">
        <f t="shared" si="108"/>
        <v>2.4491840545587375E-2</v>
      </c>
      <c r="L799" s="50">
        <f t="shared" si="109"/>
        <v>8.4816959125451081E-3</v>
      </c>
      <c r="P799" s="50">
        <f t="shared" si="104"/>
        <v>8.4816959125451081E-3</v>
      </c>
      <c r="Q799" s="51">
        <f t="shared" si="110"/>
        <v>91.856936034765766</v>
      </c>
      <c r="R799" s="51">
        <f t="shared" si="111"/>
        <v>58.306288490220012</v>
      </c>
      <c r="Y799">
        <v>794</v>
      </c>
      <c r="Z799">
        <v>5.7123438705563316</v>
      </c>
    </row>
    <row r="800" spans="1:26" x14ac:dyDescent="0.15">
      <c r="A800" s="59">
        <v>42070.75</v>
      </c>
      <c r="B800">
        <v>15.265079</v>
      </c>
      <c r="C800">
        <v>124.855484</v>
      </c>
      <c r="D800">
        <v>60.287776999999998</v>
      </c>
      <c r="E800">
        <v>18.4755</v>
      </c>
      <c r="F800">
        <v>1293.369995</v>
      </c>
      <c r="H800" s="50">
        <f t="shared" si="105"/>
        <v>-1.1151593420834715E-3</v>
      </c>
      <c r="I800" s="50">
        <f t="shared" si="106"/>
        <v>5.1563422832972385E-3</v>
      </c>
      <c r="J800" s="50">
        <f t="shared" si="107"/>
        <v>-1.4138903960897132E-3</v>
      </c>
      <c r="K800" s="50">
        <f t="shared" si="108"/>
        <v>8.570515677019587E-3</v>
      </c>
      <c r="L800" s="50">
        <f t="shared" si="109"/>
        <v>1.5706354067185319E-2</v>
      </c>
      <c r="P800" s="50">
        <f t="shared" si="104"/>
        <v>1.5706354067185319E-2</v>
      </c>
      <c r="Q800" s="51">
        <f t="shared" si="110"/>
        <v>93.299673595654596</v>
      </c>
      <c r="R800" s="51">
        <f t="shared" si="111"/>
        <v>58.241267687907929</v>
      </c>
      <c r="Y800">
        <v>795</v>
      </c>
      <c r="Z800">
        <v>6.6479726051305059</v>
      </c>
    </row>
    <row r="801" spans="1:26" x14ac:dyDescent="0.15">
      <c r="A801" s="59">
        <v>42073.75</v>
      </c>
      <c r="B801">
        <v>15.282121</v>
      </c>
      <c r="C801">
        <v>124.214989</v>
      </c>
      <c r="D801">
        <v>60.373137999999997</v>
      </c>
      <c r="E801">
        <v>18.318501000000001</v>
      </c>
      <c r="F801">
        <v>1273.369995</v>
      </c>
      <c r="H801" s="50">
        <f t="shared" si="105"/>
        <v>-1.4774208305590118E-2</v>
      </c>
      <c r="I801" s="50">
        <f t="shared" si="106"/>
        <v>-1.3651151850131778E-2</v>
      </c>
      <c r="J801" s="50">
        <f t="shared" si="107"/>
        <v>-1.9167942180283042E-2</v>
      </c>
      <c r="K801" s="50">
        <f t="shared" si="108"/>
        <v>-2.1029232578024717E-2</v>
      </c>
      <c r="L801" s="50">
        <f t="shared" si="109"/>
        <v>-3.5800574066396272E-2</v>
      </c>
      <c r="P801" s="50">
        <f t="shared" si="104"/>
        <v>-3.5800574066396272E-2</v>
      </c>
      <c r="Q801" s="51">
        <f t="shared" si="110"/>
        <v>89.959491720722767</v>
      </c>
      <c r="R801" s="51">
        <f t="shared" si="111"/>
        <v>57.380799067105144</v>
      </c>
      <c r="Y801">
        <v>796</v>
      </c>
      <c r="Z801">
        <v>7.0651960394004503</v>
      </c>
    </row>
    <row r="802" spans="1:26" x14ac:dyDescent="0.15">
      <c r="A802" s="59">
        <v>42074.75</v>
      </c>
      <c r="B802">
        <v>15.511288</v>
      </c>
      <c r="C802">
        <v>125.934135</v>
      </c>
      <c r="D802">
        <v>61.552982</v>
      </c>
      <c r="E802">
        <v>18.712</v>
      </c>
      <c r="F802">
        <v>1320.650024</v>
      </c>
      <c r="H802" s="50">
        <f t="shared" si="105"/>
        <v>0</v>
      </c>
      <c r="I802" s="50">
        <f t="shared" si="106"/>
        <v>1.0717546946144504E-3</v>
      </c>
      <c r="J802" s="50">
        <f t="shared" si="107"/>
        <v>1.5153959220789656E-3</v>
      </c>
      <c r="K802" s="50">
        <f t="shared" si="108"/>
        <v>9.8764644544479096E-3</v>
      </c>
      <c r="L802" s="50">
        <f t="shared" si="109"/>
        <v>9.0772280984860124E-3</v>
      </c>
      <c r="P802" s="50">
        <f t="shared" si="104"/>
        <v>9.0772280984860124E-3</v>
      </c>
      <c r="Q802" s="51">
        <f t="shared" si="110"/>
        <v>90.776074546695639</v>
      </c>
      <c r="R802" s="51">
        <f t="shared" si="111"/>
        <v>57.380799067105144</v>
      </c>
      <c r="Y802">
        <v>797</v>
      </c>
      <c r="Z802">
        <v>7.3287369555754394</v>
      </c>
    </row>
    <row r="803" spans="1:26" x14ac:dyDescent="0.15">
      <c r="A803" s="59">
        <v>42075.75</v>
      </c>
      <c r="B803">
        <v>15.511288</v>
      </c>
      <c r="C803">
        <v>125.79930899999999</v>
      </c>
      <c r="D803">
        <v>61.459845999999999</v>
      </c>
      <c r="E803">
        <v>18.528998999999999</v>
      </c>
      <c r="F803">
        <v>1308.7700199999999</v>
      </c>
      <c r="H803" s="50">
        <f t="shared" si="105"/>
        <v>-1.6688722242067799E-2</v>
      </c>
      <c r="I803" s="50">
        <f t="shared" si="106"/>
        <v>-4.7339953048979172E-3</v>
      </c>
      <c r="J803" s="50">
        <f t="shared" si="107"/>
        <v>-1.6275306465182601E-2</v>
      </c>
      <c r="K803" s="50">
        <f t="shared" si="108"/>
        <v>-7.4193652069104877E-3</v>
      </c>
      <c r="L803" s="50">
        <f t="shared" si="109"/>
        <v>-5.1007693784896196E-3</v>
      </c>
      <c r="P803" s="50">
        <f t="shared" si="104"/>
        <v>-5.1007693784896196E-3</v>
      </c>
      <c r="Q803" s="51">
        <f t="shared" si="110"/>
        <v>90.313046725348372</v>
      </c>
      <c r="R803" s="51">
        <f t="shared" si="111"/>
        <v>56.423186849446324</v>
      </c>
      <c r="Y803">
        <v>798</v>
      </c>
      <c r="Z803">
        <v>9.4072802855646973</v>
      </c>
    </row>
    <row r="804" spans="1:26" x14ac:dyDescent="0.15">
      <c r="A804" s="59">
        <v>42076.75</v>
      </c>
      <c r="B804">
        <v>15.774545</v>
      </c>
      <c r="C804">
        <v>126.39767500000001</v>
      </c>
      <c r="D804">
        <v>62.476672999999998</v>
      </c>
      <c r="E804">
        <v>18.6675</v>
      </c>
      <c r="F804">
        <v>1315.4799800000001</v>
      </c>
      <c r="H804" s="50">
        <f t="shared" si="105"/>
        <v>8.1094600077673048E-3</v>
      </c>
      <c r="I804" s="50">
        <f t="shared" si="106"/>
        <v>-2.6641333710895009E-4</v>
      </c>
      <c r="J804" s="50">
        <f t="shared" si="107"/>
        <v>-6.6641629497133023E-3</v>
      </c>
      <c r="K804" s="50">
        <f t="shared" si="108"/>
        <v>3.8448589027285656E-3</v>
      </c>
      <c r="L804" s="50">
        <f t="shared" si="109"/>
        <v>2.1224373656306392E-2</v>
      </c>
      <c r="P804" s="50">
        <f t="shared" si="104"/>
        <v>2.1224373656306392E-2</v>
      </c>
      <c r="Q804" s="51">
        <f t="shared" si="110"/>
        <v>92.229884575086629</v>
      </c>
      <c r="R804" s="51">
        <f t="shared" si="111"/>
        <v>56.880748426712692</v>
      </c>
      <c r="Y804">
        <v>799</v>
      </c>
      <c r="Z804">
        <v>9.0017933580335132</v>
      </c>
    </row>
    <row r="805" spans="1:26" x14ac:dyDescent="0.15">
      <c r="A805" s="59">
        <v>42077.75</v>
      </c>
      <c r="B805">
        <v>15.647651</v>
      </c>
      <c r="C805">
        <v>126.431358</v>
      </c>
      <c r="D805">
        <v>62.895820999999998</v>
      </c>
      <c r="E805">
        <v>18.596001000000001</v>
      </c>
      <c r="F805">
        <v>1288.1400149999999</v>
      </c>
      <c r="H805" s="50">
        <f t="shared" si="105"/>
        <v>1.0906168437252849E-3</v>
      </c>
      <c r="I805" s="50">
        <f t="shared" si="106"/>
        <v>-5.9629240182432061E-3</v>
      </c>
      <c r="J805" s="50">
        <f t="shared" si="107"/>
        <v>-3.6976061603949699E-4</v>
      </c>
      <c r="K805" s="50">
        <f t="shared" si="108"/>
        <v>-8.5834088606920253E-3</v>
      </c>
      <c r="L805" s="50">
        <f t="shared" si="109"/>
        <v>9.0396672543882131E-3</v>
      </c>
      <c r="P805" s="50">
        <f t="shared" si="104"/>
        <v>9.0396672543882131E-3</v>
      </c>
      <c r="Q805" s="51">
        <f t="shared" si="110"/>
        <v>93.063612042556045</v>
      </c>
      <c r="R805" s="51">
        <f t="shared" si="111"/>
        <v>56.942783529030564</v>
      </c>
      <c r="Y805">
        <v>800</v>
      </c>
      <c r="Z805">
        <v>6.2985850996115005</v>
      </c>
    </row>
    <row r="806" spans="1:26" x14ac:dyDescent="0.15">
      <c r="A806" s="59">
        <v>42080.75</v>
      </c>
      <c r="B806">
        <v>15.630604</v>
      </c>
      <c r="C806">
        <v>127.189781</v>
      </c>
      <c r="D806">
        <v>62.919086</v>
      </c>
      <c r="E806">
        <v>18.757000000000001</v>
      </c>
      <c r="F806">
        <v>1276.599976</v>
      </c>
      <c r="H806" s="50">
        <f t="shared" si="105"/>
        <v>1.238966803969814E-2</v>
      </c>
      <c r="I806" s="50">
        <f t="shared" si="106"/>
        <v>-2.5109803974836765E-3</v>
      </c>
      <c r="J806" s="50">
        <f t="shared" si="107"/>
        <v>5.7070387823978308E-3</v>
      </c>
      <c r="K806" s="50">
        <f t="shared" si="108"/>
        <v>5.0905044962756881E-3</v>
      </c>
      <c r="L806" s="50">
        <f t="shared" si="109"/>
        <v>-4.0684141460271335E-2</v>
      </c>
      <c r="P806" s="50">
        <f t="shared" si="104"/>
        <v>-4.0684141460271335E-2</v>
      </c>
      <c r="Q806" s="51">
        <f t="shared" si="110"/>
        <v>89.277398885412879</v>
      </c>
      <c r="R806" s="51">
        <f t="shared" si="111"/>
        <v>57.648285714211646</v>
      </c>
      <c r="Y806">
        <v>801</v>
      </c>
      <c r="Z806">
        <v>8.4315495600091435</v>
      </c>
    </row>
    <row r="807" spans="1:26" x14ac:dyDescent="0.15">
      <c r="A807" s="59">
        <v>42081.75</v>
      </c>
      <c r="B807">
        <v>15.439316</v>
      </c>
      <c r="C807">
        <v>127.509956</v>
      </c>
      <c r="D807">
        <v>62.562041999999998</v>
      </c>
      <c r="E807">
        <v>18.662001</v>
      </c>
      <c r="F807">
        <v>1330.73999</v>
      </c>
      <c r="H807" s="50">
        <f t="shared" si="105"/>
        <v>-2.0663271228539774E-2</v>
      </c>
      <c r="I807" s="50">
        <f t="shared" si="106"/>
        <v>-8.3889807908757979E-3</v>
      </c>
      <c r="J807" s="50">
        <f t="shared" si="107"/>
        <v>-8.7320943818493067E-3</v>
      </c>
      <c r="K807" s="50">
        <f t="shared" si="108"/>
        <v>-1.3870855240561086E-2</v>
      </c>
      <c r="L807" s="50">
        <f t="shared" si="109"/>
        <v>2.4891749129529052E-2</v>
      </c>
      <c r="P807" s="50">
        <f t="shared" si="104"/>
        <v>2.4891749129529052E-2</v>
      </c>
      <c r="Q807" s="51">
        <f t="shared" si="110"/>
        <v>91.499669501405478</v>
      </c>
      <c r="R807" s="51">
        <f t="shared" si="111"/>
        <v>56.457083550638536</v>
      </c>
      <c r="Y807">
        <v>802</v>
      </c>
      <c r="Z807">
        <v>7.3483257294881206</v>
      </c>
    </row>
    <row r="808" spans="1:26" x14ac:dyDescent="0.15">
      <c r="A808" s="59">
        <v>42082.75</v>
      </c>
      <c r="B808">
        <v>15.765074</v>
      </c>
      <c r="C808">
        <v>128.588684</v>
      </c>
      <c r="D808">
        <v>63.113151999999999</v>
      </c>
      <c r="E808">
        <v>18.924499999999998</v>
      </c>
      <c r="F808">
        <v>1298.420044</v>
      </c>
      <c r="H808" s="50">
        <f t="shared" si="105"/>
        <v>-8.4001295954805072E-4</v>
      </c>
      <c r="I808" s="50">
        <f t="shared" si="106"/>
        <v>-2.2231896008416685E-3</v>
      </c>
      <c r="J808" s="50">
        <f t="shared" si="107"/>
        <v>9.8491615968597859E-4</v>
      </c>
      <c r="K808" s="50">
        <f t="shared" si="108"/>
        <v>9.0106363994221991E-3</v>
      </c>
      <c r="L808" s="50">
        <f t="shared" si="109"/>
        <v>-2.3384529462850759E-2</v>
      </c>
      <c r="P808" s="50">
        <f t="shared" si="104"/>
        <v>-2.3384529462850759E-2</v>
      </c>
      <c r="Q808" s="51">
        <f t="shared" si="110"/>
        <v>89.359992784108755</v>
      </c>
      <c r="R808" s="51">
        <f t="shared" si="111"/>
        <v>56.409658868797713</v>
      </c>
      <c r="Y808">
        <v>803</v>
      </c>
      <c r="Z808">
        <v>7.5543074608779026</v>
      </c>
    </row>
    <row r="809" spans="1:26" x14ac:dyDescent="0.15">
      <c r="A809" s="59">
        <v>42083.75</v>
      </c>
      <c r="B809">
        <v>15.778328</v>
      </c>
      <c r="C809">
        <v>128.87519800000001</v>
      </c>
      <c r="D809">
        <v>63.051051999999999</v>
      </c>
      <c r="E809">
        <v>18.755500999999999</v>
      </c>
      <c r="F809">
        <v>1329.51001</v>
      </c>
      <c r="H809" s="50">
        <f t="shared" si="105"/>
        <v>3.13037817190955E-3</v>
      </c>
      <c r="I809" s="50">
        <f t="shared" si="106"/>
        <v>-1.3709654247920815E-3</v>
      </c>
      <c r="J809" s="50">
        <f t="shared" si="107"/>
        <v>-9.3905693356114792E-3</v>
      </c>
      <c r="K809" s="50">
        <f t="shared" si="108"/>
        <v>2.7266700526610925E-3</v>
      </c>
      <c r="L809" s="50">
        <f t="shared" si="109"/>
        <v>-1.5090226482760604E-2</v>
      </c>
      <c r="P809" s="50">
        <f t="shared" si="104"/>
        <v>-1.5090226482760604E-2</v>
      </c>
      <c r="Q809" s="51">
        <f t="shared" si="110"/>
        <v>88.011530254498695</v>
      </c>
      <c r="R809" s="51">
        <f t="shared" si="111"/>
        <v>56.58624243360547</v>
      </c>
      <c r="Y809">
        <v>804</v>
      </c>
      <c r="Z809">
        <v>6.8653768960176142</v>
      </c>
    </row>
    <row r="810" spans="1:26" x14ac:dyDescent="0.15">
      <c r="A810" s="59">
        <v>42087.75</v>
      </c>
      <c r="B810">
        <v>15.729089999999999</v>
      </c>
      <c r="C810">
        <v>129.05212399999999</v>
      </c>
      <c r="D810">
        <v>63.64875</v>
      </c>
      <c r="E810">
        <v>18.704499999999999</v>
      </c>
      <c r="F810">
        <v>1349.880005</v>
      </c>
      <c r="H810" s="50">
        <f t="shared" si="105"/>
        <v>2.1273918459967428E-2</v>
      </c>
      <c r="I810" s="50">
        <f t="shared" si="106"/>
        <v>1.3567506796759448E-2</v>
      </c>
      <c r="J810" s="50">
        <f t="shared" si="107"/>
        <v>4.6565363835420594E-3</v>
      </c>
      <c r="K810" s="50">
        <f t="shared" si="108"/>
        <v>8.437567392710869E-3</v>
      </c>
      <c r="L810" s="50">
        <f t="shared" si="109"/>
        <v>-2.2986016326699147E-3</v>
      </c>
      <c r="P810" s="50">
        <f t="shared" si="104"/>
        <v>-2.2986016326699147E-3</v>
      </c>
      <c r="Q810" s="51">
        <f t="shared" si="110"/>
        <v>87.809226807361924</v>
      </c>
      <c r="R810" s="51">
        <f t="shared" si="111"/>
        <v>57.790053541093947</v>
      </c>
      <c r="Y810">
        <v>805</v>
      </c>
      <c r="Z810">
        <v>8.4686077978961656</v>
      </c>
    </row>
    <row r="811" spans="1:26" x14ac:dyDescent="0.15">
      <c r="A811" s="59">
        <v>42088.75</v>
      </c>
      <c r="B811">
        <v>15.401441</v>
      </c>
      <c r="C811">
        <v>127.324646</v>
      </c>
      <c r="D811">
        <v>63.353740999999999</v>
      </c>
      <c r="E811">
        <v>18.547999999999998</v>
      </c>
      <c r="F811">
        <v>1352.98999</v>
      </c>
      <c r="H811" s="50">
        <f t="shared" si="105"/>
        <v>-6.9604911707059729E-3</v>
      </c>
      <c r="I811" s="50">
        <f t="shared" si="106"/>
        <v>6.864410615639192E-3</v>
      </c>
      <c r="J811" s="50">
        <f t="shared" si="107"/>
        <v>1.4668956453220182E-2</v>
      </c>
      <c r="K811" s="50">
        <f t="shared" si="108"/>
        <v>9.8271403293860651E-3</v>
      </c>
      <c r="L811" s="50">
        <f t="shared" si="109"/>
        <v>8.8432776507748421E-3</v>
      </c>
      <c r="P811" s="50">
        <f t="shared" si="104"/>
        <v>8.8432776507748421E-3</v>
      </c>
      <c r="Q811" s="51">
        <f t="shared" si="110"/>
        <v>88.585748180319285</v>
      </c>
      <c r="R811" s="51">
        <f t="shared" si="111"/>
        <v>57.387806383666536</v>
      </c>
      <c r="Y811">
        <v>806</v>
      </c>
      <c r="Z811">
        <v>7.3438449680440954</v>
      </c>
    </row>
    <row r="812" spans="1:26" x14ac:dyDescent="0.15">
      <c r="A812" s="59">
        <v>42089.75</v>
      </c>
      <c r="B812">
        <v>15.509394</v>
      </c>
      <c r="C812">
        <v>126.456596</v>
      </c>
      <c r="D812">
        <v>62.437843000000001</v>
      </c>
      <c r="E812">
        <v>18.3675</v>
      </c>
      <c r="F812">
        <v>1341.130005</v>
      </c>
      <c r="H812" s="50">
        <f t="shared" si="105"/>
        <v>6.6380997876306228E-3</v>
      </c>
      <c r="I812" s="50">
        <f t="shared" si="106"/>
        <v>-2.7247576915148167E-3</v>
      </c>
      <c r="J812" s="50">
        <f t="shared" si="107"/>
        <v>-1.3732324719220692E-2</v>
      </c>
      <c r="K812" s="50">
        <f t="shared" si="108"/>
        <v>-8.662564766839324E-3</v>
      </c>
      <c r="L812" s="50">
        <f t="shared" si="109"/>
        <v>1.1593346370433981E-2</v>
      </c>
      <c r="P812" s="50">
        <f t="shared" si="104"/>
        <v>1.1593346370433981E-2</v>
      </c>
      <c r="Q812" s="51">
        <f t="shared" si="110"/>
        <v>89.612753442457773</v>
      </c>
      <c r="R812" s="51">
        <f t="shared" si="111"/>
        <v>57.768752369034537</v>
      </c>
      <c r="Y812">
        <v>807</v>
      </c>
      <c r="Z812">
        <v>7.2103837064077494</v>
      </c>
    </row>
    <row r="813" spans="1:26" x14ac:dyDescent="0.15">
      <c r="A813" s="59">
        <v>42090.75</v>
      </c>
      <c r="B813">
        <v>15.407120000000001</v>
      </c>
      <c r="C813">
        <v>126.80210099999999</v>
      </c>
      <c r="D813">
        <v>63.307198</v>
      </c>
      <c r="E813">
        <v>18.527999999999999</v>
      </c>
      <c r="F813">
        <v>1325.76001</v>
      </c>
      <c r="H813" s="50">
        <f t="shared" si="105"/>
        <v>-1.4297847991030873E-2</v>
      </c>
      <c r="I813" s="50">
        <f t="shared" si="106"/>
        <v>-1.2469884432464939E-2</v>
      </c>
      <c r="J813" s="50">
        <f t="shared" si="107"/>
        <v>-7.0611880807375117E-3</v>
      </c>
      <c r="K813" s="50">
        <f t="shared" si="108"/>
        <v>-1.0758429215942918E-2</v>
      </c>
      <c r="L813" s="50">
        <f t="shared" si="109"/>
        <v>8.0138982317810165E-3</v>
      </c>
      <c r="P813" s="50">
        <f t="shared" si="104"/>
        <v>8.0138982317810165E-3</v>
      </c>
      <c r="Q813" s="51">
        <f t="shared" si="110"/>
        <v>90.330900928815311</v>
      </c>
      <c r="R813" s="51">
        <f t="shared" si="111"/>
        <v>56.942783529030578</v>
      </c>
      <c r="Y813">
        <v>808</v>
      </c>
      <c r="Z813">
        <v>9.5874965920355812</v>
      </c>
    </row>
    <row r="814" spans="1:26" x14ac:dyDescent="0.15">
      <c r="A814" s="59">
        <v>42091.75</v>
      </c>
      <c r="B814">
        <v>15.630604</v>
      </c>
      <c r="C814">
        <v>128.40327500000001</v>
      </c>
      <c r="D814">
        <v>63.757401000000002</v>
      </c>
      <c r="E814">
        <v>18.729500000000002</v>
      </c>
      <c r="F814">
        <v>1315.219971</v>
      </c>
      <c r="H814" s="50">
        <f t="shared" si="105"/>
        <v>3.4043172193769029E-3</v>
      </c>
      <c r="I814" s="50">
        <f t="shared" si="106"/>
        <v>5.7426282688416447E-3</v>
      </c>
      <c r="J814" s="50">
        <f t="shared" si="107"/>
        <v>8.5297310032063541E-4</v>
      </c>
      <c r="K814" s="50">
        <f t="shared" si="108"/>
        <v>6.6917495296963808E-3</v>
      </c>
      <c r="L814" s="50">
        <f t="shared" si="109"/>
        <v>-5.6550845067658648E-3</v>
      </c>
      <c r="P814" s="50">
        <f t="shared" si="104"/>
        <v>-5.6550845067658648E-3</v>
      </c>
      <c r="Q814" s="51">
        <f t="shared" si="110"/>
        <v>89.820072050490566</v>
      </c>
      <c r="R814" s="51">
        <f t="shared" si="111"/>
        <v>57.13663482751771</v>
      </c>
      <c r="Y814">
        <v>809</v>
      </c>
      <c r="Z814">
        <v>7.6237048094297881</v>
      </c>
    </row>
    <row r="815" spans="1:26" x14ac:dyDescent="0.15">
      <c r="A815" s="59">
        <v>42094.75</v>
      </c>
      <c r="B815">
        <v>15.577572999999999</v>
      </c>
      <c r="C815">
        <v>127.670113</v>
      </c>
      <c r="D815">
        <v>63.703063999999998</v>
      </c>
      <c r="E815">
        <v>18.605</v>
      </c>
      <c r="F815">
        <v>1322.6999510000001</v>
      </c>
      <c r="H815" s="50">
        <f t="shared" si="105"/>
        <v>1.9080646043401549E-2</v>
      </c>
      <c r="I815" s="50">
        <f t="shared" si="106"/>
        <v>8.386423445371936E-3</v>
      </c>
      <c r="J815" s="50">
        <f t="shared" si="107"/>
        <v>-2.4353963181415655E-4</v>
      </c>
      <c r="K815" s="50">
        <f t="shared" si="108"/>
        <v>4.9694809053097144E-3</v>
      </c>
      <c r="L815" s="50">
        <f t="shared" si="109"/>
        <v>-3.465245524585623E-2</v>
      </c>
      <c r="P815" s="50">
        <f t="shared" si="104"/>
        <v>-3.465245524585623E-2</v>
      </c>
      <c r="Q815" s="51">
        <f t="shared" si="110"/>
        <v>86.707586023581356</v>
      </c>
      <c r="R815" s="51">
        <f t="shared" si="111"/>
        <v>58.22683873277267</v>
      </c>
      <c r="Y815">
        <v>810</v>
      </c>
      <c r="Z815">
        <v>6.8947463103508726</v>
      </c>
    </row>
    <row r="816" spans="1:26" x14ac:dyDescent="0.15">
      <c r="A816" s="59">
        <v>42095.75</v>
      </c>
      <c r="B816">
        <v>15.285907999999999</v>
      </c>
      <c r="C816">
        <v>126.608322</v>
      </c>
      <c r="D816">
        <v>63.718581999999998</v>
      </c>
      <c r="E816">
        <v>18.513000000000002</v>
      </c>
      <c r="F816">
        <v>1370.1800539999999</v>
      </c>
      <c r="H816" s="50">
        <f t="shared" si="105"/>
        <v>-2.4755238708851733E-4</v>
      </c>
      <c r="I816" s="50">
        <f t="shared" si="106"/>
        <v>-9.167175935088482E-3</v>
      </c>
      <c r="J816" s="50">
        <f t="shared" si="107"/>
        <v>-7.0159190329067613E-3</v>
      </c>
      <c r="K816" s="50">
        <f t="shared" si="108"/>
        <v>-5.345816271098148E-3</v>
      </c>
      <c r="L816" s="50">
        <f t="shared" si="109"/>
        <v>1.9378185076767437E-3</v>
      </c>
      <c r="P816" s="50">
        <f t="shared" si="104"/>
        <v>1.9378185076767437E-3</v>
      </c>
      <c r="Q816" s="51">
        <f t="shared" si="110"/>
        <v>86.875609588533834</v>
      </c>
      <c r="R816" s="51">
        <f t="shared" si="111"/>
        <v>58.212424539851753</v>
      </c>
      <c r="Y816">
        <v>811</v>
      </c>
      <c r="Z816">
        <v>8.4949054443598762</v>
      </c>
    </row>
    <row r="817" spans="1:26" x14ac:dyDescent="0.15">
      <c r="A817" s="59">
        <v>42096.75</v>
      </c>
      <c r="B817">
        <v>15.289693</v>
      </c>
      <c r="C817">
        <v>127.779701</v>
      </c>
      <c r="D817">
        <v>64.168785</v>
      </c>
      <c r="E817">
        <v>18.612499</v>
      </c>
      <c r="F817">
        <v>1367.530029</v>
      </c>
      <c r="H817" s="50">
        <f t="shared" si="105"/>
        <v>-3.2103919587126439E-3</v>
      </c>
      <c r="I817" s="50">
        <f t="shared" si="106"/>
        <v>-5.7047376739410736E-3</v>
      </c>
      <c r="J817" s="50">
        <f t="shared" si="107"/>
        <v>-8.0394843933692187E-3</v>
      </c>
      <c r="K817" s="50">
        <f t="shared" si="108"/>
        <v>-1.2704223037567507E-2</v>
      </c>
      <c r="L817" s="50">
        <f t="shared" si="109"/>
        <v>-1.2999466324667502E-3</v>
      </c>
      <c r="P817" s="50">
        <f t="shared" si="104"/>
        <v>-1.2999466324667502E-3</v>
      </c>
      <c r="Q817" s="51">
        <f t="shared" si="110"/>
        <v>86.762675932405713</v>
      </c>
      <c r="R817" s="51">
        <f t="shared" si="111"/>
        <v>58.025539840211849</v>
      </c>
      <c r="Y817">
        <v>812</v>
      </c>
      <c r="Z817">
        <v>7.5997892562947085</v>
      </c>
    </row>
    <row r="818" spans="1:26" x14ac:dyDescent="0.15">
      <c r="A818" s="59">
        <v>42097.75</v>
      </c>
      <c r="B818">
        <v>15.338937</v>
      </c>
      <c r="C818">
        <v>128.512833</v>
      </c>
      <c r="D818">
        <v>64.688850000000002</v>
      </c>
      <c r="E818">
        <v>18.851998999999999</v>
      </c>
      <c r="F818">
        <v>1369.3100589999999</v>
      </c>
      <c r="H818" s="50">
        <f t="shared" si="105"/>
        <v>6.0869857237251081E-3</v>
      </c>
      <c r="I818" s="50">
        <f t="shared" si="106"/>
        <v>4.7437778072698987E-3</v>
      </c>
      <c r="J818" s="50">
        <f t="shared" si="107"/>
        <v>8.8367970445188942E-3</v>
      </c>
      <c r="K818" s="50">
        <f t="shared" si="108"/>
        <v>7.0242778224792468E-3</v>
      </c>
      <c r="L818" s="50">
        <f t="shared" si="109"/>
        <v>-7.9536265390500326E-4</v>
      </c>
      <c r="P818" s="50">
        <f t="shared" si="104"/>
        <v>-7.9536265390500326E-4</v>
      </c>
      <c r="Q818" s="51">
        <f t="shared" si="110"/>
        <v>86.693668140216218</v>
      </c>
      <c r="R818" s="51">
        <f t="shared" si="111"/>
        <v>58.378740472830664</v>
      </c>
      <c r="Y818">
        <v>813</v>
      </c>
      <c r="Z818">
        <v>7.6704310018088568</v>
      </c>
    </row>
    <row r="819" spans="1:26" x14ac:dyDescent="0.15">
      <c r="A819" s="59">
        <v>42098.75</v>
      </c>
      <c r="B819">
        <v>15.246134</v>
      </c>
      <c r="C819">
        <v>127.906075</v>
      </c>
      <c r="D819">
        <v>64.122214999999997</v>
      </c>
      <c r="E819">
        <v>18.720500999999999</v>
      </c>
      <c r="F819">
        <v>1370.400024</v>
      </c>
      <c r="H819" s="50">
        <f t="shared" si="105"/>
        <v>-6.5408343901966664E-3</v>
      </c>
      <c r="I819" s="50">
        <f t="shared" si="106"/>
        <v>-1.4474109112459505E-3</v>
      </c>
      <c r="J819" s="50">
        <f t="shared" si="107"/>
        <v>-6.3748489992199939E-3</v>
      </c>
      <c r="K819" s="50">
        <f t="shared" si="108"/>
        <v>-1.7812068090874638E-2</v>
      </c>
      <c r="L819" s="50">
        <f t="shared" si="109"/>
        <v>-1.5591639873464912E-3</v>
      </c>
      <c r="P819" s="50">
        <f t="shared" si="104"/>
        <v>-1.5591639873464912E-3</v>
      </c>
      <c r="Q819" s="51">
        <f t="shared" si="110"/>
        <v>86.558498494921025</v>
      </c>
      <c r="R819" s="51">
        <f t="shared" si="111"/>
        <v>57.996894799489603</v>
      </c>
      <c r="Y819">
        <v>814</v>
      </c>
      <c r="Z819">
        <v>6.9328139405728386</v>
      </c>
    </row>
    <row r="820" spans="1:26" x14ac:dyDescent="0.15">
      <c r="A820" s="59">
        <v>42101.75</v>
      </c>
      <c r="B820">
        <v>15.346513</v>
      </c>
      <c r="C820">
        <v>128.091476</v>
      </c>
      <c r="D820">
        <v>64.533607000000003</v>
      </c>
      <c r="E820">
        <v>19.059999000000001</v>
      </c>
      <c r="F820">
        <v>1372.540039</v>
      </c>
      <c r="H820" s="50">
        <f t="shared" si="105"/>
        <v>2.3500161620761567E-3</v>
      </c>
      <c r="I820" s="50">
        <f t="shared" si="106"/>
        <v>2.1436702227575544E-2</v>
      </c>
      <c r="J820" s="50">
        <f t="shared" si="107"/>
        <v>-1.8012049641719754E-3</v>
      </c>
      <c r="K820" s="50">
        <f t="shared" si="108"/>
        <v>-6.1011107055325836E-3</v>
      </c>
      <c r="L820" s="50">
        <f t="shared" si="109"/>
        <v>5.126177043571844E-3</v>
      </c>
      <c r="P820" s="50">
        <f t="shared" si="104"/>
        <v>5.126177043571844E-3</v>
      </c>
      <c r="Q820" s="51">
        <f t="shared" si="110"/>
        <v>87.002212682831725</v>
      </c>
      <c r="R820" s="51">
        <f t="shared" si="111"/>
        <v>58.133188439618635</v>
      </c>
      <c r="Y820">
        <v>815</v>
      </c>
      <c r="Z820">
        <v>7.5528303706107662</v>
      </c>
    </row>
    <row r="821" spans="1:26" x14ac:dyDescent="0.15">
      <c r="A821" s="59">
        <v>42102.75</v>
      </c>
      <c r="B821">
        <v>15.310533</v>
      </c>
      <c r="C821">
        <v>125.403244</v>
      </c>
      <c r="D821">
        <v>64.650054999999995</v>
      </c>
      <c r="E821">
        <v>19.177</v>
      </c>
      <c r="F821">
        <v>1365.540039</v>
      </c>
      <c r="H821" s="50">
        <f t="shared" si="105"/>
        <v>2.3564048409968155E-3</v>
      </c>
      <c r="I821" s="50">
        <f t="shared" si="106"/>
        <v>-5.5464726127248346E-3</v>
      </c>
      <c r="J821" s="50">
        <f t="shared" si="107"/>
        <v>-3.3499130649000362E-3</v>
      </c>
      <c r="K821" s="50">
        <f t="shared" si="108"/>
        <v>2.3258852737488211E-3</v>
      </c>
      <c r="L821" s="50">
        <f t="shared" si="109"/>
        <v>8.1580883443811529E-3</v>
      </c>
      <c r="P821" s="50">
        <f t="shared" si="104"/>
        <v>8.1580883443811529E-3</v>
      </c>
      <c r="Q821" s="51">
        <f t="shared" si="110"/>
        <v>87.711984420054918</v>
      </c>
      <c r="R821" s="51">
        <f t="shared" si="111"/>
        <v>58.27017376628033</v>
      </c>
      <c r="Y821">
        <v>816</v>
      </c>
      <c r="Z821">
        <v>7.3577928225736802</v>
      </c>
    </row>
    <row r="822" spans="1:26" x14ac:dyDescent="0.15">
      <c r="A822" s="59">
        <v>42103.75</v>
      </c>
      <c r="B822">
        <v>15.27454</v>
      </c>
      <c r="C822">
        <v>126.10266900000001</v>
      </c>
      <c r="D822">
        <v>64.867355000000003</v>
      </c>
      <c r="E822">
        <v>19.1325</v>
      </c>
      <c r="F822">
        <v>1354.48999</v>
      </c>
      <c r="H822" s="50">
        <f t="shared" si="105"/>
        <v>4.4834520917329396E-3</v>
      </c>
      <c r="I822" s="50">
        <f t="shared" si="106"/>
        <v>4.1600730739132603E-3</v>
      </c>
      <c r="J822" s="50">
        <f t="shared" si="107"/>
        <v>7.3526385810828397E-3</v>
      </c>
      <c r="K822" s="50">
        <f t="shared" si="108"/>
        <v>7.5844753635326571E-4</v>
      </c>
      <c r="L822" s="50">
        <f t="shared" si="109"/>
        <v>-4.4541242745564811E-3</v>
      </c>
      <c r="P822" s="50">
        <f t="shared" si="104"/>
        <v>-4.4541242745564811E-3</v>
      </c>
      <c r="Q822" s="51">
        <f t="shared" si="110"/>
        <v>87.321304341080037</v>
      </c>
      <c r="R822" s="51">
        <f t="shared" si="111"/>
        <v>58.531425298738405</v>
      </c>
      <c r="Y822">
        <v>817</v>
      </c>
      <c r="Z822">
        <v>8.1134064328165838</v>
      </c>
    </row>
    <row r="823" spans="1:26" x14ac:dyDescent="0.15">
      <c r="A823" s="59">
        <v>42104.75</v>
      </c>
      <c r="B823">
        <v>15.206363</v>
      </c>
      <c r="C823">
        <v>125.580246</v>
      </c>
      <c r="D823">
        <v>64.393889999999999</v>
      </c>
      <c r="E823">
        <v>19.117999999999999</v>
      </c>
      <c r="F823">
        <v>1360.5500489999999</v>
      </c>
      <c r="H823" s="50">
        <f t="shared" si="105"/>
        <v>1.7467236826086694E-3</v>
      </c>
      <c r="I823" s="50">
        <f t="shared" si="106"/>
        <v>-3.3437521458066933E-3</v>
      </c>
      <c r="J823" s="50">
        <f t="shared" si="107"/>
        <v>-1.2038496883832114E-3</v>
      </c>
      <c r="K823" s="50">
        <f t="shared" si="108"/>
        <v>-7.1408684718200959E-3</v>
      </c>
      <c r="L823" s="50">
        <f t="shared" si="109"/>
        <v>2.079792165175488E-2</v>
      </c>
      <c r="P823" s="50">
        <f t="shared" si="104"/>
        <v>2.079792165175488E-2</v>
      </c>
      <c r="Q823" s="51">
        <f t="shared" si="110"/>
        <v>89.137405987294855</v>
      </c>
      <c r="R823" s="51">
        <f t="shared" si="111"/>
        <v>58.633663525484558</v>
      </c>
      <c r="Y823">
        <v>818</v>
      </c>
      <c r="Z823">
        <v>7.7600940740070241</v>
      </c>
    </row>
    <row r="824" spans="1:26" x14ac:dyDescent="0.15">
      <c r="A824" s="59">
        <v>42105.75</v>
      </c>
      <c r="B824">
        <v>15.179848</v>
      </c>
      <c r="C824">
        <v>126.001564</v>
      </c>
      <c r="D824">
        <v>64.471503999999996</v>
      </c>
      <c r="E824">
        <v>19.255500999999999</v>
      </c>
      <c r="F824">
        <v>1332.829956</v>
      </c>
      <c r="H824" s="50">
        <f t="shared" si="105"/>
        <v>5.1417022304767624E-3</v>
      </c>
      <c r="I824" s="50">
        <f t="shared" si="106"/>
        <v>3.018786380323431E-3</v>
      </c>
      <c r="J824" s="50">
        <f t="shared" si="107"/>
        <v>1.3420824285668077E-2</v>
      </c>
      <c r="K824" s="50">
        <f t="shared" si="108"/>
        <v>4.3291169993939973E-3</v>
      </c>
      <c r="L824" s="50">
        <f t="shared" si="109"/>
        <v>3.3952738672494236E-3</v>
      </c>
      <c r="P824" s="50">
        <f t="shared" si="104"/>
        <v>3.3952738672494236E-3</v>
      </c>
      <c r="Q824" s="51">
        <f t="shared" si="110"/>
        <v>89.440051892437907</v>
      </c>
      <c r="R824" s="51">
        <f t="shared" si="111"/>
        <v>58.935140364014565</v>
      </c>
      <c r="Y824">
        <v>819</v>
      </c>
      <c r="Z824">
        <v>8.8558239912018113</v>
      </c>
    </row>
    <row r="825" spans="1:26" x14ac:dyDescent="0.15">
      <c r="A825" s="59">
        <v>42108.75</v>
      </c>
      <c r="B825">
        <v>15.102197</v>
      </c>
      <c r="C825">
        <v>125.622337</v>
      </c>
      <c r="D825">
        <v>63.617702000000001</v>
      </c>
      <c r="E825">
        <v>19.172501</v>
      </c>
      <c r="F825">
        <v>1328.3199460000001</v>
      </c>
      <c r="H825" s="50">
        <f t="shared" si="105"/>
        <v>6.3098442365691334E-3</v>
      </c>
      <c r="I825" s="50">
        <f t="shared" si="106"/>
        <v>1.3323463360298318E-2</v>
      </c>
      <c r="J825" s="50">
        <f t="shared" si="107"/>
        <v>4.8868765300785918E-4</v>
      </c>
      <c r="K825" s="50">
        <f t="shared" si="108"/>
        <v>-6.7090975028494017E-3</v>
      </c>
      <c r="L825" s="50">
        <f t="shared" si="109"/>
        <v>-4.5788147394347093E-3</v>
      </c>
      <c r="P825" s="50">
        <f t="shared" si="104"/>
        <v>-4.5788147394347093E-3</v>
      </c>
      <c r="Q825" s="51">
        <f t="shared" si="110"/>
        <v>89.030522464537015</v>
      </c>
      <c r="R825" s="51">
        <f t="shared" si="111"/>
        <v>59.307011919771838</v>
      </c>
      <c r="Y825">
        <v>820</v>
      </c>
      <c r="Z825">
        <v>9.4368409433172786</v>
      </c>
    </row>
    <row r="826" spans="1:26" x14ac:dyDescent="0.15">
      <c r="A826" s="59">
        <v>42109.75</v>
      </c>
      <c r="B826">
        <v>15.007502000000001</v>
      </c>
      <c r="C826">
        <v>123.970619</v>
      </c>
      <c r="D826">
        <v>63.586627999999997</v>
      </c>
      <c r="E826">
        <v>19.302</v>
      </c>
      <c r="F826">
        <v>1334.4300539999999</v>
      </c>
      <c r="H826" s="50">
        <f t="shared" si="105"/>
        <v>1.7462591347891122E-2</v>
      </c>
      <c r="I826" s="50">
        <f t="shared" si="106"/>
        <v>1.7569505223519279E-2</v>
      </c>
      <c r="J826" s="50">
        <f t="shared" si="107"/>
        <v>2.3743577515859596E-2</v>
      </c>
      <c r="K826" s="50">
        <f t="shared" si="108"/>
        <v>2.7904995207157363E-2</v>
      </c>
      <c r="L826" s="50">
        <f t="shared" si="109"/>
        <v>-2.2187796576066829E-2</v>
      </c>
      <c r="P826" s="50">
        <f t="shared" si="104"/>
        <v>-2.2187796576066829E-2</v>
      </c>
      <c r="Q826" s="51">
        <f t="shared" si="110"/>
        <v>87.055131343032912</v>
      </c>
      <c r="R826" s="51">
        <f t="shared" si="111"/>
        <v>60.342666032991325</v>
      </c>
      <c r="Y826">
        <v>821</v>
      </c>
      <c r="Z826">
        <v>8.8463686954476088</v>
      </c>
    </row>
    <row r="827" spans="1:26" x14ac:dyDescent="0.15">
      <c r="A827" s="59">
        <v>42110.75</v>
      </c>
      <c r="B827">
        <v>14.749930000000001</v>
      </c>
      <c r="C827">
        <v>121.830124</v>
      </c>
      <c r="D827">
        <v>62.111870000000003</v>
      </c>
      <c r="E827">
        <v>18.777999999999999</v>
      </c>
      <c r="F827">
        <v>1364.709961</v>
      </c>
      <c r="H827" s="50">
        <f t="shared" si="105"/>
        <v>-3.3272136207638187E-3</v>
      </c>
      <c r="I827" s="50">
        <f t="shared" si="106"/>
        <v>-1.1892726356163256E-2</v>
      </c>
      <c r="J827" s="50">
        <f t="shared" si="107"/>
        <v>-1.124425473159734E-2</v>
      </c>
      <c r="K827" s="50">
        <f t="shared" si="108"/>
        <v>-3.5814228132782296E-2</v>
      </c>
      <c r="L827" s="50">
        <f t="shared" si="109"/>
        <v>-6.2252699498432614E-4</v>
      </c>
      <c r="P827" s="50">
        <f t="shared" si="104"/>
        <v>-6.2252699498432614E-4</v>
      </c>
      <c r="Q827" s="51">
        <f t="shared" si="110"/>
        <v>87.000937173719961</v>
      </c>
      <c r="R827" s="51">
        <f t="shared" si="111"/>
        <v>60.141893092653156</v>
      </c>
      <c r="Y827">
        <v>822</v>
      </c>
      <c r="Z827">
        <v>8.3368254464604785</v>
      </c>
    </row>
    <row r="828" spans="1:26" x14ac:dyDescent="0.15">
      <c r="A828" s="59">
        <v>42111.75</v>
      </c>
      <c r="B828">
        <v>14.79917</v>
      </c>
      <c r="C828">
        <v>123.29645499999999</v>
      </c>
      <c r="D828">
        <v>62.818213999999998</v>
      </c>
      <c r="E828">
        <v>19.4755</v>
      </c>
      <c r="F828">
        <v>1365.5600589999999</v>
      </c>
      <c r="H828" s="50">
        <f t="shared" si="105"/>
        <v>1.4100373438625867E-3</v>
      </c>
      <c r="I828" s="50">
        <f t="shared" si="106"/>
        <v>-6.9908245166469991E-3</v>
      </c>
      <c r="J828" s="50">
        <f t="shared" si="107"/>
        <v>-3.9381239299205711E-3</v>
      </c>
      <c r="K828" s="50">
        <f t="shared" si="108"/>
        <v>-4.269134413824878E-3</v>
      </c>
      <c r="L828" s="50">
        <f t="shared" si="109"/>
        <v>-1.7815840688107945E-2</v>
      </c>
      <c r="P828" s="50">
        <f t="shared" si="104"/>
        <v>-1.7815840688107945E-2</v>
      </c>
      <c r="Q828" s="51">
        <f t="shared" si="110"/>
        <v>85.450942337316874</v>
      </c>
      <c r="R828" s="51">
        <f t="shared" si="111"/>
        <v>60.226695407844389</v>
      </c>
      <c r="Y828">
        <v>823</v>
      </c>
      <c r="Z828">
        <v>6.2722428188757933</v>
      </c>
    </row>
    <row r="829" spans="1:26" x14ac:dyDescent="0.15">
      <c r="A829" s="59">
        <v>42112.75</v>
      </c>
      <c r="B829">
        <v>14.778332000000001</v>
      </c>
      <c r="C829">
        <v>124.164467</v>
      </c>
      <c r="D829">
        <v>63.066578</v>
      </c>
      <c r="E829">
        <v>19.559000000000001</v>
      </c>
      <c r="F829">
        <v>1390.329956</v>
      </c>
      <c r="H829" s="50">
        <f t="shared" si="105"/>
        <v>-5.0999432008173324E-3</v>
      </c>
      <c r="I829" s="50">
        <f t="shared" si="106"/>
        <v>2.4493163680488349E-3</v>
      </c>
      <c r="J829" s="50">
        <f t="shared" si="107"/>
        <v>-1.1062869017370381E-3</v>
      </c>
      <c r="K829" s="50">
        <f t="shared" si="108"/>
        <v>3.5402770651617559E-3</v>
      </c>
      <c r="L829" s="50">
        <f t="shared" si="109"/>
        <v>1.5559419462591981E-3</v>
      </c>
      <c r="P829" s="50">
        <f t="shared" si="104"/>
        <v>1.5559419462591981E-3</v>
      </c>
      <c r="Q829" s="51">
        <f t="shared" si="110"/>
        <v>85.58389904284688</v>
      </c>
      <c r="R829" s="51">
        <f t="shared" si="111"/>
        <v>59.919542682091461</v>
      </c>
      <c r="Y829">
        <v>824</v>
      </c>
      <c r="Z829">
        <v>8.6386577880235933</v>
      </c>
    </row>
    <row r="830" spans="1:26" x14ac:dyDescent="0.15">
      <c r="A830" s="59">
        <v>42115.75</v>
      </c>
      <c r="B830">
        <v>14.854087</v>
      </c>
      <c r="C830">
        <v>123.861092</v>
      </c>
      <c r="D830">
        <v>63.136425000000003</v>
      </c>
      <c r="E830">
        <v>19.489999999999998</v>
      </c>
      <c r="F830">
        <v>1388.170044</v>
      </c>
      <c r="H830" s="50">
        <f t="shared" si="105"/>
        <v>-9.4723734167254884E-3</v>
      </c>
      <c r="I830" s="50">
        <f t="shared" si="106"/>
        <v>-2.1725716285908997E-3</v>
      </c>
      <c r="J830" s="50">
        <f t="shared" si="107"/>
        <v>-7.2014676512858183E-3</v>
      </c>
      <c r="K830" s="50">
        <f t="shared" si="108"/>
        <v>-4.8719197928165993E-4</v>
      </c>
      <c r="L830" s="50">
        <f t="shared" si="109"/>
        <v>8.8885442129918307E-3</v>
      </c>
      <c r="P830" s="50">
        <f t="shared" si="104"/>
        <v>8.8885442129918307E-3</v>
      </c>
      <c r="Q830" s="51">
        <f t="shared" si="110"/>
        <v>86.344615313409449</v>
      </c>
      <c r="R830" s="51">
        <f t="shared" si="111"/>
        <v>59.35196239884727</v>
      </c>
      <c r="Y830">
        <v>825</v>
      </c>
      <c r="Z830">
        <v>7.4092079553330237</v>
      </c>
    </row>
    <row r="831" spans="1:26" x14ac:dyDescent="0.15">
      <c r="A831" s="59">
        <v>42116.75</v>
      </c>
      <c r="B831">
        <v>14.996136</v>
      </c>
      <c r="C831">
        <v>124.130775</v>
      </c>
      <c r="D831">
        <v>63.594397999999998</v>
      </c>
      <c r="E831">
        <v>19.499500000000001</v>
      </c>
      <c r="F831">
        <v>1375.9399410000001</v>
      </c>
      <c r="H831" s="50">
        <f t="shared" si="105"/>
        <v>-8.2669681959207063E-3</v>
      </c>
      <c r="I831" s="50">
        <f t="shared" si="106"/>
        <v>-5.5358532409851332E-3</v>
      </c>
      <c r="J831" s="50">
        <f t="shared" si="107"/>
        <v>-9.3110377317032113E-3</v>
      </c>
      <c r="K831" s="50">
        <f t="shared" si="108"/>
        <v>-0.12381483369197187</v>
      </c>
      <c r="L831" s="50">
        <f t="shared" si="109"/>
        <v>-2.8915327906901562E-3</v>
      </c>
      <c r="P831" s="50">
        <f t="shared" si="104"/>
        <v>-2.8915327906901562E-3</v>
      </c>
      <c r="Q831" s="51">
        <f t="shared" si="110"/>
        <v>86.094947026931195</v>
      </c>
      <c r="R831" s="51">
        <f t="shared" si="111"/>
        <v>58.861301613330518</v>
      </c>
      <c r="Y831">
        <v>826</v>
      </c>
      <c r="Z831">
        <v>6.5351791907524408</v>
      </c>
    </row>
    <row r="832" spans="1:26" x14ac:dyDescent="0.15">
      <c r="A832" s="59">
        <v>42117.75</v>
      </c>
      <c r="B832">
        <v>15.121142000000001</v>
      </c>
      <c r="C832">
        <v>124.82177</v>
      </c>
      <c r="D832">
        <v>64.192093</v>
      </c>
      <c r="E832">
        <v>22.254999000000002</v>
      </c>
      <c r="F832">
        <v>1379.9300539999999</v>
      </c>
      <c r="H832" s="50">
        <f t="shared" si="105"/>
        <v>5.9219180151732663E-3</v>
      </c>
      <c r="I832" s="50">
        <f t="shared" si="106"/>
        <v>7.8932376329046202E-3</v>
      </c>
      <c r="J832" s="50">
        <f t="shared" si="107"/>
        <v>1.6220690037735064E-2</v>
      </c>
      <c r="K832" s="50">
        <f t="shared" si="108"/>
        <v>1.4912441395131482E-2</v>
      </c>
      <c r="L832" s="50">
        <f t="shared" si="109"/>
        <v>-6.401039980455569E-3</v>
      </c>
      <c r="P832" s="50">
        <f t="shared" si="104"/>
        <v>-6.401039980455569E-3</v>
      </c>
      <c r="Q832" s="51">
        <f t="shared" si="110"/>
        <v>85.543849828896597</v>
      </c>
      <c r="R832" s="51">
        <f t="shared" si="111"/>
        <v>59.209873415751048</v>
      </c>
      <c r="Y832">
        <v>827</v>
      </c>
      <c r="Z832">
        <v>4.6741761408409763</v>
      </c>
    </row>
    <row r="833" spans="1:26" x14ac:dyDescent="0.15">
      <c r="A833" s="59">
        <v>42118.75</v>
      </c>
      <c r="B833">
        <v>15.032123</v>
      </c>
      <c r="C833">
        <v>123.844238</v>
      </c>
      <c r="D833">
        <v>63.167473000000001</v>
      </c>
      <c r="E833">
        <v>21.927999</v>
      </c>
      <c r="F833">
        <v>1388.8199460000001</v>
      </c>
      <c r="H833" s="50">
        <f t="shared" si="105"/>
        <v>3.4133262772789333E-3</v>
      </c>
      <c r="I833" s="50">
        <f t="shared" si="106"/>
        <v>2.3874442771904315E-3</v>
      </c>
      <c r="J833" s="50">
        <f t="shared" si="107"/>
        <v>-1.5953144133265776E-3</v>
      </c>
      <c r="K833" s="50">
        <f t="shared" si="108"/>
        <v>2.1546155458759458E-2</v>
      </c>
      <c r="L833" s="50">
        <f t="shared" si="109"/>
        <v>-6.4528273760917285E-3</v>
      </c>
      <c r="P833" s="50">
        <f t="shared" ref="P833:P896" si="112">(F833-F834)/F834</f>
        <v>-6.4528273760917285E-3</v>
      </c>
      <c r="Q833" s="51">
        <f t="shared" si="110"/>
        <v>84.991850132864414</v>
      </c>
      <c r="R833" s="51">
        <f t="shared" si="111"/>
        <v>59.411976032555387</v>
      </c>
      <c r="Y833">
        <v>828</v>
      </c>
      <c r="Z833">
        <v>6.0360868511059067</v>
      </c>
    </row>
    <row r="834" spans="1:26" x14ac:dyDescent="0.15">
      <c r="A834" s="59">
        <v>42119.75</v>
      </c>
      <c r="B834">
        <v>14.980988</v>
      </c>
      <c r="C834">
        <v>123.549271</v>
      </c>
      <c r="D834">
        <v>63.268405999999999</v>
      </c>
      <c r="E834">
        <v>21.465499999999999</v>
      </c>
      <c r="F834">
        <v>1397.839966</v>
      </c>
      <c r="H834" s="50">
        <f t="shared" ref="H834:H897" si="113">(B834-B835)/B835</f>
        <v>1.5665023495026693E-2</v>
      </c>
      <c r="I834" s="50">
        <f t="shared" ref="I834:I897" si="114">(C834-C835)/C835</f>
        <v>1.2113857852959554E-2</v>
      </c>
      <c r="J834" s="50">
        <f t="shared" ref="J834:J897" si="115">(D834-D835)/D835</f>
        <v>3.3472800955164014E-2</v>
      </c>
      <c r="K834" s="50">
        <f t="shared" ref="K834:K897" si="116">(E834-E835)/E835</f>
        <v>-1.3973961851084676E-4</v>
      </c>
      <c r="L834" s="50">
        <f t="shared" ref="L834:L897" si="117">(F834-F835)/F835</f>
        <v>1.0527088130391879E-3</v>
      </c>
      <c r="P834" s="50">
        <f t="shared" si="112"/>
        <v>1.0527088130391879E-3</v>
      </c>
      <c r="Q834" s="51">
        <f t="shared" si="110"/>
        <v>85.081321802535783</v>
      </c>
      <c r="R834" s="51">
        <f t="shared" si="111"/>
        <v>60.342666032991325</v>
      </c>
      <c r="Y834">
        <v>829</v>
      </c>
      <c r="Z834">
        <v>7.0763344929805765</v>
      </c>
    </row>
    <row r="835" spans="1:26" x14ac:dyDescent="0.15">
      <c r="A835" s="59">
        <v>42122.75</v>
      </c>
      <c r="B835">
        <v>14.749930000000001</v>
      </c>
      <c r="C835">
        <v>122.070526</v>
      </c>
      <c r="D835">
        <v>61.219226999999997</v>
      </c>
      <c r="E835">
        <v>21.468499999999999</v>
      </c>
      <c r="F835">
        <v>1396.369995</v>
      </c>
      <c r="H835" s="50">
        <f t="shared" si="113"/>
        <v>-2.1778333193411712E-3</v>
      </c>
      <c r="I835" s="50">
        <f t="shared" si="114"/>
        <v>9.8568119052960725E-3</v>
      </c>
      <c r="J835" s="50">
        <f t="shared" si="115"/>
        <v>5.0766354094226569E-4</v>
      </c>
      <c r="K835" s="50">
        <f t="shared" si="116"/>
        <v>1.7995115083924512E-2</v>
      </c>
      <c r="L835" s="50">
        <f t="shared" si="117"/>
        <v>3.9038738050012809E-3</v>
      </c>
      <c r="P835" s="50">
        <f t="shared" si="112"/>
        <v>3.9038738050012809E-3</v>
      </c>
      <c r="Q835" s="51">
        <f t="shared" ref="Q835:Q898" si="118">Q834*(1+P835)</f>
        <v>85.413468546015579</v>
      </c>
      <c r="R835" s="51">
        <f t="shared" ref="R835:R898" si="119">R834*(1+H835)</f>
        <v>60.211249764326801</v>
      </c>
      <c r="Y835">
        <v>830</v>
      </c>
      <c r="Z835">
        <v>6.9279728394901214</v>
      </c>
    </row>
    <row r="836" spans="1:26" x14ac:dyDescent="0.15">
      <c r="A836" s="59">
        <v>42123.75</v>
      </c>
      <c r="B836">
        <v>14.782123</v>
      </c>
      <c r="C836">
        <v>120.87904399999999</v>
      </c>
      <c r="D836">
        <v>61.188164</v>
      </c>
      <c r="E836">
        <v>21.089001</v>
      </c>
      <c r="F836">
        <v>1390.9399410000001</v>
      </c>
      <c r="H836" s="50">
        <f t="shared" si="113"/>
        <v>-6.9976458879080737E-3</v>
      </c>
      <c r="I836" s="50">
        <f t="shared" si="114"/>
        <v>-1.6094543122598375E-2</v>
      </c>
      <c r="J836" s="50">
        <f t="shared" si="115"/>
        <v>-1.0294955833633093E-2</v>
      </c>
      <c r="K836" s="50">
        <f t="shared" si="116"/>
        <v>-2.5775298591779361E-3</v>
      </c>
      <c r="L836" s="50">
        <f t="shared" si="117"/>
        <v>3.8611531053769814E-3</v>
      </c>
      <c r="P836" s="50">
        <f t="shared" si="112"/>
        <v>3.8611531053769814E-3</v>
      </c>
      <c r="Q836" s="51">
        <f t="shared" si="118"/>
        <v>85.743263025333036</v>
      </c>
      <c r="R836" s="51">
        <f t="shared" si="119"/>
        <v>59.789912760007653</v>
      </c>
      <c r="Y836">
        <v>831</v>
      </c>
      <c r="Z836">
        <v>8.1155026229200047</v>
      </c>
    </row>
    <row r="837" spans="1:26" x14ac:dyDescent="0.15">
      <c r="A837" s="59">
        <v>42124.75</v>
      </c>
      <c r="B837">
        <v>14.886291999999999</v>
      </c>
      <c r="C837">
        <v>122.85636100000001</v>
      </c>
      <c r="D837">
        <v>61.824646000000001</v>
      </c>
      <c r="E837">
        <v>21.143498999999998</v>
      </c>
      <c r="F837">
        <v>1385.589966</v>
      </c>
      <c r="H837" s="50">
        <f t="shared" si="113"/>
        <v>-7.3248202070187096E-3</v>
      </c>
      <c r="I837" s="50">
        <f t="shared" si="114"/>
        <v>-2.4700032237590119E-3</v>
      </c>
      <c r="J837" s="50">
        <f t="shared" si="115"/>
        <v>-6.610492692363224E-3</v>
      </c>
      <c r="K837" s="50">
        <f t="shared" si="116"/>
        <v>-4.0190052950087621E-4</v>
      </c>
      <c r="L837" s="50">
        <f t="shared" si="117"/>
        <v>-1.6851860142310049E-2</v>
      </c>
      <c r="P837" s="50">
        <f t="shared" si="112"/>
        <v>-1.6851860142310049E-2</v>
      </c>
      <c r="Q837" s="51">
        <f t="shared" si="118"/>
        <v>84.298329548684819</v>
      </c>
      <c r="R837" s="51">
        <f t="shared" si="119"/>
        <v>59.351962398847263</v>
      </c>
      <c r="Y837">
        <v>832</v>
      </c>
      <c r="Z837">
        <v>8.8963175786117645</v>
      </c>
    </row>
    <row r="838" spans="1:26" x14ac:dyDescent="0.15">
      <c r="A838" s="59">
        <v>42125.75</v>
      </c>
      <c r="B838">
        <v>14.996136</v>
      </c>
      <c r="C838">
        <v>123.160568</v>
      </c>
      <c r="D838">
        <v>62.236057000000002</v>
      </c>
      <c r="E838">
        <v>21.152000000000001</v>
      </c>
      <c r="F838">
        <v>1409.339966</v>
      </c>
      <c r="H838" s="50">
        <f t="shared" si="113"/>
        <v>1.3438891493347092E-2</v>
      </c>
      <c r="I838" s="50">
        <f t="shared" si="114"/>
        <v>8.6503406709822362E-3</v>
      </c>
      <c r="J838" s="50">
        <f t="shared" si="115"/>
        <v>1.532242093846242E-2</v>
      </c>
      <c r="K838" s="50">
        <f t="shared" si="116"/>
        <v>4.3923170065766582E-3</v>
      </c>
      <c r="L838" s="50">
        <f t="shared" si="117"/>
        <v>-3.2251629695141913E-3</v>
      </c>
      <c r="P838" s="50">
        <f t="shared" si="112"/>
        <v>-3.2251629695141913E-3</v>
      </c>
      <c r="Q838" s="51">
        <f t="shared" si="118"/>
        <v>84.026453697832508</v>
      </c>
      <c r="R838" s="51">
        <f t="shared" si="119"/>
        <v>60.149586981442582</v>
      </c>
      <c r="Y838">
        <v>833</v>
      </c>
      <c r="Z838">
        <v>5.7084702282918114</v>
      </c>
    </row>
    <row r="839" spans="1:26" x14ac:dyDescent="0.15">
      <c r="A839" s="59">
        <v>42126.75</v>
      </c>
      <c r="B839">
        <v>14.797276999999999</v>
      </c>
      <c r="C839">
        <v>122.10432400000001</v>
      </c>
      <c r="D839">
        <v>61.296841000000001</v>
      </c>
      <c r="E839">
        <v>21.0595</v>
      </c>
      <c r="F839">
        <v>1413.900024</v>
      </c>
      <c r="H839" s="50">
        <f t="shared" si="113"/>
        <v>-1.2749220779021549E-2</v>
      </c>
      <c r="I839" s="50">
        <f t="shared" si="114"/>
        <v>-1.8648118151413529E-3</v>
      </c>
      <c r="J839" s="50">
        <f t="shared" si="115"/>
        <v>-1.8959418172718612E-3</v>
      </c>
      <c r="K839" s="50">
        <f t="shared" si="116"/>
        <v>4.9868766404200238E-3</v>
      </c>
      <c r="L839" s="50">
        <f t="shared" si="117"/>
        <v>4.5542306130361863E-3</v>
      </c>
      <c r="P839" s="50">
        <f t="shared" si="112"/>
        <v>4.5542306130361863E-3</v>
      </c>
      <c r="Q839" s="51">
        <f t="shared" si="118"/>
        <v>84.409129545568049</v>
      </c>
      <c r="R839" s="51">
        <f t="shared" si="119"/>
        <v>59.382726617249212</v>
      </c>
      <c r="Y839">
        <v>834</v>
      </c>
      <c r="Z839">
        <v>9.1736600263828763</v>
      </c>
    </row>
    <row r="840" spans="1:26" x14ac:dyDescent="0.15">
      <c r="A840" s="59">
        <v>42129.75</v>
      </c>
      <c r="B840">
        <v>14.988367</v>
      </c>
      <c r="C840">
        <v>122.33245100000001</v>
      </c>
      <c r="D840">
        <v>61.413277000000001</v>
      </c>
      <c r="E840">
        <v>20.954999999999998</v>
      </c>
      <c r="F840">
        <v>1407.48999</v>
      </c>
      <c r="H840" s="50">
        <f t="shared" si="113"/>
        <v>-4.8699627007996226E-3</v>
      </c>
      <c r="I840" s="50">
        <f t="shared" si="114"/>
        <v>1.4524904264681285E-3</v>
      </c>
      <c r="J840" s="50">
        <f t="shared" si="115"/>
        <v>-1.2357735077756485E-2</v>
      </c>
      <c r="K840" s="50">
        <f t="shared" si="116"/>
        <v>-1.8225262368815727E-2</v>
      </c>
      <c r="L840" s="50">
        <f t="shared" si="117"/>
        <v>-7.5938261842410206E-3</v>
      </c>
      <c r="P840" s="50">
        <f t="shared" si="112"/>
        <v>-7.5938261842410206E-3</v>
      </c>
      <c r="Q840" s="51">
        <f t="shared" si="118"/>
        <v>83.768141287435924</v>
      </c>
      <c r="R840" s="51">
        <f t="shared" si="119"/>
        <v>59.093534953551426</v>
      </c>
      <c r="Y840">
        <v>835</v>
      </c>
      <c r="Z840">
        <v>9.6814026063586933</v>
      </c>
    </row>
    <row r="841" spans="1:26" x14ac:dyDescent="0.15">
      <c r="A841" s="59">
        <v>42130.75</v>
      </c>
      <c r="B841">
        <v>15.061717</v>
      </c>
      <c r="C841">
        <v>122.155022</v>
      </c>
      <c r="D841">
        <v>62.181702000000001</v>
      </c>
      <c r="E841">
        <v>21.344000000000001</v>
      </c>
      <c r="F841">
        <v>1418.26001</v>
      </c>
      <c r="H841" s="50">
        <f t="shared" si="113"/>
        <v>-6.3671018075922492E-3</v>
      </c>
      <c r="I841" s="50">
        <f t="shared" si="114"/>
        <v>-9.0485359592172264E-3</v>
      </c>
      <c r="J841" s="50">
        <f t="shared" si="115"/>
        <v>-7.8032589946523158E-3</v>
      </c>
      <c r="K841" s="50">
        <f t="shared" si="116"/>
        <v>-1.5702460282690341E-2</v>
      </c>
      <c r="L841" s="50">
        <f t="shared" si="117"/>
        <v>1.8447952344362809E-2</v>
      </c>
      <c r="P841" s="50">
        <f t="shared" si="112"/>
        <v>1.8447952344362809E-2</v>
      </c>
      <c r="Q841" s="51">
        <f t="shared" si="118"/>
        <v>85.313491965882392</v>
      </c>
      <c r="R841" s="51">
        <f t="shared" si="119"/>
        <v>58.717280400331653</v>
      </c>
      <c r="Y841">
        <v>836</v>
      </c>
      <c r="Z841">
        <v>15.234707308462109</v>
      </c>
    </row>
    <row r="842" spans="1:26" x14ac:dyDescent="0.15">
      <c r="A842" s="59">
        <v>42131.75</v>
      </c>
      <c r="B842">
        <v>15.158231000000001</v>
      </c>
      <c r="C842">
        <v>123.270439</v>
      </c>
      <c r="D842">
        <v>62.670738</v>
      </c>
      <c r="E842">
        <v>21.6845</v>
      </c>
      <c r="F842">
        <v>1392.5699460000001</v>
      </c>
      <c r="H842" s="50">
        <f t="shared" si="113"/>
        <v>5.5057199455185914E-3</v>
      </c>
      <c r="I842" s="50">
        <f t="shared" si="114"/>
        <v>1.1159529259544337E-2</v>
      </c>
      <c r="J842" s="50">
        <f t="shared" si="115"/>
        <v>1.6132383869930564E-3</v>
      </c>
      <c r="K842" s="50">
        <f t="shared" si="116"/>
        <v>1.9406260829387359E-3</v>
      </c>
      <c r="L842" s="50">
        <f t="shared" si="117"/>
        <v>-3.6561357410627073E-3</v>
      </c>
      <c r="P842" s="50">
        <f t="shared" si="112"/>
        <v>-3.6561357410627073E-3</v>
      </c>
      <c r="Q842" s="51">
        <f t="shared" si="118"/>
        <v>85.001574258711059</v>
      </c>
      <c r="R842" s="51">
        <f t="shared" si="119"/>
        <v>59.040561302178368</v>
      </c>
      <c r="Y842">
        <v>837</v>
      </c>
      <c r="Z842">
        <v>7.2595585270716017</v>
      </c>
    </row>
    <row r="843" spans="1:26" x14ac:dyDescent="0.15">
      <c r="A843" s="59">
        <v>42132.75</v>
      </c>
      <c r="B843">
        <v>15.075231</v>
      </c>
      <c r="C843">
        <v>121.909981</v>
      </c>
      <c r="D843">
        <v>62.569797999999999</v>
      </c>
      <c r="E843">
        <v>21.642499999999998</v>
      </c>
      <c r="F843">
        <v>1397.6800539999999</v>
      </c>
      <c r="H843" s="50">
        <f t="shared" si="113"/>
        <v>-1.0891703388321438E-2</v>
      </c>
      <c r="I843" s="50">
        <f t="shared" si="114"/>
        <v>1.3879299657216313E-3</v>
      </c>
      <c r="J843" s="50">
        <f t="shared" si="115"/>
        <v>-2.4750877831134117E-3</v>
      </c>
      <c r="K843" s="50">
        <f t="shared" si="116"/>
        <v>4.2456960583872128E-3</v>
      </c>
      <c r="L843" s="50">
        <f t="shared" si="117"/>
        <v>6.7709862589976893E-3</v>
      </c>
      <c r="P843" s="50">
        <f t="shared" si="112"/>
        <v>6.7709862589976893E-3</v>
      </c>
      <c r="Q843" s="51">
        <f t="shared" si="118"/>
        <v>85.577118750009973</v>
      </c>
      <c r="R843" s="51">
        <f t="shared" si="119"/>
        <v>58.397509020595031</v>
      </c>
      <c r="Y843">
        <v>838</v>
      </c>
      <c r="Z843">
        <v>9.0856968165345116</v>
      </c>
    </row>
    <row r="844" spans="1:26" x14ac:dyDescent="0.15">
      <c r="A844" s="59">
        <v>42133.75</v>
      </c>
      <c r="B844">
        <v>15.241234</v>
      </c>
      <c r="C844">
        <v>121.741013</v>
      </c>
      <c r="D844">
        <v>62.725048000000001</v>
      </c>
      <c r="E844">
        <v>21.551000999999999</v>
      </c>
      <c r="F844">
        <v>1388.280029</v>
      </c>
      <c r="H844" s="50">
        <f t="shared" si="113"/>
        <v>1.0235495064464644E-2</v>
      </c>
      <c r="I844" s="50">
        <f t="shared" si="114"/>
        <v>5.7947472554419838E-3</v>
      </c>
      <c r="J844" s="50">
        <f t="shared" si="115"/>
        <v>1.2529986442036114E-2</v>
      </c>
      <c r="K844" s="50">
        <f t="shared" si="116"/>
        <v>9.7219762456954399E-3</v>
      </c>
      <c r="L844" s="50">
        <f t="shared" si="117"/>
        <v>-1.0900645121495326E-2</v>
      </c>
      <c r="P844" s="50">
        <f t="shared" si="112"/>
        <v>-1.0900645121495326E-2</v>
      </c>
      <c r="Q844" s="51">
        <f t="shared" si="118"/>
        <v>84.644272947996043</v>
      </c>
      <c r="R844" s="51">
        <f t="shared" si="119"/>
        <v>58.995236435952364</v>
      </c>
      <c r="Y844">
        <v>839</v>
      </c>
      <c r="Z844">
        <v>7.8873716335916759</v>
      </c>
    </row>
    <row r="845" spans="1:26" x14ac:dyDescent="0.15">
      <c r="A845" s="59">
        <v>42136.75</v>
      </c>
      <c r="B845">
        <v>15.086812999999999</v>
      </c>
      <c r="C845">
        <v>121.039619</v>
      </c>
      <c r="D845">
        <v>61.948830000000001</v>
      </c>
      <c r="E845">
        <v>21.343499999999999</v>
      </c>
      <c r="F845">
        <v>1403.579956</v>
      </c>
      <c r="H845" s="50">
        <f t="shared" si="113"/>
        <v>-7.1135695963311305E-3</v>
      </c>
      <c r="I845" s="50">
        <f t="shared" si="114"/>
        <v>4.4883442345918121E-3</v>
      </c>
      <c r="J845" s="50">
        <f t="shared" si="115"/>
        <v>3.3005128871449581E-2</v>
      </c>
      <c r="K845" s="50">
        <f t="shared" si="116"/>
        <v>-1.2515036550384101E-2</v>
      </c>
      <c r="L845" s="50">
        <f t="shared" si="117"/>
        <v>3.8481938148028823E-4</v>
      </c>
      <c r="P845" s="50">
        <f t="shared" si="112"/>
        <v>3.8481938148028823E-4</v>
      </c>
      <c r="Q845" s="51">
        <f t="shared" si="118"/>
        <v>84.676845704757753</v>
      </c>
      <c r="R845" s="51">
        <f t="shared" si="119"/>
        <v>58.575569715713208</v>
      </c>
      <c r="Y845">
        <v>840</v>
      </c>
      <c r="Z845">
        <v>5.9960581862721209</v>
      </c>
    </row>
    <row r="846" spans="1:26" x14ac:dyDescent="0.15">
      <c r="A846" s="59">
        <v>42137.75</v>
      </c>
      <c r="B846">
        <v>15.194903</v>
      </c>
      <c r="C846">
        <v>120.498779</v>
      </c>
      <c r="D846">
        <v>59.969527999999997</v>
      </c>
      <c r="E846">
        <v>21.614000000000001</v>
      </c>
      <c r="F846">
        <v>1403.040039</v>
      </c>
      <c r="H846" s="50">
        <f t="shared" si="113"/>
        <v>-6.5625478293008374E-3</v>
      </c>
      <c r="I846" s="50">
        <f t="shared" si="114"/>
        <v>-1.5397540866298296E-2</v>
      </c>
      <c r="J846" s="50">
        <f t="shared" si="115"/>
        <v>-1.6172031245388522E-2</v>
      </c>
      <c r="K846" s="50">
        <f t="shared" si="116"/>
        <v>1.4741831678020317E-2</v>
      </c>
      <c r="L846" s="50">
        <f t="shared" si="117"/>
        <v>-3.9896034986110903E-3</v>
      </c>
      <c r="P846" s="50">
        <f t="shared" si="112"/>
        <v>-3.9896034986110903E-3</v>
      </c>
      <c r="Q846" s="51">
        <f t="shared" si="118"/>
        <v>84.339018664882701</v>
      </c>
      <c r="R846" s="51">
        <f t="shared" si="119"/>
        <v>58.191164737825289</v>
      </c>
      <c r="Y846">
        <v>841</v>
      </c>
      <c r="Z846">
        <v>6.9988322651365698</v>
      </c>
    </row>
    <row r="847" spans="1:26" x14ac:dyDescent="0.15">
      <c r="A847" s="59">
        <v>42138.75</v>
      </c>
      <c r="B847">
        <v>15.295279000000001</v>
      </c>
      <c r="C847">
        <v>122.383179</v>
      </c>
      <c r="D847">
        <v>60.955298999999997</v>
      </c>
      <c r="E847">
        <v>21.299999</v>
      </c>
      <c r="F847">
        <v>1408.660034</v>
      </c>
      <c r="H847" s="50">
        <f t="shared" si="113"/>
        <v>-8.508327827127354E-3</v>
      </c>
      <c r="I847" s="50">
        <f t="shared" si="114"/>
        <v>-1.5855352934587401E-3</v>
      </c>
      <c r="J847" s="50">
        <f t="shared" si="115"/>
        <v>-4.4667059401304506E-3</v>
      </c>
      <c r="K847" s="50">
        <f t="shared" si="116"/>
        <v>1.7872261211187273E-3</v>
      </c>
      <c r="L847" s="50">
        <f t="shared" si="117"/>
        <v>-1.0473606893637017E-2</v>
      </c>
      <c r="P847" s="50">
        <f t="shared" si="112"/>
        <v>-1.0473606893637017E-2</v>
      </c>
      <c r="Q847" s="51">
        <f t="shared" si="118"/>
        <v>83.455684937591613</v>
      </c>
      <c r="R847" s="51">
        <f t="shared" si="119"/>
        <v>57.696055231593498</v>
      </c>
      <c r="Y847">
        <v>842</v>
      </c>
      <c r="Z847">
        <v>7.5952633361026765</v>
      </c>
    </row>
    <row r="848" spans="1:26" x14ac:dyDescent="0.15">
      <c r="A848" s="59">
        <v>42139.75</v>
      </c>
      <c r="B848">
        <v>15.426532999999999</v>
      </c>
      <c r="C848">
        <v>122.57753</v>
      </c>
      <c r="D848">
        <v>61.228789999999996</v>
      </c>
      <c r="E848">
        <v>21.261998999999999</v>
      </c>
      <c r="F848">
        <v>1423.5699460000001</v>
      </c>
      <c r="H848" s="50">
        <f t="shared" si="113"/>
        <v>4.5662544917503836E-2</v>
      </c>
      <c r="I848" s="50">
        <f t="shared" si="114"/>
        <v>2.2107704148123307E-3</v>
      </c>
      <c r="J848" s="50">
        <f t="shared" si="115"/>
        <v>5.6466293542438975E-3</v>
      </c>
      <c r="K848" s="50">
        <f t="shared" si="116"/>
        <v>8.3705860249656244E-3</v>
      </c>
      <c r="L848" s="50">
        <f t="shared" si="117"/>
        <v>-1.2488371487508251E-3</v>
      </c>
      <c r="P848" s="50">
        <f t="shared" si="112"/>
        <v>-1.2488371487508251E-3</v>
      </c>
      <c r="Q848" s="51">
        <f t="shared" si="118"/>
        <v>83.35146237796711</v>
      </c>
      <c r="R848" s="51">
        <f t="shared" si="119"/>
        <v>60.330603945168917</v>
      </c>
      <c r="Y848">
        <v>843</v>
      </c>
      <c r="Z848">
        <v>7.9657036973261883</v>
      </c>
    </row>
    <row r="849" spans="1:26" x14ac:dyDescent="0.15">
      <c r="A849" s="59">
        <v>42140.75</v>
      </c>
      <c r="B849">
        <v>14.752879</v>
      </c>
      <c r="C849">
        <v>122.307137</v>
      </c>
      <c r="D849">
        <v>60.884995000000004</v>
      </c>
      <c r="E849">
        <v>21.085501000000001</v>
      </c>
      <c r="F849">
        <v>1425.349976</v>
      </c>
      <c r="H849" s="50">
        <f t="shared" si="113"/>
        <v>6.9828653835863471E-3</v>
      </c>
      <c r="I849" s="50">
        <f t="shared" si="114"/>
        <v>8.7118005894953991E-3</v>
      </c>
      <c r="J849" s="50">
        <f t="shared" si="115"/>
        <v>-3.3252940739010913E-3</v>
      </c>
      <c r="K849" s="50">
        <f t="shared" si="116"/>
        <v>-5.0724293364586811E-3</v>
      </c>
      <c r="L849" s="50">
        <f t="shared" si="117"/>
        <v>-8.9723964553795651E-4</v>
      </c>
      <c r="P849" s="50">
        <f t="shared" si="112"/>
        <v>-8.9723964553795651E-4</v>
      </c>
      <c r="Q849" s="51">
        <f t="shared" si="118"/>
        <v>83.276676141408032</v>
      </c>
      <c r="R849" s="51">
        <f t="shared" si="119"/>
        <v>60.7518844310285</v>
      </c>
      <c r="Y849">
        <v>844</v>
      </c>
      <c r="Z849">
        <v>12.264360360371933</v>
      </c>
    </row>
    <row r="850" spans="1:26" x14ac:dyDescent="0.15">
      <c r="A850" s="59">
        <v>42143.75</v>
      </c>
      <c r="B850">
        <v>14.650575999999999</v>
      </c>
      <c r="C850">
        <v>121.25082399999999</v>
      </c>
      <c r="D850">
        <v>61.088130999999997</v>
      </c>
      <c r="E850">
        <v>21.193000999999999</v>
      </c>
      <c r="F850">
        <v>1426.630005</v>
      </c>
      <c r="H850" s="50">
        <f t="shared" si="113"/>
        <v>-2.7594229573453593E-3</v>
      </c>
      <c r="I850" s="50">
        <f t="shared" si="114"/>
        <v>-3.1266258431775491E-3</v>
      </c>
      <c r="J850" s="50">
        <f t="shared" si="115"/>
        <v>-1.5241605346829437E-2</v>
      </c>
      <c r="K850" s="50">
        <f t="shared" si="116"/>
        <v>-1.8001437249562786E-2</v>
      </c>
      <c r="L850" s="50">
        <f t="shared" si="117"/>
        <v>9.3603939262420395E-3</v>
      </c>
      <c r="P850" s="50">
        <f t="shared" si="112"/>
        <v>9.3603939262420395E-3</v>
      </c>
      <c r="Q850" s="51">
        <f t="shared" si="118"/>
        <v>84.056178634959693</v>
      </c>
      <c r="R850" s="51">
        <f t="shared" si="119"/>
        <v>60.584244286427527</v>
      </c>
      <c r="Y850">
        <v>845</v>
      </c>
      <c r="Z850">
        <v>9.6954264418186646</v>
      </c>
    </row>
    <row r="851" spans="1:26" x14ac:dyDescent="0.15">
      <c r="A851" s="59">
        <v>42144.75</v>
      </c>
      <c r="B851">
        <v>14.691115</v>
      </c>
      <c r="C851">
        <v>121.631119</v>
      </c>
      <c r="D851">
        <v>62.033622999999999</v>
      </c>
      <c r="E851">
        <v>21.581499000000001</v>
      </c>
      <c r="F851">
        <v>1413.400024</v>
      </c>
      <c r="H851" s="50">
        <f t="shared" si="113"/>
        <v>3.2958738781387912E-3</v>
      </c>
      <c r="I851" s="50">
        <f t="shared" si="114"/>
        <v>1.809962294387808E-3</v>
      </c>
      <c r="J851" s="50">
        <f t="shared" si="115"/>
        <v>1.2614220945878335E-3</v>
      </c>
      <c r="K851" s="50">
        <f t="shared" si="116"/>
        <v>9.3538339218484125E-3</v>
      </c>
      <c r="L851" s="50">
        <f t="shared" si="117"/>
        <v>1.631545299616935E-2</v>
      </c>
      <c r="P851" s="50">
        <f t="shared" si="112"/>
        <v>1.631545299616935E-2</v>
      </c>
      <c r="Q851" s="51">
        <f t="shared" si="118"/>
        <v>85.427593266515984</v>
      </c>
      <c r="R851" s="51">
        <f t="shared" si="119"/>
        <v>60.783922314597945</v>
      </c>
      <c r="Y851">
        <v>846</v>
      </c>
      <c r="Z851">
        <v>9.0758098561470124</v>
      </c>
    </row>
    <row r="852" spans="1:26" x14ac:dyDescent="0.15">
      <c r="A852" s="59">
        <v>42145.75</v>
      </c>
      <c r="B852">
        <v>14.642854</v>
      </c>
      <c r="C852">
        <v>121.41136899999999</v>
      </c>
      <c r="D852">
        <v>61.955471000000003</v>
      </c>
      <c r="E852">
        <v>21.381499999999999</v>
      </c>
      <c r="F852">
        <v>1390.709961</v>
      </c>
      <c r="H852" s="50">
        <f t="shared" si="113"/>
        <v>1.2817039345045321E-2</v>
      </c>
      <c r="I852" s="50">
        <f t="shared" si="114"/>
        <v>3.00156875739449E-3</v>
      </c>
      <c r="J852" s="50">
        <f t="shared" si="115"/>
        <v>2.6551589173284761E-3</v>
      </c>
      <c r="K852" s="50">
        <f t="shared" si="116"/>
        <v>5.0767386654758523E-3</v>
      </c>
      <c r="L852" s="50">
        <f t="shared" si="117"/>
        <v>-2.6105461775401133E-3</v>
      </c>
      <c r="P852" s="50">
        <f t="shared" si="112"/>
        <v>-2.6105461775401133E-3</v>
      </c>
      <c r="Q852" s="51">
        <f t="shared" si="118"/>
        <v>85.204580589457635</v>
      </c>
      <c r="R852" s="51">
        <f t="shared" si="119"/>
        <v>61.56299223845032</v>
      </c>
      <c r="Y852">
        <v>847</v>
      </c>
      <c r="Z852">
        <v>10.162790742189015</v>
      </c>
    </row>
    <row r="853" spans="1:26" x14ac:dyDescent="0.15">
      <c r="A853" s="59">
        <v>42146.75</v>
      </c>
      <c r="B853">
        <v>14.457551</v>
      </c>
      <c r="C853">
        <v>121.048035</v>
      </c>
      <c r="D853">
        <v>61.791404999999997</v>
      </c>
      <c r="E853">
        <v>21.273499999999999</v>
      </c>
      <c r="F853">
        <v>1394.349976</v>
      </c>
      <c r="H853" s="50">
        <f t="shared" si="113"/>
        <v>-3.8570903248837181E-3</v>
      </c>
      <c r="I853" s="50">
        <f t="shared" si="114"/>
        <v>-1.4922798763282886E-2</v>
      </c>
      <c r="J853" s="50">
        <f t="shared" si="115"/>
        <v>-1.5192654712321989E-2</v>
      </c>
      <c r="K853" s="50">
        <f t="shared" si="116"/>
        <v>-1.3791619015883407E-2</v>
      </c>
      <c r="L853" s="50">
        <f t="shared" si="117"/>
        <v>1.3387251733073957E-2</v>
      </c>
      <c r="P853" s="50">
        <f t="shared" si="112"/>
        <v>1.3387251733073957E-2</v>
      </c>
      <c r="Q853" s="51">
        <f t="shared" si="118"/>
        <v>86.345235758619694</v>
      </c>
      <c r="R853" s="51">
        <f t="shared" si="119"/>
        <v>61.325538216716502</v>
      </c>
      <c r="Y853">
        <v>848</v>
      </c>
      <c r="Z853">
        <v>6.4517832790325729</v>
      </c>
    </row>
    <row r="854" spans="1:26" x14ac:dyDescent="0.15">
      <c r="A854" s="59">
        <v>42147.75</v>
      </c>
      <c r="B854">
        <v>14.513531</v>
      </c>
      <c r="C854">
        <v>122.881775</v>
      </c>
      <c r="D854">
        <v>62.744663000000003</v>
      </c>
      <c r="E854">
        <v>21.570999</v>
      </c>
      <c r="F854">
        <v>1375.9300539999999</v>
      </c>
      <c r="H854" s="50">
        <f t="shared" si="113"/>
        <v>4.6770842462179477E-3</v>
      </c>
      <c r="I854" s="50">
        <f t="shared" si="114"/>
        <v>8.0418146899070547E-3</v>
      </c>
      <c r="J854" s="50">
        <f t="shared" si="115"/>
        <v>3.1234405299602496E-3</v>
      </c>
      <c r="K854" s="50">
        <f t="shared" si="116"/>
        <v>1.1369669157715361E-2</v>
      </c>
      <c r="L854" s="50">
        <f t="shared" si="117"/>
        <v>-6.7996695154236191E-3</v>
      </c>
      <c r="P854" s="50">
        <f t="shared" si="112"/>
        <v>-6.7996695154236191E-3</v>
      </c>
      <c r="Q854" s="51">
        <f t="shared" si="118"/>
        <v>85.758116691229745</v>
      </c>
      <c r="R854" s="51">
        <f t="shared" si="119"/>
        <v>61.612362925400753</v>
      </c>
      <c r="Y854">
        <v>849</v>
      </c>
      <c r="Z854">
        <v>5.0984501416739239</v>
      </c>
    </row>
    <row r="855" spans="1:26" x14ac:dyDescent="0.15">
      <c r="A855" s="59">
        <v>42151.75</v>
      </c>
      <c r="B855">
        <v>14.445966</v>
      </c>
      <c r="C855">
        <v>121.901466</v>
      </c>
      <c r="D855">
        <v>62.549294000000003</v>
      </c>
      <c r="E855">
        <v>21.328500999999999</v>
      </c>
      <c r="F855">
        <v>1385.349976</v>
      </c>
      <c r="H855" s="50">
        <f t="shared" si="113"/>
        <v>7.6744150682487543E-3</v>
      </c>
      <c r="I855" s="50">
        <f t="shared" si="114"/>
        <v>1.1711712803347379E-2</v>
      </c>
      <c r="J855" s="50">
        <f t="shared" si="115"/>
        <v>9.202839830424938E-3</v>
      </c>
      <c r="K855" s="50">
        <f t="shared" si="116"/>
        <v>-6.1970971274142835E-3</v>
      </c>
      <c r="L855" s="50">
        <f t="shared" si="117"/>
        <v>-3.9472478029151156E-3</v>
      </c>
      <c r="P855" s="50">
        <f t="shared" si="112"/>
        <v>-3.9472478029151156E-3</v>
      </c>
      <c r="Q855" s="51">
        <f t="shared" si="118"/>
        <v>85.41960815353815</v>
      </c>
      <c r="R855" s="51">
        <f t="shared" si="119"/>
        <v>62.085201771825865</v>
      </c>
      <c r="Y855">
        <v>850</v>
      </c>
      <c r="Z855">
        <v>8.5610121420069785</v>
      </c>
    </row>
    <row r="856" spans="1:26" x14ac:dyDescent="0.15">
      <c r="A856" s="59">
        <v>42152.75</v>
      </c>
      <c r="B856">
        <v>14.335946</v>
      </c>
      <c r="C856">
        <v>120.490318</v>
      </c>
      <c r="D856">
        <v>61.978912000000001</v>
      </c>
      <c r="E856">
        <v>21.461500000000001</v>
      </c>
      <c r="F856">
        <v>1390.839966</v>
      </c>
      <c r="H856" s="50">
        <f t="shared" si="113"/>
        <v>-6.155674209725793E-3</v>
      </c>
      <c r="I856" s="50">
        <f t="shared" si="114"/>
        <v>1.4046888986509339E-3</v>
      </c>
      <c r="J856" s="50">
        <f t="shared" si="115"/>
        <v>-2.38962300884664E-3</v>
      </c>
      <c r="K856" s="50">
        <f t="shared" si="116"/>
        <v>-3.9218416411398154E-3</v>
      </c>
      <c r="L856" s="50">
        <f t="shared" si="117"/>
        <v>-5.3066267696520635E-3</v>
      </c>
      <c r="P856" s="50">
        <f t="shared" si="112"/>
        <v>-5.3066267696520635E-3</v>
      </c>
      <c r="Q856" s="51">
        <f t="shared" si="118"/>
        <v>84.966318174257395</v>
      </c>
      <c r="R856" s="51">
        <f t="shared" si="119"/>
        <v>61.703025496473408</v>
      </c>
      <c r="Y856">
        <v>851</v>
      </c>
      <c r="Z856">
        <v>6.2354661688304684</v>
      </c>
    </row>
    <row r="857" spans="1:26" x14ac:dyDescent="0.15">
      <c r="A857" s="59">
        <v>42153.75</v>
      </c>
      <c r="B857">
        <v>14.42474</v>
      </c>
      <c r="C857">
        <v>120.321304</v>
      </c>
      <c r="D857">
        <v>62.127372999999999</v>
      </c>
      <c r="E857">
        <v>21.545999999999999</v>
      </c>
      <c r="F857">
        <v>1398.26001</v>
      </c>
      <c r="H857" s="50">
        <f t="shared" si="113"/>
        <v>2.6836259611947647E-3</v>
      </c>
      <c r="I857" s="50">
        <f t="shared" si="114"/>
        <v>7.0010335290634166E-3</v>
      </c>
      <c r="J857" s="50">
        <f t="shared" si="115"/>
        <v>-6.1249003003379749E-3</v>
      </c>
      <c r="K857" s="50">
        <f t="shared" si="116"/>
        <v>-1.6241676140972869E-4</v>
      </c>
      <c r="L857" s="50">
        <f t="shared" si="117"/>
        <v>-1.5138712295453098E-3</v>
      </c>
      <c r="P857" s="50">
        <f t="shared" si="112"/>
        <v>-1.5138712295453098E-3</v>
      </c>
      <c r="Q857" s="51">
        <f t="shared" si="118"/>
        <v>84.837690109693</v>
      </c>
      <c r="R857" s="51">
        <f t="shared" si="119"/>
        <v>61.868613337580015</v>
      </c>
      <c r="Y857">
        <v>852</v>
      </c>
      <c r="Z857">
        <v>8.1341475659772922</v>
      </c>
    </row>
    <row r="858" spans="1:26" x14ac:dyDescent="0.15">
      <c r="A858" s="59">
        <v>42154.75</v>
      </c>
      <c r="B858">
        <v>14.386132999999999</v>
      </c>
      <c r="C858">
        <v>119.484787</v>
      </c>
      <c r="D858">
        <v>62.510241999999998</v>
      </c>
      <c r="E858">
        <v>21.549499999999998</v>
      </c>
      <c r="F858">
        <v>1400.380005</v>
      </c>
      <c r="H858" s="50">
        <f t="shared" si="113"/>
        <v>-4.8069193849866361E-3</v>
      </c>
      <c r="I858" s="50">
        <f t="shared" si="114"/>
        <v>-5.1360168455997102E-3</v>
      </c>
      <c r="J858" s="50">
        <f t="shared" si="115"/>
        <v>-4.2318786594257776E-3</v>
      </c>
      <c r="K858" s="50">
        <f t="shared" si="116"/>
        <v>-1.2826679493346212E-2</v>
      </c>
      <c r="L858" s="50">
        <f t="shared" si="117"/>
        <v>1.061577470314428E-2</v>
      </c>
      <c r="P858" s="50">
        <f t="shared" si="112"/>
        <v>1.061577470314428E-2</v>
      </c>
      <c r="Q858" s="51">
        <f t="shared" si="118"/>
        <v>85.738307914232678</v>
      </c>
      <c r="R858" s="51">
        <f t="shared" si="119"/>
        <v>61.571215900805356</v>
      </c>
      <c r="Y858">
        <v>853</v>
      </c>
      <c r="Z858">
        <v>9.1943646627012896</v>
      </c>
    </row>
    <row r="859" spans="1:26" x14ac:dyDescent="0.15">
      <c r="A859" s="59">
        <v>42157.75</v>
      </c>
      <c r="B859">
        <v>14.45562</v>
      </c>
      <c r="C859">
        <v>120.101631</v>
      </c>
      <c r="D859">
        <v>62.775902000000002</v>
      </c>
      <c r="E859">
        <v>21.829499999999999</v>
      </c>
      <c r="F859">
        <v>1385.670044</v>
      </c>
      <c r="H859" s="50">
        <f t="shared" si="113"/>
        <v>9.979468707210502E-3</v>
      </c>
      <c r="I859" s="50">
        <f t="shared" si="114"/>
        <v>1.0522628643126499E-2</v>
      </c>
      <c r="J859" s="50">
        <f t="shared" si="115"/>
        <v>4.7520286816370759E-3</v>
      </c>
      <c r="K859" s="50">
        <f t="shared" si="116"/>
        <v>1.3487162820929382E-2</v>
      </c>
      <c r="L859" s="50">
        <f t="shared" si="117"/>
        <v>5.8215220558802318E-3</v>
      </c>
      <c r="P859" s="50">
        <f t="shared" si="112"/>
        <v>5.8215220558802318E-3</v>
      </c>
      <c r="Q859" s="51">
        <f t="shared" si="118"/>
        <v>86.237435364789221</v>
      </c>
      <c r="R859" s="51">
        <f t="shared" si="119"/>
        <v>62.185663923152347</v>
      </c>
      <c r="Y859">
        <v>854</v>
      </c>
      <c r="Z859">
        <v>6.1934666496069237</v>
      </c>
    </row>
    <row r="860" spans="1:26" x14ac:dyDescent="0.15">
      <c r="A860" s="59">
        <v>42158.75</v>
      </c>
      <c r="B860">
        <v>14.312785999999999</v>
      </c>
      <c r="C860">
        <v>118.851006</v>
      </c>
      <c r="D860">
        <v>62.478999999999999</v>
      </c>
      <c r="E860">
        <v>21.539000000000001</v>
      </c>
      <c r="F860">
        <v>1377.650024</v>
      </c>
      <c r="H860" s="50">
        <f t="shared" si="113"/>
        <v>1.4919605082374613E-2</v>
      </c>
      <c r="I860" s="50">
        <f t="shared" si="114"/>
        <v>1.3474535135061161E-2</v>
      </c>
      <c r="J860" s="50">
        <f t="shared" si="115"/>
        <v>9.5961810799196374E-3</v>
      </c>
      <c r="K860" s="50">
        <f t="shared" si="116"/>
        <v>8.970605457313565E-3</v>
      </c>
      <c r="L860" s="50">
        <f t="shared" si="117"/>
        <v>3.2680294511568337E-4</v>
      </c>
      <c r="P860" s="50">
        <f t="shared" si="112"/>
        <v>3.2680294511568337E-4</v>
      </c>
      <c r="Q860" s="51">
        <f t="shared" si="118"/>
        <v>86.26561801264566</v>
      </c>
      <c r="R860" s="51">
        <f t="shared" si="119"/>
        <v>63.11344947067105</v>
      </c>
      <c r="Y860">
        <v>855</v>
      </c>
      <c r="Z860">
        <v>7.5953378817299155</v>
      </c>
    </row>
    <row r="861" spans="1:26" x14ac:dyDescent="0.15">
      <c r="A861" s="59">
        <v>42159.75</v>
      </c>
      <c r="B861">
        <v>14.102384000000001</v>
      </c>
      <c r="C861">
        <v>117.270836</v>
      </c>
      <c r="D861">
        <v>61.885139000000002</v>
      </c>
      <c r="E861">
        <v>21.3475</v>
      </c>
      <c r="F861">
        <v>1377.1999510000001</v>
      </c>
      <c r="H861" s="50">
        <f t="shared" si="113"/>
        <v>6.1973418762408441E-3</v>
      </c>
      <c r="I861" s="50">
        <f t="shared" si="114"/>
        <v>5.2878087532572428E-3</v>
      </c>
      <c r="J861" s="50">
        <f t="shared" si="115"/>
        <v>3.929681960787682E-3</v>
      </c>
      <c r="K861" s="50">
        <f t="shared" si="116"/>
        <v>8.1464466657117894E-3</v>
      </c>
      <c r="L861" s="50">
        <f t="shared" si="117"/>
        <v>-1.9123319727187227E-2</v>
      </c>
      <c r="P861" s="50">
        <f t="shared" si="112"/>
        <v>-1.9123319727187227E-2</v>
      </c>
      <c r="Q861" s="51">
        <f t="shared" si="118"/>
        <v>84.615933017926437</v>
      </c>
      <c r="R861" s="51">
        <f t="shared" si="119"/>
        <v>63.50458509402965</v>
      </c>
      <c r="Y861">
        <v>856</v>
      </c>
      <c r="Z861">
        <v>5.0060856312953117</v>
      </c>
    </row>
    <row r="862" spans="1:26" x14ac:dyDescent="0.15">
      <c r="A862" s="59">
        <v>42160.75</v>
      </c>
      <c r="B862">
        <v>14.015525</v>
      </c>
      <c r="C862">
        <v>116.653992</v>
      </c>
      <c r="D862">
        <v>61.642901999999999</v>
      </c>
      <c r="E862">
        <v>21.174999</v>
      </c>
      <c r="F862">
        <v>1404.0500489999999</v>
      </c>
      <c r="H862" s="50">
        <f t="shared" si="113"/>
        <v>1.9320873477624515E-3</v>
      </c>
      <c r="I862" s="50">
        <f t="shared" si="114"/>
        <v>7.2733190891463359E-5</v>
      </c>
      <c r="J862" s="50">
        <f t="shared" si="115"/>
        <v>-1.2703822796336059E-4</v>
      </c>
      <c r="K862" s="50">
        <f t="shared" si="116"/>
        <v>-4.6536147409984591E-3</v>
      </c>
      <c r="L862" s="50">
        <f t="shared" si="117"/>
        <v>3.1873764058277305E-2</v>
      </c>
      <c r="P862" s="50">
        <f t="shared" si="112"/>
        <v>3.1873764058277305E-2</v>
      </c>
      <c r="Q862" s="51">
        <f t="shared" si="118"/>
        <v>87.312961302510828</v>
      </c>
      <c r="R862" s="51">
        <f t="shared" si="119"/>
        <v>63.627281499414728</v>
      </c>
      <c r="Y862">
        <v>857</v>
      </c>
      <c r="Z862">
        <v>8.11472238961084</v>
      </c>
    </row>
    <row r="863" spans="1:26" x14ac:dyDescent="0.15">
      <c r="A863" s="59">
        <v>42161.75</v>
      </c>
      <c r="B863">
        <v>13.988498</v>
      </c>
      <c r="C863">
        <v>116.64550800000001</v>
      </c>
      <c r="D863">
        <v>61.650734</v>
      </c>
      <c r="E863">
        <v>21.274000000000001</v>
      </c>
      <c r="F863">
        <v>1360.6800539999999</v>
      </c>
      <c r="H863" s="50">
        <f t="shared" si="113"/>
        <v>-6.3077463609128512E-3</v>
      </c>
      <c r="I863" s="50">
        <f t="shared" si="114"/>
        <v>-9.9697466846606752E-3</v>
      </c>
      <c r="J863" s="50">
        <f t="shared" si="115"/>
        <v>-9.6642128585209316E-3</v>
      </c>
      <c r="K863" s="50">
        <f t="shared" si="116"/>
        <v>-1.2280335213687035E-2</v>
      </c>
      <c r="L863" s="50">
        <f t="shared" si="117"/>
        <v>-7.9305897666949281E-4</v>
      </c>
      <c r="P863" s="50">
        <f t="shared" si="112"/>
        <v>-7.9305897666949281E-4</v>
      </c>
      <c r="Q863" s="51">
        <f t="shared" si="118"/>
        <v>87.24371697477028</v>
      </c>
      <c r="R863" s="51">
        <f t="shared" si="119"/>
        <v>63.22593674608202</v>
      </c>
      <c r="Y863">
        <v>858</v>
      </c>
      <c r="Z863">
        <v>5.8854668808331212</v>
      </c>
    </row>
    <row r="864" spans="1:26" x14ac:dyDescent="0.15">
      <c r="A864" s="59">
        <v>42164.75</v>
      </c>
      <c r="B864">
        <v>14.077294</v>
      </c>
      <c r="C864">
        <v>117.820145</v>
      </c>
      <c r="D864">
        <v>62.252353999999997</v>
      </c>
      <c r="E864">
        <v>21.538499999999999</v>
      </c>
      <c r="F864">
        <v>1361.76001</v>
      </c>
      <c r="H864" s="50">
        <f t="shared" si="113"/>
        <v>-1.3708141869180895E-4</v>
      </c>
      <c r="I864" s="50">
        <f t="shared" si="114"/>
        <v>7.8998774980875645E-4</v>
      </c>
      <c r="J864" s="50">
        <f t="shared" si="115"/>
        <v>-4.9964551242319697E-3</v>
      </c>
      <c r="K864" s="50">
        <f t="shared" si="116"/>
        <v>-5.0811834538189455E-3</v>
      </c>
      <c r="L864" s="50">
        <f t="shared" si="117"/>
        <v>2.4440307589571053E-3</v>
      </c>
      <c r="P864" s="50">
        <f t="shared" si="112"/>
        <v>2.4440307589571053E-3</v>
      </c>
      <c r="Q864" s="51">
        <f t="shared" si="118"/>
        <v>87.45694330258236</v>
      </c>
      <c r="R864" s="51">
        <f t="shared" si="119"/>
        <v>63.217269644974749</v>
      </c>
      <c r="Y864">
        <v>859</v>
      </c>
      <c r="Z864">
        <v>7.0816243732117341</v>
      </c>
    </row>
    <row r="865" spans="1:26" x14ac:dyDescent="0.15">
      <c r="A865" s="59">
        <v>42165.75</v>
      </c>
      <c r="B865">
        <v>14.079224</v>
      </c>
      <c r="C865">
        <v>117.727142</v>
      </c>
      <c r="D865">
        <v>62.564957</v>
      </c>
      <c r="E865">
        <v>21.648499999999999</v>
      </c>
      <c r="F865">
        <v>1358.4399410000001</v>
      </c>
      <c r="H865" s="50">
        <f t="shared" si="113"/>
        <v>7.0411650048498239E-3</v>
      </c>
      <c r="I865" s="50">
        <f t="shared" si="114"/>
        <v>3.8910441467305467E-3</v>
      </c>
      <c r="J865" s="50">
        <f t="shared" si="115"/>
        <v>7.5504414898558353E-3</v>
      </c>
      <c r="K865" s="50">
        <f t="shared" si="116"/>
        <v>7.0943431336062462E-3</v>
      </c>
      <c r="L865" s="50">
        <f t="shared" si="117"/>
        <v>1.7184667179721846E-2</v>
      </c>
      <c r="P865" s="50">
        <f t="shared" si="112"/>
        <v>1.7184667179721846E-2</v>
      </c>
      <c r="Q865" s="51">
        <f t="shared" si="118"/>
        <v>88.959861765793036</v>
      </c>
      <c r="R865" s="51">
        <f t="shared" si="119"/>
        <v>63.662392871701101</v>
      </c>
      <c r="Y865">
        <v>860</v>
      </c>
      <c r="Z865">
        <v>6.5473505388478044</v>
      </c>
    </row>
    <row r="866" spans="1:26" x14ac:dyDescent="0.15">
      <c r="A866" s="59">
        <v>42166.75</v>
      </c>
      <c r="B866">
        <v>13.980783000000001</v>
      </c>
      <c r="C866">
        <v>117.270836</v>
      </c>
      <c r="D866">
        <v>62.096103999999997</v>
      </c>
      <c r="E866">
        <v>21.495999999999999</v>
      </c>
      <c r="F866">
        <v>1335.48999</v>
      </c>
      <c r="H866" s="50">
        <f t="shared" si="113"/>
        <v>6.9515378054554999E-3</v>
      </c>
      <c r="I866" s="50">
        <f t="shared" si="114"/>
        <v>1.1294833201572242E-2</v>
      </c>
      <c r="J866" s="50">
        <f t="shared" si="115"/>
        <v>-1.2181661931575532E-2</v>
      </c>
      <c r="K866" s="50">
        <f t="shared" si="116"/>
        <v>1.4752047584204689E-2</v>
      </c>
      <c r="L866" s="50">
        <f t="shared" si="117"/>
        <v>-3.2689775995767283E-3</v>
      </c>
      <c r="P866" s="50">
        <f t="shared" si="112"/>
        <v>-3.2689775995767283E-3</v>
      </c>
      <c r="Q866" s="51">
        <f t="shared" si="118"/>
        <v>88.669053970419213</v>
      </c>
      <c r="R866" s="51">
        <f t="shared" si="119"/>
        <v>64.104944402534485</v>
      </c>
      <c r="Y866">
        <v>861</v>
      </c>
      <c r="Z866">
        <v>9.1974427124783329</v>
      </c>
    </row>
    <row r="867" spans="1:26" x14ac:dyDescent="0.15">
      <c r="A867" s="59">
        <v>42167.75</v>
      </c>
      <c r="B867">
        <v>13.884266</v>
      </c>
      <c r="C867">
        <v>115.96107499999999</v>
      </c>
      <c r="D867">
        <v>62.861865999999999</v>
      </c>
      <c r="E867">
        <v>21.183499999999999</v>
      </c>
      <c r="F867">
        <v>1339.869995</v>
      </c>
      <c r="H867" s="50">
        <f t="shared" si="113"/>
        <v>-5.8053012533387091E-3</v>
      </c>
      <c r="I867" s="50">
        <f t="shared" si="114"/>
        <v>-5.4355581949330489E-3</v>
      </c>
      <c r="J867" s="50">
        <f t="shared" si="115"/>
        <v>-6.4220437393036041E-3</v>
      </c>
      <c r="K867" s="50">
        <f t="shared" si="116"/>
        <v>-8.4024243597611552E-3</v>
      </c>
      <c r="L867" s="50">
        <f t="shared" si="117"/>
        <v>-1.4823227112730167E-2</v>
      </c>
      <c r="P867" s="50">
        <f t="shared" si="112"/>
        <v>-1.4823227112730167E-2</v>
      </c>
      <c r="Q867" s="51">
        <f t="shared" si="118"/>
        <v>87.354692445544757</v>
      </c>
      <c r="R867" s="51">
        <f t="shared" si="119"/>
        <v>63.732795888449246</v>
      </c>
      <c r="Y867">
        <v>862</v>
      </c>
      <c r="Z867">
        <v>8.214223282956576</v>
      </c>
    </row>
    <row r="868" spans="1:26" x14ac:dyDescent="0.15">
      <c r="A868" s="59">
        <v>42168.75</v>
      </c>
      <c r="B868">
        <v>13.965339</v>
      </c>
      <c r="C868">
        <v>116.59483299999999</v>
      </c>
      <c r="D868">
        <v>63.268177000000001</v>
      </c>
      <c r="E868">
        <v>21.363001000000001</v>
      </c>
      <c r="F868">
        <v>1360.030029</v>
      </c>
      <c r="H868" s="50">
        <f t="shared" si="113"/>
        <v>-5.2248468500156664E-3</v>
      </c>
      <c r="I868" s="50">
        <f t="shared" si="114"/>
        <v>-6.4804968335744721E-3</v>
      </c>
      <c r="J868" s="50">
        <f t="shared" si="115"/>
        <v>-1.3764008048865401E-2</v>
      </c>
      <c r="K868" s="50">
        <f t="shared" si="116"/>
        <v>-1.2855240076445997E-3</v>
      </c>
      <c r="L868" s="50">
        <f t="shared" si="117"/>
        <v>-8.0863733723719099E-5</v>
      </c>
      <c r="P868" s="50">
        <f t="shared" si="112"/>
        <v>-8.0863733723719099E-5</v>
      </c>
      <c r="Q868" s="51">
        <f t="shared" si="118"/>
        <v>87.347628618955326</v>
      </c>
      <c r="R868" s="51">
        <f t="shared" si="119"/>
        <v>63.399801790608791</v>
      </c>
      <c r="Y868">
        <v>863</v>
      </c>
      <c r="Z868">
        <v>7.3152558330623281</v>
      </c>
    </row>
    <row r="869" spans="1:26" x14ac:dyDescent="0.15">
      <c r="A869" s="59">
        <v>42171.75</v>
      </c>
      <c r="B869">
        <v>14.038689</v>
      </c>
      <c r="C869">
        <v>117.35535400000001</v>
      </c>
      <c r="D869">
        <v>64.151154000000005</v>
      </c>
      <c r="E869">
        <v>21.390498999999998</v>
      </c>
      <c r="F869">
        <v>1360.1400149999999</v>
      </c>
      <c r="H869" s="50">
        <f t="shared" si="113"/>
        <v>-3.4256537932352087E-3</v>
      </c>
      <c r="I869" s="50">
        <f t="shared" si="114"/>
        <v>-1.1530178674677968E-2</v>
      </c>
      <c r="J869" s="50">
        <f t="shared" si="115"/>
        <v>-1.3102152427791877E-2</v>
      </c>
      <c r="K869" s="50">
        <f t="shared" si="116"/>
        <v>-2.6354764559958201E-2</v>
      </c>
      <c r="L869" s="50">
        <f t="shared" si="117"/>
        <v>6.817496563001197E-3</v>
      </c>
      <c r="P869" s="50">
        <f t="shared" si="112"/>
        <v>6.817496563001197E-3</v>
      </c>
      <c r="Q869" s="51">
        <f t="shared" si="118"/>
        <v>87.943120776851359</v>
      </c>
      <c r="R869" s="51">
        <f t="shared" si="119"/>
        <v>63.182616019114427</v>
      </c>
      <c r="Y869">
        <v>864</v>
      </c>
      <c r="Z869">
        <v>6.7096238712229068</v>
      </c>
    </row>
    <row r="870" spans="1:26" x14ac:dyDescent="0.15">
      <c r="A870" s="59">
        <v>42172.75</v>
      </c>
      <c r="B870">
        <v>14.086945999999999</v>
      </c>
      <c r="C870">
        <v>118.724266</v>
      </c>
      <c r="D870">
        <v>65.002831</v>
      </c>
      <c r="E870">
        <v>21.9695</v>
      </c>
      <c r="F870">
        <v>1350.9300539999999</v>
      </c>
      <c r="H870" s="50">
        <f t="shared" si="113"/>
        <v>3.2998556900716448E-3</v>
      </c>
      <c r="I870" s="50">
        <f t="shared" si="114"/>
        <v>1.425546196769304E-3</v>
      </c>
      <c r="J870" s="50">
        <f t="shared" si="115"/>
        <v>-1.9199919862272197E-3</v>
      </c>
      <c r="K870" s="50">
        <f t="shared" si="116"/>
        <v>1.0277752230295291E-2</v>
      </c>
      <c r="L870" s="50">
        <f t="shared" si="117"/>
        <v>9.807068583268904E-3</v>
      </c>
      <c r="P870" s="50">
        <f t="shared" si="112"/>
        <v>9.807068583268904E-3</v>
      </c>
      <c r="Q870" s="51">
        <f t="shared" si="118"/>
        <v>88.805584993736645</v>
      </c>
      <c r="R870" s="51">
        <f t="shared" si="119"/>
        <v>63.39110953409871</v>
      </c>
      <c r="Y870">
        <v>865</v>
      </c>
      <c r="Z870">
        <v>5.9666195148888743</v>
      </c>
    </row>
    <row r="871" spans="1:26" x14ac:dyDescent="0.15">
      <c r="A871" s="59">
        <v>42173.75</v>
      </c>
      <c r="B871">
        <v>14.040614</v>
      </c>
      <c r="C871">
        <v>118.55526</v>
      </c>
      <c r="D871">
        <v>65.127876000000001</v>
      </c>
      <c r="E871">
        <v>21.745999999999999</v>
      </c>
      <c r="F871">
        <v>1337.8100589999999</v>
      </c>
      <c r="H871" s="50">
        <f t="shared" si="113"/>
        <v>-6.8724657960307276E-4</v>
      </c>
      <c r="I871" s="50">
        <f t="shared" si="114"/>
        <v>7.8450257679390514E-4</v>
      </c>
      <c r="J871" s="50">
        <f t="shared" si="115"/>
        <v>-1.0447270541326169E-2</v>
      </c>
      <c r="K871" s="50">
        <f t="shared" si="116"/>
        <v>-3.1401589245612931E-3</v>
      </c>
      <c r="L871" s="50">
        <f t="shared" si="117"/>
        <v>-3.7382968540211267E-3</v>
      </c>
      <c r="P871" s="50">
        <f t="shared" si="112"/>
        <v>-3.7382968540211267E-3</v>
      </c>
      <c r="Q871" s="51">
        <f t="shared" si="118"/>
        <v>88.473603354735047</v>
      </c>
      <c r="R871" s="51">
        <f t="shared" si="119"/>
        <v>63.347544210894156</v>
      </c>
      <c r="Y871">
        <v>866</v>
      </c>
      <c r="Z871">
        <v>6.5850800732506558</v>
      </c>
    </row>
    <row r="872" spans="1:26" x14ac:dyDescent="0.15">
      <c r="A872" s="59">
        <v>42174.75</v>
      </c>
      <c r="B872">
        <v>14.050269999999999</v>
      </c>
      <c r="C872">
        <v>118.462326</v>
      </c>
      <c r="D872">
        <v>65.815467999999996</v>
      </c>
      <c r="E872">
        <v>21.814501</v>
      </c>
      <c r="F872">
        <v>1342.829956</v>
      </c>
      <c r="H872" s="50">
        <f t="shared" si="113"/>
        <v>3.0314526057827291E-3</v>
      </c>
      <c r="I872" s="50">
        <f t="shared" si="114"/>
        <v>3.8669983865312445E-3</v>
      </c>
      <c r="J872" s="50">
        <f t="shared" si="115"/>
        <v>-6.2531845648383568E-3</v>
      </c>
      <c r="K872" s="50">
        <f t="shared" si="116"/>
        <v>-2.1749321733671088E-2</v>
      </c>
      <c r="L872" s="50">
        <f t="shared" si="117"/>
        <v>1.8893189304263421E-2</v>
      </c>
      <c r="P872" s="50">
        <f t="shared" si="112"/>
        <v>1.8893189304263421E-2</v>
      </c>
      <c r="Q872" s="51">
        <f t="shared" si="118"/>
        <v>90.145151891346373</v>
      </c>
      <c r="R872" s="51">
        <f t="shared" si="119"/>
        <v>63.5395792888622</v>
      </c>
      <c r="Y872">
        <v>867</v>
      </c>
      <c r="Z872">
        <v>10.244965315458685</v>
      </c>
    </row>
    <row r="873" spans="1:26" x14ac:dyDescent="0.15">
      <c r="A873" s="59">
        <v>42175.75</v>
      </c>
      <c r="B873">
        <v>14.007806</v>
      </c>
      <c r="C873">
        <v>118.00599699999999</v>
      </c>
      <c r="D873">
        <v>66.229613999999998</v>
      </c>
      <c r="E873">
        <v>22.299499999999998</v>
      </c>
      <c r="F873">
        <v>1317.9300539999999</v>
      </c>
      <c r="H873" s="50">
        <f t="shared" si="113"/>
        <v>2.6249841458802084E-3</v>
      </c>
      <c r="I873" s="50">
        <f t="shared" si="114"/>
        <v>9.4696011540216594E-3</v>
      </c>
      <c r="J873" s="50">
        <f t="shared" si="115"/>
        <v>4.9801815326781058E-3</v>
      </c>
      <c r="K873" s="50">
        <f t="shared" si="116"/>
        <v>1.1682242990654056E-2</v>
      </c>
      <c r="L873" s="50">
        <f t="shared" si="117"/>
        <v>-5.3069802731466371E-5</v>
      </c>
      <c r="P873" s="50">
        <f t="shared" si="112"/>
        <v>-5.3069802731466371E-5</v>
      </c>
      <c r="Q873" s="51">
        <f t="shared" si="118"/>
        <v>90.140367905918296</v>
      </c>
      <c r="R873" s="51">
        <f t="shared" si="119"/>
        <v>63.70636967713137</v>
      </c>
      <c r="Y873">
        <v>868</v>
      </c>
      <c r="Z873">
        <v>6.2829172319581525</v>
      </c>
    </row>
    <row r="874" spans="1:26" x14ac:dyDescent="0.15">
      <c r="A874" s="59">
        <v>42178.75</v>
      </c>
      <c r="B874">
        <v>13.971132000000001</v>
      </c>
      <c r="C874">
        <v>116.89901</v>
      </c>
      <c r="D874">
        <v>65.901413000000005</v>
      </c>
      <c r="E874">
        <v>22.042000000000002</v>
      </c>
      <c r="F874">
        <v>1318</v>
      </c>
      <c r="H874" s="50">
        <f t="shared" si="113"/>
        <v>7.2363019211855069E-3</v>
      </c>
      <c r="I874" s="50">
        <f t="shared" si="114"/>
        <v>6.4748738652018198E-3</v>
      </c>
      <c r="J874" s="50">
        <f t="shared" si="115"/>
        <v>-1.8942248051319215E-3</v>
      </c>
      <c r="K874" s="50">
        <f t="shared" si="116"/>
        <v>1.6814815578950974E-3</v>
      </c>
      <c r="L874" s="50">
        <f t="shared" si="117"/>
        <v>2.8227871245397312E-3</v>
      </c>
      <c r="P874" s="50">
        <f t="shared" si="112"/>
        <v>2.8227871245397312E-3</v>
      </c>
      <c r="Q874" s="51">
        <f t="shared" si="118"/>
        <v>90.394814975844383</v>
      </c>
      <c r="R874" s="51">
        <f t="shared" si="119"/>
        <v>64.167368202417748</v>
      </c>
      <c r="Y874">
        <v>869</v>
      </c>
      <c r="Z874">
        <v>6.6523223410749539</v>
      </c>
    </row>
    <row r="875" spans="1:26" x14ac:dyDescent="0.15">
      <c r="A875" s="59">
        <v>42179.75</v>
      </c>
      <c r="B875">
        <v>13.870759</v>
      </c>
      <c r="C875">
        <v>116.146973</v>
      </c>
      <c r="D875">
        <v>66.026482000000001</v>
      </c>
      <c r="E875">
        <v>22.004999000000002</v>
      </c>
      <c r="F875">
        <v>1314.290039</v>
      </c>
      <c r="H875" s="50">
        <f t="shared" si="113"/>
        <v>-3.604928200625474E-3</v>
      </c>
      <c r="I875" s="50">
        <f t="shared" si="114"/>
        <v>-4.4182352988320454E-3</v>
      </c>
      <c r="J875" s="50">
        <f t="shared" si="115"/>
        <v>4.9960539283770856E-3</v>
      </c>
      <c r="K875" s="50">
        <f t="shared" si="116"/>
        <v>4.5650762581568895E-3</v>
      </c>
      <c r="L875" s="50">
        <f t="shared" si="117"/>
        <v>-5.8094602513478789E-3</v>
      </c>
      <c r="P875" s="50">
        <f t="shared" si="112"/>
        <v>-5.8094602513478789E-3</v>
      </c>
      <c r="Q875" s="51">
        <f t="shared" si="118"/>
        <v>89.869669891314274</v>
      </c>
      <c r="R875" s="51">
        <f t="shared" si="119"/>
        <v>63.936049447224931</v>
      </c>
      <c r="Y875">
        <v>870</v>
      </c>
      <c r="Z875">
        <v>10.634880057182754</v>
      </c>
    </row>
    <row r="876" spans="1:26" x14ac:dyDescent="0.15">
      <c r="A876" s="59">
        <v>42180.75</v>
      </c>
      <c r="B876">
        <v>13.920942999999999</v>
      </c>
      <c r="C876">
        <v>116.662415</v>
      </c>
      <c r="D876">
        <v>65.698250000000002</v>
      </c>
      <c r="E876">
        <v>21.905000999999999</v>
      </c>
      <c r="F876">
        <v>1321.969971</v>
      </c>
      <c r="H876" s="50">
        <f t="shared" si="113"/>
        <v>9.8013002342115744E-3</v>
      </c>
      <c r="I876" s="50">
        <f t="shared" si="114"/>
        <v>1.746593345399465E-2</v>
      </c>
      <c r="J876" s="50">
        <f t="shared" si="115"/>
        <v>2.4241527387155248E-2</v>
      </c>
      <c r="K876" s="50">
        <f t="shared" si="116"/>
        <v>1.9169078304564283E-2</v>
      </c>
      <c r="L876" s="50">
        <f t="shared" si="117"/>
        <v>3.0253630732114577E-2</v>
      </c>
      <c r="P876" s="50">
        <f t="shared" si="112"/>
        <v>3.0253630732114577E-2</v>
      </c>
      <c r="Q876" s="51">
        <f t="shared" si="118"/>
        <v>92.588553698223137</v>
      </c>
      <c r="R876" s="51">
        <f t="shared" si="119"/>
        <v>64.562705863646585</v>
      </c>
      <c r="Y876">
        <v>871</v>
      </c>
      <c r="Z876">
        <v>6.402811734127563</v>
      </c>
    </row>
    <row r="877" spans="1:26" x14ac:dyDescent="0.15">
      <c r="A877" s="59">
        <v>42181.75</v>
      </c>
      <c r="B877">
        <v>13.785824</v>
      </c>
      <c r="C877">
        <v>114.659775</v>
      </c>
      <c r="D877">
        <v>64.143317999999994</v>
      </c>
      <c r="E877">
        <v>21.492999999999999</v>
      </c>
      <c r="F877">
        <v>1283.150024</v>
      </c>
      <c r="H877" s="50">
        <f t="shared" si="113"/>
        <v>6.9082118335209511E-3</v>
      </c>
      <c r="I877" s="50">
        <f t="shared" si="114"/>
        <v>4.6649191456072502E-3</v>
      </c>
      <c r="J877" s="50">
        <f t="shared" si="115"/>
        <v>5.6352167464500703E-3</v>
      </c>
      <c r="K877" s="50">
        <f t="shared" si="116"/>
        <v>-9.7445230251791519E-3</v>
      </c>
      <c r="L877" s="50">
        <f t="shared" si="117"/>
        <v>3.7312997554276106E-3</v>
      </c>
      <c r="P877" s="50">
        <f t="shared" si="112"/>
        <v>3.7312997554276106E-3</v>
      </c>
      <c r="Q877" s="51">
        <f t="shared" si="118"/>
        <v>92.934029345992698</v>
      </c>
      <c r="R877" s="51">
        <f t="shared" si="119"/>
        <v>65.008718712297949</v>
      </c>
      <c r="Y877">
        <v>872</v>
      </c>
      <c r="Z877">
        <v>8.2825544304047636</v>
      </c>
    </row>
    <row r="878" spans="1:26" x14ac:dyDescent="0.15">
      <c r="A878" s="59">
        <v>42182.75</v>
      </c>
      <c r="B878">
        <v>13.691242000000001</v>
      </c>
      <c r="C878">
        <v>114.12738</v>
      </c>
      <c r="D878">
        <v>63.783881999999998</v>
      </c>
      <c r="E878">
        <v>21.704499999999999</v>
      </c>
      <c r="F878">
        <v>1278.380005</v>
      </c>
      <c r="H878" s="50">
        <f t="shared" si="113"/>
        <v>-1.3216438798481944E-2</v>
      </c>
      <c r="I878" s="50">
        <f t="shared" si="114"/>
        <v>-1.0476951261259838E-2</v>
      </c>
      <c r="J878" s="50">
        <f t="shared" si="115"/>
        <v>-1.638765291577125E-2</v>
      </c>
      <c r="K878" s="50">
        <f t="shared" si="116"/>
        <v>-7.5447087288100043E-3</v>
      </c>
      <c r="L878" s="50">
        <f t="shared" si="117"/>
        <v>-1.2656210937500134E-3</v>
      </c>
      <c r="P878" s="50">
        <f t="shared" si="112"/>
        <v>-1.2656210937500134E-3</v>
      </c>
      <c r="Q878" s="51">
        <f t="shared" si="118"/>
        <v>92.816410078125216</v>
      </c>
      <c r="R878" s="51">
        <f t="shared" si="119"/>
        <v>64.149534960069133</v>
      </c>
      <c r="Y878">
        <v>873</v>
      </c>
      <c r="Z878">
        <v>9.5613268610228488</v>
      </c>
    </row>
    <row r="879" spans="1:26" x14ac:dyDescent="0.15">
      <c r="A879" s="59">
        <v>42185.75</v>
      </c>
      <c r="B879">
        <v>13.874615</v>
      </c>
      <c r="C879">
        <v>115.335747</v>
      </c>
      <c r="D879">
        <v>64.846564999999998</v>
      </c>
      <c r="E879">
        <v>21.869499000000001</v>
      </c>
      <c r="F879">
        <v>1280</v>
      </c>
      <c r="H879" s="50">
        <f t="shared" si="113"/>
        <v>2.7799488117418434E-4</v>
      </c>
      <c r="I879" s="50">
        <f t="shared" si="114"/>
        <v>7.3267717011964151E-4</v>
      </c>
      <c r="J879" s="50">
        <f t="shared" si="115"/>
        <v>8.7512915539461368E-3</v>
      </c>
      <c r="K879" s="50">
        <f t="shared" si="116"/>
        <v>-7.3112334650792833E-4</v>
      </c>
      <c r="L879" s="50">
        <f t="shared" si="117"/>
        <v>-3.8213056712731656E-3</v>
      </c>
      <c r="P879" s="50">
        <f t="shared" si="112"/>
        <v>-3.8213056712731656E-3</v>
      </c>
      <c r="Q879" s="51">
        <f t="shared" si="118"/>
        <v>92.461730203906455</v>
      </c>
      <c r="R879" s="51">
        <f t="shared" si="119"/>
        <v>64.167368202417734</v>
      </c>
      <c r="Y879">
        <v>874</v>
      </c>
      <c r="Z879">
        <v>8.7160320691385085</v>
      </c>
    </row>
    <row r="880" spans="1:26" x14ac:dyDescent="0.15">
      <c r="A880" s="59">
        <v>42186.75</v>
      </c>
      <c r="B880">
        <v>13.870759</v>
      </c>
      <c r="C880">
        <v>115.251305</v>
      </c>
      <c r="D880">
        <v>64.283996999999999</v>
      </c>
      <c r="E880">
        <v>21.8855</v>
      </c>
      <c r="F880">
        <v>1284.910034</v>
      </c>
      <c r="H880" s="50">
        <f t="shared" si="113"/>
        <v>-9.2374445753325256E-3</v>
      </c>
      <c r="I880" s="50">
        <f t="shared" si="114"/>
        <v>3.7538226040014543E-3</v>
      </c>
      <c r="J880" s="50">
        <f t="shared" si="115"/>
        <v>-7.958385855440361E-3</v>
      </c>
      <c r="K880" s="50">
        <f t="shared" si="116"/>
        <v>3.8299238601963489E-3</v>
      </c>
      <c r="L880" s="50">
        <f t="shared" si="117"/>
        <v>1.854113579584735E-2</v>
      </c>
      <c r="P880" s="50">
        <f t="shared" si="112"/>
        <v>1.854113579584735E-2</v>
      </c>
      <c r="Q880" s="51">
        <f t="shared" si="118"/>
        <v>94.176075699536085</v>
      </c>
      <c r="R880" s="51">
        <f t="shared" si="119"/>
        <v>63.574625695102945</v>
      </c>
      <c r="Y880">
        <v>875</v>
      </c>
      <c r="Z880">
        <v>9.969877929437299</v>
      </c>
    </row>
    <row r="881" spans="1:26" x14ac:dyDescent="0.15">
      <c r="A881" s="59">
        <v>42187.75</v>
      </c>
      <c r="B881">
        <v>14.000083999999999</v>
      </c>
      <c r="C881">
        <v>114.82029</v>
      </c>
      <c r="D881">
        <v>64.799698000000006</v>
      </c>
      <c r="E881">
        <v>21.802</v>
      </c>
      <c r="F881">
        <v>1261.5200199999999</v>
      </c>
      <c r="H881" s="50">
        <f t="shared" si="113"/>
        <v>-1.7075473055918628E-2</v>
      </c>
      <c r="I881" s="50">
        <f t="shared" si="114"/>
        <v>-3.2882713294685686E-2</v>
      </c>
      <c r="J881" s="50">
        <f t="shared" si="115"/>
        <v>-1.7998519201544796E-2</v>
      </c>
      <c r="K881" s="50">
        <f t="shared" si="116"/>
        <v>-1.5570617329180676E-3</v>
      </c>
      <c r="L881" s="50">
        <f t="shared" si="117"/>
        <v>-1.0927262441797999E-3</v>
      </c>
      <c r="P881" s="50">
        <f t="shared" si="112"/>
        <v>-1.0927262441797999E-3</v>
      </c>
      <c r="Q881" s="51">
        <f t="shared" si="118"/>
        <v>94.07316703004534</v>
      </c>
      <c r="R881" s="51">
        <f t="shared" si="119"/>
        <v>62.489058887006102</v>
      </c>
      <c r="Y881">
        <v>876</v>
      </c>
      <c r="Z881">
        <v>8.87318669281035</v>
      </c>
    </row>
    <row r="882" spans="1:26" x14ac:dyDescent="0.15">
      <c r="A882" s="59">
        <v>42188.75</v>
      </c>
      <c r="B882">
        <v>14.243295</v>
      </c>
      <c r="C882">
        <v>118.724266</v>
      </c>
      <c r="D882">
        <v>65.987373000000005</v>
      </c>
      <c r="E882">
        <v>21.835999999999999</v>
      </c>
      <c r="F882">
        <v>1262.900024</v>
      </c>
      <c r="H882" s="50">
        <f t="shared" si="113"/>
        <v>9.9919985159955312E-3</v>
      </c>
      <c r="I882" s="50">
        <f t="shared" si="114"/>
        <v>4.2893252905325573E-3</v>
      </c>
      <c r="J882" s="50">
        <f t="shared" si="115"/>
        <v>1.1619508179428093E-2</v>
      </c>
      <c r="K882" s="50">
        <f t="shared" si="116"/>
        <v>1.6336931983386833E-2</v>
      </c>
      <c r="L882" s="50">
        <f t="shared" si="117"/>
        <v>8.4563442766374206E-3</v>
      </c>
      <c r="P882" s="50">
        <f t="shared" si="112"/>
        <v>8.4563442766374206E-3</v>
      </c>
      <c r="Q882" s="51">
        <f t="shared" si="118"/>
        <v>94.868682117645022</v>
      </c>
      <c r="R882" s="51">
        <f t="shared" si="119"/>
        <v>63.113449470671021</v>
      </c>
      <c r="Y882">
        <v>877</v>
      </c>
      <c r="Z882">
        <v>8.9305798313811184</v>
      </c>
    </row>
    <row r="883" spans="1:26" x14ac:dyDescent="0.15">
      <c r="A883" s="59">
        <v>42192.75</v>
      </c>
      <c r="B883">
        <v>14.102384000000001</v>
      </c>
      <c r="C883">
        <v>118.21719400000001</v>
      </c>
      <c r="D883">
        <v>65.229438999999999</v>
      </c>
      <c r="E883">
        <v>21.485001</v>
      </c>
      <c r="F883">
        <v>1252.3100589999999</v>
      </c>
      <c r="H883" s="50">
        <f t="shared" si="113"/>
        <v>3.8469311073812957E-3</v>
      </c>
      <c r="I883" s="50">
        <f t="shared" si="114"/>
        <v>3.2266527547911935E-3</v>
      </c>
      <c r="J883" s="50">
        <f t="shared" si="115"/>
        <v>5.2986150170219615E-3</v>
      </c>
      <c r="K883" s="50">
        <f t="shared" si="116"/>
        <v>-1.0796703423191122E-2</v>
      </c>
      <c r="L883" s="50">
        <f t="shared" si="117"/>
        <v>-1.6793509321568739E-2</v>
      </c>
      <c r="P883" s="50">
        <f t="shared" si="112"/>
        <v>-1.6793509321568739E-2</v>
      </c>
      <c r="Q883" s="51">
        <f t="shared" si="118"/>
        <v>93.275504020177408</v>
      </c>
      <c r="R883" s="51">
        <f t="shared" si="119"/>
        <v>63.356242562733875</v>
      </c>
      <c r="Y883">
        <v>878</v>
      </c>
      <c r="Z883">
        <v>10.334981265885627</v>
      </c>
    </row>
    <row r="884" spans="1:26" x14ac:dyDescent="0.15">
      <c r="A884" s="59">
        <v>42193.75</v>
      </c>
      <c r="B884">
        <v>14.048341000000001</v>
      </c>
      <c r="C884">
        <v>117.836975</v>
      </c>
      <c r="D884">
        <v>64.885634999999994</v>
      </c>
      <c r="E884">
        <v>21.7195</v>
      </c>
      <c r="F884">
        <v>1273.6999510000001</v>
      </c>
      <c r="H884" s="50">
        <f t="shared" si="113"/>
        <v>-4.6499319468582892E-3</v>
      </c>
      <c r="I884" s="50">
        <f t="shared" si="114"/>
        <v>-2.291206478690487E-2</v>
      </c>
      <c r="J884" s="50">
        <f t="shared" si="115"/>
        <v>-1.0368192506325554E-2</v>
      </c>
      <c r="K884" s="50">
        <f t="shared" si="116"/>
        <v>-2.0563278367419998E-2</v>
      </c>
      <c r="L884" s="50">
        <f t="shared" si="117"/>
        <v>2.3307017309622462E-2</v>
      </c>
      <c r="P884" s="50">
        <f t="shared" si="112"/>
        <v>2.3307017309622462E-2</v>
      </c>
      <c r="Q884" s="51">
        <f t="shared" si="118"/>
        <v>95.449477806939427</v>
      </c>
      <c r="R884" s="51">
        <f t="shared" si="119"/>
        <v>63.061640346408517</v>
      </c>
      <c r="Y884">
        <v>879</v>
      </c>
      <c r="Z884">
        <v>8.0417526823431356</v>
      </c>
    </row>
    <row r="885" spans="1:26" x14ac:dyDescent="0.15">
      <c r="A885" s="59">
        <v>42194.75</v>
      </c>
      <c r="B885">
        <v>14.11397</v>
      </c>
      <c r="C885">
        <v>120.600174</v>
      </c>
      <c r="D885">
        <v>65.565430000000006</v>
      </c>
      <c r="E885">
        <v>22.175501000000001</v>
      </c>
      <c r="F885">
        <v>1244.6899410000001</v>
      </c>
      <c r="H885" s="50">
        <f t="shared" si="113"/>
        <v>-1.0286825994885066E-2</v>
      </c>
      <c r="I885" s="50">
        <f t="shared" si="114"/>
        <v>-9.3014303662310588E-3</v>
      </c>
      <c r="J885" s="50">
        <f t="shared" si="115"/>
        <v>-2.259066052436102E-3</v>
      </c>
      <c r="K885" s="50">
        <f t="shared" si="116"/>
        <v>-2.6472287464056037E-2</v>
      </c>
      <c r="L885" s="50">
        <f t="shared" si="117"/>
        <v>-6.9412344887715251E-3</v>
      </c>
      <c r="P885" s="50">
        <f t="shared" si="112"/>
        <v>-6.9412344887715251E-3</v>
      </c>
      <c r="Q885" s="51">
        <f t="shared" si="118"/>
        <v>94.786940599650677</v>
      </c>
      <c r="R885" s="51">
        <f t="shared" si="119"/>
        <v>62.412936225212988</v>
      </c>
      <c r="Y885">
        <v>880</v>
      </c>
      <c r="Z885">
        <v>6.4630773622923394</v>
      </c>
    </row>
    <row r="886" spans="1:26" x14ac:dyDescent="0.15">
      <c r="A886" s="59">
        <v>42195.75</v>
      </c>
      <c r="B886">
        <v>14.260667</v>
      </c>
      <c r="C886">
        <v>121.73246</v>
      </c>
      <c r="D886">
        <v>65.713881999999998</v>
      </c>
      <c r="E886">
        <v>22.778500000000001</v>
      </c>
      <c r="F886">
        <v>1253.3900149999999</v>
      </c>
      <c r="H886" s="50">
        <f t="shared" si="113"/>
        <v>1.2196616021784245E-3</v>
      </c>
      <c r="I886" s="50">
        <f t="shared" si="114"/>
        <v>9.027511442871723E-4</v>
      </c>
      <c r="J886" s="50">
        <f t="shared" si="115"/>
        <v>0</v>
      </c>
      <c r="K886" s="50">
        <f t="shared" si="116"/>
        <v>-2.1479047189466673E-2</v>
      </c>
      <c r="L886" s="50">
        <f t="shared" si="117"/>
        <v>1.1214310008263895E-2</v>
      </c>
      <c r="P886" s="50">
        <f t="shared" si="112"/>
        <v>1.1214310008263895E-2</v>
      </c>
      <c r="Q886" s="51">
        <f t="shared" si="118"/>
        <v>95.849910736270047</v>
      </c>
      <c r="R886" s="51">
        <f t="shared" si="119"/>
        <v>62.489058887006095</v>
      </c>
      <c r="Y886">
        <v>881</v>
      </c>
      <c r="Z886">
        <v>8.6191662229132451</v>
      </c>
    </row>
    <row r="887" spans="1:26" x14ac:dyDescent="0.15">
      <c r="A887" s="59">
        <v>42196.75</v>
      </c>
      <c r="B887">
        <v>14.243295</v>
      </c>
      <c r="C887">
        <v>121.622665</v>
      </c>
      <c r="D887">
        <v>65.713881999999998</v>
      </c>
      <c r="E887">
        <v>23.278500000000001</v>
      </c>
      <c r="F887">
        <v>1239.48999</v>
      </c>
      <c r="H887" s="50">
        <f t="shared" si="113"/>
        <v>1.90084995560016E-3</v>
      </c>
      <c r="I887" s="50">
        <f t="shared" si="114"/>
        <v>2.0888092581815127E-3</v>
      </c>
      <c r="J887" s="50">
        <f t="shared" si="115"/>
        <v>-4.2623720175434263E-3</v>
      </c>
      <c r="K887" s="50">
        <f t="shared" si="116"/>
        <v>9.497170363624588E-3</v>
      </c>
      <c r="L887" s="50">
        <f t="shared" si="117"/>
        <v>9.1101038456443875E-3</v>
      </c>
      <c r="P887" s="50">
        <f t="shared" si="112"/>
        <v>9.1101038456443875E-3</v>
      </c>
      <c r="Q887" s="51">
        <f t="shared" si="118"/>
        <v>96.723113376673226</v>
      </c>
      <c r="R887" s="51">
        <f t="shared" si="119"/>
        <v>62.607841211816954</v>
      </c>
      <c r="Y887">
        <v>882</v>
      </c>
      <c r="Z887">
        <v>8.1883336779187221</v>
      </c>
    </row>
    <row r="888" spans="1:26" x14ac:dyDescent="0.15">
      <c r="A888" s="59">
        <v>42199.75</v>
      </c>
      <c r="B888">
        <v>14.216272</v>
      </c>
      <c r="C888">
        <v>121.369148</v>
      </c>
      <c r="D888">
        <v>65.995177999999996</v>
      </c>
      <c r="E888">
        <v>23.0595</v>
      </c>
      <c r="F888">
        <v>1228.3000489999999</v>
      </c>
      <c r="H888" s="50">
        <f t="shared" si="113"/>
        <v>-2.4380716127136146E-3</v>
      </c>
      <c r="I888" s="50">
        <f t="shared" si="114"/>
        <v>-4.8499821520309738E-3</v>
      </c>
      <c r="J888" s="50">
        <f t="shared" si="115"/>
        <v>-6.4701434432243672E-3</v>
      </c>
      <c r="K888" s="50">
        <f t="shared" si="116"/>
        <v>-3.0053840329772062E-2</v>
      </c>
      <c r="L888" s="50">
        <f t="shared" si="117"/>
        <v>1.1021404569286773E-2</v>
      </c>
      <c r="P888" s="50">
        <f t="shared" si="112"/>
        <v>1.1021404569286773E-2</v>
      </c>
      <c r="Q888" s="51">
        <f t="shared" si="118"/>
        <v>97.789137940398533</v>
      </c>
      <c r="R888" s="51">
        <f t="shared" si="119"/>
        <v>62.455198811425142</v>
      </c>
      <c r="Y888">
        <v>883</v>
      </c>
      <c r="Z888">
        <v>6.28417858362321</v>
      </c>
    </row>
    <row r="889" spans="1:26" x14ac:dyDescent="0.15">
      <c r="A889" s="59">
        <v>42200.75</v>
      </c>
      <c r="B889">
        <v>14.251016999999999</v>
      </c>
      <c r="C889">
        <v>121.960655</v>
      </c>
      <c r="D889">
        <v>66.424957000000006</v>
      </c>
      <c r="E889">
        <v>23.774000000000001</v>
      </c>
      <c r="F889">
        <v>1214.910034</v>
      </c>
      <c r="H889" s="50">
        <f t="shared" si="113"/>
        <v>5.9958012378865605E-3</v>
      </c>
      <c r="I889" s="50">
        <f t="shared" si="114"/>
        <v>-2.4191288000288171E-3</v>
      </c>
      <c r="J889" s="50">
        <f t="shared" si="115"/>
        <v>3.7784405901577834E-3</v>
      </c>
      <c r="K889" s="50">
        <f t="shared" si="116"/>
        <v>-1.5589698581383309E-2</v>
      </c>
      <c r="L889" s="50">
        <f t="shared" si="117"/>
        <v>-2.445072217411904E-2</v>
      </c>
      <c r="P889" s="50">
        <f t="shared" si="112"/>
        <v>-2.445072217411904E-2</v>
      </c>
      <c r="Q889" s="51">
        <f t="shared" si="118"/>
        <v>95.398122896971245</v>
      </c>
      <c r="R889" s="51">
        <f t="shared" si="119"/>
        <v>62.829667769771127</v>
      </c>
      <c r="Y889">
        <v>884</v>
      </c>
      <c r="Z889">
        <v>6.6235098227277911</v>
      </c>
    </row>
    <row r="890" spans="1:26" x14ac:dyDescent="0.15">
      <c r="A890" s="59">
        <v>42201.75</v>
      </c>
      <c r="B890">
        <v>14.166079999999999</v>
      </c>
      <c r="C890">
        <v>122.256409</v>
      </c>
      <c r="D890">
        <v>66.174919000000003</v>
      </c>
      <c r="E890">
        <v>24.150499</v>
      </c>
      <c r="F890">
        <v>1245.3599850000001</v>
      </c>
      <c r="H890" s="50">
        <f t="shared" si="113"/>
        <v>3.9668728238559658E-3</v>
      </c>
      <c r="I890" s="50">
        <f t="shared" si="114"/>
        <v>-2.4820942479596465E-3</v>
      </c>
      <c r="J890" s="50">
        <f t="shared" si="115"/>
        <v>5.4614972881451987E-3</v>
      </c>
      <c r="K890" s="50">
        <f t="shared" si="116"/>
        <v>-1.0428272467597878E-2</v>
      </c>
      <c r="L890" s="50">
        <f t="shared" si="117"/>
        <v>-1.1869970833580714E-2</v>
      </c>
      <c r="P890" s="50">
        <f t="shared" si="112"/>
        <v>-1.1869970833580714E-2</v>
      </c>
      <c r="Q890" s="51">
        <f t="shared" si="118"/>
        <v>94.265749960605845</v>
      </c>
      <c r="R890" s="51">
        <f t="shared" si="119"/>
        <v>63.078905071378934</v>
      </c>
      <c r="Y890">
        <v>885</v>
      </c>
      <c r="Z890">
        <v>6.2842078621671495</v>
      </c>
    </row>
    <row r="891" spans="1:26" x14ac:dyDescent="0.15">
      <c r="A891" s="59">
        <v>42202.75</v>
      </c>
      <c r="B891">
        <v>14.110106999999999</v>
      </c>
      <c r="C891">
        <v>122.560616</v>
      </c>
      <c r="D891">
        <v>65.815467999999996</v>
      </c>
      <c r="E891">
        <v>24.405000999999999</v>
      </c>
      <c r="F891">
        <v>1260.3199460000001</v>
      </c>
      <c r="H891" s="50">
        <f t="shared" si="113"/>
        <v>4.9494274253248172E-3</v>
      </c>
      <c r="I891" s="50">
        <f t="shared" si="114"/>
        <v>6.898977531293567E-4</v>
      </c>
      <c r="J891" s="50">
        <f t="shared" si="115"/>
        <v>2.3699593069278581E-2</v>
      </c>
      <c r="K891" s="50">
        <f t="shared" si="116"/>
        <v>2.04959016393444E-4</v>
      </c>
      <c r="L891" s="50">
        <f t="shared" si="117"/>
        <v>-2.856458296911031E-4</v>
      </c>
      <c r="P891" s="50">
        <f t="shared" si="112"/>
        <v>-2.856458296911031E-4</v>
      </c>
      <c r="Q891" s="51">
        <f t="shared" si="118"/>
        <v>94.238823342246889</v>
      </c>
      <c r="R891" s="51">
        <f t="shared" si="119"/>
        <v>63.391109534098675</v>
      </c>
      <c r="Y891">
        <v>886</v>
      </c>
      <c r="Z891">
        <v>7.8991735897729232</v>
      </c>
    </row>
    <row r="892" spans="1:26" x14ac:dyDescent="0.15">
      <c r="A892" s="59">
        <v>42203.75</v>
      </c>
      <c r="B892">
        <v>14.040614</v>
      </c>
      <c r="C892">
        <v>122.47611999999999</v>
      </c>
      <c r="D892">
        <v>64.291779000000005</v>
      </c>
      <c r="E892">
        <v>24.4</v>
      </c>
      <c r="F892">
        <v>1260.6800539999999</v>
      </c>
      <c r="H892" s="50">
        <f t="shared" si="113"/>
        <v>-5.7409575598834795E-3</v>
      </c>
      <c r="I892" s="50">
        <f t="shared" si="114"/>
        <v>-9.8372407209056257E-3</v>
      </c>
      <c r="J892" s="50">
        <f t="shared" si="115"/>
        <v>-6.5201473035347715E-3</v>
      </c>
      <c r="K892" s="50">
        <f t="shared" si="116"/>
        <v>-5.529727404919619E-4</v>
      </c>
      <c r="L892" s="50">
        <f t="shared" si="117"/>
        <v>5.397253968253391E-4</v>
      </c>
      <c r="P892" s="50">
        <f t="shared" si="112"/>
        <v>5.397253968253391E-4</v>
      </c>
      <c r="Q892" s="51">
        <f t="shared" si="118"/>
        <v>94.289686428571642</v>
      </c>
      <c r="R892" s="51">
        <f t="shared" si="119"/>
        <v>63.027183864589489</v>
      </c>
      <c r="Y892">
        <v>887</v>
      </c>
      <c r="Z892">
        <v>5.6079429756721435</v>
      </c>
    </row>
    <row r="893" spans="1:26" x14ac:dyDescent="0.15">
      <c r="A893" s="59">
        <v>42206.75</v>
      </c>
      <c r="B893">
        <v>14.121686</v>
      </c>
      <c r="C893">
        <v>123.69291699999999</v>
      </c>
      <c r="D893">
        <v>64.713722000000004</v>
      </c>
      <c r="E893">
        <v>24.413499999999999</v>
      </c>
      <c r="F893">
        <v>1260</v>
      </c>
      <c r="H893" s="50">
        <f t="shared" si="113"/>
        <v>8.9641333211205789E-3</v>
      </c>
      <c r="I893" s="50">
        <f t="shared" si="114"/>
        <v>5.3567205430822698E-3</v>
      </c>
      <c r="J893" s="50">
        <f t="shared" si="115"/>
        <v>1.4328895292278373E-2</v>
      </c>
      <c r="K893" s="50">
        <f t="shared" si="116"/>
        <v>1.2630180124857044E-2</v>
      </c>
      <c r="L893" s="50">
        <f t="shared" si="117"/>
        <v>-1.331245105716523E-2</v>
      </c>
      <c r="P893" s="50">
        <f t="shared" si="112"/>
        <v>-1.331245105716523E-2</v>
      </c>
      <c r="Q893" s="51">
        <f t="shared" si="118"/>
        <v>93.034459592795827</v>
      </c>
      <c r="R893" s="51">
        <f t="shared" si="119"/>
        <v>63.592167943606448</v>
      </c>
      <c r="Y893">
        <v>888</v>
      </c>
      <c r="Z893">
        <v>5.8892085517246162</v>
      </c>
    </row>
    <row r="894" spans="1:26" x14ac:dyDescent="0.15">
      <c r="A894" s="59">
        <v>42207.75</v>
      </c>
      <c r="B894">
        <v>13.996221999999999</v>
      </c>
      <c r="C894">
        <v>123.03385900000001</v>
      </c>
      <c r="D894">
        <v>63.799545000000002</v>
      </c>
      <c r="E894">
        <v>24.108999000000001</v>
      </c>
      <c r="F894">
        <v>1277</v>
      </c>
      <c r="H894" s="50">
        <f t="shared" si="113"/>
        <v>1.299223722691757E-2</v>
      </c>
      <c r="I894" s="50">
        <f t="shared" si="114"/>
        <v>4.2073687573030236E-3</v>
      </c>
      <c r="J894" s="50">
        <f t="shared" si="115"/>
        <v>1.7953151898217768E-2</v>
      </c>
      <c r="K894" s="50">
        <f t="shared" si="116"/>
        <v>-8.9229795276725657E-2</v>
      </c>
      <c r="L894" s="50">
        <f t="shared" si="117"/>
        <v>-4.0477162033827636E-3</v>
      </c>
      <c r="P894" s="50">
        <f t="shared" si="112"/>
        <v>-4.0477162033827636E-3</v>
      </c>
      <c r="Q894" s="51">
        <f t="shared" si="118"/>
        <v>92.657882503229118</v>
      </c>
      <c r="R894" s="51">
        <f t="shared" si="119"/>
        <v>64.418372475303769</v>
      </c>
      <c r="Y894">
        <v>889</v>
      </c>
      <c r="Z894">
        <v>4.4600969949633784</v>
      </c>
    </row>
    <row r="895" spans="1:26" x14ac:dyDescent="0.15">
      <c r="A895" s="59">
        <v>42208.75</v>
      </c>
      <c r="B895">
        <v>13.816712000000001</v>
      </c>
      <c r="C895">
        <v>122.518379</v>
      </c>
      <c r="D895">
        <v>62.674343</v>
      </c>
      <c r="E895">
        <v>26.471001000000001</v>
      </c>
      <c r="F895">
        <v>1282.1899410000001</v>
      </c>
      <c r="H895" s="50">
        <f t="shared" si="113"/>
        <v>2.8019816366633755E-3</v>
      </c>
      <c r="I895" s="50">
        <f t="shared" si="114"/>
        <v>5.1301365817809919E-3</v>
      </c>
      <c r="J895" s="50">
        <f t="shared" si="115"/>
        <v>9.0581609188925358E-3</v>
      </c>
      <c r="K895" s="50">
        <f t="shared" si="116"/>
        <v>-3.7446793904774059E-3</v>
      </c>
      <c r="L895" s="50">
        <f t="shared" si="117"/>
        <v>2.3671819723760631E-2</v>
      </c>
      <c r="P895" s="50">
        <f t="shared" si="112"/>
        <v>2.3671819723760631E-2</v>
      </c>
      <c r="Q895" s="51">
        <f t="shared" si="118"/>
        <v>94.85126319383096</v>
      </c>
      <c r="R895" s="51">
        <f t="shared" si="119"/>
        <v>64.598871572043308</v>
      </c>
      <c r="Y895">
        <v>890</v>
      </c>
      <c r="Z895">
        <v>7.3039900646284286</v>
      </c>
    </row>
    <row r="896" spans="1:26" x14ac:dyDescent="0.15">
      <c r="A896" s="59">
        <v>42209.75</v>
      </c>
      <c r="B896">
        <v>13.778105999999999</v>
      </c>
      <c r="C896">
        <v>121.893051</v>
      </c>
      <c r="D896">
        <v>62.111725</v>
      </c>
      <c r="E896">
        <v>26.570499000000002</v>
      </c>
      <c r="F896">
        <v>1252.540039</v>
      </c>
      <c r="H896" s="50">
        <f t="shared" si="113"/>
        <v>-9.985859102627925E-3</v>
      </c>
      <c r="I896" s="50">
        <f t="shared" si="114"/>
        <v>-2.0753921725486387E-3</v>
      </c>
      <c r="J896" s="50">
        <f t="shared" si="115"/>
        <v>-1.2914803246137566E-2</v>
      </c>
      <c r="K896" s="50">
        <f t="shared" si="116"/>
        <v>1.0227515540938762E-2</v>
      </c>
      <c r="L896" s="50">
        <f t="shared" si="117"/>
        <v>-4.1502122491555342E-3</v>
      </c>
      <c r="P896" s="50">
        <f t="shared" si="112"/>
        <v>-4.1502122491555342E-3</v>
      </c>
      <c r="Q896" s="51">
        <f t="shared" si="118"/>
        <v>94.457610319476046</v>
      </c>
      <c r="R896" s="51">
        <f t="shared" si="119"/>
        <v>63.953796342336126</v>
      </c>
      <c r="Y896">
        <v>891</v>
      </c>
      <c r="Z896">
        <v>7.3725022770957631</v>
      </c>
    </row>
    <row r="897" spans="1:26" x14ac:dyDescent="0.15">
      <c r="A897" s="59">
        <v>42210.75</v>
      </c>
      <c r="B897">
        <v>13.91708</v>
      </c>
      <c r="C897">
        <v>122.146553</v>
      </c>
      <c r="D897">
        <v>62.924380999999997</v>
      </c>
      <c r="E897">
        <v>26.301500000000001</v>
      </c>
      <c r="F897">
        <v>1257.76001</v>
      </c>
      <c r="H897" s="50">
        <f t="shared" si="113"/>
        <v>-1.8002207545893003E-3</v>
      </c>
      <c r="I897" s="50">
        <f t="shared" si="114"/>
        <v>-5.7095049381123931E-3</v>
      </c>
      <c r="J897" s="50">
        <f t="shared" si="115"/>
        <v>-1.6006960280880812E-2</v>
      </c>
      <c r="K897" s="50">
        <f t="shared" si="116"/>
        <v>-5.6144043245971728E-3</v>
      </c>
      <c r="L897" s="50">
        <f t="shared" si="117"/>
        <v>1.894894974338707E-2</v>
      </c>
      <c r="P897" s="50">
        <f t="shared" ref="P897:P960" si="120">(F897-F898)/F898</f>
        <v>1.894894974338707E-2</v>
      </c>
      <c r="Q897" s="51">
        <f t="shared" si="118"/>
        <v>96.247482830300228</v>
      </c>
      <c r="R897" s="51">
        <f t="shared" si="119"/>
        <v>63.838665390825874</v>
      </c>
      <c r="Y897">
        <v>892</v>
      </c>
      <c r="Z897">
        <v>6.1574865197497477</v>
      </c>
    </row>
    <row r="898" spans="1:26" x14ac:dyDescent="0.15">
      <c r="A898" s="59">
        <v>42213.75</v>
      </c>
      <c r="B898">
        <v>13.942178999999999</v>
      </c>
      <c r="C898">
        <v>122.847954</v>
      </c>
      <c r="D898">
        <v>63.947994000000001</v>
      </c>
      <c r="E898">
        <v>26.450001</v>
      </c>
      <c r="F898">
        <v>1234.369995</v>
      </c>
      <c r="H898" s="50">
        <f t="shared" ref="H898:H961" si="121">(B898-B899)/B899</f>
        <v>9.7001378739154274E-4</v>
      </c>
      <c r="I898" s="50">
        <f t="shared" ref="I898:I961" si="122">(C898-C899)/C899</f>
        <v>5.5110637506322526E-4</v>
      </c>
      <c r="J898" s="50">
        <f t="shared" ref="J898:J961" si="123">(D898-D899)/D899</f>
        <v>-1.09826403864535E-3</v>
      </c>
      <c r="K898" s="50">
        <f t="shared" ref="K898:K961" si="124">(E898-E899)/E899</f>
        <v>-1.4457039066139007E-2</v>
      </c>
      <c r="L898" s="50">
        <f t="shared" ref="L898:L961" si="125">(F898-F899)/F899</f>
        <v>-2.2822955286830943E-2</v>
      </c>
      <c r="P898" s="50">
        <f t="shared" si="120"/>
        <v>-2.2822955286830943E-2</v>
      </c>
      <c r="Q898" s="51">
        <f t="shared" si="118"/>
        <v>94.050830833194254</v>
      </c>
      <c r="R898" s="51">
        <f t="shared" si="119"/>
        <v>63.900589776423651</v>
      </c>
      <c r="Y898">
        <v>893</v>
      </c>
      <c r="Z898">
        <v>7.8765562843776964</v>
      </c>
    </row>
    <row r="899" spans="1:26" x14ac:dyDescent="0.15">
      <c r="A899" s="59">
        <v>42214.75</v>
      </c>
      <c r="B899">
        <v>13.928668</v>
      </c>
      <c r="C899">
        <v>122.780289</v>
      </c>
      <c r="D899">
        <v>64.018303000000003</v>
      </c>
      <c r="E899">
        <v>26.837999</v>
      </c>
      <c r="F899">
        <v>1263.1999510000001</v>
      </c>
      <c r="H899" s="50">
        <f t="shared" si="121"/>
        <v>2.5010943637353211E-3</v>
      </c>
      <c r="I899" s="50">
        <f t="shared" si="122"/>
        <v>0</v>
      </c>
      <c r="J899" s="50">
        <f t="shared" si="123"/>
        <v>9.7736256737956462E-4</v>
      </c>
      <c r="K899" s="50">
        <f t="shared" si="124"/>
        <v>1.1376666553141776E-3</v>
      </c>
      <c r="L899" s="50">
        <f t="shared" si="125"/>
        <v>-1.6398594393669481E-2</v>
      </c>
      <c r="P899" s="50">
        <f t="shared" si="120"/>
        <v>-1.6398594393669481E-2</v>
      </c>
      <c r="Q899" s="51">
        <f t="shared" ref="Q899:Q962" si="126">Q898*(1+P899)</f>
        <v>92.508529405973078</v>
      </c>
      <c r="R899" s="51">
        <f t="shared" ref="R899:R962" si="127">R898*(1+H899)</f>
        <v>64.060411181352833</v>
      </c>
      <c r="Y899">
        <v>894</v>
      </c>
      <c r="Z899">
        <v>8.330064196881132</v>
      </c>
    </row>
    <row r="900" spans="1:26" x14ac:dyDescent="0.15">
      <c r="A900" s="59">
        <v>42215.75</v>
      </c>
      <c r="B900">
        <v>13.893917999999999</v>
      </c>
      <c r="C900">
        <v>122.780289</v>
      </c>
      <c r="D900">
        <v>63.955795000000002</v>
      </c>
      <c r="E900">
        <v>26.807500999999998</v>
      </c>
      <c r="F900">
        <v>1284.26001</v>
      </c>
      <c r="H900" s="50">
        <f t="shared" si="121"/>
        <v>-2.7708549269935133E-3</v>
      </c>
      <c r="I900" s="50">
        <f t="shared" si="122"/>
        <v>-1.5123336072974461E-3</v>
      </c>
      <c r="J900" s="50">
        <f t="shared" si="123"/>
        <v>1.8161463165563604E-2</v>
      </c>
      <c r="K900" s="50">
        <f t="shared" si="124"/>
        <v>2.0934154007593909E-3</v>
      </c>
      <c r="L900" s="50">
        <f t="shared" si="125"/>
        <v>1.3318819086150869E-2</v>
      </c>
      <c r="P900" s="50">
        <f t="shared" si="120"/>
        <v>1.3318819086150869E-2</v>
      </c>
      <c r="Q900" s="51">
        <f t="shared" si="126"/>
        <v>93.740633773057098</v>
      </c>
      <c r="R900" s="51">
        <f t="shared" si="127"/>
        <v>63.882909075405756</v>
      </c>
      <c r="Y900">
        <v>895</v>
      </c>
      <c r="Z900">
        <v>11.368384560521484</v>
      </c>
    </row>
    <row r="901" spans="1:26" x14ac:dyDescent="0.15">
      <c r="A901" s="59">
        <v>42216.75</v>
      </c>
      <c r="B901">
        <v>13.932523</v>
      </c>
      <c r="C901">
        <v>122.966255</v>
      </c>
      <c r="D901">
        <v>62.814982999999998</v>
      </c>
      <c r="E901">
        <v>26.751498999999999</v>
      </c>
      <c r="F901">
        <v>1267.380005</v>
      </c>
      <c r="H901" s="50">
        <f t="shared" si="121"/>
        <v>-9.6873426299795313E-4</v>
      </c>
      <c r="I901" s="50">
        <f t="shared" si="122"/>
        <v>4.6950764609965676E-3</v>
      </c>
      <c r="J901" s="50">
        <f t="shared" si="123"/>
        <v>4.2476738426495226E-3</v>
      </c>
      <c r="K901" s="50">
        <f t="shared" si="124"/>
        <v>5.8845649890792492E-3</v>
      </c>
      <c r="L901" s="50">
        <f t="shared" si="125"/>
        <v>5.6096878300009451E-3</v>
      </c>
      <c r="P901" s="50">
        <f t="shared" si="120"/>
        <v>5.6096878300009451E-3</v>
      </c>
      <c r="Q901" s="51">
        <f t="shared" si="126"/>
        <v>94.266489465510389</v>
      </c>
      <c r="R901" s="51">
        <f t="shared" si="127"/>
        <v>63.82102351256443</v>
      </c>
      <c r="Y901">
        <v>896</v>
      </c>
      <c r="Z901">
        <v>7.3778260241738014</v>
      </c>
    </row>
    <row r="902" spans="1:26" x14ac:dyDescent="0.15">
      <c r="A902" s="59">
        <v>42217.75</v>
      </c>
      <c r="B902">
        <v>13.946033</v>
      </c>
      <c r="C902">
        <v>122.391617</v>
      </c>
      <c r="D902">
        <v>62.549294000000003</v>
      </c>
      <c r="E902">
        <v>26.594999000000001</v>
      </c>
      <c r="F902">
        <v>1260.3100589999999</v>
      </c>
      <c r="H902" s="50">
        <f t="shared" si="121"/>
        <v>-3.7138035249805704E-2</v>
      </c>
      <c r="I902" s="50">
        <f t="shared" si="122"/>
        <v>-1.3956333577959808E-2</v>
      </c>
      <c r="J902" s="50">
        <f t="shared" si="123"/>
        <v>1.2455728599043546E-4</v>
      </c>
      <c r="K902" s="50">
        <f t="shared" si="124"/>
        <v>-9.5156887208803879E-3</v>
      </c>
      <c r="L902" s="50">
        <f t="shared" si="125"/>
        <v>9.0472045135970881E-3</v>
      </c>
      <c r="P902" s="50">
        <f t="shared" si="120"/>
        <v>9.0472045135970881E-3</v>
      </c>
      <c r="Q902" s="51">
        <f t="shared" si="126"/>
        <v>95.119337674483717</v>
      </c>
      <c r="R902" s="51">
        <f t="shared" si="127"/>
        <v>61.45083609167613</v>
      </c>
      <c r="Y902">
        <v>897</v>
      </c>
      <c r="Z902">
        <v>9.2638746195056498</v>
      </c>
    </row>
    <row r="903" spans="1:26" x14ac:dyDescent="0.15">
      <c r="A903" s="59">
        <v>42220.75</v>
      </c>
      <c r="B903">
        <v>14.483938</v>
      </c>
      <c r="C903">
        <v>124.123932</v>
      </c>
      <c r="D903">
        <v>62.541504000000003</v>
      </c>
      <c r="E903">
        <v>26.8505</v>
      </c>
      <c r="F903">
        <v>1249.01001</v>
      </c>
      <c r="H903" s="50">
        <f t="shared" si="121"/>
        <v>9.8915972531723635E-3</v>
      </c>
      <c r="I903" s="50">
        <f t="shared" si="122"/>
        <v>3.0732489299630785E-3</v>
      </c>
      <c r="J903" s="50">
        <f t="shared" si="123"/>
        <v>6.2862901568806751E-3</v>
      </c>
      <c r="K903" s="50">
        <f t="shared" si="124"/>
        <v>1.425981188380619E-2</v>
      </c>
      <c r="L903" s="50">
        <f t="shared" si="125"/>
        <v>-2.7916999922494721E-2</v>
      </c>
      <c r="P903" s="50">
        <f t="shared" si="120"/>
        <v>-2.7916999922494721E-2</v>
      </c>
      <c r="Q903" s="51">
        <f t="shared" si="126"/>
        <v>92.4638911319974</v>
      </c>
      <c r="R903" s="51">
        <f t="shared" si="127"/>
        <v>62.058683013165698</v>
      </c>
      <c r="Y903">
        <v>898</v>
      </c>
      <c r="Z903">
        <v>8.2590626610707929</v>
      </c>
    </row>
    <row r="904" spans="1:26" x14ac:dyDescent="0.15">
      <c r="A904" s="59">
        <v>42221.75</v>
      </c>
      <c r="B904">
        <v>14.342072</v>
      </c>
      <c r="C904">
        <v>123.74363700000001</v>
      </c>
      <c r="D904">
        <v>62.150806000000003</v>
      </c>
      <c r="E904">
        <v>26.472999999999999</v>
      </c>
      <c r="F904">
        <v>1284.880005</v>
      </c>
      <c r="H904" s="50">
        <f t="shared" si="121"/>
        <v>2.1613986709967139E-2</v>
      </c>
      <c r="I904" s="50">
        <f t="shared" si="122"/>
        <v>8.1235637370281975E-3</v>
      </c>
      <c r="J904" s="50">
        <f t="shared" si="123"/>
        <v>7.0900325354729564E-3</v>
      </c>
      <c r="K904" s="50">
        <f t="shared" si="124"/>
        <v>1.3087864487089405E-2</v>
      </c>
      <c r="L904" s="50">
        <f t="shared" si="125"/>
        <v>-3.3431349896020533E-3</v>
      </c>
      <c r="P904" s="50">
        <f t="shared" si="120"/>
        <v>-3.3431349896020533E-3</v>
      </c>
      <c r="Q904" s="51">
        <f t="shared" si="126"/>
        <v>92.154771862279262</v>
      </c>
      <c r="R904" s="51">
        <f t="shared" si="127"/>
        <v>63.400018563050324</v>
      </c>
      <c r="Y904">
        <v>899</v>
      </c>
      <c r="Z904">
        <v>9.0296767491140013</v>
      </c>
    </row>
    <row r="905" spans="1:26" x14ac:dyDescent="0.15">
      <c r="A905" s="59">
        <v>42222.75</v>
      </c>
      <c r="B905">
        <v>14.038641</v>
      </c>
      <c r="C905">
        <v>122.746498</v>
      </c>
      <c r="D905">
        <v>61.713256999999999</v>
      </c>
      <c r="E905">
        <v>26.131001000000001</v>
      </c>
      <c r="F905">
        <v>1289.1899410000001</v>
      </c>
      <c r="H905" s="50">
        <f t="shared" si="121"/>
        <v>-3.2176324297474271E-3</v>
      </c>
      <c r="I905" s="50">
        <f t="shared" si="122"/>
        <v>-6.7693573187966524E-3</v>
      </c>
      <c r="J905" s="50">
        <f t="shared" si="123"/>
        <v>1.2666630159888605E-4</v>
      </c>
      <c r="K905" s="50">
        <f t="shared" si="124"/>
        <v>-2.6335876857408922E-3</v>
      </c>
      <c r="L905" s="50">
        <f t="shared" si="125"/>
        <v>1.8261230410724888E-2</v>
      </c>
      <c r="P905" s="50">
        <f t="shared" si="120"/>
        <v>1.8261230410724888E-2</v>
      </c>
      <c r="Q905" s="51">
        <f t="shared" si="126"/>
        <v>93.837631384704125</v>
      </c>
      <c r="R905" s="51">
        <f t="shared" si="127"/>
        <v>63.196020607275265</v>
      </c>
      <c r="Y905">
        <v>900</v>
      </c>
      <c r="Z905">
        <v>6.8016423104828441</v>
      </c>
    </row>
    <row r="906" spans="1:26" x14ac:dyDescent="0.15">
      <c r="A906" s="59">
        <v>42223.75</v>
      </c>
      <c r="B906">
        <v>14.083958000000001</v>
      </c>
      <c r="C906">
        <v>123.58307600000001</v>
      </c>
      <c r="D906">
        <v>61.705441</v>
      </c>
      <c r="E906">
        <v>26.200001</v>
      </c>
      <c r="F906">
        <v>1266.0699460000001</v>
      </c>
      <c r="H906" s="50">
        <f t="shared" si="121"/>
        <v>-6.2562157680739567E-3</v>
      </c>
      <c r="I906" s="50">
        <f t="shared" si="122"/>
        <v>2.4673158201563906E-3</v>
      </c>
      <c r="J906" s="50">
        <f t="shared" si="123"/>
        <v>1.2678958015102872E-3</v>
      </c>
      <c r="K906" s="50">
        <f t="shared" si="124"/>
        <v>-6.5596635407296593E-3</v>
      </c>
      <c r="L906" s="50">
        <f t="shared" si="125"/>
        <v>-2.3335288555376435E-2</v>
      </c>
      <c r="P906" s="50">
        <f t="shared" si="120"/>
        <v>-2.3335288555376435E-2</v>
      </c>
      <c r="Q906" s="51">
        <f t="shared" si="126"/>
        <v>91.647903178988997</v>
      </c>
      <c r="R906" s="51">
        <f t="shared" si="127"/>
        <v>62.800652666672498</v>
      </c>
      <c r="Y906">
        <v>901</v>
      </c>
      <c r="Z906">
        <v>5.8802237671529403</v>
      </c>
    </row>
    <row r="907" spans="1:26" x14ac:dyDescent="0.15">
      <c r="A907" s="59">
        <v>42224.75</v>
      </c>
      <c r="B907">
        <v>14.172625</v>
      </c>
      <c r="C907">
        <v>123.278908</v>
      </c>
      <c r="D907">
        <v>61.627304000000002</v>
      </c>
      <c r="E907">
        <v>26.372999</v>
      </c>
      <c r="F907">
        <v>1296.3199460000001</v>
      </c>
      <c r="H907" s="50">
        <f t="shared" si="121"/>
        <v>-8.9557167069747607E-3</v>
      </c>
      <c r="I907" s="50">
        <f t="shared" si="122"/>
        <v>-6.8264048979037708E-3</v>
      </c>
      <c r="J907" s="50">
        <f t="shared" si="123"/>
        <v>-1.6453565406267484E-3</v>
      </c>
      <c r="K907" s="50">
        <f t="shared" si="124"/>
        <v>2.9472343176588974E-3</v>
      </c>
      <c r="L907" s="50">
        <f t="shared" si="125"/>
        <v>-6.8948613154801199E-3</v>
      </c>
      <c r="P907" s="50">
        <f t="shared" si="120"/>
        <v>-6.8948613154801199E-3</v>
      </c>
      <c r="Q907" s="51">
        <f t="shared" si="126"/>
        <v>91.016003596715322</v>
      </c>
      <c r="R907" s="51">
        <f t="shared" si="127"/>
        <v>62.238227812376657</v>
      </c>
      <c r="Y907">
        <v>902</v>
      </c>
      <c r="Z907">
        <v>11.339486347923</v>
      </c>
    </row>
    <row r="908" spans="1:26" x14ac:dyDescent="0.15">
      <c r="A908" s="59">
        <v>42227.75</v>
      </c>
      <c r="B908">
        <v>14.300698000000001</v>
      </c>
      <c r="C908">
        <v>124.126244</v>
      </c>
      <c r="D908">
        <v>61.728870000000001</v>
      </c>
      <c r="E908">
        <v>26.295500000000001</v>
      </c>
      <c r="F908">
        <v>1305.3199460000001</v>
      </c>
      <c r="H908" s="50">
        <f t="shared" si="121"/>
        <v>6.5181184125549145E-3</v>
      </c>
      <c r="I908" s="50">
        <f t="shared" si="122"/>
        <v>8.398057961383933E-3</v>
      </c>
      <c r="J908" s="50">
        <f t="shared" si="123"/>
        <v>1.2669907592308265E-4</v>
      </c>
      <c r="K908" s="50">
        <f t="shared" si="124"/>
        <v>-7.0800135936260992E-3</v>
      </c>
      <c r="L908" s="50">
        <f t="shared" si="125"/>
        <v>1.219766004289775E-2</v>
      </c>
      <c r="P908" s="50">
        <f t="shared" si="120"/>
        <v>1.219766004289775E-2</v>
      </c>
      <c r="Q908" s="51">
        <f t="shared" si="126"/>
        <v>92.126185867051205</v>
      </c>
      <c r="R908" s="51">
        <f t="shared" si="127"/>
        <v>62.643903951045296</v>
      </c>
      <c r="Y908">
        <v>903</v>
      </c>
      <c r="Z908">
        <v>6.9703080947455032</v>
      </c>
    </row>
    <row r="909" spans="1:26" x14ac:dyDescent="0.15">
      <c r="A909" s="59">
        <v>42228.75</v>
      </c>
      <c r="B909">
        <v>14.208088</v>
      </c>
      <c r="C909">
        <v>123.092506</v>
      </c>
      <c r="D909">
        <v>61.721049999999998</v>
      </c>
      <c r="E909">
        <v>26.483000000000001</v>
      </c>
      <c r="F909">
        <v>1289.589966</v>
      </c>
      <c r="H909" s="50">
        <f t="shared" si="121"/>
        <v>-3.7305180667387477E-3</v>
      </c>
      <c r="I909" s="50">
        <f t="shared" si="122"/>
        <v>-5.6128051908394616E-3</v>
      </c>
      <c r="J909" s="50">
        <f t="shared" si="123"/>
        <v>-4.5368605891139124E-3</v>
      </c>
      <c r="K909" s="50">
        <f t="shared" si="124"/>
        <v>-3.4993979530403359E-3</v>
      </c>
      <c r="L909" s="50">
        <f t="shared" si="125"/>
        <v>2.9241891452713715E-3</v>
      </c>
      <c r="P909" s="50">
        <f t="shared" si="120"/>
        <v>2.9241891452713715E-3</v>
      </c>
      <c r="Q909" s="51">
        <f t="shared" si="126"/>
        <v>92.395580259758887</v>
      </c>
      <c r="R909" s="51">
        <f t="shared" si="127"/>
        <v>62.410209735584871</v>
      </c>
      <c r="Y909">
        <v>904</v>
      </c>
      <c r="Z909">
        <v>7.2616017744971755</v>
      </c>
    </row>
    <row r="910" spans="1:26" x14ac:dyDescent="0.15">
      <c r="A910" s="59">
        <v>42229.75</v>
      </c>
      <c r="B910">
        <v>14.261290000000001</v>
      </c>
      <c r="C910">
        <v>123.7873</v>
      </c>
      <c r="D910">
        <v>62.002346000000003</v>
      </c>
      <c r="E910">
        <v>26.576000000000001</v>
      </c>
      <c r="F910">
        <v>1285.829956</v>
      </c>
      <c r="H910" s="50">
        <f t="shared" si="121"/>
        <v>6.5356792386141319E-3</v>
      </c>
      <c r="I910" s="50">
        <f t="shared" si="122"/>
        <v>0</v>
      </c>
      <c r="J910" s="50">
        <f t="shared" si="123"/>
        <v>-2.4060412261664062E-3</v>
      </c>
      <c r="K910" s="50">
        <f t="shared" si="124"/>
        <v>-6.9130451029482728E-3</v>
      </c>
      <c r="L910" s="50">
        <f t="shared" si="125"/>
        <v>-5.4914788143673931E-3</v>
      </c>
      <c r="P910" s="50">
        <f t="shared" si="120"/>
        <v>-5.4914788143673931E-3</v>
      </c>
      <c r="Q910" s="51">
        <f t="shared" si="126"/>
        <v>91.888191888221243</v>
      </c>
      <c r="R910" s="51">
        <f t="shared" si="127"/>
        <v>62.818102847631295</v>
      </c>
      <c r="Y910">
        <v>905</v>
      </c>
      <c r="Z910">
        <v>8.2630307465751045</v>
      </c>
    </row>
    <row r="911" spans="1:26" x14ac:dyDescent="0.15">
      <c r="A911" s="59">
        <v>42230.75</v>
      </c>
      <c r="B911">
        <v>14.168688</v>
      </c>
      <c r="C911">
        <v>123.7873</v>
      </c>
      <c r="D911">
        <v>62.151885999999998</v>
      </c>
      <c r="E911">
        <v>26.760999999999999</v>
      </c>
      <c r="F911">
        <v>1292.9300539999999</v>
      </c>
      <c r="H911" s="50">
        <f t="shared" si="121"/>
        <v>3.4974417621409952E-2</v>
      </c>
      <c r="I911" s="50">
        <f t="shared" si="122"/>
        <v>3.1587182115375614E-3</v>
      </c>
      <c r="J911" s="50">
        <f t="shared" si="123"/>
        <v>-1.6438228782913809E-2</v>
      </c>
      <c r="K911" s="50">
        <f t="shared" si="124"/>
        <v>3.7385519695915052E-4</v>
      </c>
      <c r="L911" s="50">
        <f t="shared" si="125"/>
        <v>-4.0593877668387984E-3</v>
      </c>
      <c r="P911" s="50">
        <f t="shared" si="120"/>
        <v>-4.0593877668387984E-3</v>
      </c>
      <c r="Q911" s="51">
        <f t="shared" si="126"/>
        <v>91.51518208615326</v>
      </c>
      <c r="R911" s="51">
        <f t="shared" si="127"/>
        <v>65.015129410809038</v>
      </c>
      <c r="Y911">
        <v>906</v>
      </c>
      <c r="Z911">
        <v>6.7338158507670629</v>
      </c>
    </row>
    <row r="912" spans="1:26" x14ac:dyDescent="0.15">
      <c r="A912" s="59">
        <v>42231.75</v>
      </c>
      <c r="B912">
        <v>13.689892</v>
      </c>
      <c r="C912">
        <v>123.397522</v>
      </c>
      <c r="D912">
        <v>63.190627999999997</v>
      </c>
      <c r="E912">
        <v>26.750999</v>
      </c>
      <c r="F912">
        <v>1298.1999510000001</v>
      </c>
      <c r="H912" s="50">
        <f t="shared" si="121"/>
        <v>1.3270844104201186E-2</v>
      </c>
      <c r="I912" s="50">
        <f t="shared" si="122"/>
        <v>3.1687273282566064E-3</v>
      </c>
      <c r="J912" s="50">
        <f t="shared" si="123"/>
        <v>-7.0483467424996464E-3</v>
      </c>
      <c r="K912" s="50">
        <f t="shared" si="124"/>
        <v>3.94051640021014E-3</v>
      </c>
      <c r="L912" s="50">
        <f t="shared" si="125"/>
        <v>1.5329247120211182E-2</v>
      </c>
      <c r="P912" s="50">
        <f t="shared" si="120"/>
        <v>1.5329247120211182E-2</v>
      </c>
      <c r="Q912" s="51">
        <f t="shared" si="126"/>
        <v>92.918040927603016</v>
      </c>
      <c r="R912" s="51">
        <f t="shared" si="127"/>
        <v>65.877935057634346</v>
      </c>
      <c r="Y912">
        <v>907</v>
      </c>
      <c r="Z912">
        <v>8.5887250724372777</v>
      </c>
    </row>
    <row r="913" spans="1:26" x14ac:dyDescent="0.15">
      <c r="A913" s="59">
        <v>42234.75</v>
      </c>
      <c r="B913">
        <v>13.510595</v>
      </c>
      <c r="C913">
        <v>123.007744</v>
      </c>
      <c r="D913">
        <v>63.639178999999999</v>
      </c>
      <c r="E913">
        <v>26.646000000000001</v>
      </c>
      <c r="F913">
        <v>1278.599976</v>
      </c>
      <c r="H913" s="50">
        <f t="shared" si="121"/>
        <v>2.0460567849548464E-3</v>
      </c>
      <c r="I913" s="50">
        <f t="shared" si="122"/>
        <v>1.0159445518805014E-2</v>
      </c>
      <c r="J913" s="50">
        <f t="shared" si="123"/>
        <v>2.6037785888932542E-3</v>
      </c>
      <c r="K913" s="50">
        <f t="shared" si="124"/>
        <v>3.3231222614292885E-2</v>
      </c>
      <c r="L913" s="50">
        <f t="shared" si="125"/>
        <v>9.4024864447864748E-3</v>
      </c>
      <c r="P913" s="50">
        <f t="shared" si="120"/>
        <v>9.4024864447864748E-3</v>
      </c>
      <c r="Q913" s="51">
        <f t="shared" si="126"/>
        <v>93.791701547900928</v>
      </c>
      <c r="R913" s="51">
        <f t="shared" si="127"/>
        <v>66.012725053637837</v>
      </c>
      <c r="Y913">
        <v>908</v>
      </c>
      <c r="Z913">
        <v>5.9693280778544295</v>
      </c>
    </row>
    <row r="914" spans="1:26" x14ac:dyDescent="0.15">
      <c r="A914" s="59">
        <v>42235.75</v>
      </c>
      <c r="B914">
        <v>13.483008</v>
      </c>
      <c r="C914">
        <v>121.770622</v>
      </c>
      <c r="D914">
        <v>63.473906999999997</v>
      </c>
      <c r="E914">
        <v>25.789000000000001</v>
      </c>
      <c r="F914">
        <v>1266.6899410000001</v>
      </c>
      <c r="H914" s="50">
        <f t="shared" si="121"/>
        <v>2.8404166029778029E-2</v>
      </c>
      <c r="I914" s="50">
        <f t="shared" si="122"/>
        <v>3.3959033711333152E-2</v>
      </c>
      <c r="J914" s="50">
        <f t="shared" si="123"/>
        <v>2.8826271600516703E-2</v>
      </c>
      <c r="K914" s="50">
        <f t="shared" si="124"/>
        <v>4.3096691127740498E-2</v>
      </c>
      <c r="L914" s="50">
        <f t="shared" si="125"/>
        <v>-6.1591615483175014E-3</v>
      </c>
      <c r="P914" s="50">
        <f t="shared" si="120"/>
        <v>-6.1591615483175014E-3</v>
      </c>
      <c r="Q914" s="51">
        <f t="shared" si="126"/>
        <v>93.214023306175818</v>
      </c>
      <c r="R914" s="51">
        <f t="shared" si="127"/>
        <v>67.887761456139458</v>
      </c>
      <c r="Y914">
        <v>909</v>
      </c>
      <c r="Z914">
        <v>8.7853065986483525</v>
      </c>
    </row>
    <row r="915" spans="1:26" x14ac:dyDescent="0.15">
      <c r="A915" s="59">
        <v>42236.75</v>
      </c>
      <c r="B915">
        <v>13.110612</v>
      </c>
      <c r="C915">
        <v>117.771225</v>
      </c>
      <c r="D915">
        <v>61.695456999999998</v>
      </c>
      <c r="E915">
        <v>24.723499</v>
      </c>
      <c r="F915">
        <v>1274.540039</v>
      </c>
      <c r="H915" s="50">
        <f t="shared" si="121"/>
        <v>4.0500400982675454E-2</v>
      </c>
      <c r="I915" s="50">
        <f t="shared" si="122"/>
        <v>4.5273699501821404E-2</v>
      </c>
      <c r="J915" s="50">
        <f t="shared" si="123"/>
        <v>4.1445528177100614E-2</v>
      </c>
      <c r="K915" s="50">
        <f t="shared" si="124"/>
        <v>6.711690152073288E-2</v>
      </c>
      <c r="L915" s="50">
        <f t="shared" si="125"/>
        <v>-2.4887550262764173E-3</v>
      </c>
      <c r="P915" s="50">
        <f t="shared" si="120"/>
        <v>-2.4887550262764173E-3</v>
      </c>
      <c r="Q915" s="51">
        <f t="shared" si="126"/>
        <v>92.982036437153127</v>
      </c>
      <c r="R915" s="51">
        <f t="shared" si="127"/>
        <v>70.637243016929332</v>
      </c>
      <c r="Y915">
        <v>910</v>
      </c>
      <c r="Z915">
        <v>12.317504990977859</v>
      </c>
    </row>
    <row r="916" spans="1:26" x14ac:dyDescent="0.15">
      <c r="A916" s="59">
        <v>42237.75</v>
      </c>
      <c r="B916">
        <v>12.600294999999999</v>
      </c>
      <c r="C916">
        <v>112.670227</v>
      </c>
      <c r="D916">
        <v>59.240214999999999</v>
      </c>
      <c r="E916">
        <v>23.168500999999999</v>
      </c>
      <c r="F916">
        <v>1277.719971</v>
      </c>
      <c r="H916" s="50">
        <f t="shared" si="121"/>
        <v>1.3470639839708018E-2</v>
      </c>
      <c r="I916" s="50">
        <f t="shared" si="122"/>
        <v>1.9588090734652037E-3</v>
      </c>
      <c r="J916" s="50">
        <f t="shared" si="123"/>
        <v>1.8122549990383367E-2</v>
      </c>
      <c r="K916" s="50">
        <f t="shared" si="124"/>
        <v>-6.4326604870528397E-3</v>
      </c>
      <c r="L916" s="50">
        <f t="shared" si="125"/>
        <v>-1.1205680660175221E-2</v>
      </c>
      <c r="P916" s="50">
        <f t="shared" si="120"/>
        <v>-1.1205680660175221E-2</v>
      </c>
      <c r="Q916" s="51">
        <f t="shared" si="126"/>
        <v>91.940109429705615</v>
      </c>
      <c r="R916" s="51">
        <f t="shared" si="127"/>
        <v>71.588771876880315</v>
      </c>
      <c r="Y916">
        <v>911</v>
      </c>
      <c r="Z916">
        <v>5.2936404087736797</v>
      </c>
    </row>
    <row r="917" spans="1:26" x14ac:dyDescent="0.15">
      <c r="A917" s="59">
        <v>42238.75</v>
      </c>
      <c r="B917">
        <v>12.432817</v>
      </c>
      <c r="C917">
        <v>112.44995900000001</v>
      </c>
      <c r="D917">
        <v>58.185741</v>
      </c>
      <c r="E917">
        <v>23.318501000000001</v>
      </c>
      <c r="F917">
        <v>1292.1999510000001</v>
      </c>
      <c r="H917" s="50">
        <f t="shared" si="121"/>
        <v>-2.6685173464039577E-2</v>
      </c>
      <c r="I917" s="50">
        <f t="shared" si="122"/>
        <v>-3.9446828117732612E-2</v>
      </c>
      <c r="J917" s="50">
        <f t="shared" si="123"/>
        <v>-3.7740738291933709E-2</v>
      </c>
      <c r="K917" s="50">
        <f t="shared" si="124"/>
        <v>-6.8694170976695806E-2</v>
      </c>
      <c r="L917" s="50">
        <f t="shared" si="125"/>
        <v>2.0018301980220327E-2</v>
      </c>
      <c r="P917" s="50">
        <f t="shared" si="120"/>
        <v>2.0018301980220327E-2</v>
      </c>
      <c r="Q917" s="51">
        <f t="shared" si="126"/>
        <v>93.780594304363959</v>
      </c>
      <c r="R917" s="51">
        <f t="shared" si="127"/>
        <v>69.678413081268204</v>
      </c>
      <c r="Y917">
        <v>912</v>
      </c>
      <c r="Z917">
        <v>8.6224201652531249</v>
      </c>
    </row>
    <row r="918" spans="1:26" x14ac:dyDescent="0.15">
      <c r="A918" s="59">
        <v>42241.75</v>
      </c>
      <c r="B918">
        <v>12.773685</v>
      </c>
      <c r="C918">
        <v>117.06791699999999</v>
      </c>
      <c r="D918">
        <v>60.467841999999997</v>
      </c>
      <c r="E918">
        <v>25.038499999999999</v>
      </c>
      <c r="F918">
        <v>1266.839966</v>
      </c>
      <c r="H918" s="50">
        <f t="shared" si="121"/>
        <v>-1.891662037242909E-2</v>
      </c>
      <c r="I918" s="50">
        <f t="shared" si="122"/>
        <v>-1.4620855813352656E-2</v>
      </c>
      <c r="J918" s="50">
        <f t="shared" si="123"/>
        <v>-1.2973519878365026E-2</v>
      </c>
      <c r="K918" s="50">
        <f t="shared" si="124"/>
        <v>-3.3952619404957099E-2</v>
      </c>
      <c r="L918" s="50">
        <f t="shared" si="125"/>
        <v>-3.6728330593323146E-3</v>
      </c>
      <c r="P918" s="50">
        <f t="shared" si="120"/>
        <v>-3.6728330593323146E-3</v>
      </c>
      <c r="Q918" s="51">
        <f t="shared" si="126"/>
        <v>93.436153837279065</v>
      </c>
      <c r="R918" s="51">
        <f t="shared" si="127"/>
        <v>68.360332992856556</v>
      </c>
      <c r="Y918">
        <v>913</v>
      </c>
      <c r="Z918">
        <v>9.6661156235682455</v>
      </c>
    </row>
    <row r="919" spans="1:26" x14ac:dyDescent="0.15">
      <c r="A919" s="59">
        <v>42242.75</v>
      </c>
      <c r="B919">
        <v>13.019978999999999</v>
      </c>
      <c r="C919">
        <v>118.804947</v>
      </c>
      <c r="D919">
        <v>61.262633999999998</v>
      </c>
      <c r="E919">
        <v>25.918500999999999</v>
      </c>
      <c r="F919">
        <v>1271.51001</v>
      </c>
      <c r="H919" s="50">
        <f t="shared" si="121"/>
        <v>1.7554802487370604E-2</v>
      </c>
      <c r="I919" s="50">
        <f t="shared" si="122"/>
        <v>1.857989709930106E-3</v>
      </c>
      <c r="J919" s="50">
        <f t="shared" si="123"/>
        <v>-2.3069885358016286E-3</v>
      </c>
      <c r="K919" s="50">
        <f t="shared" si="124"/>
        <v>6.9504452404562495E-4</v>
      </c>
      <c r="L919" s="50">
        <f t="shared" si="125"/>
        <v>-7.9194355216978159E-3</v>
      </c>
      <c r="P919" s="50">
        <f t="shared" si="120"/>
        <v>-7.9194355216978159E-3</v>
      </c>
      <c r="Q919" s="51">
        <f t="shared" si="126"/>
        <v>92.696192241569292</v>
      </c>
      <c r="R919" s="51">
        <f t="shared" si="127"/>
        <v>69.560385136517041</v>
      </c>
      <c r="Y919">
        <v>914</v>
      </c>
      <c r="Z919">
        <v>6.3774039531544791</v>
      </c>
    </row>
    <row r="920" spans="1:26" x14ac:dyDescent="0.15">
      <c r="A920" s="59">
        <v>42243.75</v>
      </c>
      <c r="B920">
        <v>12.795358999999999</v>
      </c>
      <c r="C920">
        <v>118.58461800000001</v>
      </c>
      <c r="D920">
        <v>61.404293000000003</v>
      </c>
      <c r="E920">
        <v>25.900499</v>
      </c>
      <c r="F920">
        <v>1281.660034</v>
      </c>
      <c r="H920" s="50">
        <f t="shared" si="121"/>
        <v>3.2440843582678641E-3</v>
      </c>
      <c r="I920" s="50">
        <f t="shared" si="122"/>
        <v>-7.143964962489978E-4</v>
      </c>
      <c r="J920" s="50">
        <f t="shared" si="123"/>
        <v>4.1179037845289123E-3</v>
      </c>
      <c r="K920" s="50">
        <f t="shared" si="124"/>
        <v>9.9825689725839533E-3</v>
      </c>
      <c r="L920" s="50">
        <f t="shared" si="125"/>
        <v>-1.4623134983509121E-2</v>
      </c>
      <c r="P920" s="50">
        <f t="shared" si="120"/>
        <v>-1.4623134983509121E-2</v>
      </c>
      <c r="Q920" s="51">
        <f t="shared" si="126"/>
        <v>91.340683309963524</v>
      </c>
      <c r="R920" s="51">
        <f t="shared" si="127"/>
        <v>69.786044893893518</v>
      </c>
      <c r="Y920">
        <v>915</v>
      </c>
      <c r="Z920">
        <v>7.1575681745905486</v>
      </c>
    </row>
    <row r="921" spans="1:26" x14ac:dyDescent="0.15">
      <c r="A921" s="59">
        <v>42244.75</v>
      </c>
      <c r="B921">
        <v>12.753984000000001</v>
      </c>
      <c r="C921">
        <v>118.66939499999999</v>
      </c>
      <c r="D921">
        <v>61.152473000000001</v>
      </c>
      <c r="E921">
        <v>25.644501000000002</v>
      </c>
      <c r="F921">
        <v>1300.6800539999999</v>
      </c>
      <c r="H921" s="50">
        <f t="shared" si="121"/>
        <v>1.4258968934562452E-2</v>
      </c>
      <c r="I921" s="50">
        <f t="shared" si="122"/>
        <v>1.2653877432381645E-2</v>
      </c>
      <c r="J921" s="50">
        <f t="shared" si="123"/>
        <v>3.0773331912951937E-2</v>
      </c>
      <c r="K921" s="50">
        <f t="shared" si="124"/>
        <v>3.2927901075442058E-2</v>
      </c>
      <c r="L921" s="50">
        <f t="shared" si="125"/>
        <v>1.3914625174219028E-2</v>
      </c>
      <c r="P921" s="50">
        <f t="shared" si="120"/>
        <v>1.3914625174219028E-2</v>
      </c>
      <c r="Q921" s="51">
        <f t="shared" si="126"/>
        <v>92.61165468137871</v>
      </c>
      <c r="R921" s="51">
        <f t="shared" si="127"/>
        <v>70.781121940101528</v>
      </c>
      <c r="Y921">
        <v>916</v>
      </c>
      <c r="Z921">
        <v>9.9920081153216334</v>
      </c>
    </row>
    <row r="922" spans="1:26" x14ac:dyDescent="0.15">
      <c r="A922" s="59">
        <v>42245.75</v>
      </c>
      <c r="B922">
        <v>12.574681999999999</v>
      </c>
      <c r="C922">
        <v>117.186531</v>
      </c>
      <c r="D922">
        <v>59.326790000000003</v>
      </c>
      <c r="E922">
        <v>24.827000000000002</v>
      </c>
      <c r="F922">
        <v>1282.829956</v>
      </c>
      <c r="H922" s="50">
        <f t="shared" si="121"/>
        <v>-9.6212120794455808E-3</v>
      </c>
      <c r="I922" s="50">
        <f t="shared" si="122"/>
        <v>-1.509773215064345E-2</v>
      </c>
      <c r="J922" s="50">
        <f t="shared" si="123"/>
        <v>-2.1544180173594961E-2</v>
      </c>
      <c r="K922" s="50">
        <f t="shared" si="124"/>
        <v>-2.7440995005386274E-2</v>
      </c>
      <c r="L922" s="50">
        <f t="shared" si="125"/>
        <v>4.1093318467811026E-3</v>
      </c>
      <c r="P922" s="50">
        <f t="shared" si="120"/>
        <v>4.1093318467811026E-3</v>
      </c>
      <c r="Q922" s="51">
        <f t="shared" si="126"/>
        <v>92.992226703343988</v>
      </c>
      <c r="R922" s="51">
        <f t="shared" si="127"/>
        <v>70.100121754694712</v>
      </c>
      <c r="Y922">
        <v>917</v>
      </c>
      <c r="Z922">
        <v>7.2670612750239671</v>
      </c>
    </row>
    <row r="923" spans="1:26" x14ac:dyDescent="0.15">
      <c r="A923" s="59">
        <v>42249.75</v>
      </c>
      <c r="B923">
        <v>12.696840999999999</v>
      </c>
      <c r="C923">
        <v>118.98290299999999</v>
      </c>
      <c r="D923">
        <v>60.63308</v>
      </c>
      <c r="E923">
        <v>25.5275</v>
      </c>
      <c r="F923">
        <v>1277.579956</v>
      </c>
      <c r="H923" s="50">
        <f t="shared" si="121"/>
        <v>-6.4758677892892682E-3</v>
      </c>
      <c r="I923" s="50">
        <f t="shared" si="122"/>
        <v>-4.2686225853635174E-4</v>
      </c>
      <c r="J923" s="50">
        <f t="shared" si="123"/>
        <v>-5.1644486444655706E-3</v>
      </c>
      <c r="K923" s="50">
        <f t="shared" si="124"/>
        <v>1.1550958947535236E-2</v>
      </c>
      <c r="L923" s="50">
        <f t="shared" si="125"/>
        <v>2.0392288826370196E-3</v>
      </c>
      <c r="P923" s="50">
        <f t="shared" si="120"/>
        <v>2.0392288826370196E-3</v>
      </c>
      <c r="Q923" s="51">
        <f t="shared" si="126"/>
        <v>93.181859137898172</v>
      </c>
      <c r="R923" s="51">
        <f t="shared" si="127"/>
        <v>69.646162634198234</v>
      </c>
      <c r="Y923">
        <v>918</v>
      </c>
      <c r="Z923">
        <v>10.846828156880703</v>
      </c>
    </row>
    <row r="924" spans="1:26" x14ac:dyDescent="0.15">
      <c r="A924" s="59">
        <v>42250.75</v>
      </c>
      <c r="B924">
        <v>12.7796</v>
      </c>
      <c r="C924">
        <v>119.033714</v>
      </c>
      <c r="D924">
        <v>60.947842000000001</v>
      </c>
      <c r="E924">
        <v>25.236000000000001</v>
      </c>
      <c r="F924">
        <v>1274.9799800000001</v>
      </c>
      <c r="H924" s="50">
        <f t="shared" si="121"/>
        <v>1.5182537996063823E-2</v>
      </c>
      <c r="I924" s="50">
        <f t="shared" si="122"/>
        <v>1.4442256587454072E-2</v>
      </c>
      <c r="J924" s="50">
        <f t="shared" si="123"/>
        <v>1.3477954801905483E-2</v>
      </c>
      <c r="K924" s="50">
        <f t="shared" si="124"/>
        <v>1.1462885312108819E-2</v>
      </c>
      <c r="L924" s="50">
        <f t="shared" si="125"/>
        <v>3.0845003239879508E-2</v>
      </c>
      <c r="P924" s="50">
        <f t="shared" si="120"/>
        <v>3.0845003239879508E-2</v>
      </c>
      <c r="Q924" s="51">
        <f t="shared" si="126"/>
        <v>96.056053884904642</v>
      </c>
      <c r="R924" s="51">
        <f t="shared" si="127"/>
        <v>70.703568144671976</v>
      </c>
      <c r="Y924">
        <v>919</v>
      </c>
      <c r="Z924">
        <v>7.5307591196273416</v>
      </c>
    </row>
    <row r="925" spans="1:26" x14ac:dyDescent="0.15">
      <c r="A925" s="59">
        <v>42251.75</v>
      </c>
      <c r="B925">
        <v>12.588475000000001</v>
      </c>
      <c r="C925">
        <v>117.339073</v>
      </c>
      <c r="D925">
        <v>60.137314000000003</v>
      </c>
      <c r="E925">
        <v>24.950001</v>
      </c>
      <c r="F925">
        <v>1236.829956</v>
      </c>
      <c r="H925" s="50">
        <f t="shared" si="121"/>
        <v>-3.7511622556701721E-2</v>
      </c>
      <c r="I925" s="50">
        <f t="shared" si="122"/>
        <v>-2.0858319173954375E-2</v>
      </c>
      <c r="J925" s="50">
        <f t="shared" si="123"/>
        <v>-2.50061900442816E-2</v>
      </c>
      <c r="K925" s="50">
        <f t="shared" si="124"/>
        <v>-3.582331662003644E-2</v>
      </c>
      <c r="L925" s="50">
        <f t="shared" si="125"/>
        <v>-4.41122001733697E-3</v>
      </c>
      <c r="P925" s="50">
        <f t="shared" si="120"/>
        <v>-4.41122001733697E-3</v>
      </c>
      <c r="Q925" s="51">
        <f t="shared" si="126"/>
        <v>95.63232949722115</v>
      </c>
      <c r="R925" s="51">
        <f t="shared" si="127"/>
        <v>68.05136258301701</v>
      </c>
      <c r="Y925">
        <v>920</v>
      </c>
      <c r="Z925">
        <v>6.614715529329624</v>
      </c>
    </row>
    <row r="926" spans="1:26" x14ac:dyDescent="0.15">
      <c r="A926" s="59">
        <v>42252.75</v>
      </c>
      <c r="B926">
        <v>13.079093</v>
      </c>
      <c r="C926">
        <v>119.838707</v>
      </c>
      <c r="D926">
        <v>61.679687999999999</v>
      </c>
      <c r="E926">
        <v>25.877001</v>
      </c>
      <c r="F926">
        <v>1242.3100589999999</v>
      </c>
      <c r="H926" s="50">
        <f t="shared" si="121"/>
        <v>1.9349181467414454E-2</v>
      </c>
      <c r="I926" s="50">
        <f t="shared" si="122"/>
        <v>1.2528801913889305E-2</v>
      </c>
      <c r="J926" s="50">
        <f t="shared" si="123"/>
        <v>1.5810792886165919E-2</v>
      </c>
      <c r="K926" s="50">
        <f t="shared" si="124"/>
        <v>1.2575596355123872E-3</v>
      </c>
      <c r="L926" s="50">
        <f t="shared" si="125"/>
        <v>-2.0097949357685455E-2</v>
      </c>
      <c r="P926" s="50">
        <f t="shared" si="120"/>
        <v>-2.0097949357685455E-2</v>
      </c>
      <c r="Q926" s="51">
        <f t="shared" si="126"/>
        <v>93.710315782028502</v>
      </c>
      <c r="R926" s="51">
        <f t="shared" si="127"/>
        <v>69.368100746740623</v>
      </c>
      <c r="Y926">
        <v>921</v>
      </c>
      <c r="Z926">
        <v>7.0721298428740491</v>
      </c>
    </row>
    <row r="927" spans="1:26" x14ac:dyDescent="0.15">
      <c r="A927" s="59">
        <v>42255.75</v>
      </c>
      <c r="B927">
        <v>12.830826999999999</v>
      </c>
      <c r="C927">
        <v>118.35585</v>
      </c>
      <c r="D927">
        <v>60.719662</v>
      </c>
      <c r="E927">
        <v>25.8445</v>
      </c>
      <c r="F927">
        <v>1267.790039</v>
      </c>
      <c r="H927" s="50">
        <f t="shared" si="121"/>
        <v>1.5595871769932546E-2</v>
      </c>
      <c r="I927" s="50">
        <f t="shared" si="122"/>
        <v>-2.3568838524332526E-3</v>
      </c>
      <c r="J927" s="50">
        <f t="shared" si="123"/>
        <v>1.1678377856365512E-3</v>
      </c>
      <c r="K927" s="50">
        <f t="shared" si="124"/>
        <v>-1.0244332107843073E-2</v>
      </c>
      <c r="L927" s="50">
        <f t="shared" si="125"/>
        <v>3.5344773539254297E-2</v>
      </c>
      <c r="P927" s="50">
        <f t="shared" si="120"/>
        <v>3.5344773539254297E-2</v>
      </c>
      <c r="Q927" s="51">
        <f t="shared" si="126"/>
        <v>97.022485671636304</v>
      </c>
      <c r="R927" s="51">
        <f t="shared" si="127"/>
        <v>70.449956750910545</v>
      </c>
      <c r="Y927">
        <v>922</v>
      </c>
      <c r="Z927">
        <v>7.9779431599864106</v>
      </c>
    </row>
    <row r="928" spans="1:26" x14ac:dyDescent="0.15">
      <c r="A928" s="59">
        <v>42256.75</v>
      </c>
      <c r="B928">
        <v>12.633792</v>
      </c>
      <c r="C928">
        <v>118.63545999999999</v>
      </c>
      <c r="D928">
        <v>60.648834000000001</v>
      </c>
      <c r="E928">
        <v>26.111999999999998</v>
      </c>
      <c r="F928">
        <v>1224.51001</v>
      </c>
      <c r="H928" s="50">
        <f t="shared" si="121"/>
        <v>-8.1983171280392755E-3</v>
      </c>
      <c r="I928" s="50">
        <f t="shared" si="122"/>
        <v>-7.3736867937804623E-3</v>
      </c>
      <c r="J928" s="50">
        <f t="shared" si="123"/>
        <v>-1.040047488636925E-2</v>
      </c>
      <c r="K928" s="50">
        <f t="shared" si="124"/>
        <v>-1.3599274705349161E-2</v>
      </c>
      <c r="L928" s="50">
        <f t="shared" si="125"/>
        <v>-6.1118378962033175E-3</v>
      </c>
      <c r="P928" s="50">
        <f t="shared" si="120"/>
        <v>-6.1118378962033175E-3</v>
      </c>
      <c r="Q928" s="51">
        <f t="shared" si="126"/>
        <v>96.429499966924553</v>
      </c>
      <c r="R928" s="51">
        <f t="shared" si="127"/>
        <v>69.872385663809922</v>
      </c>
      <c r="Y928">
        <v>923</v>
      </c>
      <c r="Z928">
        <v>7.9622050651482299</v>
      </c>
    </row>
    <row r="929" spans="1:26" x14ac:dyDescent="0.15">
      <c r="A929" s="59">
        <v>42257.75</v>
      </c>
      <c r="B929">
        <v>12.738224000000001</v>
      </c>
      <c r="C929">
        <v>119.516739</v>
      </c>
      <c r="D929">
        <v>61.286239999999999</v>
      </c>
      <c r="E929">
        <v>26.472000000000001</v>
      </c>
      <c r="F929">
        <v>1232.040039</v>
      </c>
      <c r="H929" s="50">
        <f t="shared" si="121"/>
        <v>5.7564291521484002E-3</v>
      </c>
      <c r="I929" s="50">
        <f t="shared" si="122"/>
        <v>-7.081353281109846E-4</v>
      </c>
      <c r="J929" s="50">
        <f t="shared" si="123"/>
        <v>9.4620679963250843E-3</v>
      </c>
      <c r="K929" s="50">
        <f t="shared" si="124"/>
        <v>1.5458974260616144E-2</v>
      </c>
      <c r="L929" s="50">
        <f t="shared" si="125"/>
        <v>-1.3618357417797889E-2</v>
      </c>
      <c r="P929" s="50">
        <f t="shared" si="120"/>
        <v>-1.3618357417797889E-2</v>
      </c>
      <c r="Q929" s="51">
        <f t="shared" si="126"/>
        <v>95.116288570755444</v>
      </c>
      <c r="R929" s="51">
        <f t="shared" si="127"/>
        <v>70.274601101575229</v>
      </c>
      <c r="Y929">
        <v>924</v>
      </c>
      <c r="Z929">
        <v>7.9839314307663045</v>
      </c>
    </row>
    <row r="930" spans="1:26" x14ac:dyDescent="0.15">
      <c r="A930" s="59">
        <v>42258.75</v>
      </c>
      <c r="B930">
        <v>12.665317</v>
      </c>
      <c r="C930">
        <v>119.601433</v>
      </c>
      <c r="D930">
        <v>60.711781000000002</v>
      </c>
      <c r="E930">
        <v>26.068999999999999</v>
      </c>
      <c r="F930">
        <v>1249.0500489999999</v>
      </c>
      <c r="H930" s="50">
        <f t="shared" si="121"/>
        <v>-6.2186355803794447E-4</v>
      </c>
      <c r="I930" s="50">
        <f t="shared" si="122"/>
        <v>-8.9872264126995127E-3</v>
      </c>
      <c r="J930" s="50">
        <f t="shared" si="123"/>
        <v>-8.6094784963644169E-3</v>
      </c>
      <c r="K930" s="50">
        <f t="shared" si="124"/>
        <v>-1.8952083772039695E-3</v>
      </c>
      <c r="L930" s="50">
        <f t="shared" si="125"/>
        <v>-2.1170425051811087E-3</v>
      </c>
      <c r="P930" s="50">
        <f t="shared" si="120"/>
        <v>-2.1170425051811087E-3</v>
      </c>
      <c r="Q930" s="51">
        <f t="shared" si="126"/>
        <v>94.91492334491609</v>
      </c>
      <c r="R930" s="51">
        <f t="shared" si="127"/>
        <v>70.230899888094513</v>
      </c>
      <c r="Y930">
        <v>925</v>
      </c>
      <c r="Z930">
        <v>10.100598778079023</v>
      </c>
    </row>
    <row r="931" spans="1:26" x14ac:dyDescent="0.15">
      <c r="A931" s="59">
        <v>42259.75</v>
      </c>
      <c r="B931">
        <v>12.673197999999999</v>
      </c>
      <c r="C931">
        <v>120.686066</v>
      </c>
      <c r="D931">
        <v>61.239016999999997</v>
      </c>
      <c r="E931">
        <v>26.118500000000001</v>
      </c>
      <c r="F931">
        <v>1251.6999510000001</v>
      </c>
      <c r="H931" s="50">
        <f t="shared" si="121"/>
        <v>-5.7196314386650602E-3</v>
      </c>
      <c r="I931" s="50">
        <f t="shared" si="122"/>
        <v>-8.2160583937767335E-3</v>
      </c>
      <c r="J931" s="50">
        <f t="shared" si="123"/>
        <v>-8.6627495697999372E-3</v>
      </c>
      <c r="K931" s="50">
        <f t="shared" si="124"/>
        <v>-9.5185350317046283E-3</v>
      </c>
      <c r="L931" s="50">
        <f t="shared" si="125"/>
        <v>4.9467596565701544E-2</v>
      </c>
      <c r="P931" s="50">
        <f t="shared" si="120"/>
        <v>4.9467596565701544E-2</v>
      </c>
      <c r="Q931" s="51">
        <f t="shared" si="126"/>
        <v>99.610136481006904</v>
      </c>
      <c r="R931" s="51">
        <f t="shared" si="127"/>
        <v>69.829205025128829</v>
      </c>
      <c r="Y931">
        <v>926</v>
      </c>
      <c r="Z931">
        <v>6.8262369499444793</v>
      </c>
    </row>
    <row r="932" spans="1:26" x14ac:dyDescent="0.15">
      <c r="A932" s="59">
        <v>42262.75</v>
      </c>
      <c r="B932">
        <v>12.746100999999999</v>
      </c>
      <c r="C932">
        <v>121.685844</v>
      </c>
      <c r="D932">
        <v>61.774151000000003</v>
      </c>
      <c r="E932">
        <v>26.369499000000001</v>
      </c>
      <c r="F932">
        <v>1192.6999510000001</v>
      </c>
      <c r="H932" s="50">
        <f t="shared" si="121"/>
        <v>3.4121726488194164E-3</v>
      </c>
      <c r="I932" s="50">
        <f t="shared" si="122"/>
        <v>1.8131634578666975E-3</v>
      </c>
      <c r="J932" s="50">
        <f t="shared" si="123"/>
        <v>6.2813835010851263E-3</v>
      </c>
      <c r="K932" s="50">
        <f t="shared" si="124"/>
        <v>-2.1303912954741853E-2</v>
      </c>
      <c r="L932" s="50">
        <f t="shared" si="125"/>
        <v>-1.7221510722903899E-2</v>
      </c>
      <c r="P932" s="50">
        <f t="shared" si="120"/>
        <v>-1.7221510722903899E-2</v>
      </c>
      <c r="Q932" s="51">
        <f t="shared" si="126"/>
        <v>97.89469944748933</v>
      </c>
      <c r="R932" s="51">
        <f t="shared" si="127"/>
        <v>70.067474328604376</v>
      </c>
      <c r="Y932">
        <v>927</v>
      </c>
      <c r="Z932">
        <v>5.2147244834025788</v>
      </c>
    </row>
    <row r="933" spans="1:26" x14ac:dyDescent="0.15">
      <c r="A933" s="59">
        <v>42263.75</v>
      </c>
      <c r="B933">
        <v>12.702757</v>
      </c>
      <c r="C933">
        <v>121.46560700000001</v>
      </c>
      <c r="D933">
        <v>61.388545999999998</v>
      </c>
      <c r="E933">
        <v>26.943501000000001</v>
      </c>
      <c r="F933">
        <v>1213.599976</v>
      </c>
      <c r="H933" s="50">
        <f t="shared" si="121"/>
        <v>1.7840473470337577E-2</v>
      </c>
      <c r="I933" s="50">
        <f t="shared" si="122"/>
        <v>1.0859572712422274E-2</v>
      </c>
      <c r="J933" s="50">
        <f t="shared" si="123"/>
        <v>1.8141711533934714E-2</v>
      </c>
      <c r="K933" s="50">
        <f t="shared" si="124"/>
        <v>-2.5727982823085336E-3</v>
      </c>
      <c r="L933" s="50">
        <f t="shared" si="125"/>
        <v>4.9472894315850717E-2</v>
      </c>
      <c r="P933" s="50">
        <f t="shared" si="120"/>
        <v>4.9472894315850717E-2</v>
      </c>
      <c r="Q933" s="51">
        <f t="shared" si="126"/>
        <v>102.73783356733693</v>
      </c>
      <c r="R933" s="51">
        <f t="shared" si="127"/>
        <v>71.317511245497414</v>
      </c>
      <c r="Y933">
        <v>928</v>
      </c>
      <c r="Z933">
        <v>7.511388606803262</v>
      </c>
    </row>
    <row r="934" spans="1:26" x14ac:dyDescent="0.15">
      <c r="A934" s="59">
        <v>42264.75</v>
      </c>
      <c r="B934">
        <v>12.480105999999999</v>
      </c>
      <c r="C934">
        <v>120.160713</v>
      </c>
      <c r="D934">
        <v>60.294696999999999</v>
      </c>
      <c r="E934">
        <v>27.013000000000002</v>
      </c>
      <c r="F934">
        <v>1156.3900149999999</v>
      </c>
      <c r="H934" s="50">
        <f t="shared" si="121"/>
        <v>-5.9638476582444715E-3</v>
      </c>
      <c r="I934" s="50">
        <f t="shared" si="122"/>
        <v>-9.7759895176641621E-3</v>
      </c>
      <c r="J934" s="50">
        <f t="shared" si="123"/>
        <v>-2.095610988891258E-2</v>
      </c>
      <c r="K934" s="50">
        <f t="shared" si="124"/>
        <v>-1.4825215631211279E-2</v>
      </c>
      <c r="L934" s="50">
        <f t="shared" si="125"/>
        <v>-4.1541300598077938E-2</v>
      </c>
      <c r="P934" s="50">
        <f t="shared" si="120"/>
        <v>-4.1541300598077938E-2</v>
      </c>
      <c r="Q934" s="51">
        <f t="shared" si="126"/>
        <v>98.469970340320884</v>
      </c>
      <c r="R934" s="51">
        <f t="shared" si="127"/>
        <v>70.892184473064134</v>
      </c>
      <c r="Y934">
        <v>929</v>
      </c>
      <c r="Z934">
        <v>6.3488399687381349</v>
      </c>
    </row>
    <row r="935" spans="1:26" x14ac:dyDescent="0.15">
      <c r="A935" s="59">
        <v>42265.75</v>
      </c>
      <c r="B935">
        <v>12.554982000000001</v>
      </c>
      <c r="C935">
        <v>121.34699999999999</v>
      </c>
      <c r="D935">
        <v>61.585284999999999</v>
      </c>
      <c r="E935">
        <v>27.419499999999999</v>
      </c>
      <c r="F935">
        <v>1206.51001</v>
      </c>
      <c r="H935" s="50">
        <f t="shared" si="121"/>
        <v>2.044476951188208E-3</v>
      </c>
      <c r="I935" s="50">
        <f t="shared" si="122"/>
        <v>3.925831749536029E-3</v>
      </c>
      <c r="J935" s="50">
        <f t="shared" si="123"/>
        <v>2.6904738382112926E-3</v>
      </c>
      <c r="K935" s="50">
        <f t="shared" si="124"/>
        <v>1.8554977711738394E-2</v>
      </c>
      <c r="L935" s="50">
        <f t="shared" si="125"/>
        <v>-3.8698686699447274E-2</v>
      </c>
      <c r="P935" s="50">
        <f t="shared" si="120"/>
        <v>-3.8698686699447274E-2</v>
      </c>
      <c r="Q935" s="51">
        <f t="shared" si="126"/>
        <v>94.659311808816938</v>
      </c>
      <c r="R935" s="51">
        <f t="shared" si="127"/>
        <v>71.037121910238696</v>
      </c>
      <c r="Y935">
        <v>930</v>
      </c>
      <c r="Z935">
        <v>6.3603212850576583</v>
      </c>
    </row>
    <row r="936" spans="1:26" x14ac:dyDescent="0.15">
      <c r="A936" s="59">
        <v>42266.75</v>
      </c>
      <c r="B936">
        <v>12.529366</v>
      </c>
      <c r="C936">
        <v>120.87247499999999</v>
      </c>
      <c r="D936">
        <v>61.420036000000003</v>
      </c>
      <c r="E936">
        <v>26.92</v>
      </c>
      <c r="F936">
        <v>1255.079956</v>
      </c>
      <c r="H936" s="50">
        <f t="shared" si="121"/>
        <v>-2.040305593429062E-3</v>
      </c>
      <c r="I936" s="50">
        <f t="shared" si="122"/>
        <v>-1.9115391663294283E-2</v>
      </c>
      <c r="J936" s="50">
        <f t="shared" si="123"/>
        <v>-9.0148296600428331E-3</v>
      </c>
      <c r="K936" s="50">
        <f t="shared" si="124"/>
        <v>4.346484763052879E-3</v>
      </c>
      <c r="L936" s="50">
        <f t="shared" si="125"/>
        <v>3.9756763250238164E-2</v>
      </c>
      <c r="P936" s="50">
        <f t="shared" si="120"/>
        <v>3.9756763250238164E-2</v>
      </c>
      <c r="Q936" s="51">
        <f t="shared" si="126"/>
        <v>98.42265965783055</v>
      </c>
      <c r="R936" s="51">
        <f t="shared" si="127"/>
        <v>70.892184473064134</v>
      </c>
      <c r="Y936">
        <v>931</v>
      </c>
      <c r="Z936">
        <v>7.8819200979781501</v>
      </c>
    </row>
    <row r="937" spans="1:26" x14ac:dyDescent="0.15">
      <c r="A937" s="59">
        <v>42269.75</v>
      </c>
      <c r="B937">
        <v>12.554982000000001</v>
      </c>
      <c r="C937">
        <v>123.228027</v>
      </c>
      <c r="D937">
        <v>61.978763999999998</v>
      </c>
      <c r="E937">
        <v>26.803498999999999</v>
      </c>
      <c r="F937">
        <v>1207.089966</v>
      </c>
      <c r="H937" s="50">
        <f t="shared" si="121"/>
        <v>-1.723113454748219E-3</v>
      </c>
      <c r="I937" s="50">
        <f t="shared" si="122"/>
        <v>3.8653630681444815E-3</v>
      </c>
      <c r="J937" s="50">
        <f t="shared" si="123"/>
        <v>-3.7942885799325068E-3</v>
      </c>
      <c r="K937" s="50">
        <f t="shared" si="124"/>
        <v>4.3465667447306275E-3</v>
      </c>
      <c r="L937" s="50">
        <f t="shared" si="125"/>
        <v>1.5880893656516414E-2</v>
      </c>
      <c r="P937" s="50">
        <f t="shared" si="120"/>
        <v>1.5880893656516414E-2</v>
      </c>
      <c r="Q937" s="51">
        <f t="shared" si="126"/>
        <v>99.985699449248074</v>
      </c>
      <c r="R937" s="51">
        <f t="shared" si="127"/>
        <v>70.770029196162113</v>
      </c>
      <c r="Y937">
        <v>932</v>
      </c>
      <c r="Z937">
        <v>10.952002529800161</v>
      </c>
    </row>
    <row r="938" spans="1:26" x14ac:dyDescent="0.15">
      <c r="A938" s="59">
        <v>42270.75</v>
      </c>
      <c r="B938">
        <v>12.576653</v>
      </c>
      <c r="C938">
        <v>122.75354</v>
      </c>
      <c r="D938">
        <v>62.214824999999998</v>
      </c>
      <c r="E938">
        <v>26.6875</v>
      </c>
      <c r="F938">
        <v>1188.219971</v>
      </c>
      <c r="H938" s="50">
        <f t="shared" si="121"/>
        <v>7.8405003660435963E-4</v>
      </c>
      <c r="I938" s="50">
        <f t="shared" si="122"/>
        <v>-4.671802039073923E-3</v>
      </c>
      <c r="J938" s="50">
        <f t="shared" si="123"/>
        <v>1.264488752777632E-4</v>
      </c>
      <c r="K938" s="50">
        <f t="shared" si="124"/>
        <v>1.8121125417262813E-2</v>
      </c>
      <c r="L938" s="50">
        <f t="shared" si="125"/>
        <v>1.9816472378154483E-3</v>
      </c>
      <c r="P938" s="50">
        <f t="shared" si="120"/>
        <v>1.9816472378154483E-3</v>
      </c>
      <c r="Q938" s="51">
        <f t="shared" si="126"/>
        <v>100.18383583438271</v>
      </c>
      <c r="R938" s="51">
        <f t="shared" si="127"/>
        <v>70.825516440143858</v>
      </c>
      <c r="Y938">
        <v>933</v>
      </c>
      <c r="Z938">
        <v>8.4331756669544884</v>
      </c>
    </row>
    <row r="939" spans="1:26" x14ac:dyDescent="0.15">
      <c r="A939" s="59">
        <v>42271.75</v>
      </c>
      <c r="B939">
        <v>12.566800000000001</v>
      </c>
      <c r="C939">
        <v>123.329712</v>
      </c>
      <c r="D939">
        <v>62.206958999999998</v>
      </c>
      <c r="E939">
        <v>26.212499999999999</v>
      </c>
      <c r="F939">
        <v>1185.869995</v>
      </c>
      <c r="H939" s="50">
        <f t="shared" si="121"/>
        <v>1.8846126586433097E-3</v>
      </c>
      <c r="I939" s="50">
        <f t="shared" si="122"/>
        <v>1.393243262796639E-2</v>
      </c>
      <c r="J939" s="50">
        <f t="shared" si="123"/>
        <v>1.7767512964572206E-2</v>
      </c>
      <c r="K939" s="50">
        <f t="shared" si="124"/>
        <v>4.0054796653366538E-2</v>
      </c>
      <c r="L939" s="50">
        <f t="shared" si="125"/>
        <v>-1.9277574851561282E-2</v>
      </c>
      <c r="P939" s="50">
        <f t="shared" si="120"/>
        <v>-1.9277574851561282E-2</v>
      </c>
      <c r="Q939" s="51">
        <f t="shared" si="126"/>
        <v>98.252534440168873</v>
      </c>
      <c r="R939" s="51">
        <f t="shared" si="127"/>
        <v>70.958995104981909</v>
      </c>
      <c r="Y939">
        <v>934</v>
      </c>
      <c r="Z939">
        <v>6.6497309285797215</v>
      </c>
    </row>
    <row r="940" spans="1:26" x14ac:dyDescent="0.15">
      <c r="A940" s="59">
        <v>42272.75</v>
      </c>
      <c r="B940">
        <v>12.543161</v>
      </c>
      <c r="C940">
        <v>121.63504</v>
      </c>
      <c r="D940">
        <v>61.120990999999997</v>
      </c>
      <c r="E940">
        <v>25.202998999999998</v>
      </c>
      <c r="F940">
        <v>1209.1800539999999</v>
      </c>
      <c r="H940" s="50">
        <f t="shared" si="121"/>
        <v>-1.8810675748799277E-3</v>
      </c>
      <c r="I940" s="50">
        <f t="shared" si="122"/>
        <v>-1.1826991482640646E-3</v>
      </c>
      <c r="J940" s="50">
        <f t="shared" si="123"/>
        <v>-3.9751372628582691E-3</v>
      </c>
      <c r="K940" s="50">
        <f t="shared" si="124"/>
        <v>1.6106598508541063E-2</v>
      </c>
      <c r="L940" s="50">
        <f t="shared" si="125"/>
        <v>-3.371027003535457E-3</v>
      </c>
      <c r="P940" s="50">
        <f t="shared" si="120"/>
        <v>-3.371027003535457E-3</v>
      </c>
      <c r="Q940" s="51">
        <f t="shared" si="126"/>
        <v>97.92132249340527</v>
      </c>
      <c r="R940" s="51">
        <f t="shared" si="127"/>
        <v>70.825516440143858</v>
      </c>
      <c r="Y940">
        <v>935</v>
      </c>
      <c r="Z940">
        <v>9.2294943636470403</v>
      </c>
    </row>
    <row r="941" spans="1:26" x14ac:dyDescent="0.15">
      <c r="A941" s="59">
        <v>42273.75</v>
      </c>
      <c r="B941">
        <v>12.566800000000001</v>
      </c>
      <c r="C941">
        <v>121.779068</v>
      </c>
      <c r="D941">
        <v>61.364924999999999</v>
      </c>
      <c r="E941">
        <v>24.803498999999999</v>
      </c>
      <c r="F941">
        <v>1213.2700199999999</v>
      </c>
      <c r="H941" s="50">
        <f t="shared" si="121"/>
        <v>-1.6347735806537599E-2</v>
      </c>
      <c r="I941" s="50">
        <f t="shared" si="122"/>
        <v>-5.8795271868724627E-3</v>
      </c>
      <c r="J941" s="50">
        <f t="shared" si="123"/>
        <v>-8.6454333708594205E-3</v>
      </c>
      <c r="K941" s="50">
        <f t="shared" si="124"/>
        <v>-3.0905116333587349E-2</v>
      </c>
      <c r="L941" s="50">
        <f t="shared" si="125"/>
        <v>9.6572704534264545E-2</v>
      </c>
      <c r="P941" s="50">
        <f t="shared" si="120"/>
        <v>9.6572704534264545E-2</v>
      </c>
      <c r="Q941" s="51">
        <f t="shared" si="126"/>
        <v>107.37784943816533</v>
      </c>
      <c r="R941" s="51">
        <f t="shared" si="127"/>
        <v>69.667679609018805</v>
      </c>
      <c r="Y941">
        <v>936</v>
      </c>
      <c r="Z941">
        <v>5.6856452514773448</v>
      </c>
    </row>
    <row r="942" spans="1:26" x14ac:dyDescent="0.15">
      <c r="A942" s="59">
        <v>42276.75</v>
      </c>
      <c r="B942">
        <v>12.775653</v>
      </c>
      <c r="C942">
        <v>122.499306</v>
      </c>
      <c r="D942">
        <v>61.900078000000001</v>
      </c>
      <c r="E942">
        <v>25.5945</v>
      </c>
      <c r="F942">
        <v>1106.420044</v>
      </c>
      <c r="H942" s="50">
        <f t="shared" si="121"/>
        <v>8.8686670963582202E-3</v>
      </c>
      <c r="I942" s="50">
        <f t="shared" si="122"/>
        <v>6.8952083445298631E-5</v>
      </c>
      <c r="J942" s="50">
        <f t="shared" si="123"/>
        <v>-1.0690111182468849E-2</v>
      </c>
      <c r="K942" s="50">
        <f t="shared" si="124"/>
        <v>-1.6957252149226165E-2</v>
      </c>
      <c r="L942" s="50">
        <f t="shared" si="125"/>
        <v>-5.1390601333086788E-2</v>
      </c>
      <c r="P942" s="50">
        <f t="shared" si="120"/>
        <v>-5.1390601333086788E-2</v>
      </c>
      <c r="Q942" s="51">
        <f t="shared" si="126"/>
        <v>101.85963718568435</v>
      </c>
      <c r="R942" s="51">
        <f t="shared" si="127"/>
        <v>70.285539066846937</v>
      </c>
      <c r="Y942">
        <v>937</v>
      </c>
      <c r="Z942">
        <v>7.4957488002469788</v>
      </c>
    </row>
    <row r="943" spans="1:26" x14ac:dyDescent="0.15">
      <c r="A943" s="59">
        <v>42277.75</v>
      </c>
      <c r="B943">
        <v>12.663346000000001</v>
      </c>
      <c r="C943">
        <v>122.49086</v>
      </c>
      <c r="D943">
        <v>62.568947000000001</v>
      </c>
      <c r="E943">
        <v>26.035999</v>
      </c>
      <c r="F943">
        <v>1166.3599850000001</v>
      </c>
      <c r="H943" s="50">
        <f t="shared" si="121"/>
        <v>-1.0926530243396904E-2</v>
      </c>
      <c r="I943" s="50">
        <f t="shared" si="122"/>
        <v>-8.912555647441818E-3</v>
      </c>
      <c r="J943" s="50">
        <f t="shared" si="123"/>
        <v>-2.5141934890712375E-4</v>
      </c>
      <c r="K943" s="50">
        <f t="shared" si="124"/>
        <v>-2.2195590107950934E-2</v>
      </c>
      <c r="L943" s="50">
        <f t="shared" si="125"/>
        <v>4.5647302729239277E-3</v>
      </c>
      <c r="P943" s="50">
        <f t="shared" si="120"/>
        <v>4.5647302729239277E-3</v>
      </c>
      <c r="Q943" s="51">
        <f t="shared" si="126"/>
        <v>102.32459895513489</v>
      </c>
      <c r="R943" s="51">
        <f t="shared" si="127"/>
        <v>69.517561998559572</v>
      </c>
      <c r="Y943">
        <v>938</v>
      </c>
      <c r="Z943">
        <v>10.239653610734127</v>
      </c>
    </row>
    <row r="944" spans="1:26" x14ac:dyDescent="0.15">
      <c r="A944" s="59">
        <v>42278.75</v>
      </c>
      <c r="B944">
        <v>12.803241</v>
      </c>
      <c r="C944">
        <v>123.592384</v>
      </c>
      <c r="D944">
        <v>62.584682000000001</v>
      </c>
      <c r="E944">
        <v>26.627001</v>
      </c>
      <c r="F944">
        <v>1161.0600589999999</v>
      </c>
      <c r="H944" s="50">
        <f t="shared" si="121"/>
        <v>-1.3511471690978058E-2</v>
      </c>
      <c r="I944" s="50">
        <f t="shared" si="122"/>
        <v>-1.4925374086012036E-2</v>
      </c>
      <c r="J944" s="50">
        <f t="shared" si="123"/>
        <v>2.5148257649276707E-4</v>
      </c>
      <c r="K944" s="50">
        <f t="shared" si="124"/>
        <v>-2.0489957327839946E-2</v>
      </c>
      <c r="L944" s="50">
        <f t="shared" si="125"/>
        <v>4.1982292406319253E-2</v>
      </c>
      <c r="P944" s="50">
        <f t="shared" si="120"/>
        <v>4.1982292406319253E-2</v>
      </c>
      <c r="Q944" s="51">
        <f t="shared" si="126"/>
        <v>106.62042018882872</v>
      </c>
      <c r="R944" s="51">
        <f t="shared" si="127"/>
        <v>68.578277427590223</v>
      </c>
      <c r="Y944">
        <v>939</v>
      </c>
      <c r="Z944">
        <v>9.99032459606868</v>
      </c>
    </row>
    <row r="945" spans="1:26" x14ac:dyDescent="0.15">
      <c r="A945" s="59">
        <v>42279.75</v>
      </c>
      <c r="B945">
        <v>12.978600999999999</v>
      </c>
      <c r="C945">
        <v>125.464996</v>
      </c>
      <c r="D945">
        <v>62.568947000000001</v>
      </c>
      <c r="E945">
        <v>27.184000000000001</v>
      </c>
      <c r="F945">
        <v>1114.280029</v>
      </c>
      <c r="H945" s="50">
        <f t="shared" si="121"/>
        <v>2.8928618785759017E-3</v>
      </c>
      <c r="I945" s="50">
        <f t="shared" si="122"/>
        <v>-2.2914336357265771E-3</v>
      </c>
      <c r="J945" s="50">
        <f t="shared" si="123"/>
        <v>1.8053962226291947E-2</v>
      </c>
      <c r="K945" s="50">
        <f t="shared" si="124"/>
        <v>1.1535275301954527E-2</v>
      </c>
      <c r="L945" s="50">
        <f t="shared" si="125"/>
        <v>1.3691446989100447E-2</v>
      </c>
      <c r="P945" s="50">
        <f t="shared" si="120"/>
        <v>1.3691446989100447E-2</v>
      </c>
      <c r="Q945" s="51">
        <f t="shared" si="126"/>
        <v>108.08020801979968</v>
      </c>
      <c r="R945" s="51">
        <f t="shared" si="127"/>
        <v>68.776664912058905</v>
      </c>
      <c r="Y945">
        <v>940</v>
      </c>
      <c r="Z945">
        <v>10.177057346984331</v>
      </c>
    </row>
    <row r="946" spans="1:26" x14ac:dyDescent="0.15">
      <c r="A946" s="59">
        <v>42280.75</v>
      </c>
      <c r="B946">
        <v>12.941164000000001</v>
      </c>
      <c r="C946">
        <v>125.753151</v>
      </c>
      <c r="D946">
        <v>61.459361999999999</v>
      </c>
      <c r="E946">
        <v>26.874001</v>
      </c>
      <c r="F946">
        <v>1099.2299800000001</v>
      </c>
      <c r="H946" s="50">
        <f t="shared" si="121"/>
        <v>-1.0247377659147325E-2</v>
      </c>
      <c r="I946" s="50">
        <f t="shared" si="122"/>
        <v>3.0417925894592689E-3</v>
      </c>
      <c r="J946" s="50">
        <f t="shared" si="123"/>
        <v>-5.8554524703551582E-3</v>
      </c>
      <c r="K946" s="50">
        <f t="shared" si="124"/>
        <v>-8.2296564195298919E-3</v>
      </c>
      <c r="L946" s="50">
        <f t="shared" si="125"/>
        <v>4.0060899808955164E-2</v>
      </c>
      <c r="P946" s="50">
        <f t="shared" si="120"/>
        <v>4.0060899808955164E-2</v>
      </c>
      <c r="Q946" s="51">
        <f t="shared" si="126"/>
        <v>112.40999840461191</v>
      </c>
      <c r="R946" s="51">
        <f t="shared" si="127"/>
        <v>68.071884452568412</v>
      </c>
      <c r="Y946">
        <v>941</v>
      </c>
      <c r="Z946">
        <v>10.165447801440751</v>
      </c>
    </row>
    <row r="947" spans="1:26" x14ac:dyDescent="0.15">
      <c r="A947" s="59">
        <v>42283.75</v>
      </c>
      <c r="B947">
        <v>13.075150000000001</v>
      </c>
      <c r="C947">
        <v>125.371796</v>
      </c>
      <c r="D947">
        <v>61.821353999999999</v>
      </c>
      <c r="E947">
        <v>27.097000000000001</v>
      </c>
      <c r="F947">
        <v>1056.8900149999999</v>
      </c>
      <c r="H947" s="50">
        <f t="shared" si="121"/>
        <v>-7.7750086017141576E-3</v>
      </c>
      <c r="I947" s="50">
        <f t="shared" si="122"/>
        <v>-2.4396712946474833E-2</v>
      </c>
      <c r="J947" s="50">
        <f t="shared" si="123"/>
        <v>-1.6521310271388784E-3</v>
      </c>
      <c r="K947" s="50">
        <f t="shared" si="124"/>
        <v>1.6467813921981718E-2</v>
      </c>
      <c r="L947" s="50">
        <f t="shared" si="125"/>
        <v>6.0889589971986187E-2</v>
      </c>
      <c r="P947" s="50">
        <f t="shared" si="120"/>
        <v>6.0889589971986187E-2</v>
      </c>
      <c r="Q947" s="51">
        <f t="shared" si="126"/>
        <v>119.25459711622034</v>
      </c>
      <c r="R947" s="51">
        <f t="shared" si="127"/>
        <v>67.542624965414802</v>
      </c>
      <c r="Y947">
        <v>942</v>
      </c>
      <c r="Z947">
        <v>10.775064669863943</v>
      </c>
    </row>
    <row r="948" spans="1:26" x14ac:dyDescent="0.15">
      <c r="A948" s="59">
        <v>42284.75</v>
      </c>
      <c r="B948">
        <v>13.177606000000001</v>
      </c>
      <c r="C948">
        <v>128.50694300000001</v>
      </c>
      <c r="D948">
        <v>61.923659999999998</v>
      </c>
      <c r="E948">
        <v>26.658000999999999</v>
      </c>
      <c r="F948">
        <v>996.22997999999995</v>
      </c>
      <c r="H948" s="50">
        <f t="shared" si="121"/>
        <v>2.8487448376821253E-3</v>
      </c>
      <c r="I948" s="50">
        <f t="shared" si="122"/>
        <v>-1.500296318623384E-2</v>
      </c>
      <c r="J948" s="50">
        <f t="shared" si="123"/>
        <v>-2.408480495967087E-3</v>
      </c>
      <c r="K948" s="50">
        <f t="shared" si="124"/>
        <v>-1.2300815116709883E-2</v>
      </c>
      <c r="L948" s="50">
        <f t="shared" si="125"/>
        <v>1.1462604805444693E-2</v>
      </c>
      <c r="P948" s="50">
        <f t="shared" si="120"/>
        <v>1.1462604805444693E-2</v>
      </c>
      <c r="Q948" s="51">
        <f t="shared" si="126"/>
        <v>120.6215654341961</v>
      </c>
      <c r="R948" s="51">
        <f t="shared" si="127"/>
        <v>67.735036669608533</v>
      </c>
      <c r="Y948">
        <v>943</v>
      </c>
      <c r="Z948">
        <v>10.371852782236967</v>
      </c>
    </row>
    <row r="949" spans="1:26" x14ac:dyDescent="0.15">
      <c r="A949" s="59">
        <v>42285.75</v>
      </c>
      <c r="B949">
        <v>13.140173000000001</v>
      </c>
      <c r="C949">
        <v>130.464294</v>
      </c>
      <c r="D949">
        <v>62.073162000000004</v>
      </c>
      <c r="E949">
        <v>26.99</v>
      </c>
      <c r="F949">
        <v>984.94000200000005</v>
      </c>
      <c r="H949" s="50">
        <f t="shared" si="121"/>
        <v>-3.585528278878895E-3</v>
      </c>
      <c r="I949" s="50">
        <f t="shared" si="122"/>
        <v>2.2130464884949847E-3</v>
      </c>
      <c r="J949" s="50">
        <f t="shared" si="123"/>
        <v>-4.1664215445119303E-3</v>
      </c>
      <c r="K949" s="50">
        <f t="shared" si="124"/>
        <v>-1.8884421058746277E-2</v>
      </c>
      <c r="L949" s="50">
        <f t="shared" si="125"/>
        <v>8.2446830931945853E-2</v>
      </c>
      <c r="P949" s="50">
        <f t="shared" si="120"/>
        <v>8.2446830931945853E-2</v>
      </c>
      <c r="Q949" s="51">
        <f t="shared" si="126"/>
        <v>130.56643124629591</v>
      </c>
      <c r="R949" s="51">
        <f t="shared" si="127"/>
        <v>67.492170780158744</v>
      </c>
      <c r="Y949">
        <v>944</v>
      </c>
      <c r="Z949">
        <v>8.888332548935626</v>
      </c>
    </row>
    <row r="950" spans="1:26" x14ac:dyDescent="0.15">
      <c r="A950" s="59">
        <v>42286.75</v>
      </c>
      <c r="B950">
        <v>13.187457</v>
      </c>
      <c r="C950">
        <v>130.176208</v>
      </c>
      <c r="D950">
        <v>62.332867</v>
      </c>
      <c r="E950">
        <v>27.509501</v>
      </c>
      <c r="F950">
        <v>909.919983</v>
      </c>
      <c r="H950" s="50">
        <f t="shared" si="121"/>
        <v>2.9970982010945656E-3</v>
      </c>
      <c r="I950" s="50">
        <f t="shared" si="122"/>
        <v>8.8653779432323835E-3</v>
      </c>
      <c r="J950" s="50">
        <f t="shared" si="123"/>
        <v>3.1661447883747072E-3</v>
      </c>
      <c r="K950" s="50">
        <f t="shared" si="124"/>
        <v>2.3501912916742548E-3</v>
      </c>
      <c r="L950" s="50">
        <f t="shared" si="125"/>
        <v>1.1899215258865748E-2</v>
      </c>
      <c r="P950" s="50">
        <f t="shared" si="120"/>
        <v>1.1899215258865748E-2</v>
      </c>
      <c r="Q950" s="51">
        <f t="shared" si="126"/>
        <v>132.12006931727748</v>
      </c>
      <c r="R950" s="51">
        <f t="shared" si="127"/>
        <v>67.69445144379192</v>
      </c>
      <c r="Y950">
        <v>945</v>
      </c>
      <c r="Z950">
        <v>7.0737421421574647</v>
      </c>
    </row>
    <row r="951" spans="1:26" x14ac:dyDescent="0.15">
      <c r="A951" s="59">
        <v>42287.75</v>
      </c>
      <c r="B951">
        <v>13.148051000000001</v>
      </c>
      <c r="C951">
        <v>129.03228799999999</v>
      </c>
      <c r="D951">
        <v>62.136135000000003</v>
      </c>
      <c r="E951">
        <v>27.445</v>
      </c>
      <c r="F951">
        <v>899.21997099999999</v>
      </c>
      <c r="H951" s="50">
        <f t="shared" si="121"/>
        <v>0.11161104856608829</v>
      </c>
      <c r="I951" s="50">
        <f t="shared" si="122"/>
        <v>1.6283898389920733E-2</v>
      </c>
      <c r="J951" s="50">
        <f t="shared" si="123"/>
        <v>3.622073561639829E-2</v>
      </c>
      <c r="K951" s="50">
        <f t="shared" si="124"/>
        <v>7.470183085726472E-3</v>
      </c>
      <c r="L951" s="50">
        <f t="shared" si="125"/>
        <v>-0.10378233666295517</v>
      </c>
      <c r="P951" s="50">
        <f t="shared" si="120"/>
        <v>-0.10378233666295517</v>
      </c>
      <c r="Q951" s="51">
        <f t="shared" si="126"/>
        <v>118.40833980345883</v>
      </c>
      <c r="R951" s="51">
        <f t="shared" si="127"/>
        <v>75.249900151539691</v>
      </c>
      <c r="Y951">
        <v>946</v>
      </c>
      <c r="Z951">
        <v>7.7923595188358403</v>
      </c>
    </row>
    <row r="952" spans="1:26" x14ac:dyDescent="0.15">
      <c r="A952" s="59">
        <v>42290.75</v>
      </c>
      <c r="B952">
        <v>11.827923999999999</v>
      </c>
      <c r="C952">
        <v>126.964806</v>
      </c>
      <c r="D952">
        <v>59.964188</v>
      </c>
      <c r="E952">
        <v>27.241501</v>
      </c>
      <c r="F952">
        <v>1003.349976</v>
      </c>
      <c r="H952" s="50">
        <f t="shared" si="121"/>
        <v>1.1798287117487205E-2</v>
      </c>
      <c r="I952" s="50">
        <f t="shared" si="122"/>
        <v>-1.2716800906101347E-2</v>
      </c>
      <c r="J952" s="50">
        <f t="shared" si="123"/>
        <v>1.4241812222725721E-2</v>
      </c>
      <c r="K952" s="50">
        <f t="shared" si="124"/>
        <v>-3.1309970841334203E-2</v>
      </c>
      <c r="L952" s="50">
        <f t="shared" si="125"/>
        <v>5.3506136676925754E-3</v>
      </c>
      <c r="P952" s="50">
        <f t="shared" si="120"/>
        <v>5.3506136676925754E-3</v>
      </c>
      <c r="Q952" s="51">
        <f t="shared" si="126"/>
        <v>119.04189708478</v>
      </c>
      <c r="R952" s="51">
        <f t="shared" si="127"/>
        <v>76.137720079089803</v>
      </c>
      <c r="Y952">
        <v>947</v>
      </c>
      <c r="Z952">
        <v>6.6622126236096069</v>
      </c>
    </row>
    <row r="953" spans="1:26" x14ac:dyDescent="0.15">
      <c r="A953" s="59">
        <v>42291.75</v>
      </c>
      <c r="B953">
        <v>11.690002</v>
      </c>
      <c r="C953">
        <v>128.600189</v>
      </c>
      <c r="D953">
        <v>59.122180999999998</v>
      </c>
      <c r="E953">
        <v>28.122</v>
      </c>
      <c r="F953">
        <v>998.01000999999997</v>
      </c>
      <c r="H953" s="50">
        <f t="shared" si="121"/>
        <v>7.4716636792996659E-3</v>
      </c>
      <c r="I953" s="50">
        <f t="shared" si="122"/>
        <v>-1.9067898574723283E-3</v>
      </c>
      <c r="J953" s="50">
        <f t="shared" si="123"/>
        <v>1.0659469010659034E-3</v>
      </c>
      <c r="K953" s="50">
        <f t="shared" si="124"/>
        <v>-1.4577055154530814E-2</v>
      </c>
      <c r="L953" s="50">
        <f t="shared" si="125"/>
        <v>9.9323647689308153E-2</v>
      </c>
      <c r="P953" s="50">
        <f t="shared" si="120"/>
        <v>9.9323647689308153E-2</v>
      </c>
      <c r="Q953" s="51">
        <f t="shared" si="126"/>
        <v>130.86557253109558</v>
      </c>
      <c r="R953" s="51">
        <f t="shared" si="127"/>
        <v>76.706595516829424</v>
      </c>
      <c r="Y953">
        <v>948</v>
      </c>
      <c r="Z953">
        <v>7.5253948000631334</v>
      </c>
    </row>
    <row r="954" spans="1:26" x14ac:dyDescent="0.15">
      <c r="A954" s="59">
        <v>42292.75</v>
      </c>
      <c r="B954">
        <v>11.603306</v>
      </c>
      <c r="C954">
        <v>128.84587099999999</v>
      </c>
      <c r="D954">
        <v>59.059227</v>
      </c>
      <c r="E954">
        <v>28.538</v>
      </c>
      <c r="F954">
        <v>907.84002699999996</v>
      </c>
      <c r="H954" s="50">
        <f t="shared" si="121"/>
        <v>6.793194111231743E-4</v>
      </c>
      <c r="I954" s="50">
        <f t="shared" si="122"/>
        <v>-7.5710544127909835E-3</v>
      </c>
      <c r="J954" s="50">
        <f t="shared" si="123"/>
        <v>4.685389352665526E-3</v>
      </c>
      <c r="K954" s="50">
        <f t="shared" si="124"/>
        <v>-4.1699033122185964E-3</v>
      </c>
      <c r="L954" s="50">
        <f t="shared" si="125"/>
        <v>-4.0774242453662395E-2</v>
      </c>
      <c r="P954" s="50">
        <f t="shared" si="120"/>
        <v>-4.0774242453662395E-2</v>
      </c>
      <c r="Q954" s="51">
        <f t="shared" si="126"/>
        <v>125.52962794787535</v>
      </c>
      <c r="R954" s="51">
        <f t="shared" si="127"/>
        <v>76.758703796125175</v>
      </c>
      <c r="Y954">
        <v>949</v>
      </c>
      <c r="Z954">
        <v>5.8157293278264826</v>
      </c>
    </row>
    <row r="955" spans="1:26" x14ac:dyDescent="0.15">
      <c r="A955" s="59">
        <v>42293.75</v>
      </c>
      <c r="B955">
        <v>11.595428999999999</v>
      </c>
      <c r="C955">
        <v>129.828812</v>
      </c>
      <c r="D955">
        <v>58.783802000000001</v>
      </c>
      <c r="E955">
        <v>28.657499000000001</v>
      </c>
      <c r="F955">
        <v>946.42999299999997</v>
      </c>
      <c r="H955" s="50">
        <f t="shared" si="121"/>
        <v>1.7027020092661108E-3</v>
      </c>
      <c r="I955" s="50">
        <f t="shared" si="122"/>
        <v>-8.6692412333961959E-3</v>
      </c>
      <c r="J955" s="50">
        <f t="shared" si="123"/>
        <v>4.0322661913302308E-3</v>
      </c>
      <c r="K955" s="50">
        <f t="shared" si="124"/>
        <v>2.1876265087852474E-2</v>
      </c>
      <c r="L955" s="50">
        <f t="shared" si="125"/>
        <v>6.2516666578278481E-3</v>
      </c>
      <c r="P955" s="50">
        <f t="shared" si="120"/>
        <v>6.2516666578278481E-3</v>
      </c>
      <c r="Q955" s="51">
        <f t="shared" si="126"/>
        <v>126.31439733748662</v>
      </c>
      <c r="R955" s="51">
        <f t="shared" si="127"/>
        <v>76.889400995307497</v>
      </c>
      <c r="Y955">
        <v>950</v>
      </c>
      <c r="Z955">
        <v>5.6994813098261758</v>
      </c>
    </row>
    <row r="956" spans="1:26" x14ac:dyDescent="0.15">
      <c r="A956" s="59">
        <v>42294.75</v>
      </c>
      <c r="B956">
        <v>11.575718999999999</v>
      </c>
      <c r="C956">
        <v>130.96417199999999</v>
      </c>
      <c r="D956">
        <v>58.547722</v>
      </c>
      <c r="E956">
        <v>28.044001000000002</v>
      </c>
      <c r="F956">
        <v>940.54998799999998</v>
      </c>
      <c r="H956" s="50">
        <f t="shared" si="121"/>
        <v>1.8755329841512963E-3</v>
      </c>
      <c r="I956" s="50">
        <f t="shared" si="122"/>
        <v>-4.1882071779745468E-3</v>
      </c>
      <c r="J956" s="50">
        <f t="shared" si="123"/>
        <v>-2.6177953866882552E-2</v>
      </c>
      <c r="K956" s="50">
        <f t="shared" si="124"/>
        <v>9.1944869280458624E-3</v>
      </c>
      <c r="L956" s="50">
        <f t="shared" si="125"/>
        <v>-4.5514547298204699E-2</v>
      </c>
      <c r="P956" s="50">
        <f t="shared" si="120"/>
        <v>-4.5514547298204699E-2</v>
      </c>
      <c r="Q956" s="51">
        <f t="shared" si="126"/>
        <v>120.56525472542536</v>
      </c>
      <c r="R956" s="51">
        <f t="shared" si="127"/>
        <v>77.033609603005829</v>
      </c>
      <c r="Y956">
        <v>951</v>
      </c>
      <c r="Z956">
        <v>10.634327298970366</v>
      </c>
    </row>
    <row r="957" spans="1:26" x14ac:dyDescent="0.15">
      <c r="A957" s="59">
        <v>42297.75</v>
      </c>
      <c r="B957">
        <v>11.554048999999999</v>
      </c>
      <c r="C957">
        <v>131.514984</v>
      </c>
      <c r="D957">
        <v>60.121581999999997</v>
      </c>
      <c r="E957">
        <v>27.788499999999999</v>
      </c>
      <c r="F957">
        <v>985.40002400000003</v>
      </c>
      <c r="H957" s="50">
        <f t="shared" si="121"/>
        <v>-4.4141988166245451E-3</v>
      </c>
      <c r="I957" s="50">
        <f t="shared" si="122"/>
        <v>-1.8589820671940319E-2</v>
      </c>
      <c r="J957" s="50">
        <f t="shared" si="123"/>
        <v>-9.2078457665276496E-3</v>
      </c>
      <c r="K957" s="50">
        <f t="shared" si="124"/>
        <v>-1.4434892604667239E-2</v>
      </c>
      <c r="L957" s="50">
        <f t="shared" si="125"/>
        <v>3.1778479012975022E-2</v>
      </c>
      <c r="P957" s="50">
        <f t="shared" si="120"/>
        <v>3.1778479012975022E-2</v>
      </c>
      <c r="Q957" s="51">
        <f t="shared" si="126"/>
        <v>124.39663514241127</v>
      </c>
      <c r="R957" s="51">
        <f t="shared" si="127"/>
        <v>76.693567934655931</v>
      </c>
      <c r="Y957">
        <v>952</v>
      </c>
      <c r="Z957">
        <v>8.6882247573889728</v>
      </c>
    </row>
    <row r="958" spans="1:26" x14ac:dyDescent="0.15">
      <c r="A958" s="59">
        <v>42298.75</v>
      </c>
      <c r="B958">
        <v>11.605276999999999</v>
      </c>
      <c r="C958">
        <v>134.006134</v>
      </c>
      <c r="D958">
        <v>60.680317000000002</v>
      </c>
      <c r="E958">
        <v>28.195499000000002</v>
      </c>
      <c r="F958">
        <v>955.04998799999998</v>
      </c>
      <c r="H958" s="50">
        <f t="shared" si="121"/>
        <v>1.0291407052057347E-2</v>
      </c>
      <c r="I958" s="50">
        <f t="shared" si="122"/>
        <v>1.5474078403028838E-2</v>
      </c>
      <c r="J958" s="50">
        <f t="shared" si="123"/>
        <v>5.7170204646210962E-2</v>
      </c>
      <c r="K958" s="50">
        <f t="shared" si="124"/>
        <v>-5.8628148840625602E-2</v>
      </c>
      <c r="L958" s="50">
        <f t="shared" si="125"/>
        <v>6.4976869595297346E-2</v>
      </c>
      <c r="P958" s="50">
        <f t="shared" si="120"/>
        <v>6.4976869595297346E-2</v>
      </c>
      <c r="Q958" s="51">
        <f t="shared" si="126"/>
        <v>132.47953908215351</v>
      </c>
      <c r="R958" s="51">
        <f t="shared" si="127"/>
        <v>77.482852660546101</v>
      </c>
      <c r="Y958">
        <v>953</v>
      </c>
      <c r="Z958">
        <v>5.8459984132517624</v>
      </c>
    </row>
    <row r="959" spans="1:26" x14ac:dyDescent="0.15">
      <c r="A959" s="59">
        <v>42299.75</v>
      </c>
      <c r="B959">
        <v>11.487059</v>
      </c>
      <c r="C959">
        <v>131.964111</v>
      </c>
      <c r="D959">
        <v>57.398814999999999</v>
      </c>
      <c r="E959">
        <v>29.951499999999999</v>
      </c>
      <c r="F959">
        <v>896.78002900000001</v>
      </c>
      <c r="H959" s="50">
        <f t="shared" si="121"/>
        <v>4.8258861832996243E-3</v>
      </c>
      <c r="I959" s="50">
        <f t="shared" si="122"/>
        <v>-6.3162912222728797E-3</v>
      </c>
      <c r="J959" s="50">
        <f t="shared" si="123"/>
        <v>-1.459042304952864E-2</v>
      </c>
      <c r="K959" s="50">
        <f t="shared" si="124"/>
        <v>-1.5740786382083739E-2</v>
      </c>
      <c r="L959" s="50">
        <f t="shared" si="125"/>
        <v>-1.2476413856411938E-2</v>
      </c>
      <c r="P959" s="50">
        <f t="shared" si="120"/>
        <v>-1.2476413856411938E-2</v>
      </c>
      <c r="Q959" s="51">
        <f t="shared" si="126"/>
        <v>130.82666952505787</v>
      </c>
      <c r="R959" s="51">
        <f t="shared" si="127"/>
        <v>77.856776088643272</v>
      </c>
      <c r="Y959">
        <v>954</v>
      </c>
      <c r="Z959">
        <v>6.7880141087962214</v>
      </c>
    </row>
    <row r="960" spans="1:26" x14ac:dyDescent="0.15">
      <c r="A960" s="59">
        <v>42300.75</v>
      </c>
      <c r="B960">
        <v>11.431889999999999</v>
      </c>
      <c r="C960">
        <v>132.802933</v>
      </c>
      <c r="D960">
        <v>58.248688000000001</v>
      </c>
      <c r="E960">
        <v>30.430499999999999</v>
      </c>
      <c r="F960">
        <v>908.10998500000005</v>
      </c>
      <c r="H960" s="50">
        <f t="shared" si="121"/>
        <v>9.3945587529441245E-3</v>
      </c>
      <c r="I960" s="50">
        <f t="shared" si="122"/>
        <v>-6.5290248515988579E-3</v>
      </c>
      <c r="J960" s="50">
        <f t="shared" si="123"/>
        <v>-9.5007764668543597E-3</v>
      </c>
      <c r="K960" s="50">
        <f t="shared" si="124"/>
        <v>-3.9279552240404185E-3</v>
      </c>
      <c r="L960" s="50">
        <f t="shared" si="125"/>
        <v>3.5744795425372781E-2</v>
      </c>
      <c r="P960" s="50">
        <f t="shared" si="120"/>
        <v>3.5744795425372781E-2</v>
      </c>
      <c r="Q960" s="51">
        <f t="shared" si="126"/>
        <v>135.50304206341389</v>
      </c>
      <c r="R960" s="51">
        <f t="shared" si="127"/>
        <v>78.58820614592284</v>
      </c>
      <c r="Y960">
        <v>955</v>
      </c>
      <c r="Z960">
        <v>6.3955297960787805</v>
      </c>
    </row>
    <row r="961" spans="1:26" x14ac:dyDescent="0.15">
      <c r="A961" s="59">
        <v>42301.75</v>
      </c>
      <c r="B961">
        <v>11.325492000000001</v>
      </c>
      <c r="C961">
        <v>133.67570499999999</v>
      </c>
      <c r="D961">
        <v>58.807403999999998</v>
      </c>
      <c r="E961">
        <v>30.550501000000001</v>
      </c>
      <c r="F961">
        <v>876.77002000000005</v>
      </c>
      <c r="H961" s="50">
        <f t="shared" si="121"/>
        <v>-2.7758169244617883E-3</v>
      </c>
      <c r="I961" s="50">
        <f t="shared" si="122"/>
        <v>0</v>
      </c>
      <c r="J961" s="50">
        <f t="shared" si="123"/>
        <v>-1.9677970418106212E-2</v>
      </c>
      <c r="K961" s="50">
        <f t="shared" si="124"/>
        <v>-9.8687084751255833E-3</v>
      </c>
      <c r="L961" s="50">
        <f t="shared" si="125"/>
        <v>3.2806433536386716E-2</v>
      </c>
      <c r="P961" s="50">
        <f t="shared" ref="P961:P1024" si="128">(F961-F962)/F962</f>
        <v>3.2806433536386716E-2</v>
      </c>
      <c r="Q961" s="51">
        <f t="shared" si="126"/>
        <v>139.94841360684549</v>
      </c>
      <c r="R961" s="51">
        <f t="shared" si="127"/>
        <v>78.370059673239894</v>
      </c>
      <c r="Y961">
        <v>956</v>
      </c>
      <c r="Z961">
        <v>6.4106090748411111</v>
      </c>
    </row>
    <row r="962" spans="1:26" x14ac:dyDescent="0.15">
      <c r="A962" s="59">
        <v>42304.75</v>
      </c>
      <c r="B962">
        <v>11.357017000000001</v>
      </c>
      <c r="C962">
        <v>133.67570499999999</v>
      </c>
      <c r="D962">
        <v>59.987842999999998</v>
      </c>
      <c r="E962">
        <v>30.855</v>
      </c>
      <c r="F962">
        <v>848.919983</v>
      </c>
      <c r="H962" s="50">
        <f t="shared" ref="H962:H1025" si="129">(B962-B963)/B963</f>
        <v>-5.5215058607768581E-3</v>
      </c>
      <c r="I962" s="50">
        <f t="shared" ref="I962:I1025" si="130">(C962-C963)/C963</f>
        <v>-3.285186017133076E-3</v>
      </c>
      <c r="J962" s="50">
        <f t="shared" ref="J962:J1025" si="131">(D962-D963)/D963</f>
        <v>-6.5462058177757443E-4</v>
      </c>
      <c r="K962" s="50">
        <f t="shared" ref="K962:K1025" si="132">(E962-E963)/E963</f>
        <v>-1.5082563724604991E-2</v>
      </c>
      <c r="L962" s="50">
        <f t="shared" ref="L962:L1025" si="133">(F962-F963)/F963</f>
        <v>-9.7383362246192332E-2</v>
      </c>
      <c r="P962" s="50">
        <f t="shared" si="128"/>
        <v>-9.7383362246192332E-2</v>
      </c>
      <c r="Q962" s="51">
        <f t="shared" si="126"/>
        <v>126.3197665487901</v>
      </c>
      <c r="R962" s="51">
        <f t="shared" si="127"/>
        <v>77.937338929444664</v>
      </c>
      <c r="Y962">
        <v>957</v>
      </c>
      <c r="Z962">
        <v>6.7361819791922501</v>
      </c>
    </row>
    <row r="963" spans="1:26" x14ac:dyDescent="0.15">
      <c r="A963" s="59">
        <v>42305.75</v>
      </c>
      <c r="B963">
        <v>11.420073</v>
      </c>
      <c r="C963">
        <v>134.11630199999999</v>
      </c>
      <c r="D963">
        <v>60.027138000000001</v>
      </c>
      <c r="E963">
        <v>31.327499</v>
      </c>
      <c r="F963">
        <v>940.51000999999997</v>
      </c>
      <c r="H963" s="50">
        <f t="shared" si="129"/>
        <v>1.2579311186243365E-2</v>
      </c>
      <c r="I963" s="50">
        <f t="shared" si="130"/>
        <v>1.0121159392676156E-3</v>
      </c>
      <c r="J963" s="50">
        <f t="shared" si="131"/>
        <v>-1.1661338691570827E-2</v>
      </c>
      <c r="K963" s="50">
        <f t="shared" si="132"/>
        <v>1.0384725994567129E-3</v>
      </c>
      <c r="L963" s="50">
        <f t="shared" si="133"/>
        <v>1.120319828996511E-2</v>
      </c>
      <c r="P963" s="50">
        <f t="shared" si="128"/>
        <v>1.120319828996511E-2</v>
      </c>
      <c r="Q963" s="51">
        <f t="shared" ref="Q963:Q1026" si="134">Q962*(1+P963)</f>
        <v>127.73495194137831</v>
      </c>
      <c r="R963" s="51">
        <f t="shared" ref="R963:R1026" si="135">R962*(1+H963)</f>
        <v>78.917736968865867</v>
      </c>
      <c r="Y963">
        <v>958</v>
      </c>
      <c r="Z963">
        <v>9.1050461710779196</v>
      </c>
    </row>
    <row r="964" spans="1:26" x14ac:dyDescent="0.15">
      <c r="A964" s="59">
        <v>42306.75</v>
      </c>
      <c r="B964">
        <v>11.278200999999999</v>
      </c>
      <c r="C964">
        <v>133.98069799999999</v>
      </c>
      <c r="D964">
        <v>60.735393999999999</v>
      </c>
      <c r="E964">
        <v>31.295000000000002</v>
      </c>
      <c r="F964">
        <v>930.09002699999996</v>
      </c>
      <c r="H964" s="50">
        <f t="shared" si="129"/>
        <v>-6.4225470932166746E-3</v>
      </c>
      <c r="I964" s="50">
        <f t="shared" si="130"/>
        <v>-6.4716636338429208E-3</v>
      </c>
      <c r="J964" s="50">
        <f t="shared" si="131"/>
        <v>-1.0354393352174569E-3</v>
      </c>
      <c r="K964" s="50">
        <f t="shared" si="132"/>
        <v>-3.8991008196068663E-3</v>
      </c>
      <c r="L964" s="50">
        <f t="shared" si="133"/>
        <v>-2.5154858892577021E-2</v>
      </c>
      <c r="P964" s="50">
        <f t="shared" si="128"/>
        <v>-2.5154858892577021E-2</v>
      </c>
      <c r="Q964" s="51">
        <f t="shared" si="134"/>
        <v>124.52179724964283</v>
      </c>
      <c r="R964" s="51">
        <f t="shared" si="135"/>
        <v>78.410884086693244</v>
      </c>
      <c r="Y964">
        <v>959</v>
      </c>
      <c r="Z964">
        <v>6.5149205021655971</v>
      </c>
    </row>
    <row r="965" spans="1:26" x14ac:dyDescent="0.15">
      <c r="A965" s="59">
        <v>42307.75</v>
      </c>
      <c r="B965">
        <v>11.351103999999999</v>
      </c>
      <c r="C965">
        <v>134.85342399999999</v>
      </c>
      <c r="D965">
        <v>60.798347</v>
      </c>
      <c r="E965">
        <v>31.4175</v>
      </c>
      <c r="F965">
        <v>954.09002699999996</v>
      </c>
      <c r="H965" s="50">
        <f t="shared" si="129"/>
        <v>-8.6043896125470934E-3</v>
      </c>
      <c r="I965" s="50">
        <f t="shared" si="130"/>
        <v>2.2037071305891906E-3</v>
      </c>
      <c r="J965" s="50">
        <f t="shared" si="131"/>
        <v>-1.2399916071203138E-2</v>
      </c>
      <c r="K965" s="50">
        <f t="shared" si="132"/>
        <v>4.8616207916592682E-3</v>
      </c>
      <c r="L965" s="50">
        <f t="shared" si="133"/>
        <v>-1.5132875354838747E-2</v>
      </c>
      <c r="P965" s="50">
        <f t="shared" si="128"/>
        <v>-1.5132875354838747E-2</v>
      </c>
      <c r="Q965" s="51">
        <f t="shared" si="134"/>
        <v>122.63742441290348</v>
      </c>
      <c r="R965" s="51">
        <f t="shared" si="135"/>
        <v>77.736206290147067</v>
      </c>
      <c r="Y965">
        <v>960</v>
      </c>
      <c r="Z965">
        <v>6.8766039530653149</v>
      </c>
    </row>
    <row r="966" spans="1:26" x14ac:dyDescent="0.15">
      <c r="A966" s="59">
        <v>42308.75</v>
      </c>
      <c r="B966">
        <v>11.449621</v>
      </c>
      <c r="C966">
        <v>134.55690000000001</v>
      </c>
      <c r="D966">
        <v>61.561706999999998</v>
      </c>
      <c r="E966">
        <v>31.265498999999998</v>
      </c>
      <c r="F966">
        <v>968.75</v>
      </c>
      <c r="H966" s="50">
        <f t="shared" si="129"/>
        <v>-4.4545395419399872E-3</v>
      </c>
      <c r="I966" s="50">
        <f t="shared" si="130"/>
        <v>1.0499622845006126E-2</v>
      </c>
      <c r="J966" s="50">
        <f t="shared" si="131"/>
        <v>1.0854496308340544E-2</v>
      </c>
      <c r="K966" s="50">
        <f t="shared" si="132"/>
        <v>-2.4401340996915752E-2</v>
      </c>
      <c r="L966" s="50">
        <f t="shared" si="133"/>
        <v>2.5354569289304549E-3</v>
      </c>
      <c r="P966" s="50">
        <f t="shared" si="128"/>
        <v>2.5354569289304549E-3</v>
      </c>
      <c r="Q966" s="51">
        <f t="shared" si="134"/>
        <v>122.94836632037736</v>
      </c>
      <c r="R966" s="51">
        <f t="shared" si="135"/>
        <v>77.389927285387202</v>
      </c>
      <c r="Y966">
        <v>961</v>
      </c>
      <c r="Z966">
        <v>5.2425011736834763</v>
      </c>
    </row>
    <row r="967" spans="1:26" x14ac:dyDescent="0.15">
      <c r="A967" s="59">
        <v>42311.75</v>
      </c>
      <c r="B967">
        <v>11.500852</v>
      </c>
      <c r="C967">
        <v>133.158783</v>
      </c>
      <c r="D967">
        <v>60.900660999999999</v>
      </c>
      <c r="E967">
        <v>32.047500999999997</v>
      </c>
      <c r="F967">
        <v>966.29998799999998</v>
      </c>
      <c r="H967" s="50">
        <f t="shared" si="129"/>
        <v>-4.094513608083542E-3</v>
      </c>
      <c r="I967" s="50">
        <f t="shared" si="130"/>
        <v>5.631368119152165E-3</v>
      </c>
      <c r="J967" s="50">
        <f t="shared" si="131"/>
        <v>-9.724964419592759E-3</v>
      </c>
      <c r="K967" s="50">
        <f t="shared" si="132"/>
        <v>-2.2420498057790235E-2</v>
      </c>
      <c r="L967" s="50">
        <f t="shared" si="133"/>
        <v>-3.9224471290082046E-2</v>
      </c>
      <c r="P967" s="50">
        <f t="shared" si="128"/>
        <v>-3.9224471290082046E-2</v>
      </c>
      <c r="Q967" s="51">
        <f t="shared" si="134"/>
        <v>118.12578165548123</v>
      </c>
      <c r="R967" s="51">
        <f t="shared" si="135"/>
        <v>77.073053174988587</v>
      </c>
      <c r="Y967">
        <v>962</v>
      </c>
      <c r="Z967">
        <v>8.9103924147196842</v>
      </c>
    </row>
    <row r="968" spans="1:26" x14ac:dyDescent="0.15">
      <c r="A968" s="59">
        <v>42312.75</v>
      </c>
      <c r="B968">
        <v>11.548136</v>
      </c>
      <c r="C968">
        <v>132.413116</v>
      </c>
      <c r="D968">
        <v>61.498733999999999</v>
      </c>
      <c r="E968">
        <v>32.782501000000003</v>
      </c>
      <c r="F968">
        <v>1005.75</v>
      </c>
      <c r="H968" s="50">
        <f t="shared" si="129"/>
        <v>-2.8924240834736058E-3</v>
      </c>
      <c r="I968" s="50">
        <f t="shared" si="130"/>
        <v>-8.1246767454687431E-3</v>
      </c>
      <c r="J968" s="50">
        <f t="shared" si="131"/>
        <v>1.2043632979017492E-2</v>
      </c>
      <c r="K968" s="50">
        <f t="shared" si="132"/>
        <v>-5.6416582884665639E-3</v>
      </c>
      <c r="L968" s="50">
        <f t="shared" si="133"/>
        <v>5.5606262673966116E-2</v>
      </c>
      <c r="P968" s="50">
        <f t="shared" si="128"/>
        <v>5.5606262673966116E-2</v>
      </c>
      <c r="Q968" s="51">
        <f t="shared" si="134"/>
        <v>124.6943148987835</v>
      </c>
      <c r="R968" s="51">
        <f t="shared" si="135"/>
        <v>76.850125219798414</v>
      </c>
      <c r="Y968">
        <v>963</v>
      </c>
      <c r="Z968">
        <v>8.1255673807185271</v>
      </c>
    </row>
    <row r="969" spans="1:26" x14ac:dyDescent="0.15">
      <c r="A969" s="59">
        <v>42313.75</v>
      </c>
      <c r="B969">
        <v>11.581635</v>
      </c>
      <c r="C969">
        <v>133.49774199999999</v>
      </c>
      <c r="D969">
        <v>60.76688</v>
      </c>
      <c r="E969">
        <v>32.968497999999997</v>
      </c>
      <c r="F969">
        <v>952.77002000000005</v>
      </c>
      <c r="H969" s="50">
        <f t="shared" si="129"/>
        <v>4.9583092288745974E-3</v>
      </c>
      <c r="I969" s="50">
        <f t="shared" si="130"/>
        <v>1.5403683414442728E-2</v>
      </c>
      <c r="J969" s="50">
        <f t="shared" si="131"/>
        <v>1.2986581297814E-2</v>
      </c>
      <c r="K969" s="50">
        <f t="shared" si="132"/>
        <v>5.9191135840904159E-3</v>
      </c>
      <c r="L969" s="50">
        <f t="shared" si="133"/>
        <v>5.2924160922309324E-2</v>
      </c>
      <c r="P969" s="50">
        <f t="shared" si="128"/>
        <v>5.2924160922309324E-2</v>
      </c>
      <c r="Q969" s="51">
        <f t="shared" si="134"/>
        <v>131.29365688658382</v>
      </c>
      <c r="R969" s="51">
        <f t="shared" si="135"/>
        <v>77.231171904915897</v>
      </c>
      <c r="Y969">
        <v>964</v>
      </c>
      <c r="Z969">
        <v>10.437550941172528</v>
      </c>
    </row>
    <row r="970" spans="1:26" x14ac:dyDescent="0.15">
      <c r="A970" s="59">
        <v>42314.75</v>
      </c>
      <c r="B970">
        <v>11.524493</v>
      </c>
      <c r="C970">
        <v>131.47257999999999</v>
      </c>
      <c r="D970">
        <v>59.987842999999998</v>
      </c>
      <c r="E970">
        <v>32.774501999999998</v>
      </c>
      <c r="F970">
        <v>904.88000499999998</v>
      </c>
      <c r="H970" s="50">
        <f t="shared" si="129"/>
        <v>-3.2379542169863169E-3</v>
      </c>
      <c r="I970" s="50">
        <f t="shared" si="130"/>
        <v>-1.0549545968031376E-2</v>
      </c>
      <c r="J970" s="50">
        <f t="shared" si="131"/>
        <v>-1.2436211234566849E-2</v>
      </c>
      <c r="K970" s="50">
        <f t="shared" si="132"/>
        <v>-6.3515338845642469E-3</v>
      </c>
      <c r="L970" s="50">
        <f t="shared" si="133"/>
        <v>-2.8045398210994783E-2</v>
      </c>
      <c r="P970" s="50">
        <f t="shared" si="128"/>
        <v>-2.8045398210994783E-2</v>
      </c>
      <c r="Q970" s="51">
        <f t="shared" si="134"/>
        <v>127.61147399662185</v>
      </c>
      <c r="R970" s="51">
        <f t="shared" si="135"/>
        <v>76.981100906163576</v>
      </c>
      <c r="Y970">
        <v>965</v>
      </c>
      <c r="Z970">
        <v>5.6691002738373495</v>
      </c>
    </row>
    <row r="971" spans="1:26" x14ac:dyDescent="0.15">
      <c r="A971" s="59">
        <v>42315.75</v>
      </c>
      <c r="B971">
        <v>11.56193</v>
      </c>
      <c r="C971">
        <v>132.87434400000001</v>
      </c>
      <c r="D971">
        <v>60.743259000000002</v>
      </c>
      <c r="E971">
        <v>32.984000999999999</v>
      </c>
      <c r="F971">
        <v>930.98999000000003</v>
      </c>
      <c r="H971" s="50">
        <f t="shared" si="129"/>
        <v>1.9104041527374944E-2</v>
      </c>
      <c r="I971" s="50">
        <f t="shared" si="130"/>
        <v>1.2817510274092139E-4</v>
      </c>
      <c r="J971" s="50">
        <f t="shared" si="131"/>
        <v>3.0986946630176621E-2</v>
      </c>
      <c r="K971" s="50">
        <f t="shared" si="132"/>
        <v>-2.0155871973612894E-2</v>
      </c>
      <c r="L971" s="50">
        <f t="shared" si="133"/>
        <v>1.2815317194180954E-2</v>
      </c>
      <c r="P971" s="50">
        <f t="shared" si="128"/>
        <v>1.2815317194180954E-2</v>
      </c>
      <c r="Q971" s="51">
        <f t="shared" si="134"/>
        <v>129.24685551350552</v>
      </c>
      <c r="R971" s="51">
        <f t="shared" si="135"/>
        <v>78.451751054697965</v>
      </c>
      <c r="Y971">
        <v>966</v>
      </c>
      <c r="Z971">
        <v>9.7160675168715382</v>
      </c>
    </row>
    <row r="972" spans="1:26" x14ac:dyDescent="0.15">
      <c r="A972" s="59">
        <v>42318.75</v>
      </c>
      <c r="B972">
        <v>11.345191</v>
      </c>
      <c r="C972">
        <v>132.857315</v>
      </c>
      <c r="D972">
        <v>58.917583</v>
      </c>
      <c r="E972">
        <v>33.662497999999999</v>
      </c>
      <c r="F972">
        <v>919.21002199999998</v>
      </c>
      <c r="H972" s="50">
        <f t="shared" si="129"/>
        <v>1.1062143672319067E-2</v>
      </c>
      <c r="I972" s="50">
        <f t="shared" si="130"/>
        <v>2.4998789671606919E-3</v>
      </c>
      <c r="J972" s="50">
        <f t="shared" si="131"/>
        <v>-8.0079977204024775E-4</v>
      </c>
      <c r="K972" s="50">
        <f t="shared" si="132"/>
        <v>1.1493359720353443E-2</v>
      </c>
      <c r="L972" s="50">
        <f t="shared" si="133"/>
        <v>2.2537415573225406E-2</v>
      </c>
      <c r="P972" s="50">
        <f t="shared" si="128"/>
        <v>2.2537415573225406E-2</v>
      </c>
      <c r="Q972" s="51">
        <f t="shared" si="134"/>
        <v>132.159745607746</v>
      </c>
      <c r="R972" s="51">
        <f t="shared" si="135"/>
        <v>79.319595596210036</v>
      </c>
      <c r="Y972">
        <v>967</v>
      </c>
      <c r="Z972">
        <v>7.5201548874634838</v>
      </c>
    </row>
    <row r="973" spans="1:26" x14ac:dyDescent="0.15">
      <c r="A973" s="59">
        <v>42319.75</v>
      </c>
      <c r="B973">
        <v>11.221062</v>
      </c>
      <c r="C973">
        <v>132.526016</v>
      </c>
      <c r="D973">
        <v>58.964801999999999</v>
      </c>
      <c r="E973">
        <v>33.279998999999997</v>
      </c>
      <c r="F973">
        <v>898.95001200000002</v>
      </c>
      <c r="H973" s="50">
        <f t="shared" si="129"/>
        <v>9.393669091980715E-3</v>
      </c>
      <c r="I973" s="50">
        <f t="shared" si="130"/>
        <v>1.5162399920040809E-2</v>
      </c>
      <c r="J973" s="50">
        <f t="shared" si="131"/>
        <v>4.2286831476103813E-2</v>
      </c>
      <c r="K973" s="50">
        <f t="shared" si="132"/>
        <v>3.6195189538413539E-2</v>
      </c>
      <c r="L973" s="50">
        <f t="shared" si="133"/>
        <v>5.473427743378078E-2</v>
      </c>
      <c r="P973" s="50">
        <f t="shared" si="128"/>
        <v>5.473427743378078E-2</v>
      </c>
      <c r="Q973" s="51">
        <f t="shared" si="134"/>
        <v>139.39341378941825</v>
      </c>
      <c r="R973" s="51">
        <f t="shared" si="135"/>
        <v>80.064697629750569</v>
      </c>
      <c r="Y973">
        <v>968</v>
      </c>
      <c r="Z973">
        <v>9.049422258618371</v>
      </c>
    </row>
    <row r="974" spans="1:26" x14ac:dyDescent="0.15">
      <c r="A974" s="59">
        <v>42320.75</v>
      </c>
      <c r="B974">
        <v>11.116636</v>
      </c>
      <c r="C974">
        <v>130.546616</v>
      </c>
      <c r="D974">
        <v>56.572529000000003</v>
      </c>
      <c r="E974">
        <v>32.1175</v>
      </c>
      <c r="F974">
        <v>852.29998799999998</v>
      </c>
      <c r="H974" s="50">
        <f t="shared" si="129"/>
        <v>-2.5055756148085476E-2</v>
      </c>
      <c r="I974" s="50">
        <f t="shared" si="130"/>
        <v>-1.7769569614668343E-2</v>
      </c>
      <c r="J974" s="50">
        <f t="shared" si="131"/>
        <v>-1.3552643715920683E-2</v>
      </c>
      <c r="K974" s="50">
        <f t="shared" si="132"/>
        <v>-8.4283666021940165E-3</v>
      </c>
      <c r="L974" s="50">
        <f t="shared" si="133"/>
        <v>-6.4732402883947909E-2</v>
      </c>
      <c r="P974" s="50">
        <f t="shared" si="128"/>
        <v>-6.4732402883947909E-2</v>
      </c>
      <c r="Q974" s="51">
        <f t="shared" si="134"/>
        <v>130.37014316863278</v>
      </c>
      <c r="R974" s="51">
        <f t="shared" si="135"/>
        <v>78.058616089869332</v>
      </c>
      <c r="Y974">
        <v>969</v>
      </c>
      <c r="Z974">
        <v>5.4876291421117394</v>
      </c>
    </row>
    <row r="975" spans="1:26" x14ac:dyDescent="0.15">
      <c r="A975" s="59">
        <v>42321.75</v>
      </c>
      <c r="B975">
        <v>11.402329999999999</v>
      </c>
      <c r="C975">
        <v>132.90834000000001</v>
      </c>
      <c r="D975">
        <v>57.349769999999999</v>
      </c>
      <c r="E975">
        <v>32.390498999999998</v>
      </c>
      <c r="F975">
        <v>911.28997800000002</v>
      </c>
      <c r="H975" s="50">
        <f t="shared" si="129"/>
        <v>-3.4212469309690303E-2</v>
      </c>
      <c r="I975" s="50">
        <f t="shared" si="130"/>
        <v>-1.535644552972488E-2</v>
      </c>
      <c r="J975" s="50">
        <f t="shared" si="131"/>
        <v>-8.2294801899745699E-3</v>
      </c>
      <c r="K975" s="50">
        <f t="shared" si="132"/>
        <v>7.0106635470025876E-3</v>
      </c>
      <c r="L975" s="50">
        <f t="shared" si="133"/>
        <v>4.3513610550102978E-2</v>
      </c>
      <c r="P975" s="50">
        <f t="shared" si="128"/>
        <v>4.3513610550102978E-2</v>
      </c>
      <c r="Q975" s="51">
        <f t="shared" si="134"/>
        <v>136.04301880583384</v>
      </c>
      <c r="R975" s="51">
        <f t="shared" si="135"/>
        <v>75.388038082537776</v>
      </c>
      <c r="Y975">
        <v>970</v>
      </c>
      <c r="Z975">
        <v>8.3334122956795778</v>
      </c>
    </row>
    <row r="976" spans="1:26" x14ac:dyDescent="0.15">
      <c r="A976" s="59">
        <v>42322.75</v>
      </c>
      <c r="B976">
        <v>11.806251</v>
      </c>
      <c r="C976">
        <v>134.98117099999999</v>
      </c>
      <c r="D976">
        <v>57.825645000000002</v>
      </c>
      <c r="E976">
        <v>32.165000999999997</v>
      </c>
      <c r="F976">
        <v>873.28997800000002</v>
      </c>
      <c r="H976" s="50">
        <f t="shared" si="129"/>
        <v>-1.6576407581513297E-2</v>
      </c>
      <c r="I976" s="50">
        <f t="shared" si="130"/>
        <v>-1.4635780226673979E-2</v>
      </c>
      <c r="J976" s="50">
        <f t="shared" si="131"/>
        <v>4.4855390013198396E-2</v>
      </c>
      <c r="K976" s="50">
        <f t="shared" si="132"/>
        <v>-3.0502970763057014E-2</v>
      </c>
      <c r="L976" s="50">
        <f t="shared" si="133"/>
        <v>2.6494243902439048E-2</v>
      </c>
      <c r="P976" s="50">
        <f t="shared" si="128"/>
        <v>2.6494243902439048E-2</v>
      </c>
      <c r="Q976" s="51">
        <f t="shared" si="134"/>
        <v>139.6473757272997</v>
      </c>
      <c r="R976" s="51">
        <f t="shared" si="135"/>
        <v>74.138375236510981</v>
      </c>
      <c r="Y976">
        <v>971</v>
      </c>
      <c r="Z976">
        <v>7.8598420803919424</v>
      </c>
    </row>
    <row r="977" spans="1:26" x14ac:dyDescent="0.15">
      <c r="A977" s="59">
        <v>42325.75</v>
      </c>
      <c r="B977">
        <v>12.005255</v>
      </c>
      <c r="C977">
        <v>136.98606899999999</v>
      </c>
      <c r="D977">
        <v>55.343204</v>
      </c>
      <c r="E977">
        <v>33.176997999999998</v>
      </c>
      <c r="F977">
        <v>850.75</v>
      </c>
      <c r="H977" s="50">
        <f t="shared" si="129"/>
        <v>3.7891503943540813E-3</v>
      </c>
      <c r="I977" s="50">
        <f t="shared" si="130"/>
        <v>-9.7029557126945536E-3</v>
      </c>
      <c r="J977" s="50">
        <f t="shared" si="131"/>
        <v>-1.0914394235240819E-2</v>
      </c>
      <c r="K977" s="50">
        <f t="shared" si="132"/>
        <v>3.432758281269546E-3</v>
      </c>
      <c r="L977" s="50">
        <f t="shared" si="133"/>
        <v>-9.7425214739647829E-3</v>
      </c>
      <c r="P977" s="50">
        <f t="shared" si="128"/>
        <v>-9.7425214739647829E-3</v>
      </c>
      <c r="Q977" s="51">
        <f t="shared" si="134"/>
        <v>138.28685817049364</v>
      </c>
      <c r="R977" s="51">
        <f t="shared" si="135"/>
        <v>74.419296690275175</v>
      </c>
      <c r="Y977">
        <v>972</v>
      </c>
      <c r="Z977">
        <v>7.5928943198204699</v>
      </c>
    </row>
    <row r="978" spans="1:26" x14ac:dyDescent="0.15">
      <c r="A978" s="59">
        <v>42326.75</v>
      </c>
      <c r="B978">
        <v>11.959937</v>
      </c>
      <c r="C978">
        <v>138.328262</v>
      </c>
      <c r="D978">
        <v>55.953907000000001</v>
      </c>
      <c r="E978">
        <v>33.063499</v>
      </c>
      <c r="F978">
        <v>859.11999500000002</v>
      </c>
      <c r="H978" s="50">
        <f t="shared" si="129"/>
        <v>1.0488008291452616E-2</v>
      </c>
      <c r="I978" s="50">
        <f t="shared" si="130"/>
        <v>-1.6557436824252692E-3</v>
      </c>
      <c r="J978" s="50">
        <f t="shared" si="131"/>
        <v>-3.9529536900903342E-3</v>
      </c>
      <c r="K978" s="50">
        <f t="shared" si="132"/>
        <v>-1.0741326629027456E-2</v>
      </c>
      <c r="L978" s="50">
        <f t="shared" si="133"/>
        <v>6.5139201186036846E-2</v>
      </c>
      <c r="P978" s="50">
        <f t="shared" si="128"/>
        <v>6.5139201186036846E-2</v>
      </c>
      <c r="Q978" s="51">
        <f t="shared" si="134"/>
        <v>147.29475364624636</v>
      </c>
      <c r="R978" s="51">
        <f t="shared" si="135"/>
        <v>75.199806891006858</v>
      </c>
      <c r="Y978">
        <v>973</v>
      </c>
      <c r="Z978">
        <v>8.7212498036196724</v>
      </c>
    </row>
    <row r="979" spans="1:26" x14ac:dyDescent="0.15">
      <c r="A979" s="59">
        <v>42327.75</v>
      </c>
      <c r="B979">
        <v>11.835803</v>
      </c>
      <c r="C979">
        <v>138.55767800000001</v>
      </c>
      <c r="D979">
        <v>56.175967999999997</v>
      </c>
      <c r="E979">
        <v>33.422500999999997</v>
      </c>
      <c r="F979">
        <v>806.580017</v>
      </c>
      <c r="H979" s="50">
        <f t="shared" si="129"/>
        <v>-3.1533926195738411E-3</v>
      </c>
      <c r="I979" s="50">
        <f t="shared" si="130"/>
        <v>-2.141212117423488E-3</v>
      </c>
      <c r="J979" s="50">
        <f t="shared" si="131"/>
        <v>-2.0061007237817289E-2</v>
      </c>
      <c r="K979" s="50">
        <f t="shared" si="132"/>
        <v>-1.5523055846976986E-2</v>
      </c>
      <c r="L979" s="50">
        <f t="shared" si="133"/>
        <v>7.1952600680578835E-2</v>
      </c>
      <c r="P979" s="50">
        <f t="shared" si="128"/>
        <v>7.1952600680578835E-2</v>
      </c>
      <c r="Q979" s="51">
        <f t="shared" si="134"/>
        <v>157.89299423769896</v>
      </c>
      <c r="R979" s="51">
        <f t="shared" si="135"/>
        <v>74.962672374963375</v>
      </c>
      <c r="Y979">
        <v>974</v>
      </c>
      <c r="Z979">
        <v>7.8520348503646504</v>
      </c>
    </row>
    <row r="980" spans="1:26" x14ac:dyDescent="0.15">
      <c r="A980" s="59">
        <v>42328.75</v>
      </c>
      <c r="B980">
        <v>11.873244</v>
      </c>
      <c r="C980">
        <v>138.854996</v>
      </c>
      <c r="D980">
        <v>57.325985000000003</v>
      </c>
      <c r="E980">
        <v>33.949500999999998</v>
      </c>
      <c r="F980">
        <v>752.44000200000005</v>
      </c>
      <c r="H980" s="50">
        <f t="shared" si="129"/>
        <v>5.6743669095295438E-3</v>
      </c>
      <c r="I980" s="50">
        <f t="shared" si="130"/>
        <v>7.7685673552779803E-3</v>
      </c>
      <c r="J980" s="50">
        <f t="shared" si="131"/>
        <v>-8.3686710704431126E-3</v>
      </c>
      <c r="K980" s="50">
        <f t="shared" si="132"/>
        <v>1.168150224782836E-2</v>
      </c>
      <c r="L980" s="50">
        <f t="shared" si="133"/>
        <v>-5.9485300894874235E-2</v>
      </c>
      <c r="P980" s="50">
        <f t="shared" si="128"/>
        <v>-5.9485300894874235E-2</v>
      </c>
      <c r="Q980" s="51">
        <f t="shared" si="134"/>
        <v>148.5006819662768</v>
      </c>
      <c r="R980" s="51">
        <f t="shared" si="135"/>
        <v>75.388038082537776</v>
      </c>
      <c r="Y980">
        <v>975</v>
      </c>
      <c r="Z980">
        <v>9.5102467939513566</v>
      </c>
    </row>
    <row r="981" spans="1:26" x14ac:dyDescent="0.15">
      <c r="A981" s="59">
        <v>42329.75</v>
      </c>
      <c r="B981">
        <v>11.806251</v>
      </c>
      <c r="C981">
        <v>137.78460699999999</v>
      </c>
      <c r="D981">
        <v>57.809775999999999</v>
      </c>
      <c r="E981">
        <v>33.557499</v>
      </c>
      <c r="F981">
        <v>800.03002900000001</v>
      </c>
      <c r="H981" s="50">
        <f t="shared" si="129"/>
        <v>-5.3122744181124714E-3</v>
      </c>
      <c r="I981" s="50">
        <f t="shared" si="130"/>
        <v>-1.2309500307282634E-3</v>
      </c>
      <c r="J981" s="50">
        <f t="shared" si="131"/>
        <v>-3.6903926514290368E-3</v>
      </c>
      <c r="K981" s="50">
        <f t="shared" si="132"/>
        <v>-6.2042530402021817E-3</v>
      </c>
      <c r="L981" s="50">
        <f t="shared" si="133"/>
        <v>-6.0788167691828314E-2</v>
      </c>
      <c r="P981" s="50">
        <f t="shared" si="128"/>
        <v>-6.0788167691828314E-2</v>
      </c>
      <c r="Q981" s="51">
        <f t="shared" si="134"/>
        <v>139.47359760855991</v>
      </c>
      <c r="R981" s="51">
        <f t="shared" si="135"/>
        <v>74.987556136400229</v>
      </c>
      <c r="Y981">
        <v>976</v>
      </c>
      <c r="Z981">
        <v>8.7238603119652058</v>
      </c>
    </row>
    <row r="982" spans="1:26" x14ac:dyDescent="0.15">
      <c r="A982" s="59">
        <v>42332.75</v>
      </c>
      <c r="B982">
        <v>11.869304</v>
      </c>
      <c r="C982">
        <v>137.95442199999999</v>
      </c>
      <c r="D982">
        <v>58.023907000000001</v>
      </c>
      <c r="E982">
        <v>33.766998000000001</v>
      </c>
      <c r="F982">
        <v>851.80999799999995</v>
      </c>
      <c r="H982" s="50">
        <f t="shared" si="129"/>
        <v>5.844153147777688E-3</v>
      </c>
      <c r="I982" s="50">
        <f t="shared" si="130"/>
        <v>-7.2757482972392266E-3</v>
      </c>
      <c r="J982" s="50">
        <f t="shared" si="131"/>
        <v>-3.8130514090906351E-3</v>
      </c>
      <c r="K982" s="50">
        <f t="shared" si="132"/>
        <v>3.0894455686923429E-3</v>
      </c>
      <c r="L982" s="50">
        <f t="shared" si="133"/>
        <v>-6.5081432048167695E-3</v>
      </c>
      <c r="P982" s="50">
        <f t="shared" si="128"/>
        <v>-6.5081432048167695E-3</v>
      </c>
      <c r="Q982" s="51">
        <f t="shared" si="134"/>
        <v>138.56588346203242</v>
      </c>
      <c r="R982" s="51">
        <f t="shared" si="135"/>
        <v>75.425794898638941</v>
      </c>
      <c r="Y982">
        <v>977</v>
      </c>
      <c r="Z982">
        <v>10.473090696502714</v>
      </c>
    </row>
    <row r="983" spans="1:26" x14ac:dyDescent="0.15">
      <c r="A983" s="59">
        <v>42333.75</v>
      </c>
      <c r="B983">
        <v>11.800341</v>
      </c>
      <c r="C983">
        <v>138.96549999999999</v>
      </c>
      <c r="D983">
        <v>58.246001999999997</v>
      </c>
      <c r="E983">
        <v>33.662998000000002</v>
      </c>
      <c r="F983">
        <v>857.39001499999995</v>
      </c>
      <c r="H983" s="50">
        <f t="shared" si="129"/>
        <v>1.784498082366464E-2</v>
      </c>
      <c r="I983" s="50">
        <f t="shared" si="130"/>
        <v>1.3381916568307596E-2</v>
      </c>
      <c r="J983" s="50">
        <f t="shared" si="131"/>
        <v>1.2966020265928292E-2</v>
      </c>
      <c r="K983" s="50">
        <f t="shared" si="132"/>
        <v>1.2725510666335245E-2</v>
      </c>
      <c r="L983" s="50">
        <f t="shared" si="133"/>
        <v>-3.4122632298641903E-2</v>
      </c>
      <c r="P983" s="50">
        <f t="shared" si="128"/>
        <v>-3.4122632298641903E-2</v>
      </c>
      <c r="Q983" s="51">
        <f t="shared" si="134"/>
        <v>133.83765077152103</v>
      </c>
      <c r="R983" s="51">
        <f t="shared" si="135"/>
        <v>76.771766762214824</v>
      </c>
      <c r="Y983">
        <v>978</v>
      </c>
      <c r="Z983">
        <v>8.6225484983101808</v>
      </c>
    </row>
    <row r="984" spans="1:26" x14ac:dyDescent="0.15">
      <c r="A984" s="59">
        <v>42334.75</v>
      </c>
      <c r="B984">
        <v>11.593456</v>
      </c>
      <c r="C984">
        <v>137.13043200000001</v>
      </c>
      <c r="D984">
        <v>57.500450000000001</v>
      </c>
      <c r="E984">
        <v>33.240001999999997</v>
      </c>
      <c r="F984">
        <v>887.67999299999997</v>
      </c>
      <c r="H984" s="50">
        <f t="shared" si="129"/>
        <v>-2.5427148389273488E-3</v>
      </c>
      <c r="I984" s="50">
        <f t="shared" si="130"/>
        <v>8.060356799474244E-4</v>
      </c>
      <c r="J984" s="50">
        <f t="shared" si="131"/>
        <v>-4.2579329283782994E-3</v>
      </c>
      <c r="K984" s="50">
        <f t="shared" si="132"/>
        <v>-2.0999529378833412E-2</v>
      </c>
      <c r="L984" s="50">
        <f t="shared" si="133"/>
        <v>-9.5510098807352548E-3</v>
      </c>
      <c r="P984" s="50">
        <f t="shared" si="128"/>
        <v>-9.5510098807352548E-3</v>
      </c>
      <c r="Q984" s="51">
        <f t="shared" si="134"/>
        <v>132.55936604658785</v>
      </c>
      <c r="R984" s="51">
        <f t="shared" si="135"/>
        <v>76.576558051657869</v>
      </c>
      <c r="Y984">
        <v>979</v>
      </c>
      <c r="Z984">
        <v>8.4393057000793412</v>
      </c>
    </row>
    <row r="985" spans="1:26" x14ac:dyDescent="0.15">
      <c r="A985" s="59">
        <v>42336.75</v>
      </c>
      <c r="B985">
        <v>11.623010000000001</v>
      </c>
      <c r="C985">
        <v>137.01998900000001</v>
      </c>
      <c r="D985">
        <v>57.74633</v>
      </c>
      <c r="E985">
        <v>33.952998999999998</v>
      </c>
      <c r="F985">
        <v>896.23999000000003</v>
      </c>
      <c r="H985" s="50">
        <f t="shared" si="129"/>
        <v>-1.4224650570800156E-2</v>
      </c>
      <c r="I985" s="50">
        <f t="shared" si="130"/>
        <v>1.2408826020199274E-3</v>
      </c>
      <c r="J985" s="50">
        <f t="shared" si="131"/>
        <v>1.2234051028638001E-2</v>
      </c>
      <c r="K985" s="50">
        <f t="shared" si="132"/>
        <v>4.5117677108848691E-3</v>
      </c>
      <c r="L985" s="50">
        <f t="shared" si="133"/>
        <v>9.8050704895657426E-2</v>
      </c>
      <c r="P985" s="50">
        <f t="shared" si="128"/>
        <v>9.8050704895657426E-2</v>
      </c>
      <c r="Q985" s="51">
        <f t="shared" si="134"/>
        <v>145.55690532797726</v>
      </c>
      <c r="R985" s="51">
        <f t="shared" si="135"/>
        <v>75.487283271458438</v>
      </c>
      <c r="Y985">
        <v>980</v>
      </c>
      <c r="Z985">
        <v>7.3616970677858298</v>
      </c>
    </row>
    <row r="986" spans="1:26" x14ac:dyDescent="0.15">
      <c r="A986" s="59">
        <v>42339.75</v>
      </c>
      <c r="B986">
        <v>11.790729000000001</v>
      </c>
      <c r="C986">
        <v>136.85017400000001</v>
      </c>
      <c r="D986">
        <v>57.048397000000001</v>
      </c>
      <c r="E986">
        <v>33.800499000000002</v>
      </c>
      <c r="F986">
        <v>816.21002199999998</v>
      </c>
      <c r="H986" s="50">
        <f t="shared" si="129"/>
        <v>-1.168669001981785E-2</v>
      </c>
      <c r="I986" s="50">
        <f t="shared" si="130"/>
        <v>-1.5762955169947516E-2</v>
      </c>
      <c r="J986" s="50">
        <f t="shared" si="131"/>
        <v>-1.7215508799157304E-2</v>
      </c>
      <c r="K986" s="50">
        <f t="shared" si="132"/>
        <v>1.464912570356479E-2</v>
      </c>
      <c r="L986" s="50">
        <f t="shared" si="133"/>
        <v>-3.8406682386886742E-2</v>
      </c>
      <c r="P986" s="50">
        <f t="shared" si="128"/>
        <v>-3.8406682386886742E-2</v>
      </c>
      <c r="Q986" s="51">
        <f t="shared" si="134"/>
        <v>139.96654749582751</v>
      </c>
      <c r="R986" s="51">
        <f t="shared" si="135"/>
        <v>74.605086791426729</v>
      </c>
      <c r="Y986">
        <v>981</v>
      </c>
      <c r="Z986">
        <v>7.8708321062172946</v>
      </c>
    </row>
    <row r="987" spans="1:26" x14ac:dyDescent="0.15">
      <c r="A987" s="59">
        <v>42340.75</v>
      </c>
      <c r="B987">
        <v>11.930153000000001</v>
      </c>
      <c r="C987">
        <v>139.04188500000001</v>
      </c>
      <c r="D987">
        <v>58.047718000000003</v>
      </c>
      <c r="E987">
        <v>33.3125</v>
      </c>
      <c r="F987">
        <v>848.80999799999995</v>
      </c>
      <c r="H987" s="50">
        <f t="shared" si="129"/>
        <v>-1.0392323397318475E-2</v>
      </c>
      <c r="I987" s="50">
        <f t="shared" si="130"/>
        <v>-1.8764962369998195E-2</v>
      </c>
      <c r="J987" s="50">
        <f t="shared" si="131"/>
        <v>-9.6074245134647081E-3</v>
      </c>
      <c r="K987" s="50">
        <f t="shared" si="132"/>
        <v>-9.4998810656516976E-3</v>
      </c>
      <c r="L987" s="50">
        <f t="shared" si="133"/>
        <v>-2.5185465525707718E-2</v>
      </c>
      <c r="P987" s="50">
        <f t="shared" si="128"/>
        <v>-2.5185465525707718E-2</v>
      </c>
      <c r="Q987" s="51">
        <f t="shared" si="134"/>
        <v>136.44142483911901</v>
      </c>
      <c r="R987" s="51">
        <f t="shared" si="135"/>
        <v>73.829766602405215</v>
      </c>
      <c r="Y987">
        <v>982</v>
      </c>
      <c r="Z987">
        <v>6.1895242909642194</v>
      </c>
    </row>
    <row r="988" spans="1:26" x14ac:dyDescent="0.15">
      <c r="A988" s="59">
        <v>42341.75</v>
      </c>
      <c r="B988">
        <v>12.055437</v>
      </c>
      <c r="C988">
        <v>141.700897</v>
      </c>
      <c r="D988">
        <v>58.610816999999997</v>
      </c>
      <c r="E988">
        <v>33.631999999999998</v>
      </c>
      <c r="F988">
        <v>870.73999000000003</v>
      </c>
      <c r="H988" s="50">
        <f t="shared" si="129"/>
        <v>-1.388421956202843E-2</v>
      </c>
      <c r="I988" s="50">
        <f t="shared" si="130"/>
        <v>-1.9148111438964193E-3</v>
      </c>
      <c r="J988" s="50">
        <f t="shared" si="131"/>
        <v>6.9490023432325935E-3</v>
      </c>
      <c r="K988" s="50">
        <f t="shared" si="132"/>
        <v>4.1950642940726474E-3</v>
      </c>
      <c r="L988" s="50">
        <f t="shared" si="133"/>
        <v>3.0193345963899436E-2</v>
      </c>
      <c r="P988" s="50">
        <f t="shared" si="128"/>
        <v>3.0193345963899436E-2</v>
      </c>
      <c r="Q988" s="51">
        <f t="shared" si="134"/>
        <v>140.56104798309391</v>
      </c>
      <c r="R988" s="51">
        <f t="shared" si="135"/>
        <v>72.804697912684105</v>
      </c>
      <c r="Y988">
        <v>983</v>
      </c>
      <c r="Z988">
        <v>6.6192287739853404</v>
      </c>
    </row>
    <row r="989" spans="1:26" x14ac:dyDescent="0.15">
      <c r="A989" s="59">
        <v>42342.75</v>
      </c>
      <c r="B989">
        <v>12.225174000000001</v>
      </c>
      <c r="C989">
        <v>141.972748</v>
      </c>
      <c r="D989">
        <v>58.206341000000002</v>
      </c>
      <c r="E989">
        <v>33.491501</v>
      </c>
      <c r="F989">
        <v>845.21997099999999</v>
      </c>
      <c r="H989" s="50">
        <f t="shared" si="129"/>
        <v>1.4930009845303698E-2</v>
      </c>
      <c r="I989" s="50">
        <f t="shared" si="130"/>
        <v>-1.036284859306115E-2</v>
      </c>
      <c r="J989" s="50">
        <f t="shared" si="131"/>
        <v>1.004668319364942E-2</v>
      </c>
      <c r="K989" s="50">
        <f t="shared" si="132"/>
        <v>-1.107288881127696E-2</v>
      </c>
      <c r="L989" s="50">
        <f t="shared" si="133"/>
        <v>-3.5214121877819339E-2</v>
      </c>
      <c r="P989" s="50">
        <f t="shared" si="128"/>
        <v>-3.5214121877819339E-2</v>
      </c>
      <c r="Q989" s="51">
        <f t="shared" si="134"/>
        <v>135.61131410814323</v>
      </c>
      <c r="R989" s="51">
        <f t="shared" si="135"/>
        <v>73.891672769304847</v>
      </c>
      <c r="Y989">
        <v>984</v>
      </c>
      <c r="Z989">
        <v>6.2899464526717859</v>
      </c>
    </row>
    <row r="990" spans="1:26" x14ac:dyDescent="0.15">
      <c r="A990" s="59">
        <v>42343.75</v>
      </c>
      <c r="B990">
        <v>12.045337</v>
      </c>
      <c r="C990">
        <v>143.459396</v>
      </c>
      <c r="D990">
        <v>57.627377000000003</v>
      </c>
      <c r="E990">
        <v>33.866501</v>
      </c>
      <c r="F990">
        <v>876.07000700000003</v>
      </c>
      <c r="H990" s="50">
        <f t="shared" si="129"/>
        <v>8.1178627126675586E-3</v>
      </c>
      <c r="I990" s="50">
        <f t="shared" si="130"/>
        <v>5.7287537963312221E-2</v>
      </c>
      <c r="J990" s="50">
        <f t="shared" si="131"/>
        <v>9.027009256296261E-3</v>
      </c>
      <c r="K990" s="50">
        <f t="shared" si="132"/>
        <v>1.8863191014497332E-2</v>
      </c>
      <c r="L990" s="50">
        <f t="shared" si="133"/>
        <v>-3.6968236293702481E-2</v>
      </c>
      <c r="P990" s="50">
        <f t="shared" si="128"/>
        <v>-3.6968236293702481E-2</v>
      </c>
      <c r="Q990" s="51">
        <f t="shared" si="134"/>
        <v>130.5980030040939</v>
      </c>
      <c r="R990" s="51">
        <f t="shared" si="135"/>
        <v>74.491515224455412</v>
      </c>
      <c r="Y990">
        <v>985</v>
      </c>
      <c r="Z990">
        <v>8.2672951017463259</v>
      </c>
    </row>
    <row r="991" spans="1:26" x14ac:dyDescent="0.15">
      <c r="A991" s="59">
        <v>42346.75</v>
      </c>
      <c r="B991">
        <v>11.948342</v>
      </c>
      <c r="C991">
        <v>135.68626399999999</v>
      </c>
      <c r="D991">
        <v>57.111828000000003</v>
      </c>
      <c r="E991">
        <v>33.239497999999998</v>
      </c>
      <c r="F991">
        <v>909.70001200000002</v>
      </c>
      <c r="H991" s="50">
        <f t="shared" si="129"/>
        <v>-7.2197189701270932E-3</v>
      </c>
      <c r="I991" s="50">
        <f t="shared" si="130"/>
        <v>-1.3220920181955852E-2</v>
      </c>
      <c r="J991" s="50">
        <f t="shared" si="131"/>
        <v>-4.9748099080986615E-3</v>
      </c>
      <c r="K991" s="50">
        <f t="shared" si="132"/>
        <v>3.7292244314161126E-3</v>
      </c>
      <c r="L991" s="50">
        <f t="shared" si="133"/>
        <v>2.366461048791834E-2</v>
      </c>
      <c r="P991" s="50">
        <f t="shared" si="128"/>
        <v>2.366461048791834E-2</v>
      </c>
      <c r="Q991" s="51">
        <f t="shared" si="134"/>
        <v>133.68855387568576</v>
      </c>
      <c r="R991" s="51">
        <f t="shared" si="135"/>
        <v>73.953707418875908</v>
      </c>
      <c r="Y991">
        <v>986</v>
      </c>
      <c r="Z991">
        <v>10.488153756420903</v>
      </c>
    </row>
    <row r="992" spans="1:26" x14ac:dyDescent="0.15">
      <c r="A992" s="59">
        <v>42347.75</v>
      </c>
      <c r="B992">
        <v>12.035233</v>
      </c>
      <c r="C992">
        <v>137.50419600000001</v>
      </c>
      <c r="D992">
        <v>57.397368999999998</v>
      </c>
      <c r="E992">
        <v>33.116000999999997</v>
      </c>
      <c r="F992">
        <v>888.669983</v>
      </c>
      <c r="H992" s="50">
        <f t="shared" si="129"/>
        <v>3.3692043732210354E-3</v>
      </c>
      <c r="I992" s="50">
        <f t="shared" si="130"/>
        <v>1.1498548514451631E-2</v>
      </c>
      <c r="J992" s="50">
        <f t="shared" si="131"/>
        <v>7.3777126489738198E-3</v>
      </c>
      <c r="K992" s="50">
        <f t="shared" si="132"/>
        <v>3.4632539248613509E-2</v>
      </c>
      <c r="L992" s="50">
        <f t="shared" si="133"/>
        <v>-1.1754378272256366E-2</v>
      </c>
      <c r="P992" s="50">
        <f t="shared" si="128"/>
        <v>-1.1754378272256366E-2</v>
      </c>
      <c r="Q992" s="51">
        <f t="shared" si="134"/>
        <v>132.11712804276002</v>
      </c>
      <c r="R992" s="51">
        <f t="shared" si="135"/>
        <v>74.202872573327483</v>
      </c>
      <c r="Y992">
        <v>987</v>
      </c>
      <c r="Z992">
        <v>9.9774953200611751</v>
      </c>
    </row>
    <row r="993" spans="1:26" x14ac:dyDescent="0.15">
      <c r="A993" s="59">
        <v>42348.75</v>
      </c>
      <c r="B993">
        <v>11.994820000000001</v>
      </c>
      <c r="C993">
        <v>135.94107099999999</v>
      </c>
      <c r="D993">
        <v>56.977009000000002</v>
      </c>
      <c r="E993">
        <v>32.0075</v>
      </c>
      <c r="F993">
        <v>899.23999000000003</v>
      </c>
      <c r="H993" s="50">
        <f t="shared" si="129"/>
        <v>-1.7055550839026646E-2</v>
      </c>
      <c r="I993" s="50">
        <f t="shared" si="130"/>
        <v>-1.1245822775625339E-2</v>
      </c>
      <c r="J993" s="50">
        <f t="shared" si="131"/>
        <v>-1.2101404774345938E-2</v>
      </c>
      <c r="K993" s="50">
        <f t="shared" si="132"/>
        <v>-2.6994573725889502E-2</v>
      </c>
      <c r="L993" s="50">
        <f t="shared" si="133"/>
        <v>2.9361556573722278E-2</v>
      </c>
      <c r="P993" s="50">
        <f t="shared" si="128"/>
        <v>2.9361556573722278E-2</v>
      </c>
      <c r="Q993" s="51">
        <f t="shared" si="134"/>
        <v>135.99629257214522</v>
      </c>
      <c r="R993" s="51">
        <f t="shared" si="135"/>
        <v>72.937301707751274</v>
      </c>
      <c r="Y993">
        <v>988</v>
      </c>
      <c r="Z993">
        <v>6.5423253322298658</v>
      </c>
    </row>
    <row r="994" spans="1:26" x14ac:dyDescent="0.15">
      <c r="A994" s="59">
        <v>42349.75</v>
      </c>
      <c r="B994">
        <v>12.202947999999999</v>
      </c>
      <c r="C994">
        <v>137.48722799999999</v>
      </c>
      <c r="D994">
        <v>57.674956999999999</v>
      </c>
      <c r="E994">
        <v>32.895499999999998</v>
      </c>
      <c r="F994">
        <v>873.59002699999996</v>
      </c>
      <c r="H994" s="50">
        <f t="shared" si="129"/>
        <v>1.2575388562836288E-2</v>
      </c>
      <c r="I994" s="50">
        <f t="shared" si="130"/>
        <v>3.4100061123196993E-3</v>
      </c>
      <c r="J994" s="50">
        <f t="shared" si="131"/>
        <v>-3.5625408412246536E-3</v>
      </c>
      <c r="K994" s="50">
        <f t="shared" si="132"/>
        <v>-1.1083141354400982E-3</v>
      </c>
      <c r="L994" s="50">
        <f t="shared" si="133"/>
        <v>-6.9793608716165294E-3</v>
      </c>
      <c r="P994" s="50">
        <f t="shared" si="128"/>
        <v>-6.9793608716165294E-3</v>
      </c>
      <c r="Q994" s="51">
        <f t="shared" si="134"/>
        <v>135.04712536908227</v>
      </c>
      <c r="R994" s="51">
        <f t="shared" si="135"/>
        <v>73.854516617451068</v>
      </c>
      <c r="Y994">
        <v>989</v>
      </c>
      <c r="Z994">
        <v>5.7282556436857233</v>
      </c>
    </row>
    <row r="995" spans="1:26" x14ac:dyDescent="0.15">
      <c r="A995" s="59">
        <v>42350.75</v>
      </c>
      <c r="B995">
        <v>12.051397</v>
      </c>
      <c r="C995">
        <v>137.01998900000001</v>
      </c>
      <c r="D995">
        <v>57.881160999999999</v>
      </c>
      <c r="E995">
        <v>32.931998999999998</v>
      </c>
      <c r="F995">
        <v>879.72997999999995</v>
      </c>
      <c r="H995" s="50">
        <f t="shared" si="129"/>
        <v>-1.0945390489302854E-2</v>
      </c>
      <c r="I995" s="50">
        <f t="shared" si="130"/>
        <v>-9.0317556023611061E-3</v>
      </c>
      <c r="J995" s="50">
        <f t="shared" si="131"/>
        <v>-1.1111210392855564E-2</v>
      </c>
      <c r="K995" s="50">
        <f t="shared" si="132"/>
        <v>-2.5348948586119725E-2</v>
      </c>
      <c r="L995" s="50">
        <f t="shared" si="133"/>
        <v>1.2848674154137494E-2</v>
      </c>
      <c r="P995" s="50">
        <f t="shared" si="128"/>
        <v>1.2848674154137494E-2</v>
      </c>
      <c r="Q995" s="51">
        <f t="shared" si="134"/>
        <v>136.78230187840256</v>
      </c>
      <c r="R995" s="51">
        <f t="shared" si="135"/>
        <v>73.046150093674356</v>
      </c>
      <c r="Y995">
        <v>990</v>
      </c>
      <c r="Z995">
        <v>9.381736331890469</v>
      </c>
    </row>
    <row r="996" spans="1:26" x14ac:dyDescent="0.15">
      <c r="A996" s="59">
        <v>42353.75</v>
      </c>
      <c r="B996">
        <v>12.184763999999999</v>
      </c>
      <c r="C996">
        <v>138.268799</v>
      </c>
      <c r="D996">
        <v>58.531517000000001</v>
      </c>
      <c r="E996">
        <v>33.788502000000001</v>
      </c>
      <c r="F996">
        <v>868.57000700000003</v>
      </c>
      <c r="H996" s="50">
        <f t="shared" si="129"/>
        <v>2.238088381735635E-2</v>
      </c>
      <c r="I996" s="50">
        <f t="shared" si="130"/>
        <v>1.2945210850952052E-2</v>
      </c>
      <c r="J996" s="50">
        <f t="shared" si="131"/>
        <v>2.0323629620860657E-2</v>
      </c>
      <c r="K996" s="50">
        <f t="shared" si="132"/>
        <v>7.6344141464425117E-3</v>
      </c>
      <c r="L996" s="50">
        <f t="shared" si="133"/>
        <v>-4.8851252044458594E-2</v>
      </c>
      <c r="P996" s="50">
        <f t="shared" si="128"/>
        <v>-4.8851252044458594E-2</v>
      </c>
      <c r="Q996" s="51">
        <f t="shared" si="134"/>
        <v>130.10031517411949</v>
      </c>
      <c r="R996" s="51">
        <f t="shared" si="135"/>
        <v>74.680987492226052</v>
      </c>
      <c r="Y996">
        <v>991</v>
      </c>
      <c r="Z996">
        <v>9.2029678555372314</v>
      </c>
    </row>
    <row r="997" spans="1:26" x14ac:dyDescent="0.15">
      <c r="A997" s="59">
        <v>42354.75</v>
      </c>
      <c r="B997">
        <v>11.918028</v>
      </c>
      <c r="C997">
        <v>136.501755</v>
      </c>
      <c r="D997">
        <v>57.365639000000002</v>
      </c>
      <c r="E997">
        <v>33.532501000000003</v>
      </c>
      <c r="F997">
        <v>913.17999299999997</v>
      </c>
      <c r="H997" s="50">
        <f t="shared" si="129"/>
        <v>2.2085031111866195E-3</v>
      </c>
      <c r="I997" s="50">
        <f t="shared" si="130"/>
        <v>1.8896525513468085E-2</v>
      </c>
      <c r="J997" s="50">
        <f t="shared" si="131"/>
        <v>1.345098502840497E-2</v>
      </c>
      <c r="K997" s="50">
        <f t="shared" si="132"/>
        <v>9.8021498538818745E-3</v>
      </c>
      <c r="L997" s="50">
        <f t="shared" si="133"/>
        <v>9.6857767018179268E-3</v>
      </c>
      <c r="P997" s="50">
        <f t="shared" si="128"/>
        <v>9.6857767018179268E-3</v>
      </c>
      <c r="Q997" s="51">
        <f t="shared" si="134"/>
        <v>131.36043777573215</v>
      </c>
      <c r="R997" s="51">
        <f t="shared" si="135"/>
        <v>74.84592068544913</v>
      </c>
      <c r="Y997">
        <v>992</v>
      </c>
      <c r="Z997">
        <v>7.042201235847112</v>
      </c>
    </row>
    <row r="998" spans="1:26" x14ac:dyDescent="0.15">
      <c r="A998" s="59">
        <v>42355.75</v>
      </c>
      <c r="B998">
        <v>11.891764999999999</v>
      </c>
      <c r="C998">
        <v>133.97018399999999</v>
      </c>
      <c r="D998">
        <v>56.604255999999999</v>
      </c>
      <c r="E998">
        <v>33.207000999999998</v>
      </c>
      <c r="F998">
        <v>904.419983</v>
      </c>
      <c r="H998" s="50">
        <f t="shared" si="129"/>
        <v>-1.1754388355956338E-2</v>
      </c>
      <c r="I998" s="50">
        <f t="shared" si="130"/>
        <v>-1.0603155782398151E-2</v>
      </c>
      <c r="J998" s="50">
        <f t="shared" si="131"/>
        <v>-4.7412425968469682E-3</v>
      </c>
      <c r="K998" s="50">
        <f t="shared" si="132"/>
        <v>-5.5671099346663033E-4</v>
      </c>
      <c r="L998" s="50">
        <f t="shared" si="133"/>
        <v>2.1620225660823066E-2</v>
      </c>
      <c r="P998" s="50">
        <f t="shared" si="128"/>
        <v>2.1620225660823066E-2</v>
      </c>
      <c r="Q998" s="51">
        <f t="shared" si="134"/>
        <v>134.200480083348</v>
      </c>
      <c r="R998" s="51">
        <f t="shared" si="135"/>
        <v>73.966152666853262</v>
      </c>
      <c r="Y998">
        <v>993</v>
      </c>
      <c r="Z998">
        <v>5.9200526850524495</v>
      </c>
    </row>
    <row r="999" spans="1:26" x14ac:dyDescent="0.15">
      <c r="A999" s="59">
        <v>42356.75</v>
      </c>
      <c r="B999">
        <v>12.033208</v>
      </c>
      <c r="C999">
        <v>135.405914</v>
      </c>
      <c r="D999">
        <v>56.873908999999998</v>
      </c>
      <c r="E999">
        <v>33.225498000000002</v>
      </c>
      <c r="F999">
        <v>885.28002900000001</v>
      </c>
      <c r="H999" s="50">
        <f t="shared" si="129"/>
        <v>-1.6353283367919344E-2</v>
      </c>
      <c r="I999" s="50">
        <f t="shared" si="130"/>
        <v>-1.1412257835785452E-2</v>
      </c>
      <c r="J999" s="50">
        <f t="shared" si="131"/>
        <v>-1.2394783080052438E-2</v>
      </c>
      <c r="K999" s="50">
        <f t="shared" si="132"/>
        <v>2.0507275261787161E-3</v>
      </c>
      <c r="L999" s="50">
        <f t="shared" si="133"/>
        <v>-2.92829660016949E-3</v>
      </c>
      <c r="P999" s="50">
        <f t="shared" si="128"/>
        <v>-2.92829660016949E-3</v>
      </c>
      <c r="Q999" s="51">
        <f t="shared" si="134"/>
        <v>133.80750127377883</v>
      </c>
      <c r="R999" s="51">
        <f t="shared" si="135"/>
        <v>72.756563212657426</v>
      </c>
      <c r="Y999">
        <v>994</v>
      </c>
      <c r="Z999">
        <v>9.8507077628421484</v>
      </c>
    </row>
    <row r="1000" spans="1:26" x14ac:dyDescent="0.15">
      <c r="A1000" s="59">
        <v>42357.75</v>
      </c>
      <c r="B1000">
        <v>12.233262</v>
      </c>
      <c r="C1000">
        <v>136.96904000000001</v>
      </c>
      <c r="D1000">
        <v>57.587696000000001</v>
      </c>
      <c r="E1000">
        <v>33.157501000000003</v>
      </c>
      <c r="F1000">
        <v>887.88000499999998</v>
      </c>
      <c r="H1000" s="50">
        <f t="shared" si="129"/>
        <v>-9.0029501641149395E-3</v>
      </c>
      <c r="I1000" s="50">
        <f t="shared" si="130"/>
        <v>-2.9685206195518106E-3</v>
      </c>
      <c r="J1000" s="50">
        <f t="shared" si="131"/>
        <v>-1.4121211482080032E-2</v>
      </c>
      <c r="K1000" s="50">
        <f t="shared" si="132"/>
        <v>-8.2868763511552423E-4</v>
      </c>
      <c r="L1000" s="50">
        <f t="shared" si="133"/>
        <v>1.8643231539510849E-2</v>
      </c>
      <c r="P1000" s="50">
        <f t="shared" si="128"/>
        <v>1.8643231539510849E-2</v>
      </c>
      <c r="Q1000" s="51">
        <f t="shared" si="134"/>
        <v>136.30210550174928</v>
      </c>
      <c r="R1000" s="51">
        <f t="shared" si="135"/>
        <v>72.101539499941595</v>
      </c>
      <c r="Y1000">
        <v>995</v>
      </c>
      <c r="Z1000">
        <v>4.9626855653395801</v>
      </c>
    </row>
    <row r="1001" spans="1:26" x14ac:dyDescent="0.15">
      <c r="A1001" s="59">
        <v>42360.75</v>
      </c>
      <c r="B1001">
        <v>12.344398</v>
      </c>
      <c r="C1001">
        <v>137.376846</v>
      </c>
      <c r="D1001">
        <v>58.412551999999998</v>
      </c>
      <c r="E1001">
        <v>33.185001</v>
      </c>
      <c r="F1001">
        <v>871.63000499999998</v>
      </c>
      <c r="H1001" s="50">
        <f t="shared" si="129"/>
        <v>4.2742107378379024E-3</v>
      </c>
      <c r="I1001" s="50">
        <f t="shared" si="130"/>
        <v>-2.4718578913566418E-4</v>
      </c>
      <c r="J1001" s="50">
        <f t="shared" si="131"/>
        <v>6.5603812224395569E-3</v>
      </c>
      <c r="K1001" s="50">
        <f t="shared" si="132"/>
        <v>1.3730140768569703E-3</v>
      </c>
      <c r="L1001" s="50">
        <f t="shared" si="133"/>
        <v>9.8128183244659637E-3</v>
      </c>
      <c r="P1001" s="50">
        <f t="shared" si="128"/>
        <v>9.8128183244659637E-3</v>
      </c>
      <c r="Q1001" s="51">
        <f t="shared" si="134"/>
        <v>137.63961330028013</v>
      </c>
      <c r="R1001" s="51">
        <f t="shared" si="135"/>
        <v>72.409716674286898</v>
      </c>
      <c r="Y1001">
        <v>996</v>
      </c>
      <c r="Z1001">
        <v>8.2125180543014604</v>
      </c>
    </row>
    <row r="1002" spans="1:26" x14ac:dyDescent="0.15">
      <c r="A1002" s="59">
        <v>42361.75</v>
      </c>
      <c r="B1002">
        <v>12.29186</v>
      </c>
      <c r="C1002">
        <v>137.41081199999999</v>
      </c>
      <c r="D1002">
        <v>58.031841</v>
      </c>
      <c r="E1002">
        <v>33.139499999999998</v>
      </c>
      <c r="F1002">
        <v>863.15997300000004</v>
      </c>
      <c r="H1002" s="50">
        <f t="shared" si="129"/>
        <v>1.3168297192133803E-3</v>
      </c>
      <c r="I1002" s="50">
        <f t="shared" si="130"/>
        <v>3.6609560563148078E-3</v>
      </c>
      <c r="J1002" s="50">
        <f t="shared" si="131"/>
        <v>4.117008674773181E-3</v>
      </c>
      <c r="K1002" s="50">
        <f t="shared" si="132"/>
        <v>-1.8379681183630543E-2</v>
      </c>
      <c r="L1002" s="50">
        <f t="shared" si="133"/>
        <v>-5.7479132201233392E-3</v>
      </c>
      <c r="P1002" s="50">
        <f t="shared" si="128"/>
        <v>-5.7479132201233392E-3</v>
      </c>
      <c r="Q1002" s="51">
        <f t="shared" si="134"/>
        <v>136.84847274737879</v>
      </c>
      <c r="R1002" s="51">
        <f t="shared" si="135"/>
        <v>72.505067941163418</v>
      </c>
      <c r="Y1002">
        <v>997</v>
      </c>
      <c r="Z1002">
        <v>7.7711856978406155</v>
      </c>
    </row>
    <row r="1003" spans="1:26" x14ac:dyDescent="0.15">
      <c r="A1003" s="59">
        <v>42362.75</v>
      </c>
      <c r="B1003">
        <v>12.275695000000001</v>
      </c>
      <c r="C1003">
        <v>136.909592</v>
      </c>
      <c r="D1003">
        <v>57.793903</v>
      </c>
      <c r="E1003">
        <v>33.759998000000003</v>
      </c>
      <c r="F1003">
        <v>868.15002400000003</v>
      </c>
      <c r="H1003" s="50">
        <f t="shared" si="129"/>
        <v>-1.39585047428923E-2</v>
      </c>
      <c r="I1003" s="50">
        <f t="shared" si="130"/>
        <v>-9.2214898653896673E-3</v>
      </c>
      <c r="J1003" s="50">
        <f t="shared" si="131"/>
        <v>-2.1091189250352471E-2</v>
      </c>
      <c r="K1003" s="50">
        <f t="shared" si="132"/>
        <v>-2.7047392420571779E-2</v>
      </c>
      <c r="L1003" s="50">
        <f t="shared" si="133"/>
        <v>-5.3276398532672237E-3</v>
      </c>
      <c r="P1003" s="50">
        <f t="shared" si="128"/>
        <v>-5.3276398532672237E-3</v>
      </c>
      <c r="Q1003" s="51">
        <f t="shared" si="134"/>
        <v>136.11939337011111</v>
      </c>
      <c r="R1003" s="51">
        <f t="shared" si="135"/>
        <v>71.493005606422955</v>
      </c>
      <c r="Y1003">
        <v>998</v>
      </c>
      <c r="Z1003">
        <v>9.4681842782828642</v>
      </c>
    </row>
    <row r="1004" spans="1:26" x14ac:dyDescent="0.15">
      <c r="A1004" s="59">
        <v>42364.75</v>
      </c>
      <c r="B1004">
        <v>12.449471000000001</v>
      </c>
      <c r="C1004">
        <v>138.183853</v>
      </c>
      <c r="D1004">
        <v>59.039107999999999</v>
      </c>
      <c r="E1004">
        <v>34.698501999999998</v>
      </c>
      <c r="F1004">
        <v>872.79998799999998</v>
      </c>
      <c r="H1004" s="50">
        <f t="shared" si="129"/>
        <v>-1.1349835284571435E-3</v>
      </c>
      <c r="I1004" s="50">
        <f t="shared" si="130"/>
        <v>-3.0743776644205417E-4</v>
      </c>
      <c r="J1004" s="50">
        <f t="shared" si="131"/>
        <v>1.1138447428261335E-2</v>
      </c>
      <c r="K1004" s="50">
        <f t="shared" si="132"/>
        <v>7.1111209923844588E-3</v>
      </c>
      <c r="L1004" s="50">
        <f t="shared" si="133"/>
        <v>3.8876550643993915E-3</v>
      </c>
      <c r="P1004" s="50">
        <f t="shared" si="128"/>
        <v>3.8876550643993915E-3</v>
      </c>
      <c r="Q1004" s="51">
        <f t="shared" si="134"/>
        <v>136.6485786191094</v>
      </c>
      <c r="R1004" s="51">
        <f t="shared" si="135"/>
        <v>71.411862222659778</v>
      </c>
      <c r="Y1004">
        <v>999</v>
      </c>
      <c r="Z1004">
        <v>10.425834273736852</v>
      </c>
    </row>
    <row r="1005" spans="1:26" x14ac:dyDescent="0.15">
      <c r="A1005" s="59">
        <v>42367.75</v>
      </c>
      <c r="B1005">
        <v>12.463616999999999</v>
      </c>
      <c r="C1005">
        <v>138.226349</v>
      </c>
      <c r="D1005">
        <v>58.388748</v>
      </c>
      <c r="E1005">
        <v>34.453499000000001</v>
      </c>
      <c r="F1005">
        <v>869.419983</v>
      </c>
      <c r="H1005" s="50">
        <f t="shared" si="129"/>
        <v>6.199084027148148E-3</v>
      </c>
      <c r="I1005" s="50">
        <f t="shared" si="130"/>
        <v>7.492125949157079E-3</v>
      </c>
      <c r="J1005" s="50">
        <f t="shared" si="131"/>
        <v>1.3910124134849891E-2</v>
      </c>
      <c r="K1005" s="50">
        <f t="shared" si="132"/>
        <v>1.9500245276612885E-2</v>
      </c>
      <c r="L1005" s="50">
        <f t="shared" si="133"/>
        <v>-2.3825599167582819E-2</v>
      </c>
      <c r="P1005" s="50">
        <f t="shared" si="128"/>
        <v>-2.3825599167582819E-2</v>
      </c>
      <c r="Q1005" s="51">
        <f t="shared" si="134"/>
        <v>133.39284435811058</v>
      </c>
      <c r="R1005" s="51">
        <f t="shared" si="135"/>
        <v>71.854550357113169</v>
      </c>
      <c r="Y1005">
        <v>1000</v>
      </c>
      <c r="Z1005">
        <v>6.0563180322406911</v>
      </c>
    </row>
    <row r="1006" spans="1:26" x14ac:dyDescent="0.15">
      <c r="A1006" s="59">
        <v>42368.75</v>
      </c>
      <c r="B1006">
        <v>12.38683</v>
      </c>
      <c r="C1006">
        <v>137.198441</v>
      </c>
      <c r="D1006">
        <v>57.587696000000001</v>
      </c>
      <c r="E1006">
        <v>33.794497999999997</v>
      </c>
      <c r="F1006">
        <v>890.64001499999995</v>
      </c>
      <c r="H1006" s="50">
        <f t="shared" si="129"/>
        <v>-2.6031553344313184E-3</v>
      </c>
      <c r="I1006" s="50">
        <f t="shared" si="130"/>
        <v>1.2285425884385279E-2</v>
      </c>
      <c r="J1006" s="50">
        <f t="shared" si="131"/>
        <v>-1.2780520878110163E-2</v>
      </c>
      <c r="K1006" s="50">
        <f t="shared" si="132"/>
        <v>6.1068366502822047E-2</v>
      </c>
      <c r="L1006" s="50">
        <f t="shared" si="133"/>
        <v>-1.3960680874619488E-2</v>
      </c>
      <c r="P1006" s="50">
        <f t="shared" si="128"/>
        <v>-1.3960680874619488E-2</v>
      </c>
      <c r="Q1006" s="51">
        <f t="shared" si="134"/>
        <v>131.53058942706923</v>
      </c>
      <c r="R1006" s="51">
        <f t="shared" si="135"/>
        <v>71.667501801047891</v>
      </c>
    </row>
    <row r="1007" spans="1:26" x14ac:dyDescent="0.15">
      <c r="A1007" s="59">
        <v>42369.75</v>
      </c>
      <c r="B1007">
        <v>12.419159000000001</v>
      </c>
      <c r="C1007">
        <v>135.533356</v>
      </c>
      <c r="D1007">
        <v>58.333224999999999</v>
      </c>
      <c r="E1007">
        <v>31.849501</v>
      </c>
      <c r="F1007">
        <v>903.25</v>
      </c>
      <c r="H1007" s="50">
        <f t="shared" si="129"/>
        <v>-2.3204399118338936E-2</v>
      </c>
      <c r="I1007" s="50">
        <f t="shared" si="130"/>
        <v>-2.4383312864800183E-3</v>
      </c>
      <c r="J1007" s="50">
        <f t="shared" si="131"/>
        <v>-1.7236678594571463E-2</v>
      </c>
      <c r="K1007" s="50">
        <f t="shared" si="132"/>
        <v>5.0489908313797729E-3</v>
      </c>
      <c r="L1007" s="50">
        <f t="shared" si="133"/>
        <v>-3.0639609752817452E-2</v>
      </c>
      <c r="P1007" s="50">
        <f t="shared" si="128"/>
        <v>-3.0639609752817452E-2</v>
      </c>
      <c r="Q1007" s="51">
        <f t="shared" si="134"/>
        <v>127.50054349646578</v>
      </c>
      <c r="R1007" s="51">
        <f t="shared" si="135"/>
        <v>70.004500485442108</v>
      </c>
    </row>
    <row r="1008" spans="1:26" x14ac:dyDescent="0.15">
      <c r="A1008" s="59">
        <v>42371.75</v>
      </c>
      <c r="B1008">
        <v>12.714183999999999</v>
      </c>
      <c r="C1008">
        <v>135.86463900000001</v>
      </c>
      <c r="D1008">
        <v>59.356330999999997</v>
      </c>
      <c r="E1008">
        <v>31.689501</v>
      </c>
      <c r="F1008">
        <v>931.79998799999998</v>
      </c>
      <c r="H1008" s="50">
        <f t="shared" si="129"/>
        <v>-9.9134157905545733E-3</v>
      </c>
      <c r="I1008" s="50">
        <f t="shared" si="130"/>
        <v>9.3405686005362462E-3</v>
      </c>
      <c r="J1008" s="50">
        <f t="shared" si="131"/>
        <v>1.0259327439210866E-2</v>
      </c>
      <c r="K1008" s="50">
        <f t="shared" si="132"/>
        <v>1.8019758160120014E-3</v>
      </c>
      <c r="L1008" s="50">
        <f t="shared" si="133"/>
        <v>4.6902538613584812E-3</v>
      </c>
      <c r="P1008" s="50">
        <f t="shared" si="128"/>
        <v>4.6902538613584812E-3</v>
      </c>
      <c r="Q1008" s="51">
        <f t="shared" si="134"/>
        <v>128.09855341292538</v>
      </c>
      <c r="R1008" s="51">
        <f t="shared" si="135"/>
        <v>69.310516764919839</v>
      </c>
    </row>
    <row r="1009" spans="1:18" x14ac:dyDescent="0.15">
      <c r="A1009" s="59">
        <v>42374.75</v>
      </c>
      <c r="B1009">
        <v>12.841487000000001</v>
      </c>
      <c r="C1009">
        <v>134.60732999999999</v>
      </c>
      <c r="D1009">
        <v>58.753559000000003</v>
      </c>
      <c r="E1009">
        <v>31.6325</v>
      </c>
      <c r="F1009">
        <v>927.45001200000002</v>
      </c>
      <c r="H1009" s="50">
        <f t="shared" si="129"/>
        <v>-2.2758788635178783E-2</v>
      </c>
      <c r="I1009" s="50">
        <f t="shared" si="130"/>
        <v>2.3446171506627932E-2</v>
      </c>
      <c r="J1009" s="50">
        <f t="shared" si="131"/>
        <v>2.7069741716965311E-3</v>
      </c>
      <c r="K1009" s="50">
        <f t="shared" si="132"/>
        <v>4.06454926685361E-2</v>
      </c>
      <c r="L1009" s="50">
        <f t="shared" si="133"/>
        <v>-7.7564993119953012E-3</v>
      </c>
      <c r="P1009" s="50">
        <f t="shared" si="128"/>
        <v>-7.7564993119953012E-3</v>
      </c>
      <c r="Q1009" s="51">
        <f t="shared" si="134"/>
        <v>127.10495707151044</v>
      </c>
      <c r="R1009" s="51">
        <f t="shared" si="135"/>
        <v>67.733093363672012</v>
      </c>
    </row>
    <row r="1010" spans="1:18" x14ac:dyDescent="0.15">
      <c r="A1010" s="59">
        <v>42375.75</v>
      </c>
      <c r="B1010">
        <v>13.140549999999999</v>
      </c>
      <c r="C1010">
        <v>131.523605</v>
      </c>
      <c r="D1010">
        <v>58.594943999999998</v>
      </c>
      <c r="E1010">
        <v>30.396999000000001</v>
      </c>
      <c r="F1010">
        <v>934.70001200000002</v>
      </c>
      <c r="H1010" s="50">
        <f t="shared" si="129"/>
        <v>2.3449725487068404E-2</v>
      </c>
      <c r="I1010" s="50">
        <f t="shared" si="130"/>
        <v>1.7816414291434827E-2</v>
      </c>
      <c r="J1010" s="50">
        <f t="shared" si="131"/>
        <v>3.5023793735096322E-2</v>
      </c>
      <c r="K1010" s="50">
        <f t="shared" si="132"/>
        <v>1.466040640275436E-3</v>
      </c>
      <c r="L1010" s="50">
        <f t="shared" si="133"/>
        <v>3.0938054659997431E-2</v>
      </c>
      <c r="P1010" s="50">
        <f t="shared" si="128"/>
        <v>3.0938054659997431E-2</v>
      </c>
      <c r="Q1010" s="51">
        <f t="shared" si="134"/>
        <v>131.03733718094546</v>
      </c>
      <c r="R1010" s="51">
        <f t="shared" si="135"/>
        <v>69.321415809440097</v>
      </c>
    </row>
    <row r="1011" spans="1:18" x14ac:dyDescent="0.15">
      <c r="A1011" s="59">
        <v>42376.75</v>
      </c>
      <c r="B1011">
        <v>12.839468</v>
      </c>
      <c r="C1011">
        <v>129.22134399999999</v>
      </c>
      <c r="D1011">
        <v>56.612170999999996</v>
      </c>
      <c r="E1011">
        <v>30.352501</v>
      </c>
      <c r="F1011">
        <v>906.65002400000003</v>
      </c>
      <c r="H1011" s="50">
        <f t="shared" si="129"/>
        <v>-1.0588223508442313E-2</v>
      </c>
      <c r="I1011" s="50">
        <f t="shared" si="130"/>
        <v>-1.6869355811676978E-2</v>
      </c>
      <c r="J1011" s="50">
        <f t="shared" si="131"/>
        <v>-1.4360792305839419E-2</v>
      </c>
      <c r="K1011" s="50">
        <f t="shared" si="132"/>
        <v>-1.7304950862982813E-2</v>
      </c>
      <c r="L1011" s="50">
        <f t="shared" si="133"/>
        <v>-3.3855716176352953E-3</v>
      </c>
      <c r="P1011" s="50">
        <f t="shared" si="128"/>
        <v>-3.3855716176352953E-3</v>
      </c>
      <c r="Q1011" s="51">
        <f t="shared" si="134"/>
        <v>130.59370089133515</v>
      </c>
      <c r="R1011" s="51">
        <f t="shared" si="135"/>
        <v>68.587425164928078</v>
      </c>
    </row>
    <row r="1012" spans="1:18" x14ac:dyDescent="0.15">
      <c r="A1012" s="59">
        <v>42377.75</v>
      </c>
      <c r="B1012">
        <v>12.97687</v>
      </c>
      <c r="C1012">
        <v>131.43862899999999</v>
      </c>
      <c r="D1012">
        <v>57.437012000000003</v>
      </c>
      <c r="E1012">
        <v>30.886998999999999</v>
      </c>
      <c r="F1012">
        <v>909.72997999999995</v>
      </c>
      <c r="H1012" s="50">
        <f t="shared" si="129"/>
        <v>9.4306519173346596E-3</v>
      </c>
      <c r="I1012" s="50">
        <f t="shared" si="130"/>
        <v>-8.5863472784917134E-3</v>
      </c>
      <c r="J1012" s="50">
        <f t="shared" si="131"/>
        <v>-1.2813552630061502E-2</v>
      </c>
      <c r="K1012" s="50">
        <f t="shared" si="132"/>
        <v>-2.4282638518752383E-4</v>
      </c>
      <c r="L1012" s="50">
        <f t="shared" si="133"/>
        <v>2.1766726031786837E-2</v>
      </c>
      <c r="P1012" s="50">
        <f t="shared" si="128"/>
        <v>2.1766726031786837E-2</v>
      </c>
      <c r="Q1012" s="51">
        <f t="shared" si="134"/>
        <v>133.43629820011395</v>
      </c>
      <c r="R1012" s="51">
        <f t="shared" si="135"/>
        <v>69.234249297564745</v>
      </c>
    </row>
    <row r="1013" spans="1:18" x14ac:dyDescent="0.15">
      <c r="A1013" s="59">
        <v>42378.75</v>
      </c>
      <c r="B1013">
        <v>12.855632999999999</v>
      </c>
      <c r="C1013">
        <v>132.57698099999999</v>
      </c>
      <c r="D1013">
        <v>58.182537000000004</v>
      </c>
      <c r="E1013">
        <v>30.894501000000002</v>
      </c>
      <c r="F1013">
        <v>890.34997599999997</v>
      </c>
      <c r="H1013" s="50">
        <f t="shared" si="129"/>
        <v>2.7454912894815279E-2</v>
      </c>
      <c r="I1013" s="50">
        <f t="shared" si="130"/>
        <v>2.5900777334471044E-2</v>
      </c>
      <c r="J1013" s="50">
        <f t="shared" si="131"/>
        <v>2.4008971321360779E-2</v>
      </c>
      <c r="K1013" s="50">
        <f t="shared" si="132"/>
        <v>6.2013406438528151E-2</v>
      </c>
      <c r="L1013" s="50">
        <f t="shared" si="133"/>
        <v>2.3085015706972453E-2</v>
      </c>
      <c r="P1013" s="50">
        <f t="shared" si="128"/>
        <v>2.3085015706972453E-2</v>
      </c>
      <c r="Q1013" s="51">
        <f t="shared" si="134"/>
        <v>136.51667723994385</v>
      </c>
      <c r="R1013" s="51">
        <f t="shared" si="135"/>
        <v>71.135069581367318</v>
      </c>
    </row>
    <row r="1014" spans="1:18" x14ac:dyDescent="0.15">
      <c r="A1014" s="59">
        <v>42381.75</v>
      </c>
      <c r="B1014">
        <v>12.512114</v>
      </c>
      <c r="C1014">
        <v>129.229828</v>
      </c>
      <c r="D1014">
        <v>56.818385999999997</v>
      </c>
      <c r="E1014">
        <v>29.090499999999999</v>
      </c>
      <c r="F1014">
        <v>870.26000999999997</v>
      </c>
      <c r="H1014" s="50">
        <f t="shared" si="129"/>
        <v>-1.8078044976041933E-2</v>
      </c>
      <c r="I1014" s="50">
        <f t="shared" si="130"/>
        <v>-6.9199627373558118E-3</v>
      </c>
      <c r="J1014" s="50">
        <f t="shared" si="131"/>
        <v>1.7469108540122926E-2</v>
      </c>
      <c r="K1014" s="50">
        <f t="shared" si="132"/>
        <v>-1.8870151770657671E-2</v>
      </c>
      <c r="L1014" s="50">
        <f t="shared" si="133"/>
        <v>-1.7549731456078443E-3</v>
      </c>
      <c r="P1014" s="50">
        <f t="shared" si="128"/>
        <v>-1.7549731456078443E-3</v>
      </c>
      <c r="Q1014" s="51">
        <f t="shared" si="134"/>
        <v>136.27709413746013</v>
      </c>
      <c r="R1014" s="51">
        <f t="shared" si="135"/>
        <v>69.849086594101493</v>
      </c>
    </row>
    <row r="1015" spans="1:18" x14ac:dyDescent="0.15">
      <c r="A1015" s="59">
        <v>42382.75</v>
      </c>
      <c r="B1015">
        <v>12.742473</v>
      </c>
      <c r="C1015">
        <v>130.130325</v>
      </c>
      <c r="D1015">
        <v>55.842860999999999</v>
      </c>
      <c r="E1015">
        <v>29.65</v>
      </c>
      <c r="F1015">
        <v>871.78997800000002</v>
      </c>
      <c r="H1015" s="50">
        <f t="shared" si="129"/>
        <v>1.8246406963006299E-2</v>
      </c>
      <c r="I1015" s="50">
        <f t="shared" si="130"/>
        <v>1.8551715125893528E-2</v>
      </c>
      <c r="J1015" s="50">
        <f t="shared" si="131"/>
        <v>4.7088998812276125E-3</v>
      </c>
      <c r="K1015" s="50">
        <f t="shared" si="132"/>
        <v>4.0022412570682404E-2</v>
      </c>
      <c r="L1015" s="50">
        <f t="shared" si="133"/>
        <v>3.4618194646567818E-2</v>
      </c>
      <c r="P1015" s="50">
        <f t="shared" si="128"/>
        <v>3.4618194646567818E-2</v>
      </c>
      <c r="Q1015" s="51">
        <f t="shared" si="134"/>
        <v>140.99476110817938</v>
      </c>
      <c r="R1015" s="51">
        <f t="shared" si="135"/>
        <v>71.123581454091749</v>
      </c>
    </row>
    <row r="1016" spans="1:18" x14ac:dyDescent="0.15">
      <c r="A1016" s="59">
        <v>42383.75</v>
      </c>
      <c r="B1016">
        <v>12.514135</v>
      </c>
      <c r="C1016">
        <v>127.760155</v>
      </c>
      <c r="D1016">
        <v>55.581135000000003</v>
      </c>
      <c r="E1016">
        <v>28.509001000000001</v>
      </c>
      <c r="F1016">
        <v>842.61999500000002</v>
      </c>
      <c r="H1016" s="50">
        <f t="shared" si="129"/>
        <v>-1.0070059293110313E-2</v>
      </c>
      <c r="I1016" s="50">
        <f t="shared" si="130"/>
        <v>-5.3190945080422588E-4</v>
      </c>
      <c r="J1016" s="50">
        <f t="shared" si="131"/>
        <v>1.2131619293027206E-2</v>
      </c>
      <c r="K1016" s="50">
        <f t="shared" si="132"/>
        <v>-7.4850296795352378E-3</v>
      </c>
      <c r="L1016" s="50">
        <f t="shared" si="133"/>
        <v>-1.3274172295662046E-3</v>
      </c>
      <c r="P1016" s="50">
        <f t="shared" si="128"/>
        <v>-1.3274172295662046E-3</v>
      </c>
      <c r="Q1016" s="51">
        <f t="shared" si="134"/>
        <v>140.80760223300581</v>
      </c>
      <c r="R1016" s="51">
        <f t="shared" si="135"/>
        <v>70.40736277171068</v>
      </c>
    </row>
    <row r="1017" spans="1:18" x14ac:dyDescent="0.15">
      <c r="A1017" s="59">
        <v>42384.75</v>
      </c>
      <c r="B1017">
        <v>12.641435</v>
      </c>
      <c r="C1017">
        <v>127.828148</v>
      </c>
      <c r="D1017">
        <v>54.914928000000003</v>
      </c>
      <c r="E1017">
        <v>28.724001000000001</v>
      </c>
      <c r="F1017">
        <v>843.73999000000003</v>
      </c>
      <c r="H1017" s="50">
        <f t="shared" si="129"/>
        <v>2.8270570397628727E-2</v>
      </c>
      <c r="I1017" s="50">
        <f t="shared" si="130"/>
        <v>1.1086798958094833E-2</v>
      </c>
      <c r="J1017" s="50">
        <f t="shared" si="131"/>
        <v>2.4412195279877754E-2</v>
      </c>
      <c r="K1017" s="50">
        <f t="shared" si="132"/>
        <v>4.7397381723329529E-3</v>
      </c>
      <c r="L1017" s="50">
        <f t="shared" si="133"/>
        <v>-7.504828774201438E-3</v>
      </c>
      <c r="P1017" s="50">
        <f t="shared" si="128"/>
        <v>-7.504828774201438E-3</v>
      </c>
      <c r="Q1017" s="51">
        <f t="shared" si="134"/>
        <v>139.75086528814123</v>
      </c>
      <c r="R1017" s="51">
        <f t="shared" si="135"/>
        <v>72.397819077459715</v>
      </c>
    </row>
    <row r="1018" spans="1:18" x14ac:dyDescent="0.15">
      <c r="A1018" s="59">
        <v>42385.75</v>
      </c>
      <c r="B1018">
        <v>12.29388</v>
      </c>
      <c r="C1018">
        <v>126.426483</v>
      </c>
      <c r="D1018">
        <v>53.606281000000003</v>
      </c>
      <c r="E1018">
        <v>28.588498999999999</v>
      </c>
      <c r="F1018">
        <v>850.11999500000002</v>
      </c>
      <c r="H1018" s="50">
        <f t="shared" si="129"/>
        <v>-1.680689607849763E-2</v>
      </c>
      <c r="I1018" s="50">
        <f t="shared" si="130"/>
        <v>-1.0373334071014323E-2</v>
      </c>
      <c r="J1018" s="50">
        <f t="shared" si="131"/>
        <v>-1.5297110028077099E-2</v>
      </c>
      <c r="K1018" s="50">
        <f t="shared" si="132"/>
        <v>-5.6519775191116459E-3</v>
      </c>
      <c r="L1018" s="50">
        <f t="shared" si="133"/>
        <v>5.5761190254929767E-2</v>
      </c>
      <c r="P1018" s="50">
        <f t="shared" si="128"/>
        <v>5.5761190254929767E-2</v>
      </c>
      <c r="Q1018" s="51">
        <f t="shared" si="134"/>
        <v>147.54353987576434</v>
      </c>
      <c r="R1018" s="51">
        <f t="shared" si="135"/>
        <v>71.181036455914978</v>
      </c>
    </row>
    <row r="1019" spans="1:18" x14ac:dyDescent="0.15">
      <c r="A1019" s="59">
        <v>42389.75</v>
      </c>
      <c r="B1019">
        <v>12.504034000000001</v>
      </c>
      <c r="C1019">
        <v>127.751694</v>
      </c>
      <c r="D1019">
        <v>54.439041000000003</v>
      </c>
      <c r="E1019">
        <v>28.750999</v>
      </c>
      <c r="F1019">
        <v>805.21997099999999</v>
      </c>
      <c r="H1019" s="50">
        <f t="shared" si="129"/>
        <v>-1.2920257688370344E-2</v>
      </c>
      <c r="I1019" s="50">
        <f t="shared" si="130"/>
        <v>-2.153689370873715E-2</v>
      </c>
      <c r="J1019" s="50">
        <f t="shared" si="131"/>
        <v>-1.5490972667204072E-2</v>
      </c>
      <c r="K1019" s="50">
        <f t="shared" si="132"/>
        <v>-3.5816123947818468E-2</v>
      </c>
      <c r="L1019" s="50">
        <f t="shared" si="133"/>
        <v>-4.1678591136801342E-2</v>
      </c>
      <c r="P1019" s="50">
        <f t="shared" si="128"/>
        <v>-4.1678591136801342E-2</v>
      </c>
      <c r="Q1019" s="51">
        <f t="shared" si="134"/>
        <v>141.39413300240599</v>
      </c>
      <c r="R1019" s="51">
        <f t="shared" si="135"/>
        <v>70.261359122379275</v>
      </c>
    </row>
    <row r="1020" spans="1:18" x14ac:dyDescent="0.15">
      <c r="A1020" s="59">
        <v>42390.75</v>
      </c>
      <c r="B1020">
        <v>12.667704000000001</v>
      </c>
      <c r="C1020">
        <v>130.56362899999999</v>
      </c>
      <c r="D1020">
        <v>55.295623999999997</v>
      </c>
      <c r="E1020">
        <v>29.818999999999999</v>
      </c>
      <c r="F1020">
        <v>840.23999000000003</v>
      </c>
      <c r="H1020" s="50">
        <f t="shared" si="129"/>
        <v>-1.1978134162746167E-2</v>
      </c>
      <c r="I1020" s="50">
        <f t="shared" si="130"/>
        <v>1.9299775195061385E-2</v>
      </c>
      <c r="J1020" s="50">
        <f t="shared" si="131"/>
        <v>1.1607717681226934E-2</v>
      </c>
      <c r="K1020" s="50">
        <f t="shared" si="132"/>
        <v>-2.5145424370946252E-4</v>
      </c>
      <c r="L1020" s="50">
        <f t="shared" si="133"/>
        <v>1.5395758308157141E-2</v>
      </c>
      <c r="P1020" s="50">
        <f t="shared" si="128"/>
        <v>1.5395758308157141E-2</v>
      </c>
      <c r="Q1020" s="51">
        <f t="shared" si="134"/>
        <v>143.57100290030246</v>
      </c>
      <c r="R1020" s="51">
        <f t="shared" si="135"/>
        <v>69.419759136354529</v>
      </c>
    </row>
    <row r="1021" spans="1:18" x14ac:dyDescent="0.15">
      <c r="A1021" s="59">
        <v>42391.75</v>
      </c>
      <c r="B1021">
        <v>12.821279000000001</v>
      </c>
      <c r="C1021">
        <v>128.09149199999999</v>
      </c>
      <c r="D1021">
        <v>54.661133</v>
      </c>
      <c r="E1021">
        <v>29.826499999999999</v>
      </c>
      <c r="F1021">
        <v>827.5</v>
      </c>
      <c r="H1021" s="50">
        <f t="shared" si="129"/>
        <v>-8.5938298622886804E-3</v>
      </c>
      <c r="I1021" s="50">
        <f t="shared" si="130"/>
        <v>1.5353489467869335E-2</v>
      </c>
      <c r="J1021" s="50">
        <f t="shared" si="131"/>
        <v>-2.1578735727289217E-2</v>
      </c>
      <c r="K1021" s="50">
        <f t="shared" si="132"/>
        <v>-7.8503118503118717E-3</v>
      </c>
      <c r="L1021" s="50">
        <f t="shared" si="133"/>
        <v>-5.3488934861629827E-3</v>
      </c>
      <c r="P1021" s="50">
        <f t="shared" si="128"/>
        <v>-5.3488934861629827E-3</v>
      </c>
      <c r="Q1021" s="51">
        <f t="shared" si="134"/>
        <v>142.80305689808714</v>
      </c>
      <c r="R1021" s="51">
        <f t="shared" si="135"/>
        <v>68.823177537255646</v>
      </c>
    </row>
    <row r="1022" spans="1:18" x14ac:dyDescent="0.15">
      <c r="A1022" s="59">
        <v>42392.75</v>
      </c>
      <c r="B1022">
        <v>12.932418</v>
      </c>
      <c r="C1022">
        <v>126.154579</v>
      </c>
      <c r="D1022">
        <v>55.866664999999998</v>
      </c>
      <c r="E1022">
        <v>30.0625</v>
      </c>
      <c r="F1022">
        <v>831.95001200000002</v>
      </c>
      <c r="H1022" s="50">
        <f t="shared" si="129"/>
        <v>7.8213564121770815E-4</v>
      </c>
      <c r="I1022" s="50">
        <f t="shared" si="130"/>
        <v>5.212468943926663E-3</v>
      </c>
      <c r="J1022" s="50">
        <f t="shared" si="131"/>
        <v>-3.5363461614952387E-3</v>
      </c>
      <c r="K1022" s="50">
        <f t="shared" si="132"/>
        <v>3.068483757606924E-2</v>
      </c>
      <c r="L1022" s="50">
        <f t="shared" si="133"/>
        <v>-5.5225443911952454E-3</v>
      </c>
      <c r="P1022" s="50">
        <f t="shared" si="128"/>
        <v>-5.5225443911952454E-3</v>
      </c>
      <c r="Q1022" s="51">
        <f t="shared" si="134"/>
        <v>142.01442067716906</v>
      </c>
      <c r="R1022" s="51">
        <f t="shared" si="135"/>
        <v>68.877006597349379</v>
      </c>
    </row>
    <row r="1023" spans="1:18" x14ac:dyDescent="0.15">
      <c r="A1023" s="59">
        <v>42395.75</v>
      </c>
      <c r="B1023">
        <v>12.922311000000001</v>
      </c>
      <c r="C1023">
        <v>125.500412</v>
      </c>
      <c r="D1023">
        <v>56.064929999999997</v>
      </c>
      <c r="E1023">
        <v>29.1675</v>
      </c>
      <c r="F1023">
        <v>836.57000700000003</v>
      </c>
      <c r="H1023" s="50">
        <f t="shared" si="129"/>
        <v>-4.2043266211343223E-3</v>
      </c>
      <c r="I1023" s="50">
        <f t="shared" si="130"/>
        <v>-1.2434689097361966E-2</v>
      </c>
      <c r="J1023" s="50">
        <f t="shared" si="131"/>
        <v>-4.2261784282565046E-3</v>
      </c>
      <c r="K1023" s="50">
        <f t="shared" si="132"/>
        <v>-8.1844652553710484E-2</v>
      </c>
      <c r="L1023" s="50">
        <f t="shared" si="133"/>
        <v>-1.0807504655537769E-2</v>
      </c>
      <c r="P1023" s="50">
        <f t="shared" si="128"/>
        <v>-1.0807504655537769E-2</v>
      </c>
      <c r="Q1023" s="51">
        <f t="shared" si="134"/>
        <v>140.47959916454704</v>
      </c>
      <c r="R1023" s="51">
        <f t="shared" si="135"/>
        <v>68.587425164928092</v>
      </c>
    </row>
    <row r="1024" spans="1:18" x14ac:dyDescent="0.15">
      <c r="A1024" s="59">
        <v>42396.75</v>
      </c>
      <c r="B1024">
        <v>12.97687</v>
      </c>
      <c r="C1024">
        <v>127.08062</v>
      </c>
      <c r="D1024">
        <v>56.302875999999998</v>
      </c>
      <c r="E1024">
        <v>31.767499999999998</v>
      </c>
      <c r="F1024">
        <v>845.71002199999998</v>
      </c>
      <c r="H1024" s="50">
        <f t="shared" si="129"/>
        <v>-3.2248586261133173E-2</v>
      </c>
      <c r="I1024" s="50">
        <f t="shared" si="130"/>
        <v>-1.0123864384982691E-2</v>
      </c>
      <c r="J1024" s="50">
        <f t="shared" si="131"/>
        <v>-1.9745734684109353E-2</v>
      </c>
      <c r="K1024" s="50">
        <f t="shared" si="132"/>
        <v>8.2367972742759685E-2</v>
      </c>
      <c r="L1024" s="50">
        <f t="shared" si="133"/>
        <v>-3.2468057206194376E-2</v>
      </c>
      <c r="P1024" s="50">
        <f t="shared" si="128"/>
        <v>-3.2468057206194376E-2</v>
      </c>
      <c r="Q1024" s="51">
        <f t="shared" si="134"/>
        <v>135.91849950256926</v>
      </c>
      <c r="R1024" s="51">
        <f t="shared" si="135"/>
        <v>66.375577668067891</v>
      </c>
    </row>
    <row r="1025" spans="1:18" x14ac:dyDescent="0.15">
      <c r="A1025" s="59">
        <v>42397.75</v>
      </c>
      <c r="B1025">
        <v>13.409300999999999</v>
      </c>
      <c r="C1025">
        <v>128.380325</v>
      </c>
      <c r="D1025">
        <v>57.437012000000003</v>
      </c>
      <c r="E1025">
        <v>29.35</v>
      </c>
      <c r="F1025">
        <v>874.09002699999996</v>
      </c>
      <c r="H1025" s="50">
        <f t="shared" si="129"/>
        <v>-1.6888766565848021E-2</v>
      </c>
      <c r="I1025" s="50">
        <f t="shared" si="130"/>
        <v>-8.5978140738319022E-4</v>
      </c>
      <c r="J1025" s="50">
        <f t="shared" si="131"/>
        <v>-5.6298233639045358E-3</v>
      </c>
      <c r="K1025" s="50">
        <f t="shared" si="132"/>
        <v>2.1207043064909961E-2</v>
      </c>
      <c r="L1025" s="50">
        <f t="shared" si="133"/>
        <v>3.4254693288898429E-2</v>
      </c>
      <c r="P1025" s="50">
        <f t="shared" ref="P1025:P1088" si="136">(F1025-F1026)/F1026</f>
        <v>3.4254693288898429E-2</v>
      </c>
      <c r="Q1025" s="51">
        <f t="shared" si="134"/>
        <v>140.57434601531708</v>
      </c>
      <c r="R1025" s="51">
        <f t="shared" si="135"/>
        <v>65.254576031158578</v>
      </c>
    </row>
    <row r="1026" spans="1:18" x14ac:dyDescent="0.15">
      <c r="A1026" s="59">
        <v>42398.75</v>
      </c>
      <c r="B1026">
        <v>13.639658000000001</v>
      </c>
      <c r="C1026">
        <v>128.49079900000001</v>
      </c>
      <c r="D1026">
        <v>57.762203</v>
      </c>
      <c r="E1026">
        <v>28.740499</v>
      </c>
      <c r="F1026">
        <v>845.14001499999995</v>
      </c>
      <c r="H1026" s="50">
        <f t="shared" ref="H1026:H1089" si="137">(B1026-B1027)/B1027</f>
        <v>9.5720787403066922E-3</v>
      </c>
      <c r="I1026" s="50">
        <f t="shared" ref="I1026:I1089" si="138">(C1026-C1027)/C1027</f>
        <v>1.851870949527731E-2</v>
      </c>
      <c r="J1026" s="50">
        <f t="shared" ref="J1026:J1089" si="139">(D1026-D1027)/D1027</f>
        <v>-6.5473189556148797E-3</v>
      </c>
      <c r="K1026" s="50">
        <f t="shared" ref="K1026:K1089" si="140">(E1026-E1027)/E1027</f>
        <v>4.113381633761997E-2</v>
      </c>
      <c r="L1026" s="50">
        <f t="shared" ref="L1026:L1089" si="141">(F1026-F1027)/F1027</f>
        <v>2.332059122801982E-2</v>
      </c>
      <c r="P1026" s="50">
        <f t="shared" si="136"/>
        <v>2.332059122801982E-2</v>
      </c>
      <c r="Q1026" s="51">
        <f t="shared" si="134"/>
        <v>143.85262287588651</v>
      </c>
      <c r="R1026" s="51">
        <f t="shared" si="135"/>
        <v>65.879197971094158</v>
      </c>
    </row>
    <row r="1027" spans="1:18" x14ac:dyDescent="0.15">
      <c r="A1027" s="59">
        <v>42399.75</v>
      </c>
      <c r="B1027">
        <v>13.510336000000001</v>
      </c>
      <c r="C1027">
        <v>126.154579</v>
      </c>
      <c r="D1027">
        <v>58.142882999999998</v>
      </c>
      <c r="E1027">
        <v>27.605</v>
      </c>
      <c r="F1027">
        <v>825.88000499999998</v>
      </c>
      <c r="H1027" s="50">
        <f t="shared" si="137"/>
        <v>8.9031434504361108E-3</v>
      </c>
      <c r="I1027" s="50">
        <f t="shared" si="138"/>
        <v>1.2269797220391161E-2</v>
      </c>
      <c r="J1027" s="50">
        <f t="shared" si="139"/>
        <v>1.0197133826778738E-2</v>
      </c>
      <c r="K1027" s="50">
        <f t="shared" si="140"/>
        <v>3.9599338678492121E-2</v>
      </c>
      <c r="L1027" s="50">
        <f t="shared" si="141"/>
        <v>5.3305267364536237E-4</v>
      </c>
      <c r="P1027" s="50">
        <f t="shared" si="136"/>
        <v>5.3305267364536237E-4</v>
      </c>
      <c r="Q1027" s="51">
        <f t="shared" ref="Q1027:Q1090" si="142">Q1026*(1+P1027)</f>
        <v>143.92930390112139</v>
      </c>
      <c r="R1027" s="51">
        <f t="shared" ref="R1027:R1090" si="143">R1026*(1+H1027)</f>
        <v>66.465729921030487</v>
      </c>
    </row>
    <row r="1028" spans="1:18" x14ac:dyDescent="0.15">
      <c r="A1028" s="59">
        <v>42402.75</v>
      </c>
      <c r="B1028">
        <v>13.391113000000001</v>
      </c>
      <c r="C1028">
        <v>124.62545</v>
      </c>
      <c r="D1028">
        <v>57.555976999999999</v>
      </c>
      <c r="E1028">
        <v>26.553498999999999</v>
      </c>
      <c r="F1028">
        <v>825.44000200000005</v>
      </c>
      <c r="H1028" s="50">
        <f t="shared" si="137"/>
        <v>-2.258404175294612E-3</v>
      </c>
      <c r="I1028" s="50">
        <f t="shared" si="138"/>
        <v>2.3869552071402067E-2</v>
      </c>
      <c r="J1028" s="50">
        <f t="shared" si="139"/>
        <v>3.6122388360630357E-2</v>
      </c>
      <c r="K1028" s="50">
        <f t="shared" si="140"/>
        <v>-9.6781784955059201E-3</v>
      </c>
      <c r="L1028" s="50">
        <f t="shared" si="141"/>
        <v>-1.5587181839367567E-2</v>
      </c>
      <c r="P1028" s="50">
        <f t="shared" si="136"/>
        <v>-1.5587181839367567E-2</v>
      </c>
      <c r="Q1028" s="51">
        <f t="shared" si="142"/>
        <v>141.68585166920101</v>
      </c>
      <c r="R1028" s="51">
        <f t="shared" si="143"/>
        <v>66.315623439062819</v>
      </c>
    </row>
    <row r="1029" spans="1:18" x14ac:dyDescent="0.15">
      <c r="A1029" s="59">
        <v>42403.75</v>
      </c>
      <c r="B1029">
        <v>13.421424</v>
      </c>
      <c r="C1029">
        <v>121.72004699999999</v>
      </c>
      <c r="D1029">
        <v>55.549399999999999</v>
      </c>
      <c r="E1029">
        <v>26.812999999999999</v>
      </c>
      <c r="F1029">
        <v>838.51000999999997</v>
      </c>
      <c r="H1029" s="50">
        <f t="shared" si="137"/>
        <v>-8.6568607479075559E-3</v>
      </c>
      <c r="I1029" s="50">
        <f t="shared" si="138"/>
        <v>-4.9309120496280308E-3</v>
      </c>
      <c r="J1029" s="50">
        <f t="shared" si="139"/>
        <v>6.9006337488352297E-3</v>
      </c>
      <c r="K1029" s="50">
        <f t="shared" si="140"/>
        <v>6.7970403362857978E-2</v>
      </c>
      <c r="L1029" s="50">
        <f t="shared" si="141"/>
        <v>7.5460271210128849E-3</v>
      </c>
      <c r="P1029" s="50">
        <f t="shared" si="136"/>
        <v>7.5460271210128849E-3</v>
      </c>
      <c r="Q1029" s="51">
        <f t="shared" si="142"/>
        <v>142.75501694856061</v>
      </c>
      <c r="R1029" s="51">
        <f t="shared" si="143"/>
        <v>65.741538321540176</v>
      </c>
    </row>
    <row r="1030" spans="1:18" x14ac:dyDescent="0.15">
      <c r="A1030" s="59">
        <v>42404.75</v>
      </c>
      <c r="B1030">
        <v>13.538626000000001</v>
      </c>
      <c r="C1030">
        <v>122.323212</v>
      </c>
      <c r="D1030">
        <v>55.168700999999999</v>
      </c>
      <c r="E1030">
        <v>25.106501000000002</v>
      </c>
      <c r="F1030">
        <v>832.22997999999995</v>
      </c>
      <c r="H1030" s="50">
        <f t="shared" si="137"/>
        <v>1.494701303850594E-3</v>
      </c>
      <c r="I1030" s="50">
        <f t="shared" si="138"/>
        <v>-2.060934673964791E-2</v>
      </c>
      <c r="J1030" s="50">
        <f t="shared" si="139"/>
        <v>-6.286140167964159E-3</v>
      </c>
      <c r="K1030" s="50">
        <f t="shared" si="140"/>
        <v>2.8744108635767027E-2</v>
      </c>
      <c r="L1030" s="50">
        <f t="shared" si="141"/>
        <v>-1.6102141498435196E-2</v>
      </c>
      <c r="P1030" s="50">
        <f t="shared" si="136"/>
        <v>-1.6102141498435196E-2</v>
      </c>
      <c r="Q1030" s="51">
        <f t="shared" si="142"/>
        <v>140.45635546604336</v>
      </c>
      <c r="R1030" s="51">
        <f t="shared" si="143"/>
        <v>65.839802284586526</v>
      </c>
    </row>
    <row r="1031" spans="1:18" x14ac:dyDescent="0.15">
      <c r="A1031" s="59">
        <v>42405.75</v>
      </c>
      <c r="B1031">
        <v>13.518420000000001</v>
      </c>
      <c r="C1031">
        <v>124.897263</v>
      </c>
      <c r="D1031">
        <v>55.517693000000001</v>
      </c>
      <c r="E1031">
        <v>24.405000999999999</v>
      </c>
      <c r="F1031">
        <v>845.84997599999997</v>
      </c>
      <c r="H1031" s="50">
        <f t="shared" si="137"/>
        <v>1.6563040817219793E-2</v>
      </c>
      <c r="I1031" s="50">
        <f t="shared" si="138"/>
        <v>-6.2189697207301192E-3</v>
      </c>
      <c r="J1031" s="50">
        <f t="shared" si="139"/>
        <v>2.0040010353990509E-3</v>
      </c>
      <c r="K1031" s="50">
        <f t="shared" si="140"/>
        <v>1.2508598336341123E-2</v>
      </c>
      <c r="L1031" s="50">
        <f t="shared" si="141"/>
        <v>-2.619157336932738E-2</v>
      </c>
      <c r="P1031" s="50">
        <f t="shared" si="136"/>
        <v>-2.619157336932738E-2</v>
      </c>
      <c r="Q1031" s="51">
        <f t="shared" si="142"/>
        <v>136.77758252666615</v>
      </c>
      <c r="R1031" s="51">
        <f t="shared" si="143"/>
        <v>66.930309617223813</v>
      </c>
    </row>
    <row r="1032" spans="1:18" x14ac:dyDescent="0.15">
      <c r="A1032" s="59">
        <v>42406.75</v>
      </c>
      <c r="B1032">
        <v>13.298162</v>
      </c>
      <c r="C1032">
        <v>125.678856</v>
      </c>
      <c r="D1032">
        <v>55.406658</v>
      </c>
      <c r="E1032">
        <v>24.1035</v>
      </c>
      <c r="F1032">
        <v>868.59997599999997</v>
      </c>
      <c r="H1032" s="50">
        <f t="shared" si="137"/>
        <v>3.0404419397448654E-4</v>
      </c>
      <c r="I1032" s="50">
        <f t="shared" si="138"/>
        <v>-3.4446019342643918E-3</v>
      </c>
      <c r="J1032" s="50">
        <f t="shared" si="139"/>
        <v>1.5997525958230497E-2</v>
      </c>
      <c r="K1032" s="50">
        <f t="shared" si="140"/>
        <v>-1.7146468765291165E-2</v>
      </c>
      <c r="L1032" s="50">
        <f t="shared" si="141"/>
        <v>-1.482990927307033E-3</v>
      </c>
      <c r="P1032" s="50">
        <f t="shared" si="136"/>
        <v>-1.482990927307033E-3</v>
      </c>
      <c r="Q1032" s="51">
        <f t="shared" si="142"/>
        <v>136.57474261272012</v>
      </c>
      <c r="R1032" s="51">
        <f t="shared" si="143"/>
        <v>66.950659389263848</v>
      </c>
    </row>
    <row r="1033" spans="1:18" x14ac:dyDescent="0.15">
      <c r="A1033" s="59">
        <v>42409.75</v>
      </c>
      <c r="B1033">
        <v>13.294119999999999</v>
      </c>
      <c r="C1033">
        <v>126.113266</v>
      </c>
      <c r="D1033">
        <v>54.534244999999999</v>
      </c>
      <c r="E1033">
        <v>24.524000000000001</v>
      </c>
      <c r="F1033">
        <v>869.89001499999995</v>
      </c>
      <c r="H1033" s="50">
        <f t="shared" si="137"/>
        <v>7.1952366019960266E-3</v>
      </c>
      <c r="I1033" s="50">
        <f t="shared" si="138"/>
        <v>9.5465197011210586E-3</v>
      </c>
      <c r="J1033" s="50">
        <f t="shared" si="139"/>
        <v>1.043383962448503E-2</v>
      </c>
      <c r="K1033" s="50">
        <f t="shared" si="140"/>
        <v>-2.6477710293358662E-2</v>
      </c>
      <c r="L1033" s="50">
        <f t="shared" si="141"/>
        <v>5.1658740019809822E-2</v>
      </c>
      <c r="P1033" s="50">
        <f t="shared" si="136"/>
        <v>5.1658740019809822E-2</v>
      </c>
      <c r="Q1033" s="51">
        <f t="shared" si="142"/>
        <v>143.63002173462306</v>
      </c>
      <c r="R1033" s="51">
        <f t="shared" si="143"/>
        <v>67.43238522422925</v>
      </c>
    </row>
    <row r="1034" spans="1:18" x14ac:dyDescent="0.15">
      <c r="A1034" s="59">
        <v>42410.75</v>
      </c>
      <c r="B1034">
        <v>13.199149</v>
      </c>
      <c r="C1034">
        <v>124.920708</v>
      </c>
      <c r="D1034">
        <v>53.971119000000002</v>
      </c>
      <c r="E1034">
        <v>25.190999999999999</v>
      </c>
      <c r="F1034">
        <v>827.15997300000004</v>
      </c>
      <c r="H1034" s="50">
        <f t="shared" si="137"/>
        <v>-1.299483553639111E-2</v>
      </c>
      <c r="I1034" s="50">
        <f t="shared" si="138"/>
        <v>-1.3454549377386042E-2</v>
      </c>
      <c r="J1034" s="50">
        <f t="shared" si="139"/>
        <v>-3.5168116995051311E-2</v>
      </c>
      <c r="K1034" s="50">
        <f t="shared" si="140"/>
        <v>-6.4289658436538716E-3</v>
      </c>
      <c r="L1034" s="50">
        <f t="shared" si="141"/>
        <v>-7.8921691161773326E-3</v>
      </c>
      <c r="P1034" s="50">
        <f t="shared" si="136"/>
        <v>-7.8921691161773326E-3</v>
      </c>
      <c r="Q1034" s="51">
        <f t="shared" si="142"/>
        <v>142.49646931293319</v>
      </c>
      <c r="R1034" s="51">
        <f t="shared" si="143"/>
        <v>66.556112468413815</v>
      </c>
    </row>
    <row r="1035" spans="1:18" x14ac:dyDescent="0.15">
      <c r="A1035" s="59">
        <v>42411.75</v>
      </c>
      <c r="B1035">
        <v>13.372928</v>
      </c>
      <c r="C1035">
        <v>126.624382</v>
      </c>
      <c r="D1035">
        <v>55.938366000000002</v>
      </c>
      <c r="E1035">
        <v>25.353999999999999</v>
      </c>
      <c r="F1035">
        <v>833.73999000000003</v>
      </c>
      <c r="H1035" s="50">
        <f t="shared" si="137"/>
        <v>4.2490635193769052E-3</v>
      </c>
      <c r="I1035" s="50">
        <f t="shared" si="138"/>
        <v>-3.0850623150654529E-3</v>
      </c>
      <c r="J1035" s="50">
        <f t="shared" si="139"/>
        <v>-2.1678465078156472E-2</v>
      </c>
      <c r="K1035" s="50">
        <f t="shared" si="140"/>
        <v>-2.6904624832085992E-2</v>
      </c>
      <c r="L1035" s="50">
        <f t="shared" si="141"/>
        <v>-1.7361462619616165E-3</v>
      </c>
      <c r="P1035" s="50">
        <f t="shared" si="136"/>
        <v>-1.7361462619616165E-3</v>
      </c>
      <c r="Q1035" s="51">
        <f t="shared" si="142"/>
        <v>142.24907460039282</v>
      </c>
      <c r="R1035" s="51">
        <f t="shared" si="143"/>
        <v>66.838913617894889</v>
      </c>
    </row>
    <row r="1036" spans="1:18" x14ac:dyDescent="0.15">
      <c r="A1036" s="59">
        <v>42412.75</v>
      </c>
      <c r="B1036">
        <v>13.316345999999999</v>
      </c>
      <c r="C1036">
        <v>127.01623499999999</v>
      </c>
      <c r="D1036">
        <v>57.177894999999999</v>
      </c>
      <c r="E1036">
        <v>26.055</v>
      </c>
      <c r="F1036">
        <v>835.19000200000005</v>
      </c>
      <c r="H1036" s="50">
        <f t="shared" si="137"/>
        <v>-3.1768607698978535E-3</v>
      </c>
      <c r="I1036" s="50">
        <f t="shared" si="138"/>
        <v>-1.1927428733678467E-2</v>
      </c>
      <c r="J1036" s="50">
        <f t="shared" si="139"/>
        <v>-8.3217322534176151E-3</v>
      </c>
      <c r="K1036" s="50">
        <f t="shared" si="140"/>
        <v>-2.4340011233851287E-2</v>
      </c>
      <c r="L1036" s="50">
        <f t="shared" si="141"/>
        <v>1.0098658419206024E-2</v>
      </c>
      <c r="P1036" s="50">
        <f t="shared" si="136"/>
        <v>1.0098658419206024E-2</v>
      </c>
      <c r="Q1036" s="51">
        <f t="shared" si="142"/>
        <v>143.68559941523034</v>
      </c>
      <c r="R1036" s="51">
        <f t="shared" si="143"/>
        <v>66.626575695319602</v>
      </c>
    </row>
    <row r="1037" spans="1:18" x14ac:dyDescent="0.15">
      <c r="A1037" s="59">
        <v>42413.75</v>
      </c>
      <c r="B1037">
        <v>13.358784999999999</v>
      </c>
      <c r="C1037">
        <v>128.54949999999999</v>
      </c>
      <c r="D1037">
        <v>57.657707000000002</v>
      </c>
      <c r="E1037">
        <v>26.704999999999998</v>
      </c>
      <c r="F1037">
        <v>826.84002699999996</v>
      </c>
      <c r="H1037" s="50">
        <f t="shared" si="137"/>
        <v>3.1035764218647319E-2</v>
      </c>
      <c r="I1037" s="50">
        <f t="shared" si="138"/>
        <v>1.5203375286759526E-2</v>
      </c>
      <c r="J1037" s="50">
        <f t="shared" si="139"/>
        <v>-5.9285462125061193E-3</v>
      </c>
      <c r="K1037" s="50">
        <f t="shared" si="140"/>
        <v>1.733333333333327E-2</v>
      </c>
      <c r="L1037" s="50">
        <f t="shared" si="141"/>
        <v>4.7733751677678751E-2</v>
      </c>
      <c r="P1037" s="50">
        <f t="shared" si="136"/>
        <v>4.7733751677678751E-2</v>
      </c>
      <c r="Q1037" s="51">
        <f t="shared" si="142"/>
        <v>150.54425213737537</v>
      </c>
      <c r="R1037" s="51">
        <f t="shared" si="143"/>
        <v>68.694382389295399</v>
      </c>
    </row>
    <row r="1038" spans="1:18" x14ac:dyDescent="0.15">
      <c r="A1038" s="59">
        <v>42417.75</v>
      </c>
      <c r="B1038">
        <v>12.956664999999999</v>
      </c>
      <c r="C1038">
        <v>126.624382</v>
      </c>
      <c r="D1038">
        <v>58.001572000000003</v>
      </c>
      <c r="E1038">
        <v>26.25</v>
      </c>
      <c r="F1038">
        <v>789.169983</v>
      </c>
      <c r="H1038" s="50">
        <f t="shared" si="137"/>
        <v>-8.3511285473296271E-3</v>
      </c>
      <c r="I1038" s="50">
        <f t="shared" si="138"/>
        <v>-3.3609397443951273E-4</v>
      </c>
      <c r="J1038" s="50">
        <f t="shared" si="139"/>
        <v>2.9038293340486504E-3</v>
      </c>
      <c r="K1038" s="50">
        <f t="shared" si="140"/>
        <v>-1.8508169059331815E-2</v>
      </c>
      <c r="L1038" s="50">
        <f t="shared" si="141"/>
        <v>9.5126964837470389E-4</v>
      </c>
      <c r="P1038" s="50">
        <f t="shared" si="136"/>
        <v>9.5126964837470389E-4</v>
      </c>
      <c r="Q1038" s="51">
        <f t="shared" si="142"/>
        <v>150.68746031517091</v>
      </c>
      <c r="R1038" s="51">
        <f t="shared" si="143"/>
        <v>68.120706771482972</v>
      </c>
    </row>
    <row r="1039" spans="1:18" x14ac:dyDescent="0.15">
      <c r="A1039" s="59">
        <v>42418.75</v>
      </c>
      <c r="B1039">
        <v>13.065778999999999</v>
      </c>
      <c r="C1039">
        <v>126.666954</v>
      </c>
      <c r="D1039">
        <v>57.833632999999999</v>
      </c>
      <c r="E1039">
        <v>26.745000999999998</v>
      </c>
      <c r="F1039">
        <v>788.419983</v>
      </c>
      <c r="H1039" s="50">
        <f t="shared" si="137"/>
        <v>-1.4779982910298379E-2</v>
      </c>
      <c r="I1039" s="50">
        <f t="shared" si="138"/>
        <v>-9.063380436225189E-3</v>
      </c>
      <c r="J1039" s="50">
        <f t="shared" si="139"/>
        <v>-2.0700870327265862E-3</v>
      </c>
      <c r="K1039" s="50">
        <f t="shared" si="140"/>
        <v>-4.3967792672028702E-2</v>
      </c>
      <c r="L1039" s="50">
        <f t="shared" si="141"/>
        <v>1.2170360972166316E-2</v>
      </c>
      <c r="P1039" s="50">
        <f t="shared" si="136"/>
        <v>1.2170360972166316E-2</v>
      </c>
      <c r="Q1039" s="51">
        <f t="shared" si="142"/>
        <v>152.52138110118554</v>
      </c>
      <c r="R1039" s="51">
        <f t="shared" si="143"/>
        <v>67.113883889563013</v>
      </c>
    </row>
    <row r="1040" spans="1:18" x14ac:dyDescent="0.15">
      <c r="A1040" s="59">
        <v>42419.75</v>
      </c>
      <c r="B1040">
        <v>13.261787999999999</v>
      </c>
      <c r="C1040">
        <v>127.825485</v>
      </c>
      <c r="D1040">
        <v>57.953601999999997</v>
      </c>
      <c r="E1040">
        <v>27.975000000000001</v>
      </c>
      <c r="F1040">
        <v>778.94000200000005</v>
      </c>
      <c r="H1040" s="50">
        <f t="shared" si="137"/>
        <v>-1.2786193852526967E-2</v>
      </c>
      <c r="I1040" s="50">
        <f t="shared" si="138"/>
        <v>-1.995018636993983E-3</v>
      </c>
      <c r="J1040" s="50">
        <f t="shared" si="139"/>
        <v>-2.0542882632027647E-2</v>
      </c>
      <c r="K1040" s="50">
        <f t="shared" si="140"/>
        <v>1.1863891628888923E-2</v>
      </c>
      <c r="L1040" s="50">
        <f t="shared" si="141"/>
        <v>1.1544723249836691E-2</v>
      </c>
      <c r="P1040" s="50">
        <f t="shared" si="136"/>
        <v>1.1544723249836691E-2</v>
      </c>
      <c r="Q1040" s="51">
        <f t="shared" si="142"/>
        <v>154.28219823568159</v>
      </c>
      <c r="R1040" s="51">
        <f t="shared" si="143"/>
        <v>66.255752759955072</v>
      </c>
    </row>
    <row r="1041" spans="1:18" x14ac:dyDescent="0.15">
      <c r="A1041" s="59">
        <v>42420.75</v>
      </c>
      <c r="B1041">
        <v>13.433552000000001</v>
      </c>
      <c r="C1041">
        <v>128.08100899999999</v>
      </c>
      <c r="D1041">
        <v>59.169105999999999</v>
      </c>
      <c r="E1041">
        <v>27.646999000000001</v>
      </c>
      <c r="F1041">
        <v>770.04998799999998</v>
      </c>
      <c r="H1041" s="50">
        <f t="shared" si="137"/>
        <v>-9.5348536799580406E-3</v>
      </c>
      <c r="I1041" s="50">
        <f t="shared" si="138"/>
        <v>-2.2811420958712553E-2</v>
      </c>
      <c r="J1041" s="50">
        <f t="shared" si="139"/>
        <v>-3.8341936675980695E-2</v>
      </c>
      <c r="K1041" s="50">
        <f t="shared" si="140"/>
        <v>-1.9854523139123796E-3</v>
      </c>
      <c r="L1041" s="50">
        <f t="shared" si="141"/>
        <v>3.5946309699477652E-2</v>
      </c>
      <c r="P1041" s="50">
        <f t="shared" si="136"/>
        <v>3.5946309699477652E-2</v>
      </c>
      <c r="Q1041" s="51">
        <f t="shared" si="142"/>
        <v>159.8280739145776</v>
      </c>
      <c r="R1041" s="51">
        <f t="shared" si="143"/>
        <v>65.624013851933427</v>
      </c>
    </row>
    <row r="1042" spans="1:18" x14ac:dyDescent="0.15">
      <c r="A1042" s="59">
        <v>42423.75</v>
      </c>
      <c r="B1042">
        <v>13.562872</v>
      </c>
      <c r="C1042">
        <v>131.07092299999999</v>
      </c>
      <c r="D1042">
        <v>61.528216999999998</v>
      </c>
      <c r="E1042">
        <v>27.702000000000002</v>
      </c>
      <c r="F1042">
        <v>743.330017</v>
      </c>
      <c r="H1042" s="50">
        <f t="shared" si="137"/>
        <v>-1.3521422817669189E-2</v>
      </c>
      <c r="I1042" s="50">
        <f t="shared" si="138"/>
        <v>-5.4937226434928679E-3</v>
      </c>
      <c r="J1042" s="50">
        <f t="shared" si="139"/>
        <v>-2.1990170183887311E-2</v>
      </c>
      <c r="K1042" s="50">
        <f t="shared" si="140"/>
        <v>-1.9994596055119716E-3</v>
      </c>
      <c r="L1042" s="50">
        <f t="shared" si="141"/>
        <v>-3.8557049721453046E-2</v>
      </c>
      <c r="P1042" s="50">
        <f t="shared" si="136"/>
        <v>-3.8557049721453046E-2</v>
      </c>
      <c r="Q1042" s="51">
        <f t="shared" si="142"/>
        <v>153.66557492176918</v>
      </c>
      <c r="R1042" s="51">
        <f t="shared" si="143"/>
        <v>64.736683813648852</v>
      </c>
    </row>
    <row r="1043" spans="1:18" x14ac:dyDescent="0.15">
      <c r="A1043" s="59">
        <v>42424.75</v>
      </c>
      <c r="B1043">
        <v>13.748775</v>
      </c>
      <c r="C1043">
        <v>131.79496800000001</v>
      </c>
      <c r="D1043">
        <v>62.911655000000003</v>
      </c>
      <c r="E1043">
        <v>27.7575</v>
      </c>
      <c r="F1043">
        <v>773.14001499999995</v>
      </c>
      <c r="H1043" s="50">
        <f t="shared" si="137"/>
        <v>2.3003863504392822E-2</v>
      </c>
      <c r="I1043" s="50">
        <f t="shared" si="138"/>
        <v>3.3672103411752585E-2</v>
      </c>
      <c r="J1043" s="50">
        <f t="shared" si="139"/>
        <v>3.0600898501998313E-3</v>
      </c>
      <c r="K1043" s="50">
        <f t="shared" si="140"/>
        <v>-1.4404841755844336E-4</v>
      </c>
      <c r="L1043" s="50">
        <f t="shared" si="141"/>
        <v>1.077263791535705E-2</v>
      </c>
      <c r="P1043" s="50">
        <f t="shared" si="136"/>
        <v>1.077263791535705E-2</v>
      </c>
      <c r="Q1043" s="51">
        <f t="shared" si="142"/>
        <v>155.32095852045657</v>
      </c>
      <c r="R1043" s="51">
        <f t="shared" si="143"/>
        <v>66.225877651825058</v>
      </c>
    </row>
    <row r="1044" spans="1:18" x14ac:dyDescent="0.15">
      <c r="A1044" s="59">
        <v>42425.75</v>
      </c>
      <c r="B1044">
        <v>13.439612</v>
      </c>
      <c r="C1044">
        <v>127.501717</v>
      </c>
      <c r="D1044">
        <v>62.719726999999999</v>
      </c>
      <c r="E1044">
        <v>27.761499000000001</v>
      </c>
      <c r="F1044">
        <v>764.90002400000003</v>
      </c>
      <c r="H1044" s="50">
        <f t="shared" si="137"/>
        <v>2.5627257602949859E-3</v>
      </c>
      <c r="I1044" s="50">
        <f t="shared" si="138"/>
        <v>-2.3331709127525787E-3</v>
      </c>
      <c r="J1044" s="50">
        <f t="shared" si="139"/>
        <v>-2.5550022860971306E-4</v>
      </c>
      <c r="K1044" s="50">
        <f t="shared" si="140"/>
        <v>4.9048000037935427E-3</v>
      </c>
      <c r="L1044" s="50">
        <f t="shared" si="141"/>
        <v>1.6032845034658114E-2</v>
      </c>
      <c r="P1044" s="50">
        <f t="shared" si="136"/>
        <v>1.6032845034658114E-2</v>
      </c>
      <c r="Q1044" s="51">
        <f t="shared" si="142"/>
        <v>157.81119537904959</v>
      </c>
      <c r="R1044" s="51">
        <f t="shared" si="143"/>
        <v>66.395596414481531</v>
      </c>
    </row>
    <row r="1045" spans="1:18" x14ac:dyDescent="0.15">
      <c r="A1045" s="59">
        <v>42426.75</v>
      </c>
      <c r="B1045">
        <v>13.405258</v>
      </c>
      <c r="C1045">
        <v>127.799896</v>
      </c>
      <c r="D1045">
        <v>62.735756000000002</v>
      </c>
      <c r="E1045">
        <v>27.625999</v>
      </c>
      <c r="F1045">
        <v>752.830017</v>
      </c>
      <c r="H1045" s="50">
        <f t="shared" si="137"/>
        <v>-1.8055021387609442E-3</v>
      </c>
      <c r="I1045" s="50">
        <f t="shared" si="138"/>
        <v>-3.2554421283242634E-3</v>
      </c>
      <c r="J1045" s="50">
        <f t="shared" si="139"/>
        <v>-3.1002750167485278E-2</v>
      </c>
      <c r="K1045" s="50">
        <f t="shared" si="140"/>
        <v>-4.5799979276043158E-2</v>
      </c>
      <c r="L1045" s="50">
        <f t="shared" si="141"/>
        <v>2.4133084858189807E-2</v>
      </c>
      <c r="P1045" s="50">
        <f t="shared" si="136"/>
        <v>2.4133084858189807E-2</v>
      </c>
      <c r="Q1045" s="51">
        <f t="shared" si="142"/>
        <v>161.61966634870456</v>
      </c>
      <c r="R1045" s="51">
        <f t="shared" si="143"/>
        <v>66.27571902315087</v>
      </c>
    </row>
    <row r="1046" spans="1:18" x14ac:dyDescent="0.15">
      <c r="A1046" s="59">
        <v>42427.75</v>
      </c>
      <c r="B1046">
        <v>13.429505000000001</v>
      </c>
      <c r="C1046">
        <v>128.21729999999999</v>
      </c>
      <c r="D1046">
        <v>64.742965999999996</v>
      </c>
      <c r="E1046">
        <v>28.952000000000002</v>
      </c>
      <c r="F1046">
        <v>735.09002699999996</v>
      </c>
      <c r="H1046" s="50">
        <f t="shared" si="137"/>
        <v>3.7755460202084337E-3</v>
      </c>
      <c r="I1046" s="50">
        <f t="shared" si="138"/>
        <v>-1.4856903837959196E-2</v>
      </c>
      <c r="J1046" s="50">
        <f t="shared" si="139"/>
        <v>-1.7263299055137009E-3</v>
      </c>
      <c r="K1046" s="50">
        <f t="shared" si="140"/>
        <v>-2.0165112631632914E-3</v>
      </c>
      <c r="L1046" s="50">
        <f t="shared" si="141"/>
        <v>4.8899888213379629E-2</v>
      </c>
      <c r="P1046" s="50">
        <f t="shared" si="136"/>
        <v>4.8899888213379629E-2</v>
      </c>
      <c r="Q1046" s="51">
        <f t="shared" si="142"/>
        <v>169.5228499662399</v>
      </c>
      <c r="R1046" s="51">
        <f t="shared" si="143"/>
        <v>66.525946050345183</v>
      </c>
    </row>
    <row r="1047" spans="1:18" x14ac:dyDescent="0.15">
      <c r="A1047" s="59">
        <v>42430.75</v>
      </c>
      <c r="B1047">
        <v>13.378992</v>
      </c>
      <c r="C1047">
        <v>130.15093999999999</v>
      </c>
      <c r="D1047">
        <v>64.854927000000004</v>
      </c>
      <c r="E1047">
        <v>29.0105</v>
      </c>
      <c r="F1047">
        <v>700.82000700000003</v>
      </c>
      <c r="H1047" s="50">
        <f t="shared" si="137"/>
        <v>1.0583735077551552E-3</v>
      </c>
      <c r="I1047" s="50">
        <f t="shared" si="138"/>
        <v>7.8493278692469658E-3</v>
      </c>
      <c r="J1047" s="50">
        <f t="shared" si="139"/>
        <v>1.743873601571205E-2</v>
      </c>
      <c r="K1047" s="50">
        <f t="shared" si="140"/>
        <v>4.7100382690609096E-3</v>
      </c>
      <c r="L1047" s="50">
        <f t="shared" si="141"/>
        <v>6.4480776217924187E-3</v>
      </c>
      <c r="P1047" s="50">
        <f t="shared" si="136"/>
        <v>6.4480776217924187E-3</v>
      </c>
      <c r="Q1047" s="51">
        <f t="shared" si="142"/>
        <v>170.61594646148967</v>
      </c>
      <c r="R1047" s="51">
        <f t="shared" si="143"/>
        <v>66.596355349223217</v>
      </c>
    </row>
    <row r="1048" spans="1:18" x14ac:dyDescent="0.15">
      <c r="A1048" s="59">
        <v>42431.75</v>
      </c>
      <c r="B1048">
        <v>13.364846999999999</v>
      </c>
      <c r="C1048">
        <v>129.13729900000001</v>
      </c>
      <c r="D1048">
        <v>63.743324000000001</v>
      </c>
      <c r="E1048">
        <v>28.874500000000001</v>
      </c>
      <c r="F1048">
        <v>696.330017</v>
      </c>
      <c r="H1048" s="50">
        <f t="shared" si="137"/>
        <v>-9.5834733938395394E-3</v>
      </c>
      <c r="I1048" s="50">
        <f t="shared" si="138"/>
        <v>4.6389790028085682E-3</v>
      </c>
      <c r="J1048" s="50">
        <f t="shared" si="139"/>
        <v>-1.7503221462677281E-2</v>
      </c>
      <c r="K1048" s="50">
        <f t="shared" si="140"/>
        <v>4.085961678895563E-3</v>
      </c>
      <c r="L1048" s="50">
        <f t="shared" si="141"/>
        <v>-2.3201955638489202E-2</v>
      </c>
      <c r="P1048" s="50">
        <f t="shared" si="136"/>
        <v>-2.3201955638489202E-2</v>
      </c>
      <c r="Q1048" s="51">
        <f t="shared" si="142"/>
        <v>166.65732284047132</v>
      </c>
      <c r="R1048" s="51">
        <f t="shared" si="143"/>
        <v>65.958130949607252</v>
      </c>
    </row>
    <row r="1049" spans="1:18" x14ac:dyDescent="0.15">
      <c r="A1049" s="59">
        <v>42432.75</v>
      </c>
      <c r="B1049">
        <v>13.494168</v>
      </c>
      <c r="C1049">
        <v>128.541</v>
      </c>
      <c r="D1049">
        <v>64.878913999999995</v>
      </c>
      <c r="E1049">
        <v>28.757000000000001</v>
      </c>
      <c r="F1049">
        <v>712.86999500000002</v>
      </c>
      <c r="H1049" s="50">
        <f t="shared" si="137"/>
        <v>-1.6350293899414031E-2</v>
      </c>
      <c r="I1049" s="50">
        <f t="shared" si="138"/>
        <v>1.8425022471689347E-2</v>
      </c>
      <c r="J1049" s="50">
        <f t="shared" si="139"/>
        <v>3.8358838871076222E-3</v>
      </c>
      <c r="K1049" s="50">
        <f t="shared" si="140"/>
        <v>2.1926120182164964E-2</v>
      </c>
      <c r="L1049" s="50">
        <f t="shared" si="141"/>
        <v>4.4421665127917391E-2</v>
      </c>
      <c r="P1049" s="50">
        <f t="shared" si="136"/>
        <v>4.4421665127917391E-2</v>
      </c>
      <c r="Q1049" s="51">
        <f t="shared" si="142"/>
        <v>174.06051862680596</v>
      </c>
      <c r="R1049" s="51">
        <f t="shared" si="143"/>
        <v>64.879696123525136</v>
      </c>
    </row>
    <row r="1050" spans="1:18" x14ac:dyDescent="0.15">
      <c r="A1050" s="59">
        <v>42433.75</v>
      </c>
      <c r="B1050">
        <v>13.718469000000001</v>
      </c>
      <c r="C1050">
        <v>126.21547700000001</v>
      </c>
      <c r="D1050">
        <v>64.630996999999994</v>
      </c>
      <c r="E1050">
        <v>28.139999</v>
      </c>
      <c r="F1050">
        <v>682.54998799999998</v>
      </c>
      <c r="H1050" s="50">
        <f t="shared" si="137"/>
        <v>-2.2042691076113691E-3</v>
      </c>
      <c r="I1050" s="50">
        <f t="shared" si="138"/>
        <v>-1.8416777222521059E-2</v>
      </c>
      <c r="J1050" s="50">
        <f t="shared" si="139"/>
        <v>3.6010289213073152E-3</v>
      </c>
      <c r="K1050" s="50">
        <f t="shared" si="140"/>
        <v>4.5335736979258863E-3</v>
      </c>
      <c r="L1050" s="50">
        <f t="shared" si="141"/>
        <v>-1.2145760688447389E-3</v>
      </c>
      <c r="P1050" s="50">
        <f t="shared" si="136"/>
        <v>-1.2145760688447389E-3</v>
      </c>
      <c r="Q1050" s="51">
        <f t="shared" si="142"/>
        <v>173.84910888635113</v>
      </c>
      <c r="R1050" s="51">
        <f t="shared" si="143"/>
        <v>64.736683813648838</v>
      </c>
    </row>
    <row r="1051" spans="1:18" x14ac:dyDescent="0.15">
      <c r="A1051" s="59">
        <v>42434.75</v>
      </c>
      <c r="B1051">
        <v>13.748775</v>
      </c>
      <c r="C1051">
        <v>128.583572</v>
      </c>
      <c r="D1051">
        <v>64.399094000000005</v>
      </c>
      <c r="E1051">
        <v>28.013000000000002</v>
      </c>
      <c r="F1051">
        <v>683.38000499999998</v>
      </c>
      <c r="H1051" s="50">
        <f t="shared" si="137"/>
        <v>-1.4660082623992566E-2</v>
      </c>
      <c r="I1051" s="50">
        <f t="shared" si="138"/>
        <v>-1.3721190162303916E-2</v>
      </c>
      <c r="J1051" s="50">
        <f t="shared" si="139"/>
        <v>-8.3735104259442198E-3</v>
      </c>
      <c r="K1051" s="50">
        <f t="shared" si="140"/>
        <v>1.4120864894306337E-3</v>
      </c>
      <c r="L1051" s="50">
        <f t="shared" si="141"/>
        <v>1.0125161790859647E-2</v>
      </c>
      <c r="P1051" s="50">
        <f t="shared" si="136"/>
        <v>1.0125161790859647E-2</v>
      </c>
      <c r="Q1051" s="51">
        <f t="shared" si="142"/>
        <v>175.60935924102219</v>
      </c>
      <c r="R1051" s="51">
        <f t="shared" si="143"/>
        <v>63.787638680137462</v>
      </c>
    </row>
    <row r="1052" spans="1:18" x14ac:dyDescent="0.15">
      <c r="A1052" s="59">
        <v>42437.75</v>
      </c>
      <c r="B1052">
        <v>13.953332</v>
      </c>
      <c r="C1052">
        <v>130.37243699999999</v>
      </c>
      <c r="D1052">
        <v>64.942893999999995</v>
      </c>
      <c r="E1052">
        <v>27.973499</v>
      </c>
      <c r="F1052">
        <v>676.53002900000001</v>
      </c>
      <c r="H1052" s="50">
        <f t="shared" si="137"/>
        <v>1.7797267093909372E-3</v>
      </c>
      <c r="I1052" s="50">
        <f t="shared" si="138"/>
        <v>1.1778767707997381E-3</v>
      </c>
      <c r="J1052" s="50">
        <f t="shared" si="139"/>
        <v>-3.5580475757276118E-3</v>
      </c>
      <c r="K1052" s="50">
        <f t="shared" si="140"/>
        <v>9.660601160767484E-4</v>
      </c>
      <c r="L1052" s="50">
        <f t="shared" si="141"/>
        <v>-5.9852624286357618E-2</v>
      </c>
      <c r="P1052" s="50">
        <f t="shared" si="136"/>
        <v>-5.9852624286357618E-2</v>
      </c>
      <c r="Q1052" s="51">
        <f t="shared" si="142"/>
        <v>165.0986782412013</v>
      </c>
      <c r="R1052" s="51">
        <f t="shared" si="143"/>
        <v>63.901163244425476</v>
      </c>
    </row>
    <row r="1053" spans="1:18" x14ac:dyDescent="0.15">
      <c r="A1053" s="59">
        <v>42438.75</v>
      </c>
      <c r="B1053">
        <v>13.928542999999999</v>
      </c>
      <c r="C1053">
        <v>130.219055</v>
      </c>
      <c r="D1053">
        <v>65.174789000000004</v>
      </c>
      <c r="E1053">
        <v>27.946501000000001</v>
      </c>
      <c r="F1053">
        <v>719.59997599999997</v>
      </c>
      <c r="H1053" s="50">
        <f t="shared" si="137"/>
        <v>3.5734699469635056E-3</v>
      </c>
      <c r="I1053" s="50">
        <f t="shared" si="138"/>
        <v>1.0471404222108993E-3</v>
      </c>
      <c r="J1053" s="50">
        <f t="shared" si="139"/>
        <v>-4.5197926162484654E-3</v>
      </c>
      <c r="K1053" s="50">
        <f t="shared" si="140"/>
        <v>-1.8749601262253057E-2</v>
      </c>
      <c r="L1053" s="50">
        <f t="shared" si="141"/>
        <v>-2.4398483927550842E-3</v>
      </c>
      <c r="P1053" s="50">
        <f t="shared" si="136"/>
        <v>-2.4398483927550842E-3</v>
      </c>
      <c r="Q1053" s="51">
        <f t="shared" si="142"/>
        <v>164.69586249644851</v>
      </c>
      <c r="R1053" s="51">
        <f t="shared" si="143"/>
        <v>64.129512130855446</v>
      </c>
    </row>
    <row r="1054" spans="1:18" x14ac:dyDescent="0.15">
      <c r="A1054" s="59">
        <v>42439.75</v>
      </c>
      <c r="B1054">
        <v>13.878947</v>
      </c>
      <c r="C1054">
        <v>130.08284</v>
      </c>
      <c r="D1054">
        <v>65.470703</v>
      </c>
      <c r="E1054">
        <v>28.480498999999998</v>
      </c>
      <c r="F1054">
        <v>721.35998500000005</v>
      </c>
      <c r="H1054" s="50">
        <f t="shared" si="137"/>
        <v>-2.8208372802015725E-3</v>
      </c>
      <c r="I1054" s="50">
        <f t="shared" si="138"/>
        <v>2.625862647092198E-4</v>
      </c>
      <c r="J1054" s="50">
        <f t="shared" si="139"/>
        <v>1.2232011464258026E-3</v>
      </c>
      <c r="K1054" s="50">
        <f t="shared" si="140"/>
        <v>-6.5577896800394584E-3</v>
      </c>
      <c r="L1054" s="50">
        <f t="shared" si="141"/>
        <v>-3.9134727590573647E-2</v>
      </c>
      <c r="P1054" s="50">
        <f t="shared" si="136"/>
        <v>-3.9134727590573647E-2</v>
      </c>
      <c r="Q1054" s="51">
        <f t="shared" si="142"/>
        <v>158.25053478235543</v>
      </c>
      <c r="R1054" s="51">
        <f t="shared" si="143"/>
        <v>63.948613212275589</v>
      </c>
    </row>
    <row r="1055" spans="1:18" x14ac:dyDescent="0.15">
      <c r="A1055" s="59">
        <v>42440.75</v>
      </c>
      <c r="B1055">
        <v>13.918208</v>
      </c>
      <c r="C1055">
        <v>130.04869099999999</v>
      </c>
      <c r="D1055">
        <v>65.390716999999995</v>
      </c>
      <c r="E1055">
        <v>28.668500999999999</v>
      </c>
      <c r="F1055">
        <v>750.73999000000003</v>
      </c>
      <c r="H1055" s="50">
        <f t="shared" si="137"/>
        <v>-1.072126709941813E-2</v>
      </c>
      <c r="I1055" s="50">
        <f t="shared" si="138"/>
        <v>-9.7940388178806917E-3</v>
      </c>
      <c r="J1055" s="50">
        <f t="shared" si="139"/>
        <v>1.4696892800912854E-3</v>
      </c>
      <c r="K1055" s="50">
        <f t="shared" si="140"/>
        <v>-6.3255693043568675E-3</v>
      </c>
      <c r="L1055" s="50">
        <f t="shared" si="141"/>
        <v>-7.6795956541604636E-3</v>
      </c>
      <c r="P1055" s="50">
        <f t="shared" si="136"/>
        <v>-7.6795956541604636E-3</v>
      </c>
      <c r="Q1055" s="51">
        <f t="shared" si="142"/>
        <v>157.03523466317228</v>
      </c>
      <c r="R1055" s="51">
        <f t="shared" si="143"/>
        <v>63.263003049389404</v>
      </c>
    </row>
    <row r="1056" spans="1:18" x14ac:dyDescent="0.15">
      <c r="A1056" s="59">
        <v>42441.75</v>
      </c>
      <c r="B1056">
        <v>14.069046</v>
      </c>
      <c r="C1056">
        <v>131.334991</v>
      </c>
      <c r="D1056">
        <v>65.294753999999998</v>
      </c>
      <c r="E1056">
        <v>28.850999999999999</v>
      </c>
      <c r="F1056">
        <v>756.54998799999998</v>
      </c>
      <c r="H1056" s="50">
        <f t="shared" si="137"/>
        <v>1.4707028601508632E-3</v>
      </c>
      <c r="I1056" s="50">
        <f t="shared" si="138"/>
        <v>7.791424490696116E-4</v>
      </c>
      <c r="J1056" s="50">
        <f t="shared" si="139"/>
        <v>-8.9817147444770633E-3</v>
      </c>
      <c r="K1056" s="50">
        <f t="shared" si="140"/>
        <v>4.7887232412880199E-3</v>
      </c>
      <c r="L1056" s="50">
        <f t="shared" si="141"/>
        <v>3.5283303228257194E-3</v>
      </c>
      <c r="P1056" s="50">
        <f t="shared" si="136"/>
        <v>3.5283303228257194E-3</v>
      </c>
      <c r="Q1056" s="51">
        <f t="shared" si="142"/>
        <v>157.5893068433864</v>
      </c>
      <c r="R1056" s="51">
        <f t="shared" si="143"/>
        <v>63.356044128915869</v>
      </c>
    </row>
    <row r="1057" spans="1:18" x14ac:dyDescent="0.15">
      <c r="A1057" s="59">
        <v>42444.75</v>
      </c>
      <c r="B1057">
        <v>14.048385</v>
      </c>
      <c r="C1057">
        <v>131.232742</v>
      </c>
      <c r="D1057">
        <v>65.886527999999998</v>
      </c>
      <c r="E1057">
        <v>28.713498999999999</v>
      </c>
      <c r="F1057">
        <v>753.89001499999995</v>
      </c>
      <c r="H1057" s="50">
        <f t="shared" si="137"/>
        <v>8.0059221595074337E-3</v>
      </c>
      <c r="I1057" s="50">
        <f t="shared" si="138"/>
        <v>1.430100517733847E-3</v>
      </c>
      <c r="J1057" s="50">
        <f t="shared" si="139"/>
        <v>-7.5882155818155521E-3</v>
      </c>
      <c r="K1057" s="50">
        <f t="shared" si="140"/>
        <v>2.6508615758615666E-2</v>
      </c>
      <c r="L1057" s="50">
        <f t="shared" si="141"/>
        <v>-3.1139130411370636E-2</v>
      </c>
      <c r="P1057" s="50">
        <f t="shared" si="136"/>
        <v>-3.1139130411370636E-2</v>
      </c>
      <c r="Q1057" s="51">
        <f t="shared" si="142"/>
        <v>152.68211286615269</v>
      </c>
      <c r="R1057" s="51">
        <f t="shared" si="143"/>
        <v>63.863267686546287</v>
      </c>
    </row>
    <row r="1058" spans="1:18" x14ac:dyDescent="0.15">
      <c r="A1058" s="59">
        <v>42445.75</v>
      </c>
      <c r="B1058">
        <v>13.936807999999999</v>
      </c>
      <c r="C1058">
        <v>131.045334</v>
      </c>
      <c r="D1058">
        <v>66.390311999999994</v>
      </c>
      <c r="E1058">
        <v>27.972000000000001</v>
      </c>
      <c r="F1058">
        <v>778.11999500000002</v>
      </c>
      <c r="H1058" s="50">
        <f t="shared" si="137"/>
        <v>7.4686136709814438E-3</v>
      </c>
      <c r="I1058" s="50">
        <f t="shared" si="138"/>
        <v>4.5052033612515878E-3</v>
      </c>
      <c r="J1058" s="50">
        <f t="shared" si="139"/>
        <v>3.7478823347520808E-3</v>
      </c>
      <c r="K1058" s="50">
        <f t="shared" si="140"/>
        <v>1.333140124619628E-2</v>
      </c>
      <c r="L1058" s="50">
        <f t="shared" si="141"/>
        <v>-2.0431776282951574E-2</v>
      </c>
      <c r="P1058" s="50">
        <f t="shared" si="136"/>
        <v>-2.0431776282951574E-2</v>
      </c>
      <c r="Q1058" s="51">
        <f t="shared" si="142"/>
        <v>149.56254609366309</v>
      </c>
      <c r="R1058" s="51">
        <f t="shared" si="143"/>
        <v>64.34023776066357</v>
      </c>
    </row>
    <row r="1059" spans="1:18" x14ac:dyDescent="0.15">
      <c r="A1059" s="59">
        <v>42446.75</v>
      </c>
      <c r="B1059">
        <v>13.833491</v>
      </c>
      <c r="C1059">
        <v>130.457596</v>
      </c>
      <c r="D1059">
        <v>66.142418000000006</v>
      </c>
      <c r="E1059">
        <v>27.603999999999999</v>
      </c>
      <c r="F1059">
        <v>794.34997599999997</v>
      </c>
      <c r="H1059" s="50">
        <f t="shared" si="137"/>
        <v>-1.5006782135037434E-2</v>
      </c>
      <c r="I1059" s="50">
        <f t="shared" si="138"/>
        <v>-5.1318556694104917E-3</v>
      </c>
      <c r="J1059" s="50">
        <f t="shared" si="139"/>
        <v>6.2046511364691826E-3</v>
      </c>
      <c r="K1059" s="50">
        <f t="shared" si="140"/>
        <v>-3.4296907263688982E-3</v>
      </c>
      <c r="L1059" s="50">
        <f t="shared" si="141"/>
        <v>1.3149837112004957E-2</v>
      </c>
      <c r="P1059" s="50">
        <f t="shared" si="136"/>
        <v>1.3149837112004957E-2</v>
      </c>
      <c r="Q1059" s="51">
        <f t="shared" si="142"/>
        <v>151.52926921285149</v>
      </c>
      <c r="R1059" s="51">
        <f t="shared" si="143"/>
        <v>63.374697830072783</v>
      </c>
    </row>
    <row r="1060" spans="1:18" x14ac:dyDescent="0.15">
      <c r="A1060" s="59">
        <v>42447.75</v>
      </c>
      <c r="B1060">
        <v>14.04425</v>
      </c>
      <c r="C1060">
        <v>131.130539</v>
      </c>
      <c r="D1060">
        <v>65.734558000000007</v>
      </c>
      <c r="E1060">
        <v>27.698999000000001</v>
      </c>
      <c r="F1060">
        <v>784.03997800000002</v>
      </c>
      <c r="H1060" s="50">
        <f t="shared" si="137"/>
        <v>1.473803198070263E-3</v>
      </c>
      <c r="I1060" s="50">
        <f t="shared" si="138"/>
        <v>1.1233295922045073E-2</v>
      </c>
      <c r="J1060" s="50">
        <f t="shared" si="139"/>
        <v>6.1195315080462623E-3</v>
      </c>
      <c r="K1060" s="50">
        <f t="shared" si="140"/>
        <v>-1.1597238081644316E-2</v>
      </c>
      <c r="L1060" s="50">
        <f t="shared" si="141"/>
        <v>2.0168111540971784E-2</v>
      </c>
      <c r="P1060" s="50">
        <f t="shared" si="136"/>
        <v>2.0168111540971784E-2</v>
      </c>
      <c r="Q1060" s="51">
        <f t="shared" si="142"/>
        <v>154.58532841605822</v>
      </c>
      <c r="R1060" s="51">
        <f t="shared" si="143"/>
        <v>63.468099662411483</v>
      </c>
    </row>
    <row r="1061" spans="1:18" x14ac:dyDescent="0.15">
      <c r="A1061" s="59">
        <v>42448.75</v>
      </c>
      <c r="B1061">
        <v>14.023581999999999</v>
      </c>
      <c r="C1061">
        <v>129.67387400000001</v>
      </c>
      <c r="D1061">
        <v>65.334739999999996</v>
      </c>
      <c r="E1061">
        <v>28.024000000000001</v>
      </c>
      <c r="F1061">
        <v>768.53997800000002</v>
      </c>
      <c r="H1061" s="50">
        <f t="shared" si="137"/>
        <v>6.0776101816596142E-3</v>
      </c>
      <c r="I1061" s="50">
        <f t="shared" si="138"/>
        <v>-8.3385021771851444E-3</v>
      </c>
      <c r="J1061" s="50">
        <f t="shared" si="139"/>
        <v>2.4541851604612391E-3</v>
      </c>
      <c r="K1061" s="50">
        <f t="shared" si="140"/>
        <v>-1.6063093023081915E-2</v>
      </c>
      <c r="L1061" s="50">
        <f t="shared" si="141"/>
        <v>-6.6081765084564703E-2</v>
      </c>
      <c r="P1061" s="50">
        <f t="shared" si="136"/>
        <v>-6.6081765084564703E-2</v>
      </c>
      <c r="Q1061" s="51">
        <f t="shared" si="142"/>
        <v>144.37005705814798</v>
      </c>
      <c r="R1061" s="51">
        <f t="shared" si="143"/>
        <v>63.85383403113034</v>
      </c>
    </row>
    <row r="1062" spans="1:18" x14ac:dyDescent="0.15">
      <c r="A1062" s="59">
        <v>42451.75</v>
      </c>
      <c r="B1062">
        <v>13.938867</v>
      </c>
      <c r="C1062">
        <v>130.764252</v>
      </c>
      <c r="D1062">
        <v>65.174789000000004</v>
      </c>
      <c r="E1062">
        <v>28.481501000000002</v>
      </c>
      <c r="F1062">
        <v>822.919983</v>
      </c>
      <c r="H1062" s="50">
        <f t="shared" si="137"/>
        <v>-7.941172535188246E-3</v>
      </c>
      <c r="I1062" s="50">
        <f t="shared" si="138"/>
        <v>1.3735726712743115E-2</v>
      </c>
      <c r="J1062" s="50">
        <f t="shared" si="139"/>
        <v>-6.5821405434064338E-3</v>
      </c>
      <c r="K1062" s="50">
        <f t="shared" si="140"/>
        <v>-2.2849233136606278E-2</v>
      </c>
      <c r="L1062" s="50">
        <f t="shared" si="141"/>
        <v>2.0840554885380291E-2</v>
      </c>
      <c r="P1062" s="50">
        <f t="shared" si="136"/>
        <v>2.0840554885380291E-2</v>
      </c>
      <c r="Q1062" s="51">
        <f t="shared" si="142"/>
        <v>147.3788091560738</v>
      </c>
      <c r="R1062" s="51">
        <f t="shared" si="143"/>
        <v>63.346759718055864</v>
      </c>
    </row>
    <row r="1063" spans="1:18" x14ac:dyDescent="0.15">
      <c r="A1063" s="59">
        <v>42452.75</v>
      </c>
      <c r="B1063">
        <v>14.050444000000001</v>
      </c>
      <c r="C1063">
        <v>128.992447</v>
      </c>
      <c r="D1063">
        <v>65.606621000000004</v>
      </c>
      <c r="E1063">
        <v>29.147499</v>
      </c>
      <c r="F1063">
        <v>806.11999500000002</v>
      </c>
      <c r="H1063" s="50">
        <f t="shared" si="137"/>
        <v>-1.7618878764650665E-3</v>
      </c>
      <c r="I1063" s="50">
        <f t="shared" si="138"/>
        <v>-8.1219118153214812E-3</v>
      </c>
      <c r="J1063" s="50">
        <f t="shared" si="139"/>
        <v>-9.1788652479398141E-3</v>
      </c>
      <c r="K1063" s="50">
        <f t="shared" si="140"/>
        <v>5.3115008536395707E-3</v>
      </c>
      <c r="L1063" s="50">
        <f t="shared" si="141"/>
        <v>-9.5345873498882249E-3</v>
      </c>
      <c r="P1063" s="50">
        <f t="shared" si="136"/>
        <v>-9.5345873498882249E-3</v>
      </c>
      <c r="Q1063" s="51">
        <f t="shared" si="142"/>
        <v>145.97361302665271</v>
      </c>
      <c r="R1063" s="51">
        <f t="shared" si="143"/>
        <v>63.235149830095281</v>
      </c>
    </row>
    <row r="1064" spans="1:18" x14ac:dyDescent="0.15">
      <c r="A1064" s="59">
        <v>42453.75</v>
      </c>
      <c r="B1064">
        <v>14.075243</v>
      </c>
      <c r="C1064">
        <v>130.04869099999999</v>
      </c>
      <c r="D1064">
        <v>66.214393999999999</v>
      </c>
      <c r="E1064">
        <v>28.993500000000001</v>
      </c>
      <c r="F1064">
        <v>813.88000499999998</v>
      </c>
      <c r="H1064" s="50">
        <f t="shared" si="137"/>
        <v>1.3232177839332664E-3</v>
      </c>
      <c r="I1064" s="50">
        <f t="shared" si="138"/>
        <v>-1.6681930240513874E-2</v>
      </c>
      <c r="J1064" s="50">
        <f t="shared" si="139"/>
        <v>-2.0490472476639965E-3</v>
      </c>
      <c r="K1064" s="50">
        <f t="shared" si="140"/>
        <v>-2.355777376628243E-2</v>
      </c>
      <c r="L1064" s="50">
        <f t="shared" si="141"/>
        <v>-2.2788920517054338E-2</v>
      </c>
      <c r="P1064" s="50">
        <f t="shared" si="136"/>
        <v>-2.2788920517054338E-2</v>
      </c>
      <c r="Q1064" s="51">
        <f t="shared" si="142"/>
        <v>142.64703196180108</v>
      </c>
      <c r="R1064" s="51">
        <f t="shared" si="143"/>
        <v>63.318823704920149</v>
      </c>
    </row>
    <row r="1065" spans="1:18" x14ac:dyDescent="0.15">
      <c r="A1065" s="59">
        <v>42454.75</v>
      </c>
      <c r="B1065">
        <v>14.056642999999999</v>
      </c>
      <c r="C1065">
        <v>132.25495900000001</v>
      </c>
      <c r="D1065">
        <v>66.350348999999994</v>
      </c>
      <c r="E1065">
        <v>29.693000999999999</v>
      </c>
      <c r="F1065">
        <v>832.85998500000005</v>
      </c>
      <c r="H1065" s="50">
        <f t="shared" si="137"/>
        <v>-1.1191956524262411E-2</v>
      </c>
      <c r="I1065" s="50">
        <f t="shared" si="138"/>
        <v>-1.4847989556305292E-2</v>
      </c>
      <c r="J1065" s="50">
        <f t="shared" si="139"/>
        <v>-7.535584860017896E-3</v>
      </c>
      <c r="K1065" s="50">
        <f t="shared" si="140"/>
        <v>-8.0675808849321358E-3</v>
      </c>
      <c r="L1065" s="50">
        <f t="shared" si="141"/>
        <v>2.0736797998046921E-2</v>
      </c>
      <c r="P1065" s="50">
        <f t="shared" si="136"/>
        <v>2.0736797998046921E-2</v>
      </c>
      <c r="Q1065" s="51">
        <f t="shared" si="142"/>
        <v>145.60507464861388</v>
      </c>
      <c r="R1065" s="51">
        <f t="shared" si="143"/>
        <v>62.610162182847247</v>
      </c>
    </row>
    <row r="1066" spans="1:18" x14ac:dyDescent="0.15">
      <c r="A1066" s="59">
        <v>42455.75</v>
      </c>
      <c r="B1066">
        <v>14.215745</v>
      </c>
      <c r="C1066">
        <v>134.248276</v>
      </c>
      <c r="D1066">
        <v>66.854134000000002</v>
      </c>
      <c r="E1066">
        <v>29.9345</v>
      </c>
      <c r="F1066">
        <v>815.94000200000005</v>
      </c>
      <c r="H1066" s="50">
        <f t="shared" si="137"/>
        <v>4.5259596111985132E-3</v>
      </c>
      <c r="I1066" s="50">
        <f t="shared" si="138"/>
        <v>1.2709413285814944E-4</v>
      </c>
      <c r="J1066" s="50">
        <f t="shared" si="139"/>
        <v>1.6043080480697094E-2</v>
      </c>
      <c r="K1066" s="50">
        <f t="shared" si="140"/>
        <v>8.5068731388340361E-3</v>
      </c>
      <c r="L1066" s="50">
        <f t="shared" si="141"/>
        <v>3.6074780584652522E-2</v>
      </c>
      <c r="P1066" s="50">
        <f t="shared" si="136"/>
        <v>3.6074780584652522E-2</v>
      </c>
      <c r="Q1066" s="51">
        <f t="shared" si="142"/>
        <v>150.8577457685746</v>
      </c>
      <c r="R1066" s="51">
        <f t="shared" si="143"/>
        <v>62.893533248137409</v>
      </c>
    </row>
    <row r="1067" spans="1:18" x14ac:dyDescent="0.15">
      <c r="A1067" s="59">
        <v>42458.75</v>
      </c>
      <c r="B1067">
        <v>14.151695</v>
      </c>
      <c r="C1067">
        <v>134.23121599999999</v>
      </c>
      <c r="D1067">
        <v>65.798523000000003</v>
      </c>
      <c r="E1067">
        <v>29.681999000000001</v>
      </c>
      <c r="F1067">
        <v>787.53002900000001</v>
      </c>
      <c r="H1067" s="50">
        <f t="shared" si="137"/>
        <v>-8.2537742111271004E-3</v>
      </c>
      <c r="I1067" s="50">
        <f t="shared" si="138"/>
        <v>-4.2336932188937679E-3</v>
      </c>
      <c r="J1067" s="50">
        <f t="shared" si="139"/>
        <v>-5.8004535374209755E-3</v>
      </c>
      <c r="K1067" s="50">
        <f t="shared" si="140"/>
        <v>-8.1203010232347387E-3</v>
      </c>
      <c r="L1067" s="50">
        <f t="shared" si="141"/>
        <v>-1.2959462148968271E-2</v>
      </c>
      <c r="P1067" s="50">
        <f t="shared" si="136"/>
        <v>-1.2959462148968271E-2</v>
      </c>
      <c r="Q1067" s="51">
        <f t="shared" si="142"/>
        <v>148.90271052240809</v>
      </c>
      <c r="R1067" s="51">
        <f t="shared" si="143"/>
        <v>62.374424225367271</v>
      </c>
    </row>
    <row r="1068" spans="1:18" x14ac:dyDescent="0.15">
      <c r="A1068" s="59">
        <v>42459.75</v>
      </c>
      <c r="B1068">
        <v>14.269472</v>
      </c>
      <c r="C1068">
        <v>134.80192600000001</v>
      </c>
      <c r="D1068">
        <v>66.182411000000002</v>
      </c>
      <c r="E1068">
        <v>29.924999</v>
      </c>
      <c r="F1068">
        <v>797.86999500000002</v>
      </c>
      <c r="H1068" s="50">
        <f t="shared" si="137"/>
        <v>-5.7866325286633116E-4</v>
      </c>
      <c r="I1068" s="50">
        <f t="shared" si="138"/>
        <v>3.2968623016241963E-3</v>
      </c>
      <c r="J1068" s="50">
        <f t="shared" si="139"/>
        <v>5.5894331564551045E-3</v>
      </c>
      <c r="K1068" s="50">
        <f t="shared" si="140"/>
        <v>8.9515669515668958E-3</v>
      </c>
      <c r="L1068" s="50">
        <f t="shared" si="141"/>
        <v>-1.6286952856835062E-2</v>
      </c>
      <c r="P1068" s="50">
        <f t="shared" si="136"/>
        <v>-1.6286952856835062E-2</v>
      </c>
      <c r="Q1068" s="51">
        <f t="shared" si="142"/>
        <v>146.47753909587468</v>
      </c>
      <c r="R1068" s="51">
        <f t="shared" si="143"/>
        <v>62.338330438149356</v>
      </c>
    </row>
    <row r="1069" spans="1:18" x14ac:dyDescent="0.15">
      <c r="A1069" s="59">
        <v>42460.75</v>
      </c>
      <c r="B1069">
        <v>14.277734000000001</v>
      </c>
      <c r="C1069">
        <v>134.35896299999999</v>
      </c>
      <c r="D1069">
        <v>65.814544999999995</v>
      </c>
      <c r="E1069">
        <v>29.659500000000001</v>
      </c>
      <c r="F1069">
        <v>811.080017</v>
      </c>
      <c r="H1069" s="50">
        <f t="shared" si="137"/>
        <v>6.7017634531121063E-3</v>
      </c>
      <c r="I1069" s="50">
        <f t="shared" si="138"/>
        <v>1.115452936342474E-2</v>
      </c>
      <c r="J1069" s="50">
        <f t="shared" si="139"/>
        <v>2.4362499294412268E-3</v>
      </c>
      <c r="K1069" s="50">
        <f t="shared" si="140"/>
        <v>1.2027877709348548E-2</v>
      </c>
      <c r="L1069" s="50">
        <f t="shared" si="141"/>
        <v>-2.7924911743300924E-2</v>
      </c>
      <c r="P1069" s="50">
        <f t="shared" si="136"/>
        <v>-2.7924911743300924E-2</v>
      </c>
      <c r="Q1069" s="51">
        <f t="shared" si="142"/>
        <v>142.38716674424646</v>
      </c>
      <c r="R1069" s="51">
        <f t="shared" si="143"/>
        <v>62.756107182807774</v>
      </c>
    </row>
    <row r="1070" spans="1:18" x14ac:dyDescent="0.15">
      <c r="A1070" s="59">
        <v>42461.75</v>
      </c>
      <c r="B1070">
        <v>14.182684999999999</v>
      </c>
      <c r="C1070">
        <v>132.87678500000001</v>
      </c>
      <c r="D1070">
        <v>65.654594000000003</v>
      </c>
      <c r="E1070">
        <v>29.306999000000001</v>
      </c>
      <c r="F1070">
        <v>834.38000499999998</v>
      </c>
      <c r="H1070" s="50">
        <f t="shared" si="137"/>
        <v>-5.7936954017340199E-3</v>
      </c>
      <c r="I1070" s="50">
        <f t="shared" si="138"/>
        <v>-4.9752292519377878E-3</v>
      </c>
      <c r="J1070" s="50">
        <f t="shared" si="139"/>
        <v>-8.5187206788993829E-4</v>
      </c>
      <c r="K1070" s="50">
        <f t="shared" si="140"/>
        <v>-2.6474920276375168E-2</v>
      </c>
      <c r="L1070" s="50">
        <f t="shared" si="141"/>
        <v>-9.6379762611276173E-3</v>
      </c>
      <c r="P1070" s="50">
        <f t="shared" si="136"/>
        <v>-9.6379762611276173E-3</v>
      </c>
      <c r="Q1070" s="51">
        <f t="shared" si="142"/>
        <v>141.01484261127618</v>
      </c>
      <c r="R1070" s="51">
        <f t="shared" si="143"/>
        <v>62.39251741319201</v>
      </c>
    </row>
    <row r="1071" spans="1:18" x14ac:dyDescent="0.15">
      <c r="A1071" s="59">
        <v>42462.75</v>
      </c>
      <c r="B1071">
        <v>14.265333999999999</v>
      </c>
      <c r="C1071">
        <v>133.54118299999999</v>
      </c>
      <c r="D1071">
        <v>65.710571000000002</v>
      </c>
      <c r="E1071">
        <v>30.103999999999999</v>
      </c>
      <c r="F1071">
        <v>842.5</v>
      </c>
      <c r="H1071" s="50">
        <f t="shared" si="137"/>
        <v>1.2019803767108404E-2</v>
      </c>
      <c r="I1071" s="50">
        <f t="shared" si="138"/>
        <v>3.117761131081085E-2</v>
      </c>
      <c r="J1071" s="50">
        <f t="shared" si="139"/>
        <v>7.3558567315414091E-3</v>
      </c>
      <c r="K1071" s="50">
        <f t="shared" si="140"/>
        <v>1.8007168455872354E-2</v>
      </c>
      <c r="L1071" s="50">
        <f t="shared" si="141"/>
        <v>8.4023796716230659E-3</v>
      </c>
      <c r="P1071" s="50">
        <f t="shared" si="136"/>
        <v>8.4023796716230659E-3</v>
      </c>
      <c r="Q1071" s="51">
        <f t="shared" si="142"/>
        <v>142.1997028582303</v>
      </c>
      <c r="R1071" s="51">
        <f t="shared" si="143"/>
        <v>63.142463229034476</v>
      </c>
    </row>
    <row r="1072" spans="1:18" x14ac:dyDescent="0.15">
      <c r="A1072" s="59">
        <v>42465.75</v>
      </c>
      <c r="B1072">
        <v>14.095904000000001</v>
      </c>
      <c r="C1072">
        <v>129.50357099999999</v>
      </c>
      <c r="D1072">
        <v>65.230743000000004</v>
      </c>
      <c r="E1072">
        <v>29.571501000000001</v>
      </c>
      <c r="F1072">
        <v>835.47997999999995</v>
      </c>
      <c r="H1072" s="50">
        <f t="shared" si="137"/>
        <v>2.3510896553548665E-3</v>
      </c>
      <c r="I1072" s="50">
        <f t="shared" si="138"/>
        <v>2.505691946499963E-3</v>
      </c>
      <c r="J1072" s="50">
        <f t="shared" si="139"/>
        <v>8.5306996000217017E-3</v>
      </c>
      <c r="K1072" s="50">
        <f t="shared" si="140"/>
        <v>-5.3312815338042068E-3</v>
      </c>
      <c r="L1072" s="50">
        <f t="shared" si="141"/>
        <v>2.4437486718471964E-2</v>
      </c>
      <c r="P1072" s="50">
        <f t="shared" si="136"/>
        <v>2.4437486718471964E-2</v>
      </c>
      <c r="Q1072" s="51">
        <f t="shared" si="142"/>
        <v>145.67470620819896</v>
      </c>
      <c r="R1072" s="51">
        <f t="shared" si="143"/>
        <v>63.290916821145885</v>
      </c>
    </row>
    <row r="1073" spans="1:18" x14ac:dyDescent="0.15">
      <c r="A1073" s="59">
        <v>42466.75</v>
      </c>
      <c r="B1073">
        <v>14.062841000000001</v>
      </c>
      <c r="C1073">
        <v>129.17988600000001</v>
      </c>
      <c r="D1073">
        <v>64.678985999999995</v>
      </c>
      <c r="E1073">
        <v>29.73</v>
      </c>
      <c r="F1073">
        <v>815.54998799999998</v>
      </c>
      <c r="H1073" s="50">
        <f t="shared" si="137"/>
        <v>9.7919983042368975E-3</v>
      </c>
      <c r="I1073" s="50">
        <f t="shared" si="138"/>
        <v>1.7444333998490175E-2</v>
      </c>
      <c r="J1073" s="50">
        <f t="shared" si="139"/>
        <v>1.3914899038954029E-2</v>
      </c>
      <c r="K1073" s="50">
        <f t="shared" si="140"/>
        <v>-2.2317722629091527E-3</v>
      </c>
      <c r="L1073" s="50">
        <f t="shared" si="141"/>
        <v>-1.1646208389218669E-2</v>
      </c>
      <c r="P1073" s="50">
        <f t="shared" si="136"/>
        <v>-1.1646208389218669E-2</v>
      </c>
      <c r="Q1073" s="51">
        <f t="shared" si="142"/>
        <v>143.97814822266005</v>
      </c>
      <c r="R1073" s="51">
        <f t="shared" si="143"/>
        <v>63.910661371332147</v>
      </c>
    </row>
    <row r="1074" spans="1:18" x14ac:dyDescent="0.15">
      <c r="A1074" s="59">
        <v>42467.75</v>
      </c>
      <c r="B1074">
        <v>13.926473</v>
      </c>
      <c r="C1074">
        <v>126.965065</v>
      </c>
      <c r="D1074">
        <v>63.791336000000001</v>
      </c>
      <c r="E1074">
        <v>29.796499000000001</v>
      </c>
      <c r="F1074">
        <v>825.15997300000004</v>
      </c>
      <c r="H1074" s="50">
        <f t="shared" si="137"/>
        <v>-2.0348704904315632E-2</v>
      </c>
      <c r="I1074" s="50">
        <f t="shared" si="138"/>
        <v>-9.7665057679423833E-3</v>
      </c>
      <c r="J1074" s="50">
        <f t="shared" si="139"/>
        <v>-1.2503190837385606E-2</v>
      </c>
      <c r="K1074" s="50">
        <f t="shared" si="140"/>
        <v>-1.2003315416770893E-2</v>
      </c>
      <c r="L1074" s="50">
        <f t="shared" si="141"/>
        <v>-3.6658290222887475E-2</v>
      </c>
      <c r="P1074" s="50">
        <f t="shared" si="136"/>
        <v>-3.6658290222887475E-2</v>
      </c>
      <c r="Q1074" s="51">
        <f t="shared" si="142"/>
        <v>138.70015547935986</v>
      </c>
      <c r="R1074" s="51">
        <f t="shared" si="143"/>
        <v>62.610162182847269</v>
      </c>
    </row>
    <row r="1075" spans="1:18" x14ac:dyDescent="0.15">
      <c r="A1075" s="59">
        <v>42468.75</v>
      </c>
      <c r="B1075">
        <v>14.215745</v>
      </c>
      <c r="C1075">
        <v>128.21729999999999</v>
      </c>
      <c r="D1075">
        <v>64.599029999999999</v>
      </c>
      <c r="E1075">
        <v>30.158501000000001</v>
      </c>
      <c r="F1075">
        <v>856.55999799999995</v>
      </c>
      <c r="H1075" s="50">
        <f t="shared" si="137"/>
        <v>-5.0615671191305122E-3</v>
      </c>
      <c r="I1075" s="50">
        <f t="shared" si="138"/>
        <v>-8.9546029428114286E-3</v>
      </c>
      <c r="J1075" s="50">
        <f t="shared" si="139"/>
        <v>-9.5631183241961307E-3</v>
      </c>
      <c r="K1075" s="50">
        <f t="shared" si="140"/>
        <v>-1.8948570929656437E-2</v>
      </c>
      <c r="L1075" s="50">
        <f t="shared" si="141"/>
        <v>-2.5269666257605266E-3</v>
      </c>
      <c r="P1075" s="50">
        <f t="shared" si="136"/>
        <v>-2.5269666257605266E-3</v>
      </c>
      <c r="Q1075" s="51">
        <f t="shared" si="142"/>
        <v>138.34966481547571</v>
      </c>
      <c r="R1075" s="51">
        <f t="shared" si="143"/>
        <v>62.293256644619142</v>
      </c>
    </row>
    <row r="1076" spans="1:18" x14ac:dyDescent="0.15">
      <c r="A1076" s="59">
        <v>42472.75</v>
      </c>
      <c r="B1076">
        <v>14.288065</v>
      </c>
      <c r="C1076">
        <v>129.375809</v>
      </c>
      <c r="D1076">
        <v>65.222763</v>
      </c>
      <c r="E1076">
        <v>30.740998999999999</v>
      </c>
      <c r="F1076">
        <v>858.72997999999995</v>
      </c>
      <c r="H1076" s="50">
        <f t="shared" si="137"/>
        <v>5.0873169151528464E-3</v>
      </c>
      <c r="I1076" s="50">
        <f t="shared" si="138"/>
        <v>3.1707441060374528E-3</v>
      </c>
      <c r="J1076" s="50">
        <f t="shared" si="139"/>
        <v>-2.6899471766111938E-3</v>
      </c>
      <c r="K1076" s="50">
        <f t="shared" si="140"/>
        <v>-9.5529923479662597E-3</v>
      </c>
      <c r="L1076" s="50">
        <f t="shared" si="141"/>
        <v>2.0475317884729595E-2</v>
      </c>
      <c r="P1076" s="50">
        <f t="shared" si="136"/>
        <v>2.0475317884729595E-2</v>
      </c>
      <c r="Q1076" s="51">
        <f t="shared" si="142"/>
        <v>141.18241818181838</v>
      </c>
      <c r="R1076" s="51">
        <f t="shared" si="143"/>
        <v>62.610162182847269</v>
      </c>
    </row>
    <row r="1077" spans="1:18" x14ac:dyDescent="0.15">
      <c r="A1077" s="59">
        <v>42473.75</v>
      </c>
      <c r="B1077">
        <v>14.215745</v>
      </c>
      <c r="C1077">
        <v>128.96688800000001</v>
      </c>
      <c r="D1077">
        <v>65.398681999999994</v>
      </c>
      <c r="E1077">
        <v>31.037500000000001</v>
      </c>
      <c r="F1077">
        <v>841.5</v>
      </c>
      <c r="H1077" s="50">
        <f t="shared" si="137"/>
        <v>-3.7651708486481001E-3</v>
      </c>
      <c r="I1077" s="50">
        <f t="shared" si="138"/>
        <v>-1.155578718850498E-2</v>
      </c>
      <c r="J1077" s="50">
        <f t="shared" si="139"/>
        <v>-9.9278233434627102E-3</v>
      </c>
      <c r="K1077" s="50">
        <f t="shared" si="140"/>
        <v>-8.2123056767162885E-3</v>
      </c>
      <c r="L1077" s="50">
        <f t="shared" si="141"/>
        <v>-1.2393491097794678E-2</v>
      </c>
      <c r="P1077" s="50">
        <f t="shared" si="136"/>
        <v>-1.2393491097794678E-2</v>
      </c>
      <c r="Q1077" s="51">
        <f t="shared" si="142"/>
        <v>139.43267513891689</v>
      </c>
      <c r="R1077" s="51">
        <f t="shared" si="143"/>
        <v>62.374424225367278</v>
      </c>
    </row>
    <row r="1078" spans="1:18" x14ac:dyDescent="0.15">
      <c r="A1078" s="59">
        <v>42474.75</v>
      </c>
      <c r="B1078">
        <v>14.269472</v>
      </c>
      <c r="C1078">
        <v>130.474625</v>
      </c>
      <c r="D1078">
        <v>66.054458999999994</v>
      </c>
      <c r="E1078">
        <v>31.294499999999999</v>
      </c>
      <c r="F1078">
        <v>852.05999799999995</v>
      </c>
      <c r="H1078" s="50">
        <f t="shared" si="137"/>
        <v>-1.1451377472588752E-2</v>
      </c>
      <c r="I1078" s="50">
        <f t="shared" si="138"/>
        <v>-8.4855559005140701E-4</v>
      </c>
      <c r="J1078" s="50">
        <f t="shared" si="139"/>
        <v>-9.8294290367849525E-3</v>
      </c>
      <c r="K1078" s="50">
        <f t="shared" si="140"/>
        <v>-1.4889431022271157E-2</v>
      </c>
      <c r="L1078" s="50">
        <f t="shared" si="141"/>
        <v>-1.5301040313894046E-2</v>
      </c>
      <c r="P1078" s="50">
        <f t="shared" si="136"/>
        <v>-1.5301040313894046E-2</v>
      </c>
      <c r="Q1078" s="51">
        <f t="shared" si="142"/>
        <v>137.29921015554223</v>
      </c>
      <c r="R1078" s="51">
        <f t="shared" si="143"/>
        <v>61.660151148927213</v>
      </c>
    </row>
    <row r="1079" spans="1:18" x14ac:dyDescent="0.15">
      <c r="A1079" s="59">
        <v>42475.75</v>
      </c>
      <c r="B1079">
        <v>14.43477</v>
      </c>
      <c r="C1079">
        <v>130.58543399999999</v>
      </c>
      <c r="D1079">
        <v>66.710182000000003</v>
      </c>
      <c r="E1079">
        <v>31.767499999999998</v>
      </c>
      <c r="F1079">
        <v>865.29998799999998</v>
      </c>
      <c r="H1079" s="50">
        <f t="shared" si="137"/>
        <v>1.2900094914232614E-3</v>
      </c>
      <c r="I1079" s="50">
        <f t="shared" si="138"/>
        <v>-2.4724712994175458E-3</v>
      </c>
      <c r="J1079" s="50">
        <f t="shared" si="139"/>
        <v>-6.6686435956620077E-3</v>
      </c>
      <c r="K1079" s="50">
        <f t="shared" si="140"/>
        <v>1.1864946647555302E-2</v>
      </c>
      <c r="L1079" s="50">
        <f t="shared" si="141"/>
        <v>-4.9447885449343488E-3</v>
      </c>
      <c r="P1079" s="50">
        <f t="shared" si="136"/>
        <v>-4.9447885449343488E-3</v>
      </c>
      <c r="Q1079" s="51">
        <f t="shared" si="142"/>
        <v>136.62029459393656</v>
      </c>
      <c r="R1079" s="51">
        <f t="shared" si="143"/>
        <v>61.739693329151919</v>
      </c>
    </row>
    <row r="1080" spans="1:18" x14ac:dyDescent="0.15">
      <c r="A1080" s="59">
        <v>42476.75</v>
      </c>
      <c r="B1080">
        <v>14.416173000000001</v>
      </c>
      <c r="C1080">
        <v>130.90910299999999</v>
      </c>
      <c r="D1080">
        <v>67.158034999999998</v>
      </c>
      <c r="E1080">
        <v>31.395</v>
      </c>
      <c r="F1080">
        <v>869.59997599999997</v>
      </c>
      <c r="H1080" s="50">
        <f t="shared" si="137"/>
        <v>8.0914169066706385E-3</v>
      </c>
      <c r="I1080" s="50">
        <f t="shared" si="138"/>
        <v>6.154369717403377E-3</v>
      </c>
      <c r="J1080" s="50">
        <f t="shared" si="139"/>
        <v>1.3394705563933532E-2</v>
      </c>
      <c r="K1080" s="50">
        <f t="shared" si="140"/>
        <v>-8.0412012828006817E-3</v>
      </c>
      <c r="L1080" s="50">
        <f t="shared" si="141"/>
        <v>4.4702555688393285E-2</v>
      </c>
      <c r="P1080" s="50">
        <f t="shared" si="136"/>
        <v>4.4702555688393285E-2</v>
      </c>
      <c r="Q1080" s="51">
        <f t="shared" si="142"/>
        <v>142.72757092118673</v>
      </c>
      <c r="R1080" s="51">
        <f t="shared" si="143"/>
        <v>62.239254927568076</v>
      </c>
    </row>
    <row r="1081" spans="1:18" x14ac:dyDescent="0.15">
      <c r="A1081" s="59">
        <v>42479.75</v>
      </c>
      <c r="B1081">
        <v>14.300462</v>
      </c>
      <c r="C1081">
        <v>130.10836800000001</v>
      </c>
      <c r="D1081">
        <v>66.270363000000003</v>
      </c>
      <c r="E1081">
        <v>31.6495</v>
      </c>
      <c r="F1081">
        <v>832.39001499999995</v>
      </c>
      <c r="H1081" s="50">
        <f t="shared" si="137"/>
        <v>1.0807801600813334E-2</v>
      </c>
      <c r="I1081" s="50">
        <f t="shared" si="138"/>
        <v>8.7178786078282271E-3</v>
      </c>
      <c r="J1081" s="50">
        <f t="shared" si="139"/>
        <v>1.4503799317515734E-3</v>
      </c>
      <c r="K1081" s="50">
        <f t="shared" si="140"/>
        <v>3.1537560429082761E-3</v>
      </c>
      <c r="L1081" s="50">
        <f t="shared" si="141"/>
        <v>-2.0809808072455901E-2</v>
      </c>
      <c r="P1081" s="50">
        <f t="shared" si="136"/>
        <v>-2.0809808072455901E-2</v>
      </c>
      <c r="Q1081" s="51">
        <f t="shared" si="142"/>
        <v>139.75743756366899</v>
      </c>
      <c r="R1081" s="51">
        <f t="shared" si="143"/>
        <v>62.911924446607671</v>
      </c>
    </row>
    <row r="1082" spans="1:18" x14ac:dyDescent="0.15">
      <c r="A1082" s="59">
        <v>42480.75</v>
      </c>
      <c r="B1082">
        <v>14.147558</v>
      </c>
      <c r="C1082">
        <v>128.983902</v>
      </c>
      <c r="D1082">
        <v>66.174385000000001</v>
      </c>
      <c r="E1082">
        <v>31.549999</v>
      </c>
      <c r="F1082">
        <v>850.080017</v>
      </c>
      <c r="H1082" s="50">
        <f t="shared" si="137"/>
        <v>-3.6382986979776348E-3</v>
      </c>
      <c r="I1082" s="50">
        <f t="shared" si="138"/>
        <v>1.0004956141246871E-2</v>
      </c>
      <c r="J1082" s="50">
        <f t="shared" si="139"/>
        <v>5.1009327408151244E-3</v>
      </c>
      <c r="K1082" s="50">
        <f t="shared" si="140"/>
        <v>1.6921804995971026E-2</v>
      </c>
      <c r="L1082" s="50">
        <f t="shared" si="141"/>
        <v>7.7411286739298884E-3</v>
      </c>
      <c r="P1082" s="50">
        <f t="shared" si="136"/>
        <v>7.7411286739298884E-3</v>
      </c>
      <c r="Q1082" s="51">
        <f t="shared" si="142"/>
        <v>140.83931787098808</v>
      </c>
      <c r="R1082" s="51">
        <f t="shared" si="143"/>
        <v>62.683032073806309</v>
      </c>
    </row>
    <row r="1083" spans="1:18" x14ac:dyDescent="0.15">
      <c r="A1083" s="59">
        <v>42481.75</v>
      </c>
      <c r="B1083">
        <v>14.199218999999999</v>
      </c>
      <c r="C1083">
        <v>127.70620700000001</v>
      </c>
      <c r="D1083">
        <v>65.838547000000005</v>
      </c>
      <c r="E1083">
        <v>31.024999999999999</v>
      </c>
      <c r="F1083">
        <v>843.54998799999998</v>
      </c>
      <c r="H1083" s="50">
        <f t="shared" si="137"/>
        <v>-1.079560025054729E-2</v>
      </c>
      <c r="I1083" s="50">
        <f t="shared" si="138"/>
        <v>-1.0494187021130493E-2</v>
      </c>
      <c r="J1083" s="50">
        <f t="shared" si="139"/>
        <v>-3.2686968187868861E-3</v>
      </c>
      <c r="K1083" s="50">
        <f t="shared" si="140"/>
        <v>-9.1024915075852489E-3</v>
      </c>
      <c r="L1083" s="50">
        <f t="shared" si="141"/>
        <v>-9.8248605115769626E-3</v>
      </c>
      <c r="P1083" s="50">
        <f t="shared" si="136"/>
        <v>-9.8248605115769626E-3</v>
      </c>
      <c r="Q1083" s="51">
        <f t="shared" si="142"/>
        <v>139.45559121835998</v>
      </c>
      <c r="R1083" s="51">
        <f t="shared" si="143"/>
        <v>62.006331117045264</v>
      </c>
    </row>
    <row r="1084" spans="1:18" x14ac:dyDescent="0.15">
      <c r="A1084" s="59">
        <v>42482.75</v>
      </c>
      <c r="B1084">
        <v>14.354181000000001</v>
      </c>
      <c r="C1084">
        <v>129.06059300000001</v>
      </c>
      <c r="D1084">
        <v>66.054458999999994</v>
      </c>
      <c r="E1084">
        <v>31.309999000000001</v>
      </c>
      <c r="F1084">
        <v>851.919983</v>
      </c>
      <c r="H1084" s="50">
        <f t="shared" si="137"/>
        <v>2.4529548279610667E-3</v>
      </c>
      <c r="I1084" s="50">
        <f t="shared" si="138"/>
        <v>-7.1431132082439086E-3</v>
      </c>
      <c r="J1084" s="50">
        <f t="shared" si="139"/>
        <v>0</v>
      </c>
      <c r="K1084" s="50">
        <f t="shared" si="140"/>
        <v>1.5108254441706654E-2</v>
      </c>
      <c r="L1084" s="50">
        <f t="shared" si="141"/>
        <v>-1.6519858848570393E-2</v>
      </c>
      <c r="P1084" s="50">
        <f t="shared" si="136"/>
        <v>-1.6519858848570393E-2</v>
      </c>
      <c r="Q1084" s="51">
        <f t="shared" si="142"/>
        <v>137.15180453578873</v>
      </c>
      <c r="R1084" s="51">
        <f t="shared" si="143"/>
        <v>62.158429846322967</v>
      </c>
    </row>
    <row r="1085" spans="1:18" x14ac:dyDescent="0.15">
      <c r="A1085" s="59">
        <v>42483.75</v>
      </c>
      <c r="B1085">
        <v>14.319057000000001</v>
      </c>
      <c r="C1085">
        <v>129.98912000000001</v>
      </c>
      <c r="D1085">
        <v>66.054458999999994</v>
      </c>
      <c r="E1085">
        <v>30.844000000000001</v>
      </c>
      <c r="F1085">
        <v>866.22997999999995</v>
      </c>
      <c r="H1085" s="50">
        <f t="shared" si="137"/>
        <v>-1.7287543501209308E-3</v>
      </c>
      <c r="I1085" s="50">
        <f t="shared" si="138"/>
        <v>2.5037389963884888E-3</v>
      </c>
      <c r="J1085" s="50">
        <f t="shared" si="139"/>
        <v>-8.284328045085651E-3</v>
      </c>
      <c r="K1085" s="50">
        <f t="shared" si="140"/>
        <v>1.6997180309043364E-2</v>
      </c>
      <c r="L1085" s="50">
        <f t="shared" si="141"/>
        <v>1.0168942517650598E-2</v>
      </c>
      <c r="P1085" s="50">
        <f t="shared" si="136"/>
        <v>1.0168942517650598E-2</v>
      </c>
      <c r="Q1085" s="51">
        <f t="shared" si="142"/>
        <v>138.54649335230522</v>
      </c>
      <c r="R1085" s="51">
        <f t="shared" si="143"/>
        <v>62.050973190329451</v>
      </c>
    </row>
    <row r="1086" spans="1:18" x14ac:dyDescent="0.15">
      <c r="A1086" s="59">
        <v>42486.75</v>
      </c>
      <c r="B1086">
        <v>14.343854</v>
      </c>
      <c r="C1086">
        <v>129.66447400000001</v>
      </c>
      <c r="D1086">
        <v>66.606246999999996</v>
      </c>
      <c r="E1086">
        <v>30.328500999999999</v>
      </c>
      <c r="F1086">
        <v>857.51000999999997</v>
      </c>
      <c r="H1086" s="50">
        <f t="shared" si="137"/>
        <v>7.4012155236882534E-3</v>
      </c>
      <c r="I1086" s="50">
        <f t="shared" si="138"/>
        <v>2.1793286166576502E-3</v>
      </c>
      <c r="J1086" s="50">
        <f t="shared" si="139"/>
        <v>2.4099647911892178E-2</v>
      </c>
      <c r="K1086" s="50">
        <f t="shared" si="140"/>
        <v>7.591395348837137E-3</v>
      </c>
      <c r="L1086" s="50">
        <f t="shared" si="141"/>
        <v>2.7480671151570951E-3</v>
      </c>
      <c r="P1086" s="50">
        <f t="shared" si="136"/>
        <v>2.7480671151570951E-3</v>
      </c>
      <c r="Q1086" s="51">
        <f t="shared" si="142"/>
        <v>138.92722841460704</v>
      </c>
      <c r="R1086" s="51">
        <f t="shared" si="143"/>
        <v>62.510225816365676</v>
      </c>
    </row>
    <row r="1087" spans="1:18" x14ac:dyDescent="0.15">
      <c r="A1087" s="59">
        <v>42487.75</v>
      </c>
      <c r="B1087">
        <v>14.238472</v>
      </c>
      <c r="C1087">
        <v>129.382507</v>
      </c>
      <c r="D1087">
        <v>65.038833999999994</v>
      </c>
      <c r="E1087">
        <v>30.1</v>
      </c>
      <c r="F1087">
        <v>855.15997300000004</v>
      </c>
      <c r="H1087" s="50">
        <f t="shared" si="137"/>
        <v>3.0506631594801287E-2</v>
      </c>
      <c r="I1087" s="50">
        <f t="shared" si="138"/>
        <v>2.234526247328918E-2</v>
      </c>
      <c r="J1087" s="50">
        <f t="shared" si="139"/>
        <v>2.3018791622326128E-2</v>
      </c>
      <c r="K1087" s="50">
        <f t="shared" si="140"/>
        <v>-8.7311814915326191E-2</v>
      </c>
      <c r="L1087" s="50">
        <f t="shared" si="141"/>
        <v>-2.1152925327029479E-2</v>
      </c>
      <c r="P1087" s="50">
        <f t="shared" si="136"/>
        <v>-2.1152925327029479E-2</v>
      </c>
      <c r="Q1087" s="51">
        <f t="shared" si="142"/>
        <v>135.9885111260617</v>
      </c>
      <c r="R1087" s="51">
        <f t="shared" si="143"/>
        <v>64.417202246253382</v>
      </c>
    </row>
    <row r="1088" spans="1:18" x14ac:dyDescent="0.15">
      <c r="A1088" s="59">
        <v>42488.75</v>
      </c>
      <c r="B1088">
        <v>13.816962999999999</v>
      </c>
      <c r="C1088">
        <v>126.55461099999999</v>
      </c>
      <c r="D1088">
        <v>63.575405000000003</v>
      </c>
      <c r="E1088">
        <v>32.979500000000002</v>
      </c>
      <c r="F1088">
        <v>873.64001499999995</v>
      </c>
      <c r="H1088" s="50">
        <f t="shared" si="137"/>
        <v>-1.0652360409920573E-2</v>
      </c>
      <c r="I1088" s="50">
        <f t="shared" si="138"/>
        <v>-1.8551348177864416E-2</v>
      </c>
      <c r="J1088" s="50">
        <f t="shared" si="139"/>
        <v>-7.7384978778302221E-3</v>
      </c>
      <c r="K1088" s="50">
        <f t="shared" si="140"/>
        <v>-3.5475644206312912E-2</v>
      </c>
      <c r="L1088" s="50">
        <f t="shared" si="141"/>
        <v>9.5097100388622955E-4</v>
      </c>
      <c r="P1088" s="50">
        <f t="shared" si="136"/>
        <v>9.5097100388622955E-4</v>
      </c>
      <c r="Q1088" s="51">
        <f t="shared" si="142"/>
        <v>136.11783225700424</v>
      </c>
      <c r="R1088" s="51">
        <f t="shared" si="143"/>
        <v>63.731006991327547</v>
      </c>
    </row>
    <row r="1089" spans="1:18" x14ac:dyDescent="0.15">
      <c r="A1089" s="59">
        <v>42489.75</v>
      </c>
      <c r="B1089">
        <v>13.965731</v>
      </c>
      <c r="C1089">
        <v>128.94674699999999</v>
      </c>
      <c r="D1089">
        <v>64.071219999999997</v>
      </c>
      <c r="E1089">
        <v>34.192501</v>
      </c>
      <c r="F1089">
        <v>872.80999799999995</v>
      </c>
      <c r="H1089" s="50">
        <f t="shared" si="137"/>
        <v>8.8059490503453741E-3</v>
      </c>
      <c r="I1089" s="50">
        <f t="shared" si="138"/>
        <v>-3.1706158546424687E-3</v>
      </c>
      <c r="J1089" s="50">
        <f t="shared" si="139"/>
        <v>1.6249871770367052E-3</v>
      </c>
      <c r="K1089" s="50">
        <f t="shared" si="140"/>
        <v>1.8664689348466424E-2</v>
      </c>
      <c r="L1089" s="50">
        <f t="shared" si="141"/>
        <v>-5.3674239819623652E-3</v>
      </c>
      <c r="P1089" s="50">
        <f t="shared" ref="P1089:P1152" si="144">(F1089-F1090)/F1090</f>
        <v>-5.3674239819623652E-3</v>
      </c>
      <c r="Q1089" s="51">
        <f t="shared" si="142"/>
        <v>135.38723013977526</v>
      </c>
      <c r="R1089" s="51">
        <f t="shared" si="143"/>
        <v>64.292218991820377</v>
      </c>
    </row>
    <row r="1090" spans="1:18" x14ac:dyDescent="0.15">
      <c r="A1090" s="59">
        <v>42490.75</v>
      </c>
      <c r="B1090">
        <v>13.843823</v>
      </c>
      <c r="C1090">
        <v>129.356888</v>
      </c>
      <c r="D1090">
        <v>63.967274000000003</v>
      </c>
      <c r="E1090">
        <v>33.566001999999997</v>
      </c>
      <c r="F1090">
        <v>877.52002000000005</v>
      </c>
      <c r="H1090" s="50">
        <f t="shared" ref="H1090:H1153" si="145">(B1090-B1091)/B1091</f>
        <v>-2.8278303045389699E-3</v>
      </c>
      <c r="I1090" s="50">
        <f t="shared" ref="I1090:I1153" si="146">(C1090-C1091)/C1091</f>
        <v>-6.5990016695238361E-4</v>
      </c>
      <c r="J1090" s="50">
        <f t="shared" ref="J1090:J1153" si="147">(D1090-D1091)/D1091</f>
        <v>3.5133090957101968E-3</v>
      </c>
      <c r="K1090" s="50">
        <f t="shared" ref="K1090:K1153" si="148">(E1090-E1091)/E1091</f>
        <v>6.2614402302238329E-4</v>
      </c>
      <c r="L1090" s="50">
        <f t="shared" ref="L1090:L1153" si="149">(F1090-F1091)/F1091</f>
        <v>-3.27586640002498E-2</v>
      </c>
      <c r="P1090" s="50">
        <f t="shared" si="144"/>
        <v>-3.27586640002498E-2</v>
      </c>
      <c r="Q1090" s="51">
        <f t="shared" si="142"/>
        <v>130.95212535770185</v>
      </c>
      <c r="R1090" s="51">
        <f t="shared" si="143"/>
        <v>64.110411506609253</v>
      </c>
    </row>
    <row r="1091" spans="1:18" x14ac:dyDescent="0.15">
      <c r="A1091" s="59">
        <v>42493.75</v>
      </c>
      <c r="B1091">
        <v>13.883082</v>
      </c>
      <c r="C1091">
        <v>129.442307</v>
      </c>
      <c r="D1091">
        <v>63.743324000000001</v>
      </c>
      <c r="E1091">
        <v>33.544998</v>
      </c>
      <c r="F1091">
        <v>907.23999000000003</v>
      </c>
      <c r="H1091" s="50">
        <f t="shared" si="145"/>
        <v>-2.977558426572997E-4</v>
      </c>
      <c r="I1091" s="50">
        <f t="shared" si="146"/>
        <v>2.4824092285601528E-2</v>
      </c>
      <c r="J1091" s="50">
        <f t="shared" si="147"/>
        <v>2.0222332209706862E-2</v>
      </c>
      <c r="K1091" s="50">
        <f t="shared" si="148"/>
        <v>1.7918646492506081E-2</v>
      </c>
      <c r="L1091" s="50">
        <f t="shared" si="149"/>
        <v>3.8061540669107087E-3</v>
      </c>
      <c r="P1091" s="50">
        <f t="shared" si="144"/>
        <v>3.8061540669107087E-3</v>
      </c>
      <c r="Q1091" s="51">
        <f t="shared" ref="Q1091:Q1154" si="150">Q1090*(1+P1091)</f>
        <v>131.45054932220268</v>
      </c>
      <c r="R1091" s="51">
        <f t="shared" ref="R1091:R1154" si="151">R1090*(1+H1091)</f>
        <v>64.091322257007988</v>
      </c>
    </row>
    <row r="1092" spans="1:18" x14ac:dyDescent="0.15">
      <c r="A1092" s="59">
        <v>42494.75</v>
      </c>
      <c r="B1092">
        <v>13.887217</v>
      </c>
      <c r="C1092">
        <v>126.306854</v>
      </c>
      <c r="D1092">
        <v>62.479835999999999</v>
      </c>
      <c r="E1092">
        <v>32.954498000000001</v>
      </c>
      <c r="F1092">
        <v>903.79998799999998</v>
      </c>
      <c r="H1092" s="50">
        <f t="shared" si="145"/>
        <v>-1.5238148455404605E-2</v>
      </c>
      <c r="I1092" s="50">
        <f t="shared" si="146"/>
        <v>9.5602485490376993E-3</v>
      </c>
      <c r="J1092" s="50">
        <f t="shared" si="147"/>
        <v>-7.7470259013009057E-3</v>
      </c>
      <c r="K1092" s="50">
        <f t="shared" si="148"/>
        <v>-2.2049114744364762E-2</v>
      </c>
      <c r="L1092" s="50">
        <f t="shared" si="149"/>
        <v>-1.7106609359029457E-2</v>
      </c>
      <c r="P1092" s="50">
        <f t="shared" si="144"/>
        <v>-1.7106609359029457E-2</v>
      </c>
      <c r="Q1092" s="51">
        <f t="shared" si="150"/>
        <v>129.20187612491793</v>
      </c>
      <c r="R1092" s="51">
        <f t="shared" si="151"/>
        <v>63.114689173752524</v>
      </c>
    </row>
    <row r="1093" spans="1:18" x14ac:dyDescent="0.15">
      <c r="A1093" s="59">
        <v>42495.75</v>
      </c>
      <c r="B1093">
        <v>14.102107</v>
      </c>
      <c r="C1093">
        <v>125.110764</v>
      </c>
      <c r="D1093">
        <v>62.967647999999997</v>
      </c>
      <c r="E1093">
        <v>33.697498000000003</v>
      </c>
      <c r="F1093">
        <v>919.53002900000001</v>
      </c>
      <c r="H1093" s="50">
        <f t="shared" si="145"/>
        <v>-1.0151798267912111E-2</v>
      </c>
      <c r="I1093" s="50">
        <f t="shared" si="146"/>
        <v>-1.4469253341778412E-2</v>
      </c>
      <c r="J1093" s="50">
        <f t="shared" si="147"/>
        <v>-1.4887811759290281E-2</v>
      </c>
      <c r="K1093" s="50">
        <f t="shared" si="148"/>
        <v>-8.5325784047833777E-3</v>
      </c>
      <c r="L1093" s="50">
        <f t="shared" si="149"/>
        <v>1.3379047376887948E-2</v>
      </c>
      <c r="P1093" s="50">
        <f t="shared" si="144"/>
        <v>1.3379047376887948E-2</v>
      </c>
      <c r="Q1093" s="51">
        <f t="shared" si="150"/>
        <v>130.93047414677602</v>
      </c>
      <c r="R1093" s="51">
        <f t="shared" si="151"/>
        <v>62.473961581518608</v>
      </c>
    </row>
    <row r="1094" spans="1:18" x14ac:dyDescent="0.15">
      <c r="A1094" s="59">
        <v>42496.75</v>
      </c>
      <c r="B1094">
        <v>14.246737</v>
      </c>
      <c r="C1094">
        <v>126.94760100000001</v>
      </c>
      <c r="D1094">
        <v>63.919266</v>
      </c>
      <c r="E1094">
        <v>33.987499</v>
      </c>
      <c r="F1094">
        <v>907.39001499999995</v>
      </c>
      <c r="H1094" s="50">
        <f t="shared" si="145"/>
        <v>2.3255056412894476E-3</v>
      </c>
      <c r="I1094" s="50">
        <f t="shared" si="146"/>
        <v>-6.485833131998393E-3</v>
      </c>
      <c r="J1094" s="50">
        <f t="shared" si="147"/>
        <v>-1.4989403848187366E-3</v>
      </c>
      <c r="K1094" s="50">
        <f t="shared" si="148"/>
        <v>-3.3168845207447374E-2</v>
      </c>
      <c r="L1094" s="50">
        <f t="shared" si="149"/>
        <v>-2.3503293554949668E-2</v>
      </c>
      <c r="P1094" s="50">
        <f t="shared" si="144"/>
        <v>-2.3503293554949668E-2</v>
      </c>
      <c r="Q1094" s="51">
        <f t="shared" si="150"/>
        <v>127.8531767776156</v>
      </c>
      <c r="R1094" s="51">
        <f t="shared" si="151"/>
        <v>62.619245131610128</v>
      </c>
    </row>
    <row r="1095" spans="1:18" x14ac:dyDescent="0.15">
      <c r="A1095" s="59">
        <v>42497.75</v>
      </c>
      <c r="B1095">
        <v>14.213683</v>
      </c>
      <c r="C1095">
        <v>127.776337</v>
      </c>
      <c r="D1095">
        <v>64.015220999999997</v>
      </c>
      <c r="E1095">
        <v>35.153500000000001</v>
      </c>
      <c r="F1095">
        <v>929.22997999999995</v>
      </c>
      <c r="H1095" s="50">
        <f t="shared" si="145"/>
        <v>1.3251405513125925E-2</v>
      </c>
      <c r="I1095" s="50">
        <f t="shared" si="146"/>
        <v>1.6585165805553123E-2</v>
      </c>
      <c r="J1095" s="50">
        <f t="shared" si="147"/>
        <v>5.7463594073347883E-2</v>
      </c>
      <c r="K1095" s="50">
        <f t="shared" si="148"/>
        <v>-1.4245026548098781E-2</v>
      </c>
      <c r="L1095" s="50">
        <f t="shared" si="149"/>
        <v>2.198538363892235E-2</v>
      </c>
      <c r="P1095" s="50">
        <f t="shared" si="144"/>
        <v>2.198538363892235E-2</v>
      </c>
      <c r="Q1095" s="51">
        <f t="shared" si="150"/>
        <v>130.66407791852643</v>
      </c>
      <c r="R1095" s="51">
        <f t="shared" si="151"/>
        <v>63.449038141774928</v>
      </c>
    </row>
    <row r="1096" spans="1:18" x14ac:dyDescent="0.15">
      <c r="A1096" s="59">
        <v>42500.75</v>
      </c>
      <c r="B1096">
        <v>14.027794999999999</v>
      </c>
      <c r="C1096">
        <v>125.69171900000001</v>
      </c>
      <c r="D1096">
        <v>60.536572</v>
      </c>
      <c r="E1096">
        <v>35.661498999999999</v>
      </c>
      <c r="F1096">
        <v>909.23999000000003</v>
      </c>
      <c r="H1096" s="50">
        <f t="shared" si="145"/>
        <v>-6.5820917729589807E-3</v>
      </c>
      <c r="I1096" s="50">
        <f t="shared" si="146"/>
        <v>2.7263748483765237E-3</v>
      </c>
      <c r="J1096" s="50">
        <f t="shared" si="147"/>
        <v>1.3223529655401079E-3</v>
      </c>
      <c r="K1096" s="50">
        <f t="shared" si="148"/>
        <v>-6.5466271084925823E-3</v>
      </c>
      <c r="L1096" s="50">
        <f t="shared" si="149"/>
        <v>9.7981397425617894E-4</v>
      </c>
      <c r="P1096" s="50">
        <f t="shared" si="144"/>
        <v>9.7981397425617894E-4</v>
      </c>
      <c r="Q1096" s="51">
        <f t="shared" si="150"/>
        <v>130.79210440800432</v>
      </c>
      <c r="R1096" s="51">
        <f t="shared" si="151"/>
        <v>63.031410749819791</v>
      </c>
    </row>
    <row r="1097" spans="1:18" x14ac:dyDescent="0.15">
      <c r="A1097" s="59">
        <v>42501.75</v>
      </c>
      <c r="B1097">
        <v>14.120739</v>
      </c>
      <c r="C1097">
        <v>125.349968</v>
      </c>
      <c r="D1097">
        <v>60.456626999999997</v>
      </c>
      <c r="E1097">
        <v>35.896500000000003</v>
      </c>
      <c r="F1097">
        <v>908.34997599999997</v>
      </c>
      <c r="H1097" s="50">
        <f t="shared" si="145"/>
        <v>2.9411638201741214E-2</v>
      </c>
      <c r="I1097" s="50">
        <f t="shared" si="146"/>
        <v>1.5363190159688751E-2</v>
      </c>
      <c r="J1097" s="50">
        <f t="shared" si="147"/>
        <v>2.3281286607493092E-2</v>
      </c>
      <c r="K1097" s="50">
        <f t="shared" si="148"/>
        <v>1.1283018440557806E-2</v>
      </c>
      <c r="L1097" s="50">
        <f t="shared" si="149"/>
        <v>2.7638240417515222E-2</v>
      </c>
      <c r="P1097" s="50">
        <f t="shared" si="144"/>
        <v>2.7638240417515222E-2</v>
      </c>
      <c r="Q1097" s="51">
        <f t="shared" si="150"/>
        <v>134.40696803434551</v>
      </c>
      <c r="R1097" s="51">
        <f t="shared" si="151"/>
        <v>64.885267798138841</v>
      </c>
    </row>
    <row r="1098" spans="1:18" x14ac:dyDescent="0.15">
      <c r="A1098" s="59">
        <v>42502.75</v>
      </c>
      <c r="B1098">
        <v>13.717290999999999</v>
      </c>
      <c r="C1098">
        <v>123.45333100000001</v>
      </c>
      <c r="D1098">
        <v>59.081142</v>
      </c>
      <c r="E1098">
        <v>35.495998</v>
      </c>
      <c r="F1098">
        <v>883.919983</v>
      </c>
      <c r="H1098" s="50">
        <f t="shared" si="145"/>
        <v>-1.6358563077851135E-2</v>
      </c>
      <c r="I1098" s="50">
        <f t="shared" si="146"/>
        <v>-8.8482454574360294E-3</v>
      </c>
      <c r="J1098" s="50">
        <f t="shared" si="147"/>
        <v>-1.7289956649652213E-2</v>
      </c>
      <c r="K1098" s="50">
        <f t="shared" si="148"/>
        <v>-1.0413699647828386E-3</v>
      </c>
      <c r="L1098" s="50">
        <f t="shared" si="149"/>
        <v>-1.0245584252388884E-2</v>
      </c>
      <c r="P1098" s="50">
        <f t="shared" si="144"/>
        <v>-1.0245584252388884E-2</v>
      </c>
      <c r="Q1098" s="51">
        <f t="shared" si="150"/>
        <v>133.02989011924149</v>
      </c>
      <c r="R1098" s="51">
        <f t="shared" si="151"/>
        <v>63.823838052039726</v>
      </c>
    </row>
    <row r="1099" spans="1:18" x14ac:dyDescent="0.15">
      <c r="A1099" s="59">
        <v>42503.75</v>
      </c>
      <c r="B1099">
        <v>13.945418</v>
      </c>
      <c r="C1099">
        <v>124.55542800000001</v>
      </c>
      <c r="D1099">
        <v>60.120624999999997</v>
      </c>
      <c r="E1099">
        <v>35.533000999999999</v>
      </c>
      <c r="F1099">
        <v>893.07000700000003</v>
      </c>
      <c r="H1099" s="50">
        <f t="shared" si="145"/>
        <v>1.4132046433856467E-2</v>
      </c>
      <c r="I1099" s="50">
        <f t="shared" si="146"/>
        <v>1.525046784052878E-2</v>
      </c>
      <c r="J1099" s="50">
        <f t="shared" si="147"/>
        <v>1.358484609973332E-2</v>
      </c>
      <c r="K1099" s="50">
        <f t="shared" si="148"/>
        <v>2.213531433831456E-2</v>
      </c>
      <c r="L1099" s="50">
        <f t="shared" si="149"/>
        <v>1.1541774581246802E-2</v>
      </c>
      <c r="P1099" s="50">
        <f t="shared" si="144"/>
        <v>1.1541774581246802E-2</v>
      </c>
      <c r="Q1099" s="51">
        <f t="shared" si="150"/>
        <v>134.5652911235658</v>
      </c>
      <c r="R1099" s="51">
        <f t="shared" si="151"/>
        <v>64.725799494978091</v>
      </c>
    </row>
    <row r="1100" spans="1:18" x14ac:dyDescent="0.15">
      <c r="A1100" s="59">
        <v>42504.75</v>
      </c>
      <c r="B1100">
        <v>13.751087</v>
      </c>
      <c r="C1100">
        <v>122.684433</v>
      </c>
      <c r="D1100">
        <v>59.314841999999999</v>
      </c>
      <c r="E1100">
        <v>34.763500000000001</v>
      </c>
      <c r="F1100">
        <v>882.88000499999998</v>
      </c>
      <c r="H1100" s="50">
        <f t="shared" si="145"/>
        <v>3.0878711525962201E-2</v>
      </c>
      <c r="I1100" s="50">
        <f t="shared" si="146"/>
        <v>1.6349581004148454E-2</v>
      </c>
      <c r="J1100" s="50">
        <f t="shared" si="147"/>
        <v>8.2499927227852043E-2</v>
      </c>
      <c r="K1100" s="50">
        <f t="shared" si="148"/>
        <v>-3.1257006774478044E-3</v>
      </c>
      <c r="L1100" s="50">
        <f t="shared" si="149"/>
        <v>-2.9492933298694603E-2</v>
      </c>
      <c r="P1100" s="50">
        <f t="shared" si="144"/>
        <v>-2.9492933298694603E-2</v>
      </c>
      <c r="Q1100" s="51">
        <f t="shared" si="150"/>
        <v>130.59656596813906</v>
      </c>
      <c r="R1100" s="51">
        <f t="shared" si="151"/>
        <v>66.724448785870777</v>
      </c>
    </row>
    <row r="1101" spans="1:18" x14ac:dyDescent="0.15">
      <c r="A1101" s="59">
        <v>42507.75</v>
      </c>
      <c r="B1101">
        <v>13.33919</v>
      </c>
      <c r="C1101">
        <v>120.71086099999999</v>
      </c>
      <c r="D1101">
        <v>54.794314999999997</v>
      </c>
      <c r="E1101">
        <v>34.872501</v>
      </c>
      <c r="F1101">
        <v>909.71002199999998</v>
      </c>
      <c r="H1101" s="50">
        <f t="shared" si="145"/>
        <v>-8.74276217405454E-2</v>
      </c>
      <c r="I1101" s="50">
        <f t="shared" si="146"/>
        <v>-9.8806009498762937E-3</v>
      </c>
      <c r="J1101" s="50">
        <f t="shared" si="147"/>
        <v>1.4017639001358452E-2</v>
      </c>
      <c r="K1101" s="50">
        <f t="shared" si="148"/>
        <v>-1.5317528927375164E-3</v>
      </c>
      <c r="L1101" s="50">
        <f t="shared" si="149"/>
        <v>1.7398577200408636E-3</v>
      </c>
      <c r="P1101" s="50">
        <f t="shared" si="144"/>
        <v>1.7398577200408636E-3</v>
      </c>
      <c r="Q1101" s="51">
        <f t="shared" si="150"/>
        <v>130.82378541164957</v>
      </c>
      <c r="R1101" s="51">
        <f t="shared" si="151"/>
        <v>60.890888916573275</v>
      </c>
    </row>
    <row r="1102" spans="1:18" x14ac:dyDescent="0.15">
      <c r="A1102" s="59">
        <v>42508.75</v>
      </c>
      <c r="B1102">
        <v>14.617131000000001</v>
      </c>
      <c r="C1102">
        <v>121.915459</v>
      </c>
      <c r="D1102">
        <v>54.036845999999997</v>
      </c>
      <c r="E1102">
        <v>34.925998999999997</v>
      </c>
      <c r="F1102">
        <v>908.13000499999998</v>
      </c>
      <c r="H1102" s="50">
        <f t="shared" si="145"/>
        <v>-9.4474701832265237E-3</v>
      </c>
      <c r="I1102" s="50">
        <f t="shared" si="146"/>
        <v>6.9659677448984041E-5</v>
      </c>
      <c r="J1102" s="50">
        <f t="shared" si="147"/>
        <v>-2.3303205671997056E-2</v>
      </c>
      <c r="K1102" s="50">
        <f t="shared" si="148"/>
        <v>-6.0899261835495704E-3</v>
      </c>
      <c r="L1102" s="50">
        <f t="shared" si="149"/>
        <v>5.1579290397909599E-3</v>
      </c>
      <c r="P1102" s="50">
        <f t="shared" si="144"/>
        <v>5.1579290397909599E-3</v>
      </c>
      <c r="Q1102" s="51">
        <f t="shared" si="150"/>
        <v>131.4985652135197</v>
      </c>
      <c r="R1102" s="51">
        <f t="shared" si="151"/>
        <v>60.31562405910379</v>
      </c>
    </row>
    <row r="1103" spans="1:18" x14ac:dyDescent="0.15">
      <c r="A1103" s="59">
        <v>42509.75</v>
      </c>
      <c r="B1103">
        <v>14.756543000000001</v>
      </c>
      <c r="C1103">
        <v>121.90696699999999</v>
      </c>
      <c r="D1103">
        <v>55.326121999999998</v>
      </c>
      <c r="E1103">
        <v>35.139999000000003</v>
      </c>
      <c r="F1103">
        <v>903.46997099999999</v>
      </c>
      <c r="H1103" s="50">
        <f t="shared" si="145"/>
        <v>5.1799329164493209E-3</v>
      </c>
      <c r="I1103" s="50">
        <f t="shared" si="146"/>
        <v>4.7880648879609902E-3</v>
      </c>
      <c r="J1103" s="50">
        <f t="shared" si="147"/>
        <v>1.0745952654276506E-2</v>
      </c>
      <c r="K1103" s="50">
        <f t="shared" si="148"/>
        <v>8.6830852568017779E-3</v>
      </c>
      <c r="L1103" s="50">
        <f t="shared" si="149"/>
        <v>1.7043163813297089E-2</v>
      </c>
      <c r="P1103" s="50">
        <f t="shared" si="144"/>
        <v>1.7043163813297089E-2</v>
      </c>
      <c r="Q1103" s="51">
        <f t="shared" si="150"/>
        <v>133.73971680166724</v>
      </c>
      <c r="R1103" s="51">
        <f t="shared" si="151"/>
        <v>60.628054945543717</v>
      </c>
    </row>
    <row r="1104" spans="1:18" x14ac:dyDescent="0.15">
      <c r="A1104" s="59">
        <v>42510.75</v>
      </c>
      <c r="B1104">
        <v>14.680498999999999</v>
      </c>
      <c r="C1104">
        <v>121.32605</v>
      </c>
      <c r="D1104">
        <v>54.737910999999997</v>
      </c>
      <c r="E1104">
        <v>34.837502000000001</v>
      </c>
      <c r="F1104">
        <v>888.330017</v>
      </c>
      <c r="H1104" s="50">
        <f t="shared" si="145"/>
        <v>-1.0535350927861214E-2</v>
      </c>
      <c r="I1104" s="50">
        <f t="shared" si="146"/>
        <v>-3.9278031774104124E-3</v>
      </c>
      <c r="J1104" s="50">
        <f t="shared" si="147"/>
        <v>-1.1063950073336623E-2</v>
      </c>
      <c r="K1104" s="50">
        <f t="shared" si="148"/>
        <v>-1.0579295955106465E-2</v>
      </c>
      <c r="L1104" s="50">
        <f t="shared" si="149"/>
        <v>1.4994554678692199E-3</v>
      </c>
      <c r="P1104" s="50">
        <f t="shared" si="144"/>
        <v>1.4994554678692199E-3</v>
      </c>
      <c r="Q1104" s="51">
        <f t="shared" si="150"/>
        <v>133.94025355129676</v>
      </c>
      <c r="R1104" s="51">
        <f t="shared" si="151"/>
        <v>59.989317110618764</v>
      </c>
    </row>
    <row r="1105" spans="1:18" x14ac:dyDescent="0.15">
      <c r="A1105" s="59">
        <v>42511.75</v>
      </c>
      <c r="B1105">
        <v>14.83681</v>
      </c>
      <c r="C1105">
        <v>121.804474</v>
      </c>
      <c r="D1105">
        <v>55.350304000000001</v>
      </c>
      <c r="E1105">
        <v>35.209999000000003</v>
      </c>
      <c r="F1105">
        <v>887</v>
      </c>
      <c r="H1105" s="50">
        <f t="shared" si="145"/>
        <v>-3.4052715075312341E-3</v>
      </c>
      <c r="I1105" s="50">
        <f t="shared" si="146"/>
        <v>-1.3629144319162439E-2</v>
      </c>
      <c r="J1105" s="50">
        <f t="shared" si="147"/>
        <v>-8.5162345125847135E-3</v>
      </c>
      <c r="K1105" s="50">
        <f t="shared" si="148"/>
        <v>-5.8587139126136381E-3</v>
      </c>
      <c r="L1105" s="50">
        <f t="shared" si="149"/>
        <v>-2.5628087137985693E-2</v>
      </c>
      <c r="P1105" s="50">
        <f t="shared" si="144"/>
        <v>-2.5628087137985693E-2</v>
      </c>
      <c r="Q1105" s="51">
        <f t="shared" si="150"/>
        <v>130.50762106200023</v>
      </c>
      <c r="R1105" s="51">
        <f t="shared" si="151"/>
        <v>59.785037198305716</v>
      </c>
    </row>
    <row r="1106" spans="1:18" x14ac:dyDescent="0.15">
      <c r="A1106" s="59">
        <v>42515.75</v>
      </c>
      <c r="B1106">
        <v>14.887506</v>
      </c>
      <c r="C1106">
        <v>123.487503</v>
      </c>
      <c r="D1106">
        <v>55.825729000000003</v>
      </c>
      <c r="E1106">
        <v>35.417499999999997</v>
      </c>
      <c r="F1106">
        <v>910.330017</v>
      </c>
      <c r="H1106" s="50">
        <f t="shared" si="145"/>
        <v>-5.2223550151005611E-3</v>
      </c>
      <c r="I1106" s="50">
        <f t="shared" si="146"/>
        <v>-3.4533403364760976E-2</v>
      </c>
      <c r="J1106" s="50">
        <f t="shared" si="147"/>
        <v>5.3695849713860672E-3</v>
      </c>
      <c r="K1106" s="50">
        <f t="shared" si="148"/>
        <v>-9.175952474464141E-3</v>
      </c>
      <c r="L1106" s="50">
        <f t="shared" si="149"/>
        <v>1.9338027723418475E-2</v>
      </c>
      <c r="P1106" s="50">
        <f t="shared" si="144"/>
        <v>1.9338027723418475E-2</v>
      </c>
      <c r="Q1106" s="51">
        <f t="shared" si="150"/>
        <v>133.0313810562146</v>
      </c>
      <c r="R1106" s="51">
        <f t="shared" si="151"/>
        <v>59.472818509465171</v>
      </c>
    </row>
    <row r="1107" spans="1:18" x14ac:dyDescent="0.15">
      <c r="A1107" s="59">
        <v>42516.75</v>
      </c>
      <c r="B1107">
        <v>14.965662</v>
      </c>
      <c r="C1107">
        <v>127.90448000000001</v>
      </c>
      <c r="D1107">
        <v>55.527569</v>
      </c>
      <c r="E1107">
        <v>35.745499000000002</v>
      </c>
      <c r="F1107">
        <v>893.05999799999995</v>
      </c>
      <c r="H1107" s="50">
        <f t="shared" si="145"/>
        <v>1.4136940359803698E-3</v>
      </c>
      <c r="I1107" s="50">
        <f t="shared" si="146"/>
        <v>4.2259157196921932E-3</v>
      </c>
      <c r="J1107" s="50">
        <f t="shared" si="147"/>
        <v>1.4477788005808444E-4</v>
      </c>
      <c r="K1107" s="50">
        <f t="shared" si="148"/>
        <v>3.7487083005728538E-3</v>
      </c>
      <c r="L1107" s="50">
        <f t="shared" si="149"/>
        <v>-1.5184785176779219E-2</v>
      </c>
      <c r="P1107" s="50">
        <f t="shared" si="144"/>
        <v>-1.5184785176779219E-2</v>
      </c>
      <c r="Q1107" s="51">
        <f t="shared" si="150"/>
        <v>131.01132811310572</v>
      </c>
      <c r="R1107" s="51">
        <f t="shared" si="151"/>
        <v>59.556894878294941</v>
      </c>
    </row>
    <row r="1108" spans="1:18" x14ac:dyDescent="0.15">
      <c r="A1108" s="59">
        <v>42517.75</v>
      </c>
      <c r="B1108">
        <v>14.944535</v>
      </c>
      <c r="C1108">
        <v>127.366241</v>
      </c>
      <c r="D1108">
        <v>55.519531000000001</v>
      </c>
      <c r="E1108">
        <v>35.612000000000002</v>
      </c>
      <c r="F1108">
        <v>906.830017</v>
      </c>
      <c r="H1108" s="50">
        <f t="shared" si="145"/>
        <v>-4.2398859090114321E-4</v>
      </c>
      <c r="I1108" s="50">
        <f t="shared" si="146"/>
        <v>2.0838010209912163E-3</v>
      </c>
      <c r="J1108" s="50">
        <f t="shared" si="147"/>
        <v>1.7449490707086459E-3</v>
      </c>
      <c r="K1108" s="50">
        <f t="shared" si="148"/>
        <v>-1.4596217435216214E-2</v>
      </c>
      <c r="L1108" s="50">
        <f t="shared" si="149"/>
        <v>-1.3392951888837035E-2</v>
      </c>
      <c r="P1108" s="50">
        <f t="shared" si="144"/>
        <v>-1.3392951888837035E-2</v>
      </c>
      <c r="Q1108" s="51">
        <f t="shared" si="150"/>
        <v>129.25669969879425</v>
      </c>
      <c r="R1108" s="51">
        <f t="shared" si="151"/>
        <v>59.531643434357051</v>
      </c>
    </row>
    <row r="1109" spans="1:18" x14ac:dyDescent="0.15">
      <c r="A1109" s="59">
        <v>42518.75</v>
      </c>
      <c r="B1109">
        <v>14.950874000000001</v>
      </c>
      <c r="C1109">
        <v>127.101387</v>
      </c>
      <c r="D1109">
        <v>55.422820999999999</v>
      </c>
      <c r="E1109">
        <v>36.139499999999998</v>
      </c>
      <c r="F1109">
        <v>919.14001499999995</v>
      </c>
      <c r="H1109" s="50">
        <f t="shared" si="145"/>
        <v>3.9716677626889995E-3</v>
      </c>
      <c r="I1109" s="50">
        <f t="shared" si="146"/>
        <v>-2.45871573742454E-2</v>
      </c>
      <c r="J1109" s="50">
        <f t="shared" si="147"/>
        <v>5.4082842840788067E-3</v>
      </c>
      <c r="K1109" s="50">
        <f t="shared" si="148"/>
        <v>4.6563994217724029E-3</v>
      </c>
      <c r="L1109" s="50">
        <f t="shared" si="149"/>
        <v>-2.5167817542014442E-2</v>
      </c>
      <c r="P1109" s="50">
        <f t="shared" si="144"/>
        <v>-2.5167817542014442E-2</v>
      </c>
      <c r="Q1109" s="51">
        <f t="shared" si="150"/>
        <v>126.00359066469204</v>
      </c>
      <c r="R1109" s="51">
        <f t="shared" si="151"/>
        <v>59.768083343445191</v>
      </c>
    </row>
    <row r="1110" spans="1:18" x14ac:dyDescent="0.15">
      <c r="A1110" s="59">
        <v>42521.75</v>
      </c>
      <c r="B1110">
        <v>14.891729</v>
      </c>
      <c r="C1110">
        <v>130.30522199999999</v>
      </c>
      <c r="D1110">
        <v>55.124690999999999</v>
      </c>
      <c r="E1110">
        <v>35.972000000000001</v>
      </c>
      <c r="F1110">
        <v>942.86999500000002</v>
      </c>
      <c r="H1110" s="50">
        <f t="shared" si="145"/>
        <v>-6.342455638575383E-3</v>
      </c>
      <c r="I1110" s="50">
        <f t="shared" si="146"/>
        <v>6.6664062160139556E-3</v>
      </c>
      <c r="J1110" s="50">
        <f t="shared" si="147"/>
        <v>1.3178051942500696E-3</v>
      </c>
      <c r="K1110" s="50">
        <f t="shared" si="148"/>
        <v>-1.2083901243653232E-2</v>
      </c>
      <c r="L1110" s="50">
        <f t="shared" si="149"/>
        <v>-1.9793752988057772E-3</v>
      </c>
      <c r="P1110" s="50">
        <f t="shared" si="144"/>
        <v>-1.9793752988057772E-3</v>
      </c>
      <c r="Q1110" s="51">
        <f t="shared" si="150"/>
        <v>125.75418226976952</v>
      </c>
      <c r="R1110" s="51">
        <f t="shared" si="151"/>
        <v>59.389006926236711</v>
      </c>
    </row>
    <row r="1111" spans="1:18" x14ac:dyDescent="0.15">
      <c r="A1111" s="59">
        <v>42522.75</v>
      </c>
      <c r="B1111">
        <v>14.986782</v>
      </c>
      <c r="C1111">
        <v>129.442307</v>
      </c>
      <c r="D1111">
        <v>55.052143000000001</v>
      </c>
      <c r="E1111">
        <v>36.411999000000002</v>
      </c>
      <c r="F1111">
        <v>944.73999000000003</v>
      </c>
      <c r="H1111" s="50">
        <f t="shared" si="145"/>
        <v>1.1289334144383833E-3</v>
      </c>
      <c r="I1111" s="50">
        <f t="shared" si="146"/>
        <v>-1.318638638867339E-3</v>
      </c>
      <c r="J1111" s="50">
        <f t="shared" si="147"/>
        <v>-4.8070197981281209E-3</v>
      </c>
      <c r="K1111" s="50">
        <f t="shared" si="148"/>
        <v>3.7213385891887566E-3</v>
      </c>
      <c r="L1111" s="50">
        <f t="shared" si="149"/>
        <v>1.393060429798878E-2</v>
      </c>
      <c r="P1111" s="50">
        <f t="shared" si="144"/>
        <v>1.393060429798878E-2</v>
      </c>
      <c r="Q1111" s="51">
        <f t="shared" si="150"/>
        <v>127.50601402178683</v>
      </c>
      <c r="R1111" s="51">
        <f t="shared" si="151"/>
        <v>59.456053160606054</v>
      </c>
    </row>
    <row r="1112" spans="1:18" x14ac:dyDescent="0.15">
      <c r="A1112" s="59">
        <v>42523.75</v>
      </c>
      <c r="B1112">
        <v>14.969882</v>
      </c>
      <c r="C1112">
        <v>129.61322000000001</v>
      </c>
      <c r="D1112">
        <v>55.318058000000001</v>
      </c>
      <c r="E1112">
        <v>36.277000000000001</v>
      </c>
      <c r="F1112">
        <v>931.76000999999997</v>
      </c>
      <c r="H1112" s="50">
        <f t="shared" si="145"/>
        <v>-2.5336644210281496E-3</v>
      </c>
      <c r="I1112" s="50">
        <f t="shared" si="146"/>
        <v>-3.4808799018319317E-3</v>
      </c>
      <c r="J1112" s="50">
        <f t="shared" si="147"/>
        <v>-2.3255360136513253E-3</v>
      </c>
      <c r="K1112" s="50">
        <f t="shared" si="148"/>
        <v>-1.6374170125034568E-3</v>
      </c>
      <c r="L1112" s="50">
        <f t="shared" si="149"/>
        <v>-1.1353279449767488E-2</v>
      </c>
      <c r="P1112" s="50">
        <f t="shared" si="144"/>
        <v>-1.1353279449767488E-2</v>
      </c>
      <c r="Q1112" s="51">
        <f t="shared" si="150"/>
        <v>126.05840261307151</v>
      </c>
      <c r="R1112" s="51">
        <f t="shared" si="151"/>
        <v>59.305411474098264</v>
      </c>
    </row>
    <row r="1113" spans="1:18" x14ac:dyDescent="0.15">
      <c r="A1113" s="59">
        <v>42524.75</v>
      </c>
      <c r="B1113">
        <v>15.007906999999999</v>
      </c>
      <c r="C1113">
        <v>130.06596400000001</v>
      </c>
      <c r="D1113">
        <v>55.447001999999998</v>
      </c>
      <c r="E1113">
        <v>36.336497999999999</v>
      </c>
      <c r="F1113">
        <v>942.46002199999998</v>
      </c>
      <c r="H1113" s="50">
        <f t="shared" si="145"/>
        <v>2.814642057243837E-4</v>
      </c>
      <c r="I1113" s="50">
        <f t="shared" si="146"/>
        <v>-2.490492017525076E-3</v>
      </c>
      <c r="J1113" s="50">
        <f t="shared" si="147"/>
        <v>8.3529968252893886E-3</v>
      </c>
      <c r="K1113" s="50">
        <f t="shared" si="148"/>
        <v>4.131262608118972E-3</v>
      </c>
      <c r="L1113" s="50">
        <f t="shared" si="149"/>
        <v>2.5210298289868116E-3</v>
      </c>
      <c r="P1113" s="50">
        <f t="shared" si="144"/>
        <v>2.5210298289868116E-3</v>
      </c>
      <c r="Q1113" s="51">
        <f t="shared" si="150"/>
        <v>126.37619960625349</v>
      </c>
      <c r="R1113" s="51">
        <f t="shared" si="151"/>
        <v>59.32210382463397</v>
      </c>
    </row>
    <row r="1114" spans="1:18" x14ac:dyDescent="0.15">
      <c r="A1114" s="59">
        <v>42525.75</v>
      </c>
      <c r="B1114">
        <v>15.003684</v>
      </c>
      <c r="C1114">
        <v>130.39070100000001</v>
      </c>
      <c r="D1114">
        <v>54.987690000000001</v>
      </c>
      <c r="E1114">
        <v>36.186999999999998</v>
      </c>
      <c r="F1114">
        <v>940.09002699999996</v>
      </c>
      <c r="H1114" s="50">
        <f t="shared" si="145"/>
        <v>-3.5072580988491681E-3</v>
      </c>
      <c r="I1114" s="50">
        <f t="shared" si="146"/>
        <v>-4.8896828190109851E-3</v>
      </c>
      <c r="J1114" s="50">
        <f t="shared" si="147"/>
        <v>-5.5379881186546761E-3</v>
      </c>
      <c r="K1114" s="50">
        <f t="shared" si="148"/>
        <v>-3.9909995598646107E-3</v>
      </c>
      <c r="L1114" s="50">
        <f t="shared" si="149"/>
        <v>1.0115765326004294E-3</v>
      </c>
      <c r="P1114" s="50">
        <f t="shared" si="144"/>
        <v>1.0115765326004294E-3</v>
      </c>
      <c r="Q1114" s="51">
        <f t="shared" si="150"/>
        <v>126.5040388040544</v>
      </c>
      <c r="R1114" s="51">
        <f t="shared" si="151"/>
        <v>59.114045895554248</v>
      </c>
    </row>
    <row r="1115" spans="1:18" x14ac:dyDescent="0.15">
      <c r="A1115" s="59">
        <v>42528.75</v>
      </c>
      <c r="B1115">
        <v>15.056490999999999</v>
      </c>
      <c r="C1115">
        <v>131.03140300000001</v>
      </c>
      <c r="D1115">
        <v>55.293906999999997</v>
      </c>
      <c r="E1115">
        <v>36.332000999999998</v>
      </c>
      <c r="F1115">
        <v>939.14001499999995</v>
      </c>
      <c r="H1115" s="50">
        <f t="shared" si="145"/>
        <v>2.6726855255239414E-3</v>
      </c>
      <c r="I1115" s="50">
        <f t="shared" si="146"/>
        <v>-4.4141976750117608E-3</v>
      </c>
      <c r="J1115" s="50">
        <f t="shared" si="147"/>
        <v>1.3739257259017047E-2</v>
      </c>
      <c r="K1115" s="50">
        <f t="shared" si="148"/>
        <v>-1.3880024737168164E-3</v>
      </c>
      <c r="L1115" s="50">
        <f t="shared" si="149"/>
        <v>-3.4909521390837348E-3</v>
      </c>
      <c r="P1115" s="50">
        <f t="shared" si="144"/>
        <v>-3.4909521390837348E-3</v>
      </c>
      <c r="Q1115" s="51">
        <f t="shared" si="150"/>
        <v>126.06241925918866</v>
      </c>
      <c r="R1115" s="51">
        <f t="shared" si="151"/>
        <v>59.272039150374454</v>
      </c>
    </row>
    <row r="1116" spans="1:18" x14ac:dyDescent="0.15">
      <c r="A1116" s="59">
        <v>42529.75</v>
      </c>
      <c r="B1116">
        <v>15.016356999999999</v>
      </c>
      <c r="C1116">
        <v>131.61236600000001</v>
      </c>
      <c r="D1116">
        <v>54.544505999999998</v>
      </c>
      <c r="E1116">
        <v>36.3825</v>
      </c>
      <c r="F1116">
        <v>942.42999299999997</v>
      </c>
      <c r="H1116" s="50">
        <f t="shared" si="145"/>
        <v>-7.0267245787496591E-4</v>
      </c>
      <c r="I1116" s="50">
        <f t="shared" si="146"/>
        <v>-5.2945027724695939E-3</v>
      </c>
      <c r="J1116" s="50">
        <f t="shared" si="147"/>
        <v>-2.7989344541820113E-3</v>
      </c>
      <c r="K1116" s="50">
        <f t="shared" si="148"/>
        <v>1.3567160228998117E-2</v>
      </c>
      <c r="L1116" s="50">
        <f t="shared" si="149"/>
        <v>3.4924867339405372E-3</v>
      </c>
      <c r="P1116" s="50">
        <f t="shared" si="144"/>
        <v>3.4924867339405372E-3</v>
      </c>
      <c r="Q1116" s="51">
        <f t="shared" si="150"/>
        <v>126.50269058609983</v>
      </c>
      <c r="R1116" s="51">
        <f t="shared" si="151"/>
        <v>59.230390320941403</v>
      </c>
    </row>
    <row r="1117" spans="1:18" x14ac:dyDescent="0.15">
      <c r="A1117" s="59">
        <v>42530.75</v>
      </c>
      <c r="B1117">
        <v>15.026916</v>
      </c>
      <c r="C1117">
        <v>132.31289699999999</v>
      </c>
      <c r="D1117">
        <v>54.697600999999999</v>
      </c>
      <c r="E1117">
        <v>35.895499999999998</v>
      </c>
      <c r="F1117">
        <v>939.15002400000003</v>
      </c>
      <c r="H1117" s="50">
        <f t="shared" si="145"/>
        <v>8.6487059025845883E-3</v>
      </c>
      <c r="I1117" s="50">
        <f t="shared" si="146"/>
        <v>-5.1672705258641962E-4</v>
      </c>
      <c r="J1117" s="50">
        <f t="shared" si="147"/>
        <v>1.4800352743005027E-2</v>
      </c>
      <c r="K1117" s="50">
        <f t="shared" si="148"/>
        <v>3.7329846280134181E-3</v>
      </c>
      <c r="L1117" s="50">
        <f t="shared" si="149"/>
        <v>-6.0747715701069379E-3</v>
      </c>
      <c r="P1117" s="50">
        <f t="shared" si="144"/>
        <v>-6.0747715701069379E-3</v>
      </c>
      <c r="Q1117" s="51">
        <f t="shared" si="150"/>
        <v>125.73421563778535</v>
      </c>
      <c r="R1117" s="51">
        <f t="shared" si="151"/>
        <v>59.742656547322518</v>
      </c>
    </row>
    <row r="1118" spans="1:18" x14ac:dyDescent="0.15">
      <c r="A1118" s="59">
        <v>42531.75</v>
      </c>
      <c r="B1118">
        <v>14.898066999999999</v>
      </c>
      <c r="C1118">
        <v>132.38130200000001</v>
      </c>
      <c r="D1118">
        <v>53.899864000000001</v>
      </c>
      <c r="E1118">
        <v>35.762000999999998</v>
      </c>
      <c r="F1118">
        <v>944.89001499999995</v>
      </c>
      <c r="H1118" s="50">
        <f t="shared" si="145"/>
        <v>-5.9195496404765577E-3</v>
      </c>
      <c r="I1118" s="50">
        <f t="shared" si="146"/>
        <v>-5.9017451449257683E-3</v>
      </c>
      <c r="J1118" s="50">
        <f t="shared" si="147"/>
        <v>2.2472895418095182E-3</v>
      </c>
      <c r="K1118" s="50">
        <f t="shared" si="148"/>
        <v>-5.6443486723204636E-3</v>
      </c>
      <c r="L1118" s="50">
        <f t="shared" si="149"/>
        <v>-1.3950465217118916E-3</v>
      </c>
      <c r="P1118" s="50">
        <f t="shared" si="144"/>
        <v>-1.3950465217118916E-3</v>
      </c>
      <c r="Q1118" s="51">
        <f t="shared" si="150"/>
        <v>125.5588105575997</v>
      </c>
      <c r="R1118" s="51">
        <f t="shared" si="151"/>
        <v>59.389006926236696</v>
      </c>
    </row>
    <row r="1119" spans="1:18" x14ac:dyDescent="0.15">
      <c r="A1119" s="59">
        <v>42532.75</v>
      </c>
      <c r="B1119">
        <v>14.986782</v>
      </c>
      <c r="C1119">
        <v>133.16722100000001</v>
      </c>
      <c r="D1119">
        <v>53.779007</v>
      </c>
      <c r="E1119">
        <v>35.965000000000003</v>
      </c>
      <c r="F1119">
        <v>946.21002199999998</v>
      </c>
      <c r="H1119" s="50">
        <f t="shared" si="145"/>
        <v>-2.3905830478486547E-3</v>
      </c>
      <c r="I1119" s="50">
        <f t="shared" si="146"/>
        <v>6.5218489562612249E-3</v>
      </c>
      <c r="J1119" s="50">
        <f t="shared" si="147"/>
        <v>-7.8784355979642541E-3</v>
      </c>
      <c r="K1119" s="50">
        <f t="shared" si="148"/>
        <v>7.0562258265555724E-3</v>
      </c>
      <c r="L1119" s="50">
        <f t="shared" si="149"/>
        <v>2.4347260756582684E-2</v>
      </c>
      <c r="P1119" s="50">
        <f t="shared" si="144"/>
        <v>2.4347260756582684E-2</v>
      </c>
      <c r="Q1119" s="51">
        <f t="shared" si="150"/>
        <v>128.61582365853195</v>
      </c>
      <c r="R1119" s="51">
        <f t="shared" si="151"/>
        <v>59.247032573050269</v>
      </c>
    </row>
    <row r="1120" spans="1:18" x14ac:dyDescent="0.15">
      <c r="A1120" s="59">
        <v>42535.75</v>
      </c>
      <c r="B1120">
        <v>15.022695000000001</v>
      </c>
      <c r="C1120">
        <v>132.30435199999999</v>
      </c>
      <c r="D1120">
        <v>54.206066</v>
      </c>
      <c r="E1120">
        <v>35.713000999999998</v>
      </c>
      <c r="F1120">
        <v>923.71997099999999</v>
      </c>
      <c r="H1120" s="50">
        <f t="shared" si="145"/>
        <v>-2.5243823101614069E-3</v>
      </c>
      <c r="I1120" s="50">
        <f t="shared" si="146"/>
        <v>-9.9731189230635037E-3</v>
      </c>
      <c r="J1120" s="50">
        <f t="shared" si="147"/>
        <v>4.3295656228965543E-3</v>
      </c>
      <c r="K1120" s="50">
        <f t="shared" si="148"/>
        <v>-4.5295257208959857E-3</v>
      </c>
      <c r="L1120" s="50">
        <f t="shared" si="149"/>
        <v>1.288419616176156E-2</v>
      </c>
      <c r="P1120" s="50">
        <f t="shared" si="144"/>
        <v>1.288419616176156E-2</v>
      </c>
      <c r="Q1120" s="51">
        <f t="shared" si="150"/>
        <v>130.27293516005503</v>
      </c>
      <c r="R1120" s="51">
        <f t="shared" si="151"/>
        <v>59.097470412093308</v>
      </c>
    </row>
    <row r="1121" spans="1:18" x14ac:dyDescent="0.15">
      <c r="A1121" s="59">
        <v>42536.75</v>
      </c>
      <c r="B1121">
        <v>15.060714000000001</v>
      </c>
      <c r="C1121">
        <v>133.63713100000001</v>
      </c>
      <c r="D1121">
        <v>53.972389</v>
      </c>
      <c r="E1121">
        <v>35.875500000000002</v>
      </c>
      <c r="F1121">
        <v>911.96997099999999</v>
      </c>
      <c r="H1121" s="50">
        <f t="shared" si="145"/>
        <v>4.9331470892150829E-3</v>
      </c>
      <c r="I1121" s="50">
        <f t="shared" si="146"/>
        <v>3.3997239960816537E-3</v>
      </c>
      <c r="J1121" s="50">
        <f t="shared" si="147"/>
        <v>-7.7037536462331493E-3</v>
      </c>
      <c r="K1121" s="50">
        <f t="shared" si="148"/>
        <v>1.5742012202890881E-2</v>
      </c>
      <c r="L1121" s="50">
        <f t="shared" si="149"/>
        <v>1.3834798888377733E-3</v>
      </c>
      <c r="P1121" s="50">
        <f t="shared" si="144"/>
        <v>1.3834798888377733E-3</v>
      </c>
      <c r="Q1121" s="51">
        <f t="shared" si="150"/>
        <v>130.45316514590883</v>
      </c>
      <c r="R1121" s="51">
        <f t="shared" si="151"/>
        <v>59.389006926236704</v>
      </c>
    </row>
    <row r="1122" spans="1:18" x14ac:dyDescent="0.15">
      <c r="A1122" s="59">
        <v>42537.75</v>
      </c>
      <c r="B1122">
        <v>14.986782</v>
      </c>
      <c r="C1122">
        <v>133.18434099999999</v>
      </c>
      <c r="D1122">
        <v>54.391407000000001</v>
      </c>
      <c r="E1122">
        <v>35.319499999999998</v>
      </c>
      <c r="F1122">
        <v>910.71002199999998</v>
      </c>
      <c r="H1122" s="50">
        <f t="shared" si="145"/>
        <v>-2.110201076354336E-3</v>
      </c>
      <c r="I1122" s="50">
        <f t="shared" si="146"/>
        <v>-3.7708564840162264E-3</v>
      </c>
      <c r="J1122" s="50">
        <f t="shared" si="147"/>
        <v>-7.2065738856852916E-3</v>
      </c>
      <c r="K1122" s="50">
        <f t="shared" si="148"/>
        <v>-1.0672119438103115E-2</v>
      </c>
      <c r="L1122" s="50">
        <f t="shared" si="149"/>
        <v>-8.3408354385533217E-3</v>
      </c>
      <c r="P1122" s="50">
        <f t="shared" si="144"/>
        <v>-8.3408354385533217E-3</v>
      </c>
      <c r="Q1122" s="51">
        <f t="shared" si="150"/>
        <v>129.36507676298837</v>
      </c>
      <c r="R1122" s="51">
        <f t="shared" si="151"/>
        <v>59.263684179897346</v>
      </c>
    </row>
    <row r="1123" spans="1:18" x14ac:dyDescent="0.15">
      <c r="A1123" s="59">
        <v>42538.75</v>
      </c>
      <c r="B1123">
        <v>15.018473999999999</v>
      </c>
      <c r="C1123">
        <v>133.68846099999999</v>
      </c>
      <c r="D1123">
        <v>54.786228000000001</v>
      </c>
      <c r="E1123">
        <v>35.700499999999998</v>
      </c>
      <c r="F1123">
        <v>918.36999500000002</v>
      </c>
      <c r="H1123" s="50">
        <f t="shared" si="145"/>
        <v>-5.0375258877182558E-3</v>
      </c>
      <c r="I1123" s="50">
        <f t="shared" si="146"/>
        <v>-4.5800195905434955E-3</v>
      </c>
      <c r="J1123" s="50">
        <f t="shared" si="147"/>
        <v>-4.5390801275112811E-3</v>
      </c>
      <c r="K1123" s="50">
        <f t="shared" si="148"/>
        <v>-2.5285686345729009E-3</v>
      </c>
      <c r="L1123" s="50">
        <f t="shared" si="149"/>
        <v>-3.104528795295978E-3</v>
      </c>
      <c r="P1123" s="50">
        <f t="shared" si="144"/>
        <v>-3.104528795295978E-3</v>
      </c>
      <c r="Q1123" s="51">
        <f t="shared" si="150"/>
        <v>128.96345915707198</v>
      </c>
      <c r="R1123" s="51">
        <f t="shared" si="151"/>
        <v>58.96514183663956</v>
      </c>
    </row>
    <row r="1124" spans="1:18" x14ac:dyDescent="0.15">
      <c r="A1124" s="59">
        <v>42539.75</v>
      </c>
      <c r="B1124">
        <v>15.094512999999999</v>
      </c>
      <c r="C1124">
        <v>134.303574</v>
      </c>
      <c r="D1124">
        <v>55.036040999999997</v>
      </c>
      <c r="E1124">
        <v>35.790999999999997</v>
      </c>
      <c r="F1124">
        <v>921.22997999999995</v>
      </c>
      <c r="H1124" s="50">
        <f t="shared" si="145"/>
        <v>-4.0416298297540265E-3</v>
      </c>
      <c r="I1124" s="50">
        <f t="shared" si="146"/>
        <v>-5.8179863437671352E-3</v>
      </c>
      <c r="J1124" s="50">
        <f t="shared" si="147"/>
        <v>-8.1324035203307679E-3</v>
      </c>
      <c r="K1124" s="50">
        <f t="shared" si="148"/>
        <v>7.3459332211070509E-3</v>
      </c>
      <c r="L1124" s="50">
        <f t="shared" si="149"/>
        <v>3.1566338231724646E-2</v>
      </c>
      <c r="P1124" s="50">
        <f t="shared" si="144"/>
        <v>3.1566338231724646E-2</v>
      </c>
      <c r="Q1124" s="51">
        <f t="shared" si="150"/>
        <v>133.03436332835733</v>
      </c>
      <c r="R1124" s="51">
        <f t="shared" si="151"/>
        <v>58.726826560476923</v>
      </c>
    </row>
    <row r="1125" spans="1:18" x14ac:dyDescent="0.15">
      <c r="A1125" s="59">
        <v>42542.75</v>
      </c>
      <c r="B1125">
        <v>15.155767000000001</v>
      </c>
      <c r="C1125">
        <v>135.08952300000001</v>
      </c>
      <c r="D1125">
        <v>55.487285999999997</v>
      </c>
      <c r="E1125">
        <v>35.529998999999997</v>
      </c>
      <c r="F1125">
        <v>893.03997800000002</v>
      </c>
      <c r="H1125" s="50">
        <f t="shared" si="145"/>
        <v>-4.8544623239106183E-3</v>
      </c>
      <c r="I1125" s="50">
        <f t="shared" si="146"/>
        <v>6.9410377626585853E-3</v>
      </c>
      <c r="J1125" s="50">
        <f t="shared" si="147"/>
        <v>-1.3184194560011844E-2</v>
      </c>
      <c r="K1125" s="50">
        <f t="shared" si="148"/>
        <v>-1.5898543097717779E-2</v>
      </c>
      <c r="L1125" s="50">
        <f t="shared" si="149"/>
        <v>-2.301416663204056E-3</v>
      </c>
      <c r="P1125" s="50">
        <f t="shared" si="144"/>
        <v>-2.301416663204056E-3</v>
      </c>
      <c r="Q1125" s="51">
        <f t="shared" si="150"/>
        <v>132.72819582781472</v>
      </c>
      <c r="R1125" s="51">
        <f t="shared" si="151"/>
        <v>58.441739393536253</v>
      </c>
    </row>
    <row r="1126" spans="1:18" x14ac:dyDescent="0.15">
      <c r="A1126" s="59">
        <v>42543.75</v>
      </c>
      <c r="B1126">
        <v>15.229699</v>
      </c>
      <c r="C1126">
        <v>134.15832499999999</v>
      </c>
      <c r="D1126">
        <v>56.228614999999998</v>
      </c>
      <c r="E1126">
        <v>36.103999999999999</v>
      </c>
      <c r="F1126">
        <v>895.09997599999997</v>
      </c>
      <c r="H1126" s="50">
        <f t="shared" si="145"/>
        <v>1.945510060540937E-3</v>
      </c>
      <c r="I1126" s="50">
        <f t="shared" si="146"/>
        <v>9.4500557890643943E-3</v>
      </c>
      <c r="J1126" s="50">
        <f t="shared" si="147"/>
        <v>6.2003546536507628E-3</v>
      </c>
      <c r="K1126" s="50">
        <f t="shared" si="148"/>
        <v>3.3077656342127844E-2</v>
      </c>
      <c r="L1126" s="50">
        <f t="shared" si="149"/>
        <v>-6.482147520407335E-3</v>
      </c>
      <c r="P1126" s="50">
        <f t="shared" si="144"/>
        <v>-6.482147520407335E-3</v>
      </c>
      <c r="Q1126" s="51">
        <f t="shared" si="150"/>
        <v>131.86783208234132</v>
      </c>
      <c r="R1126" s="51">
        <f t="shared" si="151"/>
        <v>58.555438385481892</v>
      </c>
    </row>
    <row r="1127" spans="1:18" x14ac:dyDescent="0.15">
      <c r="A1127" s="59">
        <v>42544.75</v>
      </c>
      <c r="B1127">
        <v>15.200127</v>
      </c>
      <c r="C1127">
        <v>132.90239</v>
      </c>
      <c r="D1127">
        <v>55.882126</v>
      </c>
      <c r="E1127">
        <v>34.948002000000002</v>
      </c>
      <c r="F1127">
        <v>900.94000200000005</v>
      </c>
      <c r="H1127" s="50">
        <f t="shared" si="145"/>
        <v>6.4336394984824616E-3</v>
      </c>
      <c r="I1127" s="50">
        <f t="shared" si="146"/>
        <v>8.426668410022202E-3</v>
      </c>
      <c r="J1127" s="50">
        <f t="shared" si="147"/>
        <v>-1.4399231716949743E-3</v>
      </c>
      <c r="K1127" s="50">
        <f t="shared" si="148"/>
        <v>1.0992854345265727E-2</v>
      </c>
      <c r="L1127" s="50">
        <f t="shared" si="149"/>
        <v>-2.0994075359201926E-2</v>
      </c>
      <c r="P1127" s="50">
        <f t="shared" si="144"/>
        <v>-2.0994075359201926E-2</v>
      </c>
      <c r="Q1127" s="51">
        <f t="shared" si="150"/>
        <v>129.09938887815005</v>
      </c>
      <c r="R1127" s="51">
        <f t="shared" si="151"/>
        <v>58.932162966729692</v>
      </c>
    </row>
    <row r="1128" spans="1:18" x14ac:dyDescent="0.15">
      <c r="A1128" s="59">
        <v>42545.75</v>
      </c>
      <c r="B1128">
        <v>15.102959999999999</v>
      </c>
      <c r="C1128">
        <v>131.79182399999999</v>
      </c>
      <c r="D1128">
        <v>55.962707999999999</v>
      </c>
      <c r="E1128">
        <v>34.568001000000002</v>
      </c>
      <c r="F1128">
        <v>920.26000999999997</v>
      </c>
      <c r="H1128" s="50">
        <f t="shared" si="145"/>
        <v>-1.3982058476784062E-4</v>
      </c>
      <c r="I1128" s="50">
        <f t="shared" si="146"/>
        <v>-8.6113240280043541E-3</v>
      </c>
      <c r="J1128" s="50">
        <f t="shared" si="147"/>
        <v>-4.1582034886800305E-3</v>
      </c>
      <c r="K1128" s="50">
        <f t="shared" si="148"/>
        <v>-2.3433802484181181E-2</v>
      </c>
      <c r="L1128" s="50">
        <f t="shared" si="149"/>
        <v>1.4800151969524111E-3</v>
      </c>
      <c r="P1128" s="50">
        <f t="shared" si="144"/>
        <v>1.4800151969524111E-3</v>
      </c>
      <c r="Q1128" s="51">
        <f t="shared" si="150"/>
        <v>129.29045793560701</v>
      </c>
      <c r="R1128" s="51">
        <f t="shared" si="151"/>
        <v>58.923923037242055</v>
      </c>
    </row>
    <row r="1129" spans="1:18" x14ac:dyDescent="0.15">
      <c r="A1129" s="59">
        <v>42546.75</v>
      </c>
      <c r="B1129">
        <v>15.105072</v>
      </c>
      <c r="C1129">
        <v>132.93658400000001</v>
      </c>
      <c r="D1129">
        <v>56.196384000000002</v>
      </c>
      <c r="E1129">
        <v>35.397499000000003</v>
      </c>
      <c r="F1129">
        <v>918.90002400000003</v>
      </c>
      <c r="H1129" s="50">
        <f t="shared" si="145"/>
        <v>-1.3110701402826531E-2</v>
      </c>
      <c r="I1129" s="50">
        <f t="shared" si="146"/>
        <v>-9.4221766521200741E-3</v>
      </c>
      <c r="J1129" s="50">
        <f t="shared" si="147"/>
        <v>-3.7143458143869381E-3</v>
      </c>
      <c r="K1129" s="50">
        <f t="shared" si="148"/>
        <v>-1.0690330091959847E-2</v>
      </c>
      <c r="L1129" s="50">
        <f t="shared" si="149"/>
        <v>-8.9837000309242864E-3</v>
      </c>
      <c r="P1129" s="50">
        <f t="shared" si="144"/>
        <v>-8.9837000309242864E-3</v>
      </c>
      <c r="Q1129" s="51">
        <f t="shared" si="150"/>
        <v>128.12895124465268</v>
      </c>
      <c r="R1129" s="51">
        <f t="shared" si="151"/>
        <v>58.151389076817644</v>
      </c>
    </row>
    <row r="1130" spans="1:18" x14ac:dyDescent="0.15">
      <c r="A1130" s="59">
        <v>42549.75</v>
      </c>
      <c r="B1130">
        <v>15.305740999999999</v>
      </c>
      <c r="C1130">
        <v>134.20105000000001</v>
      </c>
      <c r="D1130">
        <v>56.405895000000001</v>
      </c>
      <c r="E1130">
        <v>35.779998999999997</v>
      </c>
      <c r="F1130">
        <v>927.22997999999995</v>
      </c>
      <c r="H1130" s="50">
        <f t="shared" si="145"/>
        <v>-7.6690727176408641E-3</v>
      </c>
      <c r="I1130" s="50">
        <f t="shared" si="146"/>
        <v>2.5486920745076031E-4</v>
      </c>
      <c r="J1130" s="50">
        <f t="shared" si="147"/>
        <v>2.5778310123357336E-3</v>
      </c>
      <c r="K1130" s="50">
        <f t="shared" si="148"/>
        <v>-2.7919847288781445E-5</v>
      </c>
      <c r="L1130" s="50">
        <f t="shared" si="149"/>
        <v>8.6041562674268254E-3</v>
      </c>
      <c r="P1130" s="50">
        <f t="shared" si="144"/>
        <v>8.6041562674268254E-3</v>
      </c>
      <c r="Q1130" s="51">
        <f t="shared" si="150"/>
        <v>129.2313927635432</v>
      </c>
      <c r="R1130" s="51">
        <f t="shared" si="151"/>
        <v>57.705421845355701</v>
      </c>
    </row>
    <row r="1131" spans="1:18" x14ac:dyDescent="0.15">
      <c r="A1131" s="59">
        <v>42550.75</v>
      </c>
      <c r="B1131">
        <v>15.424029000000001</v>
      </c>
      <c r="C1131">
        <v>134.166855</v>
      </c>
      <c r="D1131">
        <v>56.260863999999998</v>
      </c>
      <c r="E1131">
        <v>35.780997999999997</v>
      </c>
      <c r="F1131">
        <v>919.32000700000003</v>
      </c>
      <c r="H1131" s="50">
        <f t="shared" si="145"/>
        <v>2.8841969376328523E-3</v>
      </c>
      <c r="I1131" s="50">
        <f t="shared" si="146"/>
        <v>5.9575421232194734E-3</v>
      </c>
      <c r="J1131" s="50">
        <f t="shared" si="147"/>
        <v>-3.283374373593852E-3</v>
      </c>
      <c r="K1131" s="50">
        <f t="shared" si="148"/>
        <v>-1.3862914783375653E-2</v>
      </c>
      <c r="L1131" s="50">
        <f t="shared" si="149"/>
        <v>-4.3429867178248205E-3</v>
      </c>
      <c r="P1131" s="50">
        <f t="shared" si="144"/>
        <v>-4.3429867178248205E-3</v>
      </c>
      <c r="Q1131" s="51">
        <f t="shared" si="150"/>
        <v>128.67014254124513</v>
      </c>
      <c r="R1131" s="51">
        <f t="shared" si="151"/>
        <v>57.871855646326885</v>
      </c>
    </row>
    <row r="1132" spans="1:18" x14ac:dyDescent="0.15">
      <c r="A1132" s="59">
        <v>42551.75</v>
      </c>
      <c r="B1132">
        <v>15.379671</v>
      </c>
      <c r="C1132">
        <v>133.37228400000001</v>
      </c>
      <c r="D1132">
        <v>56.446198000000003</v>
      </c>
      <c r="E1132">
        <v>36.283999999999999</v>
      </c>
      <c r="F1132">
        <v>923.330017</v>
      </c>
      <c r="H1132" s="50">
        <f t="shared" si="145"/>
        <v>-4.5118971464027345E-3</v>
      </c>
      <c r="I1132" s="50">
        <f t="shared" si="146"/>
        <v>5.5393510788248586E-3</v>
      </c>
      <c r="J1132" s="50">
        <f t="shared" si="147"/>
        <v>4.4453749906755678E-3</v>
      </c>
      <c r="K1132" s="50">
        <f t="shared" si="148"/>
        <v>-3.3236918918744551E-3</v>
      </c>
      <c r="L1132" s="50">
        <f t="shared" si="149"/>
        <v>3.0019449042112657E-2</v>
      </c>
      <c r="P1132" s="50">
        <f t="shared" si="144"/>
        <v>3.0019449042112657E-2</v>
      </c>
      <c r="Q1132" s="51">
        <f t="shared" si="150"/>
        <v>132.5327493285034</v>
      </c>
      <c r="R1132" s="51">
        <f t="shared" si="151"/>
        <v>57.610743785979189</v>
      </c>
    </row>
    <row r="1133" spans="1:18" x14ac:dyDescent="0.15">
      <c r="A1133" s="59">
        <v>42552.75</v>
      </c>
      <c r="B1133">
        <v>15.449377</v>
      </c>
      <c r="C1133">
        <v>132.63755800000001</v>
      </c>
      <c r="D1133">
        <v>56.196384000000002</v>
      </c>
      <c r="E1133">
        <v>36.404998999999997</v>
      </c>
      <c r="F1133">
        <v>896.419983</v>
      </c>
      <c r="H1133" s="50">
        <f t="shared" si="145"/>
        <v>-9.2113709925152019E-3</v>
      </c>
      <c r="I1133" s="50">
        <f t="shared" si="146"/>
        <v>-4.8717317267257853E-3</v>
      </c>
      <c r="J1133" s="50">
        <f t="shared" si="147"/>
        <v>-1.0920631657574819E-2</v>
      </c>
      <c r="K1133" s="50">
        <f t="shared" si="148"/>
        <v>-1.2893046111277225E-2</v>
      </c>
      <c r="L1133" s="50">
        <f t="shared" si="149"/>
        <v>-2.5591820302388549E-3</v>
      </c>
      <c r="P1133" s="50">
        <f t="shared" si="144"/>
        <v>-2.5591820302388549E-3</v>
      </c>
      <c r="Q1133" s="51">
        <f t="shared" si="150"/>
        <v>132.19357389800373</v>
      </c>
      <c r="R1133" s="51">
        <f t="shared" si="151"/>
        <v>57.080069851811793</v>
      </c>
    </row>
    <row r="1134" spans="1:18" x14ac:dyDescent="0.15">
      <c r="A1134" s="59">
        <v>42556.75</v>
      </c>
      <c r="B1134">
        <v>15.59301</v>
      </c>
      <c r="C1134">
        <v>133.28689600000001</v>
      </c>
      <c r="D1134">
        <v>56.816859999999998</v>
      </c>
      <c r="E1134">
        <v>36.880501000000002</v>
      </c>
      <c r="F1134">
        <v>898.71997099999999</v>
      </c>
      <c r="H1134" s="50">
        <f t="shared" si="145"/>
        <v>3.94366175419419E-3</v>
      </c>
      <c r="I1134" s="50">
        <f t="shared" si="146"/>
        <v>-4.6976017156747277E-2</v>
      </c>
      <c r="J1134" s="50">
        <f t="shared" si="147"/>
        <v>5.9924485134284838E-3</v>
      </c>
      <c r="K1134" s="50">
        <f t="shared" si="148"/>
        <v>1.412004328495757E-3</v>
      </c>
      <c r="L1134" s="50">
        <f t="shared" si="149"/>
        <v>2.0078704945027444E-2</v>
      </c>
      <c r="P1134" s="50">
        <f t="shared" si="144"/>
        <v>2.0078704945027444E-2</v>
      </c>
      <c r="Q1134" s="51">
        <f t="shared" si="150"/>
        <v>134.84784966393045</v>
      </c>
      <c r="R1134" s="51">
        <f t="shared" si="151"/>
        <v>57.305174340213114</v>
      </c>
    </row>
    <row r="1135" spans="1:18" x14ac:dyDescent="0.15">
      <c r="A1135" s="59">
        <v>42557.75</v>
      </c>
      <c r="B1135">
        <v>15.531758</v>
      </c>
      <c r="C1135">
        <v>139.85681199999999</v>
      </c>
      <c r="D1135">
        <v>56.478416000000003</v>
      </c>
      <c r="E1135">
        <v>36.828499000000001</v>
      </c>
      <c r="F1135">
        <v>881.03002900000001</v>
      </c>
      <c r="H1135" s="50">
        <f t="shared" si="145"/>
        <v>-4.1982430351936084E-3</v>
      </c>
      <c r="I1135" s="50">
        <f t="shared" si="146"/>
        <v>-1.0517450183589743E-2</v>
      </c>
      <c r="J1135" s="50">
        <f t="shared" si="147"/>
        <v>-1.7108209136071736E-2</v>
      </c>
      <c r="K1135" s="50">
        <f t="shared" si="148"/>
        <v>-1.2389267711903315E-2</v>
      </c>
      <c r="L1135" s="50">
        <f t="shared" si="149"/>
        <v>1.6713254392454336E-3</v>
      </c>
      <c r="P1135" s="50">
        <f t="shared" si="144"/>
        <v>1.6713254392454336E-3</v>
      </c>
      <c r="Q1135" s="51">
        <f t="shared" si="150"/>
        <v>135.07322430550133</v>
      </c>
      <c r="R1135" s="51">
        <f t="shared" si="151"/>
        <v>57.064593291158758</v>
      </c>
    </row>
    <row r="1136" spans="1:18" x14ac:dyDescent="0.15">
      <c r="A1136" s="59">
        <v>42558.75</v>
      </c>
      <c r="B1136">
        <v>15.597239</v>
      </c>
      <c r="C1136">
        <v>141.34338399999999</v>
      </c>
      <c r="D1136">
        <v>57.461478999999997</v>
      </c>
      <c r="E1136">
        <v>37.290500999999999</v>
      </c>
      <c r="F1136">
        <v>879.55999799999995</v>
      </c>
      <c r="H1136" s="50">
        <f t="shared" si="145"/>
        <v>-2.970395699689279E-3</v>
      </c>
      <c r="I1136" s="50">
        <f t="shared" si="146"/>
        <v>-7.6777603142263789E-3</v>
      </c>
      <c r="J1136" s="50">
        <f t="shared" si="147"/>
        <v>-1.6956146184062659E-2</v>
      </c>
      <c r="K1136" s="50">
        <f t="shared" si="148"/>
        <v>-1.0573324062016175E-2</v>
      </c>
      <c r="L1136" s="50">
        <f t="shared" si="149"/>
        <v>-3.5346841717755094E-3</v>
      </c>
      <c r="P1136" s="50">
        <f t="shared" si="144"/>
        <v>-3.5346841717755094E-3</v>
      </c>
      <c r="Q1136" s="51">
        <f t="shared" si="150"/>
        <v>134.59578311751798</v>
      </c>
      <c r="R1136" s="51">
        <f t="shared" si="151"/>
        <v>56.895088868642183</v>
      </c>
    </row>
    <row r="1137" spans="1:18" x14ac:dyDescent="0.15">
      <c r="A1137" s="59">
        <v>42559.75</v>
      </c>
      <c r="B1137">
        <v>15.643706999999999</v>
      </c>
      <c r="C1137">
        <v>142.436981</v>
      </c>
      <c r="D1137">
        <v>58.45261</v>
      </c>
      <c r="E1137">
        <v>37.688999000000003</v>
      </c>
      <c r="F1137">
        <v>882.67999299999997</v>
      </c>
      <c r="H1137" s="50">
        <f t="shared" si="145"/>
        <v>1.0781788193312545E-2</v>
      </c>
      <c r="I1137" s="50">
        <f t="shared" si="146"/>
        <v>2.6464754371043481E-3</v>
      </c>
      <c r="J1137" s="50">
        <f t="shared" si="147"/>
        <v>-1.3330000129974732E-2</v>
      </c>
      <c r="K1137" s="50">
        <f t="shared" si="148"/>
        <v>7.4444073188009684E-3</v>
      </c>
      <c r="L1137" s="50">
        <f t="shared" si="149"/>
        <v>4.0380694320631049E-3</v>
      </c>
      <c r="P1137" s="50">
        <f t="shared" si="144"/>
        <v>4.0380694320631049E-3</v>
      </c>
      <c r="Q1137" s="51">
        <f t="shared" si="150"/>
        <v>135.13929023500944</v>
      </c>
      <c r="R1137" s="51">
        <f t="shared" si="151"/>
        <v>57.508519666063577</v>
      </c>
    </row>
    <row r="1138" spans="1:18" x14ac:dyDescent="0.15">
      <c r="A1138" s="59">
        <v>42560.75</v>
      </c>
      <c r="B1138">
        <v>15.476839</v>
      </c>
      <c r="C1138">
        <v>142.06102000000001</v>
      </c>
      <c r="D1138">
        <v>59.242310000000003</v>
      </c>
      <c r="E1138">
        <v>37.410499999999999</v>
      </c>
      <c r="F1138">
        <v>879.13000499999998</v>
      </c>
      <c r="H1138" s="50">
        <f t="shared" si="145"/>
        <v>-4.7543617285133993E-3</v>
      </c>
      <c r="I1138" s="50">
        <f t="shared" si="146"/>
        <v>-2.9980376270441486E-3</v>
      </c>
      <c r="J1138" s="50">
        <f t="shared" si="147"/>
        <v>4.7833045583142008E-3</v>
      </c>
      <c r="K1138" s="50">
        <f t="shared" si="148"/>
        <v>7.5138359613804006E-3</v>
      </c>
      <c r="L1138" s="50">
        <f t="shared" si="149"/>
        <v>-2.4327155309833932E-2</v>
      </c>
      <c r="P1138" s="50">
        <f t="shared" si="144"/>
        <v>-2.4327155309833932E-2</v>
      </c>
      <c r="Q1138" s="51">
        <f t="shared" si="150"/>
        <v>131.85173573300165</v>
      </c>
      <c r="R1138" s="51">
        <f t="shared" si="151"/>
        <v>57.235103361099782</v>
      </c>
    </row>
    <row r="1139" spans="1:18" x14ac:dyDescent="0.15">
      <c r="A1139" s="59">
        <v>42563.75</v>
      </c>
      <c r="B1139">
        <v>15.550773</v>
      </c>
      <c r="C1139">
        <v>142.48820499999999</v>
      </c>
      <c r="D1139">
        <v>58.960284999999999</v>
      </c>
      <c r="E1139">
        <v>37.131500000000003</v>
      </c>
      <c r="F1139">
        <v>901.04998799999998</v>
      </c>
      <c r="H1139" s="50">
        <f t="shared" si="145"/>
        <v>-1.0852620957743885E-3</v>
      </c>
      <c r="I1139" s="50">
        <f t="shared" si="146"/>
        <v>-9.5847914587269243E-4</v>
      </c>
      <c r="J1139" s="50">
        <f t="shared" si="147"/>
        <v>-4.3541227780790562E-3</v>
      </c>
      <c r="K1139" s="50">
        <f t="shared" si="148"/>
        <v>1.9292767962959005E-3</v>
      </c>
      <c r="L1139" s="50">
        <f t="shared" si="149"/>
        <v>-5.2879524609481393E-3</v>
      </c>
      <c r="P1139" s="50">
        <f t="shared" si="144"/>
        <v>-5.2879524609481393E-3</v>
      </c>
      <c r="Q1139" s="51">
        <f t="shared" si="150"/>
        <v>131.15451002255205</v>
      </c>
      <c r="R1139" s="51">
        <f t="shared" si="151"/>
        <v>57.17298827287425</v>
      </c>
    </row>
    <row r="1140" spans="1:18" x14ac:dyDescent="0.15">
      <c r="A1140" s="59">
        <v>42564.75</v>
      </c>
      <c r="B1140">
        <v>15.567667999999999</v>
      </c>
      <c r="C1140">
        <v>142.624908</v>
      </c>
      <c r="D1140">
        <v>59.218128</v>
      </c>
      <c r="E1140">
        <v>37.060001</v>
      </c>
      <c r="F1140">
        <v>905.84002699999996</v>
      </c>
      <c r="H1140" s="50">
        <f t="shared" si="145"/>
        <v>4.0729166465845214E-4</v>
      </c>
      <c r="I1140" s="50">
        <f t="shared" si="146"/>
        <v>3.1847946220735137E-3</v>
      </c>
      <c r="J1140" s="50">
        <f t="shared" si="147"/>
        <v>6.1610196005750309E-3</v>
      </c>
      <c r="K1140" s="50">
        <f t="shared" si="148"/>
        <v>7.8321007242494155E-3</v>
      </c>
      <c r="L1140" s="50">
        <f t="shared" si="149"/>
        <v>-2.8777250719904748E-2</v>
      </c>
      <c r="P1140" s="50">
        <f t="shared" si="144"/>
        <v>-2.8777250719904748E-2</v>
      </c>
      <c r="Q1140" s="51">
        <f t="shared" si="150"/>
        <v>127.3802438045868</v>
      </c>
      <c r="R1140" s="51">
        <f t="shared" si="151"/>
        <v>57.196274354441407</v>
      </c>
    </row>
    <row r="1141" spans="1:18" x14ac:dyDescent="0.15">
      <c r="A1141" s="59">
        <v>42565.75</v>
      </c>
      <c r="B1141">
        <v>15.56133</v>
      </c>
      <c r="C1141">
        <v>142.17211900000001</v>
      </c>
      <c r="D1141">
        <v>58.855518000000004</v>
      </c>
      <c r="E1141">
        <v>36.771999000000001</v>
      </c>
      <c r="F1141">
        <v>932.67999299999997</v>
      </c>
      <c r="H1141" s="50">
        <f t="shared" si="145"/>
        <v>-2.3022664460036926E-3</v>
      </c>
      <c r="I1141" s="50">
        <f t="shared" si="146"/>
        <v>-6.566916161136211E-3</v>
      </c>
      <c r="J1141" s="50">
        <f t="shared" si="147"/>
        <v>-1.2439262948404688E-2</v>
      </c>
      <c r="K1141" s="50">
        <f t="shared" si="148"/>
        <v>-8.5595117703601473E-4</v>
      </c>
      <c r="L1141" s="50">
        <f t="shared" si="149"/>
        <v>-8.56772018376732E-3</v>
      </c>
      <c r="P1141" s="50">
        <f t="shared" si="144"/>
        <v>-8.56772018376732E-3</v>
      </c>
      <c r="Q1141" s="51">
        <f t="shared" si="150"/>
        <v>126.28888551872905</v>
      </c>
      <c r="R1141" s="51">
        <f t="shared" si="151"/>
        <v>57.064593291158751</v>
      </c>
    </row>
    <row r="1142" spans="1:18" x14ac:dyDescent="0.15">
      <c r="A1142" s="59">
        <v>42566.75</v>
      </c>
      <c r="B1142">
        <v>15.597239</v>
      </c>
      <c r="C1142">
        <v>143.11192299999999</v>
      </c>
      <c r="D1142">
        <v>59.596859000000002</v>
      </c>
      <c r="E1142">
        <v>36.803500999999997</v>
      </c>
      <c r="F1142">
        <v>940.73999000000003</v>
      </c>
      <c r="H1142" s="50">
        <f t="shared" si="145"/>
        <v>2.4437606624910153E-3</v>
      </c>
      <c r="I1142" s="50">
        <f t="shared" si="146"/>
        <v>-3.6282316263728741E-3</v>
      </c>
      <c r="J1142" s="50">
        <f t="shared" si="147"/>
        <v>1.3482393720638214E-4</v>
      </c>
      <c r="K1142" s="50">
        <f t="shared" si="148"/>
        <v>-5.2435973986459956E-3</v>
      </c>
      <c r="L1142" s="50">
        <f t="shared" si="149"/>
        <v>3.8280801174632749E-4</v>
      </c>
      <c r="P1142" s="50">
        <f t="shared" si="144"/>
        <v>3.8280801174632749E-4</v>
      </c>
      <c r="Q1142" s="51">
        <f t="shared" si="150"/>
        <v>126.33722991590012</v>
      </c>
      <c r="R1142" s="51">
        <f t="shared" si="151"/>
        <v>57.204045499464733</v>
      </c>
    </row>
    <row r="1143" spans="1:18" x14ac:dyDescent="0.15">
      <c r="A1143" s="59">
        <v>42567.75</v>
      </c>
      <c r="B1143">
        <v>15.559215999999999</v>
      </c>
      <c r="C1143">
        <v>143.63305700000001</v>
      </c>
      <c r="D1143">
        <v>59.588825</v>
      </c>
      <c r="E1143">
        <v>36.997501</v>
      </c>
      <c r="F1143">
        <v>940.38000499999998</v>
      </c>
      <c r="H1143" s="50">
        <f t="shared" si="145"/>
        <v>-1.7620813565120876E-3</v>
      </c>
      <c r="I1143" s="50">
        <f t="shared" si="146"/>
        <v>4.7616162906687732E-4</v>
      </c>
      <c r="J1143" s="50">
        <f t="shared" si="147"/>
        <v>-7.1155842388562641E-3</v>
      </c>
      <c r="K1143" s="50">
        <f t="shared" si="148"/>
        <v>-7.7374351696999468E-3</v>
      </c>
      <c r="L1143" s="50">
        <f t="shared" si="149"/>
        <v>-1.1302345571570945E-2</v>
      </c>
      <c r="P1143" s="50">
        <f t="shared" si="144"/>
        <v>-1.1302345571570945E-2</v>
      </c>
      <c r="Q1143" s="51">
        <f t="shared" si="150"/>
        <v>124.9093228848356</v>
      </c>
      <c r="R1143" s="51">
        <f t="shared" si="151"/>
        <v>57.103247317373054</v>
      </c>
    </row>
    <row r="1144" spans="1:18" x14ac:dyDescent="0.15">
      <c r="A1144" s="59">
        <v>42570.75</v>
      </c>
      <c r="B1144">
        <v>15.586681</v>
      </c>
      <c r="C1144">
        <v>143.564697</v>
      </c>
      <c r="D1144">
        <v>60.015872999999999</v>
      </c>
      <c r="E1144">
        <v>37.285998999999997</v>
      </c>
      <c r="F1144">
        <v>951.13000499999998</v>
      </c>
      <c r="H1144" s="50">
        <f t="shared" si="145"/>
        <v>3.6726529374849133E-3</v>
      </c>
      <c r="I1144" s="50">
        <f t="shared" si="146"/>
        <v>5.926511246529406E-3</v>
      </c>
      <c r="J1144" s="50">
        <f t="shared" si="147"/>
        <v>1.883309561313411E-3</v>
      </c>
      <c r="K1144" s="50">
        <f t="shared" si="148"/>
        <v>1.732842577542492E-3</v>
      </c>
      <c r="L1144" s="50">
        <f t="shared" si="149"/>
        <v>-3.6141674229076336E-3</v>
      </c>
      <c r="P1144" s="50">
        <f t="shared" si="144"/>
        <v>-3.6141674229076336E-3</v>
      </c>
      <c r="Q1144" s="51">
        <f t="shared" si="150"/>
        <v>124.45787967924778</v>
      </c>
      <c r="R1144" s="51">
        <f t="shared" si="151"/>
        <v>57.312967726373131</v>
      </c>
    </row>
    <row r="1145" spans="1:18" x14ac:dyDescent="0.15">
      <c r="A1145" s="59">
        <v>42571.75</v>
      </c>
      <c r="B1145">
        <v>15.529646</v>
      </c>
      <c r="C1145">
        <v>142.718872</v>
      </c>
      <c r="D1145">
        <v>59.903056999999997</v>
      </c>
      <c r="E1145">
        <v>37.221499999999999</v>
      </c>
      <c r="F1145">
        <v>954.580017</v>
      </c>
      <c r="H1145" s="50">
        <f t="shared" si="145"/>
        <v>-4.0769877407158917E-4</v>
      </c>
      <c r="I1145" s="50">
        <f t="shared" si="146"/>
        <v>-2.5077985258386095E-3</v>
      </c>
      <c r="J1145" s="50">
        <f t="shared" si="147"/>
        <v>-7.7416222136065397E-3</v>
      </c>
      <c r="K1145" s="50">
        <f t="shared" si="148"/>
        <v>-5.7728969202274741E-4</v>
      </c>
      <c r="L1145" s="50">
        <f t="shared" si="149"/>
        <v>5.3456244956662355E-4</v>
      </c>
      <c r="P1145" s="50">
        <f t="shared" si="144"/>
        <v>5.3456244956662355E-4</v>
      </c>
      <c r="Q1145" s="51">
        <f t="shared" si="150"/>
        <v>124.524410188277</v>
      </c>
      <c r="R1145" s="51">
        <f t="shared" si="151"/>
        <v>57.289601299692684</v>
      </c>
    </row>
    <row r="1146" spans="1:18" x14ac:dyDescent="0.15">
      <c r="A1146" s="59">
        <v>42572.75</v>
      </c>
      <c r="B1146">
        <v>15.53598</v>
      </c>
      <c r="C1146">
        <v>143.07768200000001</v>
      </c>
      <c r="D1146">
        <v>60.370421999999998</v>
      </c>
      <c r="E1146">
        <v>37.243000000000002</v>
      </c>
      <c r="F1146">
        <v>954.07000700000003</v>
      </c>
      <c r="H1146" s="50">
        <f t="shared" si="145"/>
        <v>-2.7119260747708773E-3</v>
      </c>
      <c r="I1146" s="50">
        <f t="shared" si="146"/>
        <v>-2.9770133699547115E-3</v>
      </c>
      <c r="J1146" s="50">
        <f t="shared" si="147"/>
        <v>-1.8086406425980268E-2</v>
      </c>
      <c r="K1146" s="50">
        <f t="shared" si="148"/>
        <v>7.0983628425349346E-3</v>
      </c>
      <c r="L1146" s="50">
        <f t="shared" si="149"/>
        <v>-2.2759601655974376E-2</v>
      </c>
      <c r="P1146" s="50">
        <f t="shared" si="144"/>
        <v>-2.2759601655974376E-2</v>
      </c>
      <c r="Q1146" s="51">
        <f t="shared" si="150"/>
        <v>121.69028421594666</v>
      </c>
      <c r="R1146" s="51">
        <f t="shared" si="151"/>
        <v>57.134236136114822</v>
      </c>
    </row>
    <row r="1147" spans="1:18" x14ac:dyDescent="0.15">
      <c r="A1147" s="59">
        <v>42573.75</v>
      </c>
      <c r="B1147">
        <v>15.578227</v>
      </c>
      <c r="C1147">
        <v>143.504898</v>
      </c>
      <c r="D1147">
        <v>61.482418000000003</v>
      </c>
      <c r="E1147">
        <v>36.980499000000002</v>
      </c>
      <c r="F1147">
        <v>976.28997800000002</v>
      </c>
      <c r="H1147" s="50">
        <f t="shared" si="145"/>
        <v>2.7128544095473487E-4</v>
      </c>
      <c r="I1147" s="50">
        <f t="shared" si="146"/>
        <v>2.3869336177137703E-3</v>
      </c>
      <c r="J1147" s="50">
        <f t="shared" si="147"/>
        <v>1.049481274704063E-3</v>
      </c>
      <c r="K1147" s="50">
        <f t="shared" si="148"/>
        <v>5.4650010322326711E-3</v>
      </c>
      <c r="L1147" s="50">
        <f t="shared" si="149"/>
        <v>-3.0329350424510306E-3</v>
      </c>
      <c r="P1147" s="50">
        <f t="shared" si="144"/>
        <v>-3.0329350424510306E-3</v>
      </c>
      <c r="Q1147" s="51">
        <f t="shared" si="150"/>
        <v>121.32120548862228</v>
      </c>
      <c r="R1147" s="51">
        <f t="shared" si="151"/>
        <v>57.149735822558625</v>
      </c>
    </row>
    <row r="1148" spans="1:18" x14ac:dyDescent="0.15">
      <c r="A1148" s="59">
        <v>42574.75</v>
      </c>
      <c r="B1148">
        <v>15.574002</v>
      </c>
      <c r="C1148">
        <v>143.16317699999999</v>
      </c>
      <c r="D1148">
        <v>61.417960999999998</v>
      </c>
      <c r="E1148">
        <v>36.779499000000001</v>
      </c>
      <c r="F1148">
        <v>979.26000999999997</v>
      </c>
      <c r="H1148" s="50">
        <f t="shared" si="145"/>
        <v>5.5917713754407425E-3</v>
      </c>
      <c r="I1148" s="50">
        <f t="shared" si="146"/>
        <v>8.5468574765481375E-3</v>
      </c>
      <c r="J1148" s="50">
        <f t="shared" si="147"/>
        <v>1.2890473417503949E-2</v>
      </c>
      <c r="K1148" s="50">
        <f t="shared" si="148"/>
        <v>-1.4660838638739062E-3</v>
      </c>
      <c r="L1148" s="50">
        <f t="shared" si="149"/>
        <v>-2.9729611892023158E-3</v>
      </c>
      <c r="P1148" s="50">
        <f t="shared" si="144"/>
        <v>-2.9729611892023158E-3</v>
      </c>
      <c r="Q1148" s="51">
        <f t="shared" si="150"/>
        <v>120.96052225327738</v>
      </c>
      <c r="R1148" s="51">
        <f t="shared" si="151"/>
        <v>57.469304079445209</v>
      </c>
    </row>
    <row r="1149" spans="1:18" x14ac:dyDescent="0.15">
      <c r="A1149" s="59">
        <v>42577.75</v>
      </c>
      <c r="B1149">
        <v>15.487399999999999</v>
      </c>
      <c r="C1149">
        <v>141.949951</v>
      </c>
      <c r="D1149">
        <v>60.636330000000001</v>
      </c>
      <c r="E1149">
        <v>36.833500000000001</v>
      </c>
      <c r="F1149">
        <v>982.17999299999997</v>
      </c>
      <c r="H1149" s="50">
        <f t="shared" si="145"/>
        <v>1.0923369579303648E-3</v>
      </c>
      <c r="I1149" s="50">
        <f t="shared" si="146"/>
        <v>-1.2024906971777292E-3</v>
      </c>
      <c r="J1149" s="50">
        <f t="shared" si="147"/>
        <v>6.1503000098994945E-3</v>
      </c>
      <c r="K1149" s="50">
        <f t="shared" si="148"/>
        <v>-2.1179654238459425E-2</v>
      </c>
      <c r="L1149" s="50">
        <f t="shared" si="149"/>
        <v>2.6132561738901119E-3</v>
      </c>
      <c r="P1149" s="50">
        <f t="shared" si="144"/>
        <v>2.6132561738901119E-3</v>
      </c>
      <c r="Q1149" s="51">
        <f t="shared" si="150"/>
        <v>121.27662308485272</v>
      </c>
      <c r="R1149" s="51">
        <f t="shared" si="151"/>
        <v>57.532079924237721</v>
      </c>
    </row>
    <row r="1150" spans="1:18" x14ac:dyDescent="0.15">
      <c r="A1150" s="59">
        <v>42578.75</v>
      </c>
      <c r="B1150">
        <v>15.470501000000001</v>
      </c>
      <c r="C1150">
        <v>142.12084999999999</v>
      </c>
      <c r="D1150">
        <v>60.265678000000001</v>
      </c>
      <c r="E1150">
        <v>37.630501000000002</v>
      </c>
      <c r="F1150">
        <v>979.61999500000002</v>
      </c>
      <c r="H1150" s="50">
        <f t="shared" si="145"/>
        <v>3.7002055604877862E-3</v>
      </c>
      <c r="I1150" s="50">
        <f t="shared" si="146"/>
        <v>-5.2025314546295933E-3</v>
      </c>
      <c r="J1150" s="50">
        <f t="shared" si="147"/>
        <v>-7.1687164054195411E-3</v>
      </c>
      <c r="K1150" s="50">
        <f t="shared" si="148"/>
        <v>-8.1706096741269892E-3</v>
      </c>
      <c r="L1150" s="50">
        <f t="shared" si="149"/>
        <v>4.5838803158353677E-3</v>
      </c>
      <c r="P1150" s="50">
        <f t="shared" si="144"/>
        <v>4.5838803158353677E-3</v>
      </c>
      <c r="Q1150" s="51">
        <f t="shared" si="150"/>
        <v>121.83254061018235</v>
      </c>
      <c r="R1150" s="51">
        <f t="shared" si="151"/>
        <v>57.744960446279812</v>
      </c>
    </row>
    <row r="1151" spans="1:18" x14ac:dyDescent="0.15">
      <c r="A1151" s="59">
        <v>42579.75</v>
      </c>
      <c r="B1151">
        <v>15.413468</v>
      </c>
      <c r="C1151">
        <v>142.864105</v>
      </c>
      <c r="D1151">
        <v>60.700825000000002</v>
      </c>
      <c r="E1151">
        <v>37.940497999999998</v>
      </c>
      <c r="F1151">
        <v>975.15002400000003</v>
      </c>
      <c r="H1151" s="50">
        <f t="shared" si="145"/>
        <v>-1.0978745832335277E-2</v>
      </c>
      <c r="I1151" s="50">
        <f t="shared" si="146"/>
        <v>-2.0294697692389376E-3</v>
      </c>
      <c r="J1151" s="50">
        <f t="shared" si="147"/>
        <v>-2.3835149847190717E-3</v>
      </c>
      <c r="K1151" s="50">
        <f t="shared" si="148"/>
        <v>-1.1631619776705137E-2</v>
      </c>
      <c r="L1151" s="50">
        <f t="shared" si="149"/>
        <v>-1.1755739549024544E-2</v>
      </c>
      <c r="P1151" s="50">
        <f t="shared" si="144"/>
        <v>-1.1755739549024544E-2</v>
      </c>
      <c r="Q1151" s="51">
        <f t="shared" si="150"/>
        <v>120.40030899417309</v>
      </c>
      <c r="R1151" s="51">
        <f t="shared" si="151"/>
        <v>57.110993202441854</v>
      </c>
    </row>
    <row r="1152" spans="1:18" x14ac:dyDescent="0.15">
      <c r="A1152" s="59">
        <v>42580.75</v>
      </c>
      <c r="B1152">
        <v>15.584567</v>
      </c>
      <c r="C1152">
        <v>143.15463299999999</v>
      </c>
      <c r="D1152">
        <v>60.845852000000001</v>
      </c>
      <c r="E1152">
        <v>38.387000999999998</v>
      </c>
      <c r="F1152">
        <v>986.75</v>
      </c>
      <c r="H1152" s="50">
        <f t="shared" si="145"/>
        <v>8.8885649192352277E-3</v>
      </c>
      <c r="I1152" s="50">
        <f t="shared" si="146"/>
        <v>6.3665828551768859E-3</v>
      </c>
      <c r="J1152" s="50">
        <f t="shared" si="147"/>
        <v>2.1924607188481045E-2</v>
      </c>
      <c r="K1152" s="50">
        <f t="shared" si="148"/>
        <v>9.413921202606439E-3</v>
      </c>
      <c r="L1152" s="50">
        <f t="shared" si="149"/>
        <v>-7.3923523998932624E-4</v>
      </c>
      <c r="P1152" s="50">
        <f t="shared" si="144"/>
        <v>-7.3923523998932624E-4</v>
      </c>
      <c r="Q1152" s="51">
        <f t="shared" si="150"/>
        <v>120.31130484285899</v>
      </c>
      <c r="R1152" s="51">
        <f t="shared" si="151"/>
        <v>57.618627973123758</v>
      </c>
    </row>
    <row r="1153" spans="1:18" x14ac:dyDescent="0.15">
      <c r="A1153" s="59">
        <v>42581.75</v>
      </c>
      <c r="B1153">
        <v>15.447263</v>
      </c>
      <c r="C1153">
        <v>142.24899300000001</v>
      </c>
      <c r="D1153">
        <v>59.540450999999997</v>
      </c>
      <c r="E1153">
        <v>38.028998999999999</v>
      </c>
      <c r="F1153">
        <v>987.47997999999995</v>
      </c>
      <c r="H1153" s="50">
        <f t="shared" si="145"/>
        <v>2.6043123648272471E-3</v>
      </c>
      <c r="I1153" s="50">
        <f t="shared" si="146"/>
        <v>2.2876770461237122E-3</v>
      </c>
      <c r="J1153" s="50">
        <f t="shared" si="147"/>
        <v>-2.8341135670224269E-3</v>
      </c>
      <c r="K1153" s="50">
        <f t="shared" si="148"/>
        <v>7.8713297928193898E-3</v>
      </c>
      <c r="L1153" s="50">
        <f t="shared" si="149"/>
        <v>-1.5110284875226757E-2</v>
      </c>
      <c r="P1153" s="50">
        <f t="shared" ref="P1153:P1216" si="152">(F1153-F1154)/F1154</f>
        <v>-1.5110284875226757E-2</v>
      </c>
      <c r="Q1153" s="51">
        <f t="shared" si="150"/>
        <v>118.49336675297313</v>
      </c>
      <c r="R1153" s="51">
        <f t="shared" si="151"/>
        <v>57.768684878398538</v>
      </c>
    </row>
    <row r="1154" spans="1:18" x14ac:dyDescent="0.15">
      <c r="A1154" s="59">
        <v>42584.75</v>
      </c>
      <c r="B1154">
        <v>15.407138</v>
      </c>
      <c r="C1154">
        <v>141.924316</v>
      </c>
      <c r="D1154">
        <v>59.709674999999997</v>
      </c>
      <c r="E1154">
        <v>37.731997999999997</v>
      </c>
      <c r="F1154">
        <v>1002.630005</v>
      </c>
      <c r="H1154" s="50">
        <f t="shared" ref="H1154:H1217" si="153">(B1154-B1155)/B1155</f>
        <v>-4.9110079224056156E-3</v>
      </c>
      <c r="I1154" s="50">
        <f t="shared" ref="I1154:I1217" si="154">(C1154-C1155)/C1155</f>
        <v>-2.5821387669794495E-3</v>
      </c>
      <c r="J1154" s="50">
        <f t="shared" ref="J1154:J1217" si="155">(D1154-D1155)/D1155</f>
        <v>-5.3923637166485309E-4</v>
      </c>
      <c r="K1154" s="50">
        <f t="shared" ref="K1154:K1217" si="156">(E1154-E1155)/E1155</f>
        <v>-8.0577305594211855E-3</v>
      </c>
      <c r="L1154" s="50">
        <f t="shared" ref="L1154:L1217" si="157">(F1154-F1155)/F1155</f>
        <v>-3.0030516859014637E-3</v>
      </c>
      <c r="P1154" s="50">
        <f t="shared" si="152"/>
        <v>-3.0030516859014637E-3</v>
      </c>
      <c r="Q1154" s="51">
        <f t="shared" si="150"/>
        <v>118.13752504817748</v>
      </c>
      <c r="R1154" s="51">
        <f t="shared" si="151"/>
        <v>57.484982409293771</v>
      </c>
    </row>
    <row r="1155" spans="1:18" x14ac:dyDescent="0.15">
      <c r="A1155" s="59">
        <v>42585.75</v>
      </c>
      <c r="B1155">
        <v>15.483176</v>
      </c>
      <c r="C1155">
        <v>142.29173299999999</v>
      </c>
      <c r="D1155">
        <v>59.741889999999998</v>
      </c>
      <c r="E1155">
        <v>38.038502000000001</v>
      </c>
      <c r="F1155">
        <v>1005.650024</v>
      </c>
      <c r="H1155" s="50">
        <f t="shared" si="153"/>
        <v>-6.2363846850335553E-3</v>
      </c>
      <c r="I1155" s="50">
        <f t="shared" si="154"/>
        <v>-6.8575688054921709E-3</v>
      </c>
      <c r="J1155" s="50">
        <f t="shared" si="155"/>
        <v>-1.0675441381037581E-2</v>
      </c>
      <c r="K1155" s="50">
        <f t="shared" si="156"/>
        <v>-6.8016919501814235E-3</v>
      </c>
      <c r="L1155" s="50">
        <f t="shared" si="157"/>
        <v>2.9221049592519223E-3</v>
      </c>
      <c r="P1155" s="50">
        <f t="shared" si="152"/>
        <v>2.9221049592519223E-3</v>
      </c>
      <c r="Q1155" s="51">
        <f t="shared" ref="Q1155:Q1218" si="158">Q1154*(1+P1155)</f>
        <v>118.4827352959945</v>
      </c>
      <c r="R1155" s="51">
        <f t="shared" ref="R1155:R1218" si="159">R1154*(1+H1155)</f>
        <v>57.126483945377032</v>
      </c>
    </row>
    <row r="1156" spans="1:18" x14ac:dyDescent="0.15">
      <c r="A1156" s="59">
        <v>42586.75</v>
      </c>
      <c r="B1156">
        <v>15.580341000000001</v>
      </c>
      <c r="C1156">
        <v>143.27424600000001</v>
      </c>
      <c r="D1156">
        <v>60.386543000000003</v>
      </c>
      <c r="E1156">
        <v>38.298999999999999</v>
      </c>
      <c r="F1156">
        <v>1002.719971</v>
      </c>
      <c r="H1156" s="50">
        <f t="shared" si="153"/>
        <v>5.7267720931001697E-3</v>
      </c>
      <c r="I1156" s="50">
        <f t="shared" si="154"/>
        <v>1.7923069413529179E-3</v>
      </c>
      <c r="J1156" s="50">
        <f t="shared" si="155"/>
        <v>-8.0000144287506317E-4</v>
      </c>
      <c r="K1156" s="50">
        <f t="shared" si="156"/>
        <v>-7.5660093812877861E-4</v>
      </c>
      <c r="L1156" s="50">
        <f t="shared" si="157"/>
        <v>5.6564707985718148E-3</v>
      </c>
      <c r="P1156" s="50">
        <f t="shared" si="152"/>
        <v>5.6564707985718148E-3</v>
      </c>
      <c r="Q1156" s="51">
        <f t="shared" si="158"/>
        <v>119.15292942833121</v>
      </c>
      <c r="R1156" s="51">
        <f t="shared" si="159"/>
        <v>57.453634299412357</v>
      </c>
    </row>
    <row r="1157" spans="1:18" x14ac:dyDescent="0.15">
      <c r="A1157" s="59">
        <v>42587.75</v>
      </c>
      <c r="B1157">
        <v>15.491624</v>
      </c>
      <c r="C1157">
        <v>143.01791399999999</v>
      </c>
      <c r="D1157">
        <v>60.434891</v>
      </c>
      <c r="E1157">
        <v>38.327998999999998</v>
      </c>
      <c r="F1157">
        <v>997.080017</v>
      </c>
      <c r="H1157" s="50">
        <f t="shared" si="153"/>
        <v>-2.7194772094110862E-3</v>
      </c>
      <c r="I1157" s="50">
        <f t="shared" si="154"/>
        <v>-2.7404119765805034E-3</v>
      </c>
      <c r="J1157" s="50">
        <f t="shared" si="155"/>
        <v>3.2915761264989164E-2</v>
      </c>
      <c r="K1157" s="50">
        <f t="shared" si="156"/>
        <v>-2.2777784415723393E-3</v>
      </c>
      <c r="L1157" s="50">
        <f t="shared" si="157"/>
        <v>-1.3260988109828715E-2</v>
      </c>
      <c r="P1157" s="50">
        <f t="shared" si="152"/>
        <v>-1.3260988109828715E-2</v>
      </c>
      <c r="Q1157" s="51">
        <f t="shared" si="158"/>
        <v>117.57284384793086</v>
      </c>
      <c r="R1157" s="51">
        <f t="shared" si="159"/>
        <v>57.297390450337261</v>
      </c>
    </row>
    <row r="1158" spans="1:18" x14ac:dyDescent="0.15">
      <c r="A1158" s="59">
        <v>42588.75</v>
      </c>
      <c r="B1158">
        <v>15.533868</v>
      </c>
      <c r="C1158">
        <v>143.41091900000001</v>
      </c>
      <c r="D1158">
        <v>58.509022000000002</v>
      </c>
      <c r="E1158">
        <v>38.415500999999999</v>
      </c>
      <c r="F1158">
        <v>1010.47998</v>
      </c>
      <c r="H1158" s="50">
        <f t="shared" si="153"/>
        <v>-2.5828250568585207E-2</v>
      </c>
      <c r="I1158" s="50">
        <f t="shared" si="154"/>
        <v>-5.2290516703511836E-3</v>
      </c>
      <c r="J1158" s="50">
        <f t="shared" si="155"/>
        <v>-6.0233680320389586E-3</v>
      </c>
      <c r="K1158" s="50">
        <f t="shared" si="156"/>
        <v>-3.2528363887579899E-4</v>
      </c>
      <c r="L1158" s="50">
        <f t="shared" si="157"/>
        <v>3.3561752363699643E-3</v>
      </c>
      <c r="P1158" s="50">
        <f t="shared" si="152"/>
        <v>3.3561752363699643E-3</v>
      </c>
      <c r="Q1158" s="51">
        <f t="shared" si="158"/>
        <v>117.96743891492288</v>
      </c>
      <c r="R1158" s="51">
        <f t="shared" si="159"/>
        <v>55.81749909285989</v>
      </c>
    </row>
    <row r="1159" spans="1:18" x14ac:dyDescent="0.15">
      <c r="A1159" s="59">
        <v>42591.75</v>
      </c>
      <c r="B1159">
        <v>15.945717999999999</v>
      </c>
      <c r="C1159">
        <v>144.16476399999999</v>
      </c>
      <c r="D1159">
        <v>58.863579000000001</v>
      </c>
      <c r="E1159">
        <v>38.428001000000002</v>
      </c>
      <c r="F1159">
        <v>1007.099976</v>
      </c>
      <c r="H1159" s="50">
        <f t="shared" si="153"/>
        <v>2.0323153281669153E-3</v>
      </c>
      <c r="I1159" s="50">
        <f t="shared" si="154"/>
        <v>2.4419181601225866E-3</v>
      </c>
      <c r="J1159" s="50">
        <f t="shared" si="155"/>
        <v>-1.2971475956073723E-2</v>
      </c>
      <c r="K1159" s="50">
        <f t="shared" si="156"/>
        <v>-3.4748975675534402E-3</v>
      </c>
      <c r="L1159" s="50">
        <f t="shared" si="157"/>
        <v>1.2822447134046093E-2</v>
      </c>
      <c r="P1159" s="50">
        <f t="shared" si="152"/>
        <v>1.2822447134046093E-2</v>
      </c>
      <c r="Q1159" s="51">
        <f t="shared" si="158"/>
        <v>119.4800701639483</v>
      </c>
      <c r="R1159" s="51">
        <f t="shared" si="159"/>
        <v>55.930937851846252</v>
      </c>
    </row>
    <row r="1160" spans="1:18" x14ac:dyDescent="0.15">
      <c r="A1160" s="59">
        <v>42592.75</v>
      </c>
      <c r="B1160">
        <v>15.913377000000001</v>
      </c>
      <c r="C1160">
        <v>143.81358299999999</v>
      </c>
      <c r="D1160">
        <v>59.637160999999999</v>
      </c>
      <c r="E1160">
        <v>38.561999999999998</v>
      </c>
      <c r="F1160">
        <v>994.34997599999997</v>
      </c>
      <c r="H1160" s="50">
        <f t="shared" si="153"/>
        <v>-1.2179291726955787E-3</v>
      </c>
      <c r="I1160" s="50">
        <f t="shared" si="154"/>
        <v>-6.8620044447913293E-3</v>
      </c>
      <c r="J1160" s="50">
        <f t="shared" si="155"/>
        <v>-2.3743303508068116E-2</v>
      </c>
      <c r="K1160" s="50">
        <f t="shared" si="156"/>
        <v>-1.7085534694291028E-3</v>
      </c>
      <c r="L1160" s="50">
        <f t="shared" si="157"/>
        <v>-1.1393823905894383E-2</v>
      </c>
      <c r="P1160" s="50">
        <f t="shared" si="152"/>
        <v>-1.1393823905894383E-2</v>
      </c>
      <c r="Q1160" s="51">
        <f t="shared" si="158"/>
        <v>118.11873528423637</v>
      </c>
      <c r="R1160" s="51">
        <f t="shared" si="159"/>
        <v>55.862817930980263</v>
      </c>
    </row>
    <row r="1161" spans="1:18" x14ac:dyDescent="0.15">
      <c r="A1161" s="59">
        <v>42593.75</v>
      </c>
      <c r="B1161">
        <v>15.932782</v>
      </c>
      <c r="C1161">
        <v>144.80725100000001</v>
      </c>
      <c r="D1161">
        <v>61.087581999999998</v>
      </c>
      <c r="E1161">
        <v>38.627997999999998</v>
      </c>
      <c r="F1161">
        <v>1005.809998</v>
      </c>
      <c r="H1161" s="50">
        <f t="shared" si="153"/>
        <v>7.7740652598454864E-3</v>
      </c>
      <c r="I1161" s="50">
        <f t="shared" si="154"/>
        <v>1.8374979735946773E-3</v>
      </c>
      <c r="J1161" s="50">
        <f t="shared" si="155"/>
        <v>-4.2365064671523239E-3</v>
      </c>
      <c r="K1161" s="50">
        <f t="shared" si="156"/>
        <v>5.2960480943147255E-3</v>
      </c>
      <c r="L1161" s="50">
        <f t="shared" si="157"/>
        <v>-6.8329980712134196E-3</v>
      </c>
      <c r="P1161" s="50">
        <f t="shared" si="152"/>
        <v>-6.8329980712134196E-3</v>
      </c>
      <c r="Q1161" s="51">
        <f t="shared" si="158"/>
        <v>117.31163019386501</v>
      </c>
      <c r="R1161" s="51">
        <f t="shared" si="159"/>
        <v>56.297099123174569</v>
      </c>
    </row>
    <row r="1162" spans="1:18" x14ac:dyDescent="0.15">
      <c r="A1162" s="59">
        <v>42594.75</v>
      </c>
      <c r="B1162">
        <v>15.809875</v>
      </c>
      <c r="C1162">
        <v>144.54165599999999</v>
      </c>
      <c r="D1162">
        <v>61.347481000000002</v>
      </c>
      <c r="E1162">
        <v>38.424500000000002</v>
      </c>
      <c r="F1162">
        <v>1012.72998</v>
      </c>
      <c r="H1162" s="50">
        <f t="shared" si="153"/>
        <v>5.8996704809505052E-3</v>
      </c>
      <c r="I1162" s="50">
        <f t="shared" si="154"/>
        <v>1.9001087507340218E-3</v>
      </c>
      <c r="J1162" s="50">
        <f t="shared" si="155"/>
        <v>6.6206259485482007E-4</v>
      </c>
      <c r="K1162" s="50">
        <f t="shared" si="156"/>
        <v>5.8243023925449895E-3</v>
      </c>
      <c r="L1162" s="50">
        <f t="shared" si="157"/>
        <v>8.6047593021257966E-3</v>
      </c>
      <c r="P1162" s="50">
        <f t="shared" si="152"/>
        <v>8.6047593021257966E-3</v>
      </c>
      <c r="Q1162" s="51">
        <f t="shared" si="158"/>
        <v>118.32106853502323</v>
      </c>
      <c r="R1162" s="51">
        <f t="shared" si="159"/>
        <v>56.629233457034701</v>
      </c>
    </row>
    <row r="1163" spans="1:18" x14ac:dyDescent="0.15">
      <c r="A1163" s="59">
        <v>42595.75</v>
      </c>
      <c r="B1163">
        <v>15.717148999999999</v>
      </c>
      <c r="C1163">
        <v>144.26753199999999</v>
      </c>
      <c r="D1163">
        <v>61.306891999999998</v>
      </c>
      <c r="E1163">
        <v>38.201999999999998</v>
      </c>
      <c r="F1163">
        <v>1004.090027</v>
      </c>
      <c r="H1163" s="50">
        <f t="shared" si="153"/>
        <v>-5.4871689019143509E-4</v>
      </c>
      <c r="I1163" s="50">
        <f t="shared" si="154"/>
        <v>2.6789437572766988E-3</v>
      </c>
      <c r="J1163" s="50">
        <f t="shared" si="155"/>
        <v>6.8667838617711294E-2</v>
      </c>
      <c r="K1163" s="50">
        <f t="shared" si="156"/>
        <v>-7.7158889323176354E-4</v>
      </c>
      <c r="L1163" s="50">
        <f t="shared" si="157"/>
        <v>2.4864041620937239E-2</v>
      </c>
      <c r="P1163" s="50">
        <f t="shared" si="152"/>
        <v>2.4864041620937239E-2</v>
      </c>
      <c r="Q1163" s="51">
        <f t="shared" si="158"/>
        <v>121.2630085077118</v>
      </c>
      <c r="R1163" s="51">
        <f t="shared" si="159"/>
        <v>56.598160040158234</v>
      </c>
    </row>
    <row r="1164" spans="1:18" x14ac:dyDescent="0.15">
      <c r="A1164" s="59">
        <v>42598.75</v>
      </c>
      <c r="B1164">
        <v>15.725778</v>
      </c>
      <c r="C1164">
        <v>143.88208</v>
      </c>
      <c r="D1164">
        <v>57.367584000000001</v>
      </c>
      <c r="E1164">
        <v>38.231498999999999</v>
      </c>
      <c r="F1164">
        <v>979.72997999999995</v>
      </c>
      <c r="H1164" s="50">
        <f t="shared" si="153"/>
        <v>-1.8438891340849858E-2</v>
      </c>
      <c r="I1164" s="50">
        <f t="shared" si="154"/>
        <v>1.2521176788534015E-3</v>
      </c>
      <c r="J1164" s="50">
        <f t="shared" si="155"/>
        <v>4.6940470080012713E-3</v>
      </c>
      <c r="K1164" s="50">
        <f t="shared" si="156"/>
        <v>2.2235303351386543E-4</v>
      </c>
      <c r="L1164" s="50">
        <f t="shared" si="157"/>
        <v>-1.0043755161562829E-2</v>
      </c>
      <c r="P1164" s="50">
        <f t="shared" si="152"/>
        <v>-1.0043755161562829E-2</v>
      </c>
      <c r="Q1164" s="51">
        <f t="shared" si="158"/>
        <v>120.04507254010583</v>
      </c>
      <c r="R1164" s="51">
        <f t="shared" si="159"/>
        <v>55.554552717085727</v>
      </c>
    </row>
    <row r="1165" spans="1:18" x14ac:dyDescent="0.15">
      <c r="A1165" s="59">
        <v>42599.75</v>
      </c>
      <c r="B1165">
        <v>16.021191000000002</v>
      </c>
      <c r="C1165">
        <v>143.70214799999999</v>
      </c>
      <c r="D1165">
        <v>57.099556</v>
      </c>
      <c r="E1165">
        <v>38.222999999999999</v>
      </c>
      <c r="F1165">
        <v>989.669983</v>
      </c>
      <c r="H1165" s="50">
        <f t="shared" si="153"/>
        <v>2.0464330257327124E-2</v>
      </c>
      <c r="I1165" s="50">
        <f t="shared" si="154"/>
        <v>-1.6071591742051548E-3</v>
      </c>
      <c r="J1165" s="50">
        <f t="shared" si="155"/>
        <v>2.5672593541569608E-3</v>
      </c>
      <c r="K1165" s="50">
        <f t="shared" si="156"/>
        <v>9.441285353652051E-3</v>
      </c>
      <c r="L1165" s="50">
        <f t="shared" si="157"/>
        <v>-6.8141609799574872E-3</v>
      </c>
      <c r="P1165" s="50">
        <f t="shared" si="152"/>
        <v>-6.8141609799574872E-3</v>
      </c>
      <c r="Q1165" s="51">
        <f t="shared" si="158"/>
        <v>119.22706609096689</v>
      </c>
      <c r="R1165" s="51">
        <f t="shared" si="159"/>
        <v>56.691439431186254</v>
      </c>
    </row>
    <row r="1166" spans="1:18" x14ac:dyDescent="0.15">
      <c r="A1166" s="59">
        <v>42600.75</v>
      </c>
      <c r="B1166">
        <v>15.699903000000001</v>
      </c>
      <c r="C1166">
        <v>143.93347199999999</v>
      </c>
      <c r="D1166">
        <v>56.953341999999999</v>
      </c>
      <c r="E1166">
        <v>37.865501000000002</v>
      </c>
      <c r="F1166">
        <v>996.46002199999998</v>
      </c>
      <c r="H1166" s="50">
        <f t="shared" si="153"/>
        <v>1.5128678931936887E-3</v>
      </c>
      <c r="I1166" s="50">
        <f t="shared" si="154"/>
        <v>4.7664858124973517E-4</v>
      </c>
      <c r="J1166" s="50">
        <f t="shared" si="155"/>
        <v>-3.836012029316771E-3</v>
      </c>
      <c r="K1166" s="50">
        <f t="shared" si="156"/>
        <v>-2.8571655042176972E-3</v>
      </c>
      <c r="L1166" s="50">
        <f t="shared" si="157"/>
        <v>-1.083015481317769E-2</v>
      </c>
      <c r="P1166" s="50">
        <f t="shared" si="152"/>
        <v>-1.083015481317769E-2</v>
      </c>
      <c r="Q1166" s="51">
        <f t="shared" si="158"/>
        <v>117.93581850728074</v>
      </c>
      <c r="R1166" s="51">
        <f t="shared" si="159"/>
        <v>56.777206089720629</v>
      </c>
    </row>
    <row r="1167" spans="1:18" x14ac:dyDescent="0.15">
      <c r="A1167" s="59">
        <v>42601.75</v>
      </c>
      <c r="B1167">
        <v>15.676187000000001</v>
      </c>
      <c r="C1167">
        <v>143.86489900000001</v>
      </c>
      <c r="D1167">
        <v>57.172657000000001</v>
      </c>
      <c r="E1167">
        <v>37.973998999999999</v>
      </c>
      <c r="F1167">
        <v>1007.369995</v>
      </c>
      <c r="H1167" s="50">
        <f t="shared" si="153"/>
        <v>1.0143131115091745E-2</v>
      </c>
      <c r="I1167" s="50">
        <f t="shared" si="154"/>
        <v>3.4656049777118782E-3</v>
      </c>
      <c r="J1167" s="50">
        <f t="shared" si="155"/>
        <v>-9.289201936102387E-3</v>
      </c>
      <c r="K1167" s="50">
        <f t="shared" si="156"/>
        <v>-3.8953897594494282E-3</v>
      </c>
      <c r="L1167" s="50">
        <f t="shared" si="157"/>
        <v>-1.8282293577410756E-2</v>
      </c>
      <c r="P1167" s="50">
        <f t="shared" si="152"/>
        <v>-1.8282293577410756E-2</v>
      </c>
      <c r="Q1167" s="51">
        <f t="shared" si="158"/>
        <v>115.77968125003841</v>
      </c>
      <c r="R1167" s="51">
        <f t="shared" si="159"/>
        <v>57.353104735437249</v>
      </c>
    </row>
    <row r="1168" spans="1:18" x14ac:dyDescent="0.15">
      <c r="A1168" s="59">
        <v>42602.75</v>
      </c>
      <c r="B1168">
        <v>15.518777999999999</v>
      </c>
      <c r="C1168">
        <v>143.368042</v>
      </c>
      <c r="D1168">
        <v>57.708725000000001</v>
      </c>
      <c r="E1168">
        <v>38.122501</v>
      </c>
      <c r="F1168">
        <v>1026.130005</v>
      </c>
      <c r="H1168" s="50">
        <f t="shared" si="153"/>
        <v>-3.5995873087885763E-3</v>
      </c>
      <c r="I1168" s="50">
        <f t="shared" si="154"/>
        <v>-1.2533511622644714E-3</v>
      </c>
      <c r="J1168" s="50">
        <f t="shared" si="155"/>
        <v>-9.4799378438789866E-3</v>
      </c>
      <c r="K1168" s="50">
        <f t="shared" si="156"/>
        <v>6.86700579378028E-3</v>
      </c>
      <c r="L1168" s="50">
        <f t="shared" si="157"/>
        <v>5.4609537085626542E-4</v>
      </c>
      <c r="P1168" s="50">
        <f t="shared" si="152"/>
        <v>5.4609537085626542E-4</v>
      </c>
      <c r="Q1168" s="51">
        <f t="shared" si="158"/>
        <v>115.84290799800827</v>
      </c>
      <c r="R1168" s="51">
        <f t="shared" si="159"/>
        <v>57.146657227511945</v>
      </c>
    </row>
    <row r="1169" spans="1:18" x14ac:dyDescent="0.15">
      <c r="A1169" s="59">
        <v>42605.75</v>
      </c>
      <c r="B1169">
        <v>15.574840999999999</v>
      </c>
      <c r="C1169">
        <v>143.54795799999999</v>
      </c>
      <c r="D1169">
        <v>58.261035999999997</v>
      </c>
      <c r="E1169">
        <v>37.862499</v>
      </c>
      <c r="F1169">
        <v>1025.5699460000001</v>
      </c>
      <c r="H1169" s="50">
        <f t="shared" si="153"/>
        <v>1.4181429044733523E-2</v>
      </c>
      <c r="I1169" s="50">
        <f t="shared" si="154"/>
        <v>1.6438152352983924E-2</v>
      </c>
      <c r="J1169" s="50">
        <f t="shared" si="155"/>
        <v>1.2992396224112775E-2</v>
      </c>
      <c r="K1169" s="50">
        <f t="shared" si="156"/>
        <v>-2.5947683832030174E-3</v>
      </c>
      <c r="L1169" s="50">
        <f t="shared" si="157"/>
        <v>-2.3638657587547931E-3</v>
      </c>
      <c r="P1169" s="50">
        <f t="shared" si="152"/>
        <v>-2.3638657587547931E-3</v>
      </c>
      <c r="Q1169" s="51">
        <f t="shared" si="158"/>
        <v>115.5690709143972</v>
      </c>
      <c r="R1169" s="51">
        <f t="shared" si="159"/>
        <v>57.957078492127614</v>
      </c>
    </row>
    <row r="1170" spans="1:18" x14ac:dyDescent="0.15">
      <c r="A1170" s="59">
        <v>42606.75</v>
      </c>
      <c r="B1170">
        <v>15.357056</v>
      </c>
      <c r="C1170">
        <v>141.22645600000001</v>
      </c>
      <c r="D1170">
        <v>57.513793999999997</v>
      </c>
      <c r="E1170">
        <v>37.960999000000001</v>
      </c>
      <c r="F1170">
        <v>1028</v>
      </c>
      <c r="H1170" s="50">
        <f t="shared" si="153"/>
        <v>1.1247210932239602E-3</v>
      </c>
      <c r="I1170" s="50">
        <f t="shared" si="154"/>
        <v>5.673349170481152E-3</v>
      </c>
      <c r="J1170" s="50">
        <f t="shared" si="155"/>
        <v>6.5387803294309418E-3</v>
      </c>
      <c r="K1170" s="50">
        <f t="shared" si="156"/>
        <v>-1.2717867029444271E-2</v>
      </c>
      <c r="L1170" s="50">
        <f t="shared" si="157"/>
        <v>-1.1671303017505964E-4</v>
      </c>
      <c r="P1170" s="50">
        <f t="shared" si="152"/>
        <v>-1.1671303017505964E-4</v>
      </c>
      <c r="Q1170" s="51">
        <f t="shared" si="158"/>
        <v>115.55558249793627</v>
      </c>
      <c r="R1170" s="51">
        <f t="shared" si="159"/>
        <v>58.022264040809347</v>
      </c>
    </row>
    <row r="1171" spans="1:18" x14ac:dyDescent="0.15">
      <c r="A1171" s="59">
        <v>42607.75</v>
      </c>
      <c r="B1171">
        <v>15.339803</v>
      </c>
      <c r="C1171">
        <v>140.42974899999999</v>
      </c>
      <c r="D1171">
        <v>57.140166999999998</v>
      </c>
      <c r="E1171">
        <v>38.450001</v>
      </c>
      <c r="F1171">
        <v>1028.119995</v>
      </c>
      <c r="H1171" s="50">
        <f t="shared" si="153"/>
        <v>-3.6413673411660025E-3</v>
      </c>
      <c r="I1171" s="50">
        <f t="shared" si="154"/>
        <v>-3.0523384677100203E-4</v>
      </c>
      <c r="J1171" s="50">
        <f t="shared" si="155"/>
        <v>-9.852201725129137E-3</v>
      </c>
      <c r="K1171" s="50">
        <f t="shared" si="156"/>
        <v>-2.9690000640225497E-3</v>
      </c>
      <c r="L1171" s="50">
        <f t="shared" si="157"/>
        <v>-2.7740451371325867E-3</v>
      </c>
      <c r="P1171" s="50">
        <f t="shared" si="152"/>
        <v>-2.7740451371325867E-3</v>
      </c>
      <c r="Q1171" s="51">
        <f t="shared" si="158"/>
        <v>115.23502609623934</v>
      </c>
      <c r="R1171" s="51">
        <f t="shared" si="159"/>
        <v>57.81098366347063</v>
      </c>
    </row>
    <row r="1172" spans="1:18" x14ac:dyDescent="0.15">
      <c r="A1172" s="59">
        <v>42608.75</v>
      </c>
      <c r="B1172">
        <v>15.395865000000001</v>
      </c>
      <c r="C1172">
        <v>140.47262599999999</v>
      </c>
      <c r="D1172">
        <v>57.708725000000001</v>
      </c>
      <c r="E1172">
        <v>38.564498999999998</v>
      </c>
      <c r="F1172">
        <v>1030.9799800000001</v>
      </c>
      <c r="H1172" s="50">
        <f t="shared" si="153"/>
        <v>1.2619288664667218E-3</v>
      </c>
      <c r="I1172" s="50">
        <f t="shared" si="154"/>
        <v>1.2472217988350682E-2</v>
      </c>
      <c r="J1172" s="50">
        <f t="shared" si="155"/>
        <v>9.3763002828432512E-3</v>
      </c>
      <c r="K1172" s="50">
        <f t="shared" si="156"/>
        <v>4.8332939975874838E-3</v>
      </c>
      <c r="L1172" s="50">
        <f t="shared" si="157"/>
        <v>1.9922889724437397E-3</v>
      </c>
      <c r="P1172" s="50">
        <f t="shared" si="152"/>
        <v>1.9922889724437397E-3</v>
      </c>
      <c r="Q1172" s="51">
        <f t="shared" si="158"/>
        <v>115.46460756797015</v>
      </c>
      <c r="R1172" s="51">
        <f t="shared" si="159"/>
        <v>57.883937012554405</v>
      </c>
    </row>
    <row r="1173" spans="1:18" x14ac:dyDescent="0.15">
      <c r="A1173" s="59">
        <v>42609.75</v>
      </c>
      <c r="B1173">
        <v>15.376461000000001</v>
      </c>
      <c r="C1173">
        <v>138.74220299999999</v>
      </c>
      <c r="D1173">
        <v>57.172657000000001</v>
      </c>
      <c r="E1173">
        <v>38.379002</v>
      </c>
      <c r="F1173">
        <v>1028.9300539999999</v>
      </c>
      <c r="H1173" s="50">
        <f t="shared" si="153"/>
        <v>-1.8196640304658268E-3</v>
      </c>
      <c r="I1173" s="50">
        <f t="shared" si="154"/>
        <v>-8.0209672956435302E-4</v>
      </c>
      <c r="J1173" s="50">
        <f t="shared" si="155"/>
        <v>2.8493314250905692E-3</v>
      </c>
      <c r="K1173" s="50">
        <f t="shared" si="156"/>
        <v>-2.0541369806021783E-3</v>
      </c>
      <c r="L1173" s="50">
        <f t="shared" si="157"/>
        <v>8.1421675459140003E-3</v>
      </c>
      <c r="P1173" s="50">
        <f t="shared" si="152"/>
        <v>8.1421675459140003E-3</v>
      </c>
      <c r="Q1173" s="51">
        <f t="shared" si="158"/>
        <v>116.40473974841176</v>
      </c>
      <c r="R1173" s="51">
        <f t="shared" si="159"/>
        <v>57.77860769443091</v>
      </c>
    </row>
    <row r="1174" spans="1:18" x14ac:dyDescent="0.15">
      <c r="A1174" s="59">
        <v>42612.75</v>
      </c>
      <c r="B1174">
        <v>15.404491999999999</v>
      </c>
      <c r="C1174">
        <v>138.853577</v>
      </c>
      <c r="D1174">
        <v>57.010216</v>
      </c>
      <c r="E1174">
        <v>38.457999999999998</v>
      </c>
      <c r="F1174">
        <v>1020.619995</v>
      </c>
      <c r="H1174" s="50">
        <f t="shared" si="153"/>
        <v>-1.9220287204436051E-2</v>
      </c>
      <c r="I1174" s="50">
        <f t="shared" si="154"/>
        <v>3.7641805307347648E-2</v>
      </c>
      <c r="J1174" s="50">
        <f t="shared" si="155"/>
        <v>-5.5255137559407615E-3</v>
      </c>
      <c r="K1174" s="50">
        <f t="shared" si="156"/>
        <v>-1.8945265835055285E-3</v>
      </c>
      <c r="L1174" s="50">
        <f t="shared" si="157"/>
        <v>2.2624361245777668E-2</v>
      </c>
      <c r="P1174" s="50">
        <f t="shared" si="152"/>
        <v>2.2624361245777668E-2</v>
      </c>
      <c r="Q1174" s="51">
        <f t="shared" si="158"/>
        <v>119.03832263120056</v>
      </c>
      <c r="R1174" s="51">
        <f t="shared" si="159"/>
        <v>56.668086260271508</v>
      </c>
    </row>
    <row r="1175" spans="1:18" x14ac:dyDescent="0.15">
      <c r="A1175" s="59">
        <v>42613.75</v>
      </c>
      <c r="B1175">
        <v>15.706372999999999</v>
      </c>
      <c r="C1175">
        <v>133.81648300000001</v>
      </c>
      <c r="D1175">
        <v>57.326976999999999</v>
      </c>
      <c r="E1175">
        <v>38.530997999999997</v>
      </c>
      <c r="F1175">
        <v>998.03997800000002</v>
      </c>
      <c r="H1175" s="50">
        <f t="shared" si="153"/>
        <v>4.6896129100763928E-3</v>
      </c>
      <c r="I1175" s="50">
        <f t="shared" si="154"/>
        <v>-1.1204093932493629E-2</v>
      </c>
      <c r="J1175" s="50">
        <f t="shared" si="155"/>
        <v>-3.2482120723942814E-3</v>
      </c>
      <c r="K1175" s="50">
        <f t="shared" si="156"/>
        <v>-2.3562735044134996E-3</v>
      </c>
      <c r="L1175" s="50">
        <f t="shared" si="157"/>
        <v>3.307341543101301E-3</v>
      </c>
      <c r="P1175" s="50">
        <f t="shared" si="152"/>
        <v>3.307341543101301E-3</v>
      </c>
      <c r="Q1175" s="51">
        <f t="shared" si="158"/>
        <v>119.43202302085983</v>
      </c>
      <c r="R1175" s="51">
        <f t="shared" si="159"/>
        <v>56.933837649186998</v>
      </c>
    </row>
    <row r="1176" spans="1:18" x14ac:dyDescent="0.15">
      <c r="A1176" s="59">
        <v>42614.75</v>
      </c>
      <c r="B1176">
        <v>15.63306</v>
      </c>
      <c r="C1176">
        <v>135.332764</v>
      </c>
      <c r="D1176">
        <v>57.513793999999997</v>
      </c>
      <c r="E1176">
        <v>38.622002000000002</v>
      </c>
      <c r="F1176">
        <v>994.75</v>
      </c>
      <c r="H1176" s="50">
        <f t="shared" si="153"/>
        <v>-6.8491127333423852E-3</v>
      </c>
      <c r="I1176" s="50">
        <f t="shared" si="154"/>
        <v>-5.0587416985639806E-4</v>
      </c>
      <c r="J1176" s="50">
        <f t="shared" si="155"/>
        <v>1.0128491424757491E-2</v>
      </c>
      <c r="K1176" s="50">
        <f t="shared" si="156"/>
        <v>-2.0827233363488597E-2</v>
      </c>
      <c r="L1176" s="50">
        <f t="shared" si="157"/>
        <v>-8.4625713534406E-3</v>
      </c>
      <c r="P1176" s="50">
        <f t="shared" si="152"/>
        <v>-8.4625713534406E-3</v>
      </c>
      <c r="Q1176" s="51">
        <f t="shared" si="158"/>
        <v>118.42132100416003</v>
      </c>
      <c r="R1176" s="51">
        <f t="shared" si="159"/>
        <v>56.543891376785901</v>
      </c>
    </row>
    <row r="1177" spans="1:18" x14ac:dyDescent="0.15">
      <c r="A1177" s="59">
        <v>42615.75</v>
      </c>
      <c r="B1177">
        <v>15.740871</v>
      </c>
      <c r="C1177">
        <v>135.40126000000001</v>
      </c>
      <c r="D1177">
        <v>56.937106999999997</v>
      </c>
      <c r="E1177">
        <v>39.443500999999998</v>
      </c>
      <c r="F1177">
        <v>1003.23999</v>
      </c>
      <c r="H1177" s="50">
        <f t="shared" si="153"/>
        <v>1.3044641454492033E-2</v>
      </c>
      <c r="I1177" s="50">
        <f t="shared" si="154"/>
        <v>1.55486552558363E-2</v>
      </c>
      <c r="J1177" s="50">
        <f t="shared" si="155"/>
        <v>-2.8450133657782258E-3</v>
      </c>
      <c r="K1177" s="50">
        <f t="shared" si="156"/>
        <v>5.5961147663704186E-3</v>
      </c>
      <c r="L1177" s="50">
        <f t="shared" si="157"/>
        <v>-1.2947691547870325E-2</v>
      </c>
      <c r="P1177" s="50">
        <f t="shared" si="152"/>
        <v>-1.2947691547870325E-2</v>
      </c>
      <c r="Q1177" s="51">
        <f t="shared" si="158"/>
        <v>116.88803826710684</v>
      </c>
      <c r="R1177" s="51">
        <f t="shared" si="159"/>
        <v>57.281486166237819</v>
      </c>
    </row>
    <row r="1178" spans="1:18" x14ac:dyDescent="0.15">
      <c r="A1178" s="59">
        <v>42616.75</v>
      </c>
      <c r="B1178">
        <v>15.538181</v>
      </c>
      <c r="C1178">
        <v>133.32818599999999</v>
      </c>
      <c r="D1178">
        <v>57.099556</v>
      </c>
      <c r="E1178">
        <v>39.223998999999999</v>
      </c>
      <c r="F1178">
        <v>1016.400024</v>
      </c>
      <c r="H1178" s="50">
        <f t="shared" si="153"/>
        <v>3.2019058160756664E-3</v>
      </c>
      <c r="I1178" s="50">
        <f t="shared" si="154"/>
        <v>1.4139200466663978E-2</v>
      </c>
      <c r="J1178" s="50">
        <f t="shared" si="155"/>
        <v>1.2093207596465524E-2</v>
      </c>
      <c r="K1178" s="50">
        <f t="shared" si="156"/>
        <v>5.3567330397352503E-4</v>
      </c>
      <c r="L1178" s="50">
        <f t="shared" si="157"/>
        <v>-8.7673869147242654E-3</v>
      </c>
      <c r="P1178" s="50">
        <f t="shared" si="152"/>
        <v>-8.7673869147242654E-3</v>
      </c>
      <c r="Q1178" s="51">
        <f t="shared" si="158"/>
        <v>115.86323560991602</v>
      </c>
      <c r="R1178" s="51">
        <f t="shared" si="159"/>
        <v>57.464896089946954</v>
      </c>
    </row>
    <row r="1179" spans="1:18" x14ac:dyDescent="0.15">
      <c r="A1179" s="59">
        <v>42620.75</v>
      </c>
      <c r="B1179">
        <v>15.488588</v>
      </c>
      <c r="C1179">
        <v>131.46931499999999</v>
      </c>
      <c r="D1179">
        <v>56.417290000000001</v>
      </c>
      <c r="E1179">
        <v>39.202998999999998</v>
      </c>
      <c r="F1179">
        <v>1025.3900149999999</v>
      </c>
      <c r="H1179" s="50">
        <f t="shared" si="153"/>
        <v>2.1763771220682959E-2</v>
      </c>
      <c r="I1179" s="50">
        <f t="shared" si="154"/>
        <v>1.8381032963043976E-2</v>
      </c>
      <c r="J1179" s="50">
        <f t="shared" si="155"/>
        <v>6.6666408534616769E-3</v>
      </c>
      <c r="K1179" s="50">
        <f t="shared" si="156"/>
        <v>3.1467861183466221E-2</v>
      </c>
      <c r="L1179" s="50">
        <f t="shared" si="157"/>
        <v>-7.7222873110420328E-3</v>
      </c>
      <c r="P1179" s="50">
        <f t="shared" si="152"/>
        <v>-7.7222873110420328E-3</v>
      </c>
      <c r="Q1179" s="51">
        <f t="shared" si="158"/>
        <v>114.96850641574929</v>
      </c>
      <c r="R1179" s="51">
        <f t="shared" si="159"/>
        <v>58.715548941668871</v>
      </c>
    </row>
    <row r="1180" spans="1:18" x14ac:dyDescent="0.15">
      <c r="A1180" s="59">
        <v>42621.75</v>
      </c>
      <c r="B1180">
        <v>15.158678</v>
      </c>
      <c r="C1180">
        <v>129.09639000000001</v>
      </c>
      <c r="D1180">
        <v>56.043666999999999</v>
      </c>
      <c r="E1180">
        <v>38.006999999999998</v>
      </c>
      <c r="F1180">
        <v>1033.369995</v>
      </c>
      <c r="H1180" s="50">
        <f t="shared" si="153"/>
        <v>-2.2796673634682435E-2</v>
      </c>
      <c r="I1180" s="50">
        <f t="shared" si="154"/>
        <v>-6.5265030548854065E-3</v>
      </c>
      <c r="J1180" s="50">
        <f t="shared" si="155"/>
        <v>-4.3288607398251199E-3</v>
      </c>
      <c r="K1180" s="50">
        <f t="shared" si="156"/>
        <v>-1.4711817010931653E-2</v>
      </c>
      <c r="L1180" s="50">
        <f t="shared" si="157"/>
        <v>-1.031472776187007E-2</v>
      </c>
      <c r="P1180" s="50">
        <f t="shared" si="152"/>
        <v>-1.031472776187007E-2</v>
      </c>
      <c r="Q1180" s="51">
        <f t="shared" si="158"/>
        <v>113.78263757088203</v>
      </c>
      <c r="R1180" s="51">
        <f t="shared" si="159"/>
        <v>57.37702973516442</v>
      </c>
    </row>
    <row r="1181" spans="1:18" x14ac:dyDescent="0.15">
      <c r="A1181" s="59">
        <v>42622.75</v>
      </c>
      <c r="B1181">
        <v>15.512307</v>
      </c>
      <c r="C1181">
        <v>129.94447299999999</v>
      </c>
      <c r="D1181">
        <v>56.287326999999998</v>
      </c>
      <c r="E1181">
        <v>38.574500999999998</v>
      </c>
      <c r="F1181">
        <v>1044.1400149999999</v>
      </c>
      <c r="H1181" s="50">
        <f t="shared" si="153"/>
        <v>6.716872583524912E-3</v>
      </c>
      <c r="I1181" s="50">
        <f t="shared" si="154"/>
        <v>6.3027121379440739E-3</v>
      </c>
      <c r="J1181" s="50">
        <f t="shared" si="155"/>
        <v>5.2219734278409072E-3</v>
      </c>
      <c r="K1181" s="50">
        <f t="shared" si="156"/>
        <v>1.3771225444375798E-2</v>
      </c>
      <c r="L1181" s="50">
        <f t="shared" si="157"/>
        <v>1.3522532458497833E-3</v>
      </c>
      <c r="P1181" s="50">
        <f t="shared" si="152"/>
        <v>1.3522532458497833E-3</v>
      </c>
      <c r="Q1181" s="51">
        <f t="shared" si="158"/>
        <v>113.93650051185861</v>
      </c>
      <c r="R1181" s="51">
        <f t="shared" si="159"/>
        <v>57.762423933116644</v>
      </c>
    </row>
    <row r="1182" spans="1:18" x14ac:dyDescent="0.15">
      <c r="A1182" s="59">
        <v>42623.75</v>
      </c>
      <c r="B1182">
        <v>15.408808000000001</v>
      </c>
      <c r="C1182">
        <v>129.13059999999999</v>
      </c>
      <c r="D1182">
        <v>55.994923</v>
      </c>
      <c r="E1182">
        <v>38.050499000000002</v>
      </c>
      <c r="F1182">
        <v>1042.7299800000001</v>
      </c>
      <c r="H1182" s="50">
        <f t="shared" si="153"/>
        <v>-8.3862126850660411E-4</v>
      </c>
      <c r="I1182" s="50">
        <f t="shared" si="154"/>
        <v>3.3156503040227068E-4</v>
      </c>
      <c r="J1182" s="50">
        <f t="shared" si="155"/>
        <v>1.0850441497367691E-2</v>
      </c>
      <c r="K1182" s="50">
        <f t="shared" si="156"/>
        <v>-1.051649580163944E-4</v>
      </c>
      <c r="L1182" s="50">
        <f t="shared" si="157"/>
        <v>-6.2991844532489056E-3</v>
      </c>
      <c r="P1182" s="50">
        <f t="shared" si="152"/>
        <v>-6.2991844532489056E-3</v>
      </c>
      <c r="Q1182" s="51">
        <f t="shared" si="158"/>
        <v>113.21879347917672</v>
      </c>
      <c r="R1182" s="51">
        <f t="shared" si="159"/>
        <v>57.713983135885833</v>
      </c>
    </row>
    <row r="1183" spans="1:18" x14ac:dyDescent="0.15">
      <c r="A1183" s="59">
        <v>42626.75</v>
      </c>
      <c r="B1183">
        <v>15.421741000000001</v>
      </c>
      <c r="C1183">
        <v>129.08779899999999</v>
      </c>
      <c r="D1183">
        <v>55.393875000000001</v>
      </c>
      <c r="E1183">
        <v>38.054501000000002</v>
      </c>
      <c r="F1183">
        <v>1049.339966</v>
      </c>
      <c r="H1183" s="50">
        <f t="shared" si="153"/>
        <v>-1.2154761603549107E-2</v>
      </c>
      <c r="I1183" s="50">
        <f t="shared" si="154"/>
        <v>-1.2969227435724061E-2</v>
      </c>
      <c r="J1183" s="50">
        <f t="shared" si="155"/>
        <v>-1.459322873844982E-2</v>
      </c>
      <c r="K1183" s="50">
        <f t="shared" si="156"/>
        <v>-1.1173329231941963E-2</v>
      </c>
      <c r="L1183" s="50">
        <f t="shared" si="157"/>
        <v>-3.1255417234662421E-3</v>
      </c>
      <c r="P1183" s="50">
        <f t="shared" si="152"/>
        <v>-3.1255417234662421E-3</v>
      </c>
      <c r="Q1183" s="51">
        <f t="shared" si="158"/>
        <v>112.86492341627705</v>
      </c>
      <c r="R1183" s="51">
        <f t="shared" si="159"/>
        <v>57.012483429677886</v>
      </c>
    </row>
    <row r="1184" spans="1:18" x14ac:dyDescent="0.15">
      <c r="A1184" s="59">
        <v>42627.75</v>
      </c>
      <c r="B1184">
        <v>15.611495</v>
      </c>
      <c r="C1184">
        <v>130.78396599999999</v>
      </c>
      <c r="D1184">
        <v>56.214221999999999</v>
      </c>
      <c r="E1184">
        <v>38.484501000000002</v>
      </c>
      <c r="F1184">
        <v>1052.630005</v>
      </c>
      <c r="H1184" s="50">
        <f t="shared" si="153"/>
        <v>-6.4497574244858609E-3</v>
      </c>
      <c r="I1184" s="50">
        <f t="shared" si="154"/>
        <v>2.100293466722452E-3</v>
      </c>
      <c r="J1184" s="50">
        <f t="shared" si="155"/>
        <v>-2.890069944815156E-4</v>
      </c>
      <c r="K1184" s="50">
        <f t="shared" si="156"/>
        <v>-1.1341982514051746E-2</v>
      </c>
      <c r="L1184" s="50">
        <f t="shared" si="157"/>
        <v>-1.5092260983829273E-2</v>
      </c>
      <c r="P1184" s="50">
        <f t="shared" si="152"/>
        <v>-1.5092260983829273E-2</v>
      </c>
      <c r="Q1184" s="51">
        <f t="shared" si="158"/>
        <v>111.16153653615869</v>
      </c>
      <c r="R1184" s="51">
        <f t="shared" si="159"/>
        <v>56.644766741388942</v>
      </c>
    </row>
    <row r="1185" spans="1:18" x14ac:dyDescent="0.15">
      <c r="A1185" s="59">
        <v>42628.75</v>
      </c>
      <c r="B1185">
        <v>15.712839000000001</v>
      </c>
      <c r="C1185">
        <v>130.50985700000001</v>
      </c>
      <c r="D1185">
        <v>56.230473000000003</v>
      </c>
      <c r="E1185">
        <v>38.925998999999997</v>
      </c>
      <c r="F1185">
        <v>1068.76001</v>
      </c>
      <c r="H1185" s="50">
        <f t="shared" si="153"/>
        <v>1.0819540326824946E-2</v>
      </c>
      <c r="I1185" s="50">
        <f t="shared" si="154"/>
        <v>3.6894220839800845E-3</v>
      </c>
      <c r="J1185" s="50">
        <f t="shared" si="155"/>
        <v>4.9355449092499904E-3</v>
      </c>
      <c r="K1185" s="50">
        <f t="shared" si="156"/>
        <v>4.4122821723058996E-3</v>
      </c>
      <c r="L1185" s="50">
        <f t="shared" si="157"/>
        <v>3.0690293017205457E-3</v>
      </c>
      <c r="P1185" s="50">
        <f t="shared" si="152"/>
        <v>3.0690293017205457E-3</v>
      </c>
      <c r="Q1185" s="51">
        <f t="shared" si="158"/>
        <v>111.50269454901245</v>
      </c>
      <c r="R1185" s="51">
        <f t="shared" si="159"/>
        <v>57.257637079450994</v>
      </c>
    </row>
    <row r="1186" spans="1:18" x14ac:dyDescent="0.15">
      <c r="A1186" s="59">
        <v>42629.75</v>
      </c>
      <c r="B1186">
        <v>15.544653</v>
      </c>
      <c r="C1186">
        <v>130.03012100000001</v>
      </c>
      <c r="D1186">
        <v>55.954307999999997</v>
      </c>
      <c r="E1186">
        <v>38.755001</v>
      </c>
      <c r="F1186">
        <v>1065.48999</v>
      </c>
      <c r="H1186" s="50">
        <f t="shared" si="153"/>
        <v>1.6673348893837506E-3</v>
      </c>
      <c r="I1186" s="50">
        <f t="shared" si="154"/>
        <v>-2.4971378874853968E-3</v>
      </c>
      <c r="J1186" s="50">
        <f t="shared" si="155"/>
        <v>3.9342760928938597E-3</v>
      </c>
      <c r="K1186" s="50">
        <f t="shared" si="156"/>
        <v>-6.562276969968567E-3</v>
      </c>
      <c r="L1186" s="50">
        <f t="shared" si="157"/>
        <v>-2.6304023880091673E-3</v>
      </c>
      <c r="P1186" s="50">
        <f t="shared" si="152"/>
        <v>-2.6304023880091673E-3</v>
      </c>
      <c r="Q1186" s="51">
        <f t="shared" si="158"/>
        <v>111.20939759500126</v>
      </c>
      <c r="R1186" s="51">
        <f t="shared" si="159"/>
        <v>57.353104735437228</v>
      </c>
    </row>
    <row r="1187" spans="1:18" x14ac:dyDescent="0.15">
      <c r="A1187" s="59">
        <v>42630.75</v>
      </c>
      <c r="B1187">
        <v>15.518777999999999</v>
      </c>
      <c r="C1187">
        <v>130.355637</v>
      </c>
      <c r="D1187">
        <v>55.735030999999999</v>
      </c>
      <c r="E1187">
        <v>39.011001999999998</v>
      </c>
      <c r="F1187">
        <v>1068.3000489999999</v>
      </c>
      <c r="H1187" s="50">
        <f t="shared" si="153"/>
        <v>-3.0475612668126543E-3</v>
      </c>
      <c r="I1187" s="50">
        <f t="shared" si="154"/>
        <v>-3.4707684823888476E-3</v>
      </c>
      <c r="J1187" s="50">
        <f t="shared" si="155"/>
        <v>-1.2235145006671127E-2</v>
      </c>
      <c r="K1187" s="50">
        <f t="shared" si="156"/>
        <v>-1.2054549598602176E-2</v>
      </c>
      <c r="L1187" s="50">
        <f t="shared" si="157"/>
        <v>3.4189458453926977E-3</v>
      </c>
      <c r="P1187" s="50">
        <f t="shared" si="152"/>
        <v>3.4189458453926977E-3</v>
      </c>
      <c r="Q1187" s="51">
        <f t="shared" si="158"/>
        <v>111.58961650287731</v>
      </c>
      <c r="R1187" s="51">
        <f t="shared" si="159"/>
        <v>57.178317634914066</v>
      </c>
    </row>
    <row r="1188" spans="1:18" x14ac:dyDescent="0.15">
      <c r="A1188" s="59">
        <v>42633.75</v>
      </c>
      <c r="B1188">
        <v>15.566217</v>
      </c>
      <c r="C1188">
        <v>130.80964700000001</v>
      </c>
      <c r="D1188">
        <v>56.425404</v>
      </c>
      <c r="E1188">
        <v>39.487000000000002</v>
      </c>
      <c r="F1188">
        <v>1064.660034</v>
      </c>
      <c r="H1188" s="50">
        <f t="shared" si="153"/>
        <v>-1.1066859785915425E-3</v>
      </c>
      <c r="I1188" s="50">
        <f t="shared" si="154"/>
        <v>-2.9384696813508572E-3</v>
      </c>
      <c r="J1188" s="50">
        <f t="shared" si="155"/>
        <v>1.3273018295943267E-2</v>
      </c>
      <c r="K1188" s="50">
        <f t="shared" si="156"/>
        <v>-1.8590803564289587E-2</v>
      </c>
      <c r="L1188" s="50">
        <f t="shared" si="157"/>
        <v>-6.5319222308518037E-3</v>
      </c>
      <c r="P1188" s="50">
        <f t="shared" si="152"/>
        <v>-6.5319222308518037E-3</v>
      </c>
      <c r="Q1188" s="51">
        <f t="shared" si="158"/>
        <v>110.86072180610994</v>
      </c>
      <c r="R1188" s="51">
        <f t="shared" si="159"/>
        <v>57.115039192508057</v>
      </c>
    </row>
    <row r="1189" spans="1:18" x14ac:dyDescent="0.15">
      <c r="A1189" s="59">
        <v>42634.75</v>
      </c>
      <c r="B1189">
        <v>15.583463</v>
      </c>
      <c r="C1189">
        <v>131.19515999999999</v>
      </c>
      <c r="D1189">
        <v>55.686278999999999</v>
      </c>
      <c r="E1189">
        <v>40.235000999999997</v>
      </c>
      <c r="F1189">
        <v>1071.660034</v>
      </c>
      <c r="H1189" s="50">
        <f t="shared" si="153"/>
        <v>-1.1060388374432807E-3</v>
      </c>
      <c r="I1189" s="50">
        <f t="shared" si="154"/>
        <v>4.0649523273112442E-3</v>
      </c>
      <c r="J1189" s="50">
        <f t="shared" si="155"/>
        <v>-3.0534312059290764E-3</v>
      </c>
      <c r="K1189" s="50">
        <f t="shared" si="156"/>
        <v>-1.3030593262456374E-3</v>
      </c>
      <c r="L1189" s="50">
        <f t="shared" si="157"/>
        <v>1.0170934281160416E-2</v>
      </c>
      <c r="P1189" s="50">
        <f t="shared" si="152"/>
        <v>1.0170934281160416E-2</v>
      </c>
      <c r="Q1189" s="51">
        <f t="shared" si="158"/>
        <v>111.98827892196189</v>
      </c>
      <c r="R1189" s="51">
        <f t="shared" si="159"/>
        <v>57.051867740959047</v>
      </c>
    </row>
    <row r="1190" spans="1:18" x14ac:dyDescent="0.15">
      <c r="A1190" s="59">
        <v>42635.75</v>
      </c>
      <c r="B1190">
        <v>15.600718000000001</v>
      </c>
      <c r="C1190">
        <v>130.664017</v>
      </c>
      <c r="D1190">
        <v>55.856833999999999</v>
      </c>
      <c r="E1190">
        <v>40.287497999999999</v>
      </c>
      <c r="F1190">
        <v>1060.869995</v>
      </c>
      <c r="H1190" s="50">
        <f t="shared" si="153"/>
        <v>1.0193222291011526E-2</v>
      </c>
      <c r="I1190" s="50">
        <f t="shared" si="154"/>
        <v>8.8630207733304284E-3</v>
      </c>
      <c r="J1190" s="50">
        <f t="shared" si="155"/>
        <v>2.305849224317074E-2</v>
      </c>
      <c r="K1190" s="50">
        <f t="shared" si="156"/>
        <v>8.2461084138345502E-3</v>
      </c>
      <c r="L1190" s="50">
        <f t="shared" si="157"/>
        <v>9.6023579831473974E-3</v>
      </c>
      <c r="P1190" s="50">
        <f t="shared" si="152"/>
        <v>9.6023579831473974E-3</v>
      </c>
      <c r="Q1190" s="51">
        <f t="shared" si="158"/>
        <v>113.06363046608713</v>
      </c>
      <c r="R1190" s="51">
        <f t="shared" si="159"/>
        <v>57.633410110960028</v>
      </c>
    </row>
    <row r="1191" spans="1:18" x14ac:dyDescent="0.15">
      <c r="A1191" s="59">
        <v>42636.75</v>
      </c>
      <c r="B1191">
        <v>15.443301</v>
      </c>
      <c r="C1191">
        <v>129.51611299999999</v>
      </c>
      <c r="D1191">
        <v>54.597889000000002</v>
      </c>
      <c r="E1191">
        <v>39.957999999999998</v>
      </c>
      <c r="F1191">
        <v>1050.780029</v>
      </c>
      <c r="H1191" s="50">
        <f t="shared" si="153"/>
        <v>-9.816494226264896E-3</v>
      </c>
      <c r="I1191" s="50">
        <f t="shared" si="154"/>
        <v>4.9180545502991004E-3</v>
      </c>
      <c r="J1191" s="50">
        <f t="shared" si="155"/>
        <v>-1.5668885613868123E-2</v>
      </c>
      <c r="K1191" s="50">
        <f t="shared" si="156"/>
        <v>-2.0769259045962031E-2</v>
      </c>
      <c r="L1191" s="50">
        <f t="shared" si="157"/>
        <v>6.1280606382348637E-3</v>
      </c>
      <c r="P1191" s="50">
        <f t="shared" si="152"/>
        <v>6.1280606382348637E-3</v>
      </c>
      <c r="Q1191" s="51">
        <f t="shared" si="158"/>
        <v>113.75649124956229</v>
      </c>
      <c r="R1191" s="51">
        <f t="shared" si="159"/>
        <v>57.067652073365835</v>
      </c>
    </row>
    <row r="1192" spans="1:18" x14ac:dyDescent="0.15">
      <c r="A1192" s="59">
        <v>42637.75</v>
      </c>
      <c r="B1192">
        <v>15.596403</v>
      </c>
      <c r="C1192">
        <v>128.88226299999999</v>
      </c>
      <c r="D1192">
        <v>55.466994999999997</v>
      </c>
      <c r="E1192">
        <v>40.805500000000002</v>
      </c>
      <c r="F1192">
        <v>1044.380005</v>
      </c>
      <c r="H1192" s="50">
        <f t="shared" si="153"/>
        <v>7.5219818031865299E-3</v>
      </c>
      <c r="I1192" s="50">
        <f t="shared" si="154"/>
        <v>6.9609799627189384E-3</v>
      </c>
      <c r="J1192" s="50">
        <f t="shared" si="155"/>
        <v>6.9304055940074723E-3</v>
      </c>
      <c r="K1192" s="50">
        <f t="shared" si="156"/>
        <v>-1.5216260854902368E-2</v>
      </c>
      <c r="L1192" s="50">
        <f t="shared" si="157"/>
        <v>-1.7497954194772403E-2</v>
      </c>
      <c r="P1192" s="50">
        <f t="shared" si="152"/>
        <v>-1.7497954194772403E-2</v>
      </c>
      <c r="Q1192" s="51">
        <f t="shared" si="158"/>
        <v>111.76598537631942</v>
      </c>
      <c r="R1192" s="51">
        <f t="shared" si="159"/>
        <v>57.496913913812278</v>
      </c>
    </row>
    <row r="1193" spans="1:18" x14ac:dyDescent="0.15">
      <c r="A1193" s="59">
        <v>42640.75</v>
      </c>
      <c r="B1193">
        <v>15.479963</v>
      </c>
      <c r="C1193">
        <v>127.99131800000001</v>
      </c>
      <c r="D1193">
        <v>55.085231999999998</v>
      </c>
      <c r="E1193">
        <v>41.436000999999997</v>
      </c>
      <c r="F1193">
        <v>1062.9799800000001</v>
      </c>
      <c r="H1193" s="50">
        <f t="shared" si="153"/>
        <v>1.4986561558918105E-2</v>
      </c>
      <c r="I1193" s="50">
        <f t="shared" si="154"/>
        <v>1.3017541050334284E-2</v>
      </c>
      <c r="J1193" s="50">
        <f t="shared" si="155"/>
        <v>1.4766741820581527E-3</v>
      </c>
      <c r="K1193" s="50">
        <f t="shared" si="156"/>
        <v>-3.9799771782168483E-4</v>
      </c>
      <c r="L1193" s="50">
        <f t="shared" si="157"/>
        <v>2.2345584461002572E-3</v>
      </c>
      <c r="P1193" s="50">
        <f t="shared" si="152"/>
        <v>2.2345584461002572E-3</v>
      </c>
      <c r="Q1193" s="51">
        <f t="shared" si="158"/>
        <v>112.0157330029288</v>
      </c>
      <c r="R1193" s="51">
        <f t="shared" si="159"/>
        <v>58.358594953629449</v>
      </c>
    </row>
    <row r="1194" spans="1:18" x14ac:dyDescent="0.15">
      <c r="A1194" s="59">
        <v>42641.75</v>
      </c>
      <c r="B1194">
        <v>15.251397000000001</v>
      </c>
      <c r="C1194">
        <v>126.34659600000001</v>
      </c>
      <c r="D1194">
        <v>55.004009000000003</v>
      </c>
      <c r="E1194">
        <v>41.452499000000003</v>
      </c>
      <c r="F1194">
        <v>1060.6099850000001</v>
      </c>
      <c r="H1194" s="50">
        <f t="shared" si="153"/>
        <v>-1.9273655074707075E-2</v>
      </c>
      <c r="I1194" s="50">
        <f t="shared" si="154"/>
        <v>-3.2915557927614712E-2</v>
      </c>
      <c r="J1194" s="50">
        <f t="shared" si="155"/>
        <v>-1.3977764596318408E-2</v>
      </c>
      <c r="K1194" s="50">
        <f t="shared" si="156"/>
        <v>-9.8649721163016468E-3</v>
      </c>
      <c r="L1194" s="50">
        <f t="shared" si="157"/>
        <v>3.339415320443379E-3</v>
      </c>
      <c r="P1194" s="50">
        <f t="shared" si="152"/>
        <v>3.339415320443379E-3</v>
      </c>
      <c r="Q1194" s="51">
        <f t="shared" si="158"/>
        <v>112.38980005784947</v>
      </c>
      <c r="R1194" s="51">
        <f t="shared" si="159"/>
        <v>57.233811523848658</v>
      </c>
    </row>
    <row r="1195" spans="1:18" x14ac:dyDescent="0.15">
      <c r="A1195" s="59">
        <v>42642.75</v>
      </c>
      <c r="B1195">
        <v>15.551124</v>
      </c>
      <c r="C1195">
        <v>130.64691199999999</v>
      </c>
      <c r="D1195">
        <v>55.783740999999999</v>
      </c>
      <c r="E1195">
        <v>41.865501000000002</v>
      </c>
      <c r="F1195">
        <v>1057.079956</v>
      </c>
      <c r="H1195" s="50">
        <f t="shared" si="153"/>
        <v>1.5277507467121258E-3</v>
      </c>
      <c r="I1195" s="50">
        <f t="shared" si="154"/>
        <v>9.9330441468129718E-3</v>
      </c>
      <c r="J1195" s="50">
        <f t="shared" si="155"/>
        <v>0</v>
      </c>
      <c r="K1195" s="50">
        <f t="shared" si="156"/>
        <v>6.8119125744248133E-4</v>
      </c>
      <c r="L1195" s="50">
        <f t="shared" si="157"/>
        <v>2.6440724993520872E-2</v>
      </c>
      <c r="P1195" s="50">
        <f t="shared" si="152"/>
        <v>2.6440724993520872E-2</v>
      </c>
      <c r="Q1195" s="51">
        <f t="shared" si="158"/>
        <v>115.36146785325586</v>
      </c>
      <c r="R1195" s="51">
        <f t="shared" si="159"/>
        <v>57.321250522141405</v>
      </c>
    </row>
    <row r="1196" spans="1:18" x14ac:dyDescent="0.15">
      <c r="A1196" s="59">
        <v>42643.75</v>
      </c>
      <c r="B1196">
        <v>15.527402</v>
      </c>
      <c r="C1196">
        <v>129.361954</v>
      </c>
      <c r="D1196">
        <v>55.783740999999999</v>
      </c>
      <c r="E1196">
        <v>41.837001999999998</v>
      </c>
      <c r="F1196">
        <v>1029.849976</v>
      </c>
      <c r="H1196" s="50">
        <f t="shared" si="153"/>
        <v>3.6237979949632184E-3</v>
      </c>
      <c r="I1196" s="50">
        <f t="shared" si="154"/>
        <v>3.5223287870228752E-3</v>
      </c>
      <c r="J1196" s="50">
        <f t="shared" si="155"/>
        <v>4.370206960541434E-4</v>
      </c>
      <c r="K1196" s="50">
        <f t="shared" si="156"/>
        <v>3.2493315588167176E-3</v>
      </c>
      <c r="L1196" s="50">
        <f t="shared" si="157"/>
        <v>4.5259168136388686E-3</v>
      </c>
      <c r="P1196" s="50">
        <f t="shared" si="152"/>
        <v>4.5259168136388686E-3</v>
      </c>
      <c r="Q1196" s="51">
        <f t="shared" si="158"/>
        <v>115.88358426025897</v>
      </c>
      <c r="R1196" s="51">
        <f t="shared" si="159"/>
        <v>57.528971154852321</v>
      </c>
    </row>
    <row r="1197" spans="1:18" x14ac:dyDescent="0.15">
      <c r="A1197" s="59">
        <v>42644.75</v>
      </c>
      <c r="B1197">
        <v>15.471337</v>
      </c>
      <c r="C1197">
        <v>128.90789799999999</v>
      </c>
      <c r="D1197">
        <v>55.759372999999997</v>
      </c>
      <c r="E1197">
        <v>41.701500000000003</v>
      </c>
      <c r="F1197">
        <v>1025.209961</v>
      </c>
      <c r="H1197" s="50">
        <f t="shared" si="153"/>
        <v>1.1160800225752793E-3</v>
      </c>
      <c r="I1197" s="50">
        <f t="shared" si="154"/>
        <v>3.3335953982856167E-3</v>
      </c>
      <c r="J1197" s="50">
        <f t="shared" si="155"/>
        <v>1.3433543457158635E-2</v>
      </c>
      <c r="K1197" s="50">
        <f t="shared" si="156"/>
        <v>-1.2234094751861548E-2</v>
      </c>
      <c r="L1197" s="50">
        <f t="shared" si="157"/>
        <v>-1.4656979193454999E-2</v>
      </c>
      <c r="P1197" s="50">
        <f t="shared" si="152"/>
        <v>-1.4656979193454999E-2</v>
      </c>
      <c r="Q1197" s="51">
        <f t="shared" si="158"/>
        <v>114.18508097689336</v>
      </c>
      <c r="R1197" s="51">
        <f t="shared" si="159"/>
        <v>57.593178090277569</v>
      </c>
    </row>
    <row r="1198" spans="1:18" x14ac:dyDescent="0.15">
      <c r="A1198" s="59">
        <v>42647.75</v>
      </c>
      <c r="B1198">
        <v>15.454089</v>
      </c>
      <c r="C1198">
        <v>128.47959900000001</v>
      </c>
      <c r="D1198">
        <v>55.020256000000003</v>
      </c>
      <c r="E1198">
        <v>42.217998999999999</v>
      </c>
      <c r="F1198">
        <v>1040.459961</v>
      </c>
      <c r="H1198" s="50">
        <f t="shared" si="153"/>
        <v>3.3304453039143929E-2</v>
      </c>
      <c r="I1198" s="50">
        <f t="shared" si="154"/>
        <v>3.4122997379648305E-3</v>
      </c>
      <c r="J1198" s="50">
        <f t="shared" si="155"/>
        <v>-9.7940487387466763E-3</v>
      </c>
      <c r="K1198" s="50">
        <f t="shared" si="156"/>
        <v>3.2079224389896287E-3</v>
      </c>
      <c r="L1198" s="50">
        <f t="shared" si="157"/>
        <v>-1.3520185823806655E-2</v>
      </c>
      <c r="P1198" s="50">
        <f t="shared" si="152"/>
        <v>-1.3520185823806655E-2</v>
      </c>
      <c r="Q1198" s="51">
        <f t="shared" si="158"/>
        <v>112.64127746377935</v>
      </c>
      <c r="R1198" s="51">
        <f t="shared" si="159"/>
        <v>59.511287385360276</v>
      </c>
    </row>
    <row r="1199" spans="1:18" x14ac:dyDescent="0.15">
      <c r="A1199" s="59">
        <v>42648.75</v>
      </c>
      <c r="B1199">
        <v>14.955988</v>
      </c>
      <c r="C1199">
        <v>128.04267899999999</v>
      </c>
      <c r="D1199">
        <v>55.564456999999997</v>
      </c>
      <c r="E1199">
        <v>42.082999999999998</v>
      </c>
      <c r="F1199">
        <v>1054.719971</v>
      </c>
      <c r="H1199" s="50">
        <f t="shared" si="153"/>
        <v>9.6071392432031371E-3</v>
      </c>
      <c r="I1199" s="50">
        <f t="shared" si="154"/>
        <v>-3.4670899129312254E-3</v>
      </c>
      <c r="J1199" s="50">
        <f t="shared" si="155"/>
        <v>-9.1248783239289994E-3</v>
      </c>
      <c r="K1199" s="50">
        <f t="shared" si="156"/>
        <v>2.6565645735796787E-3</v>
      </c>
      <c r="L1199" s="50">
        <f t="shared" si="157"/>
        <v>-2.7042730753116234E-3</v>
      </c>
      <c r="P1199" s="50">
        <f t="shared" si="152"/>
        <v>-2.7042730753116234E-3</v>
      </c>
      <c r="Q1199" s="51">
        <f t="shared" si="158"/>
        <v>112.33666468996535</v>
      </c>
      <c r="R1199" s="51">
        <f t="shared" si="159"/>
        <v>60.083020609813708</v>
      </c>
    </row>
    <row r="1200" spans="1:18" x14ac:dyDescent="0.15">
      <c r="A1200" s="59">
        <v>42649.75</v>
      </c>
      <c r="B1200">
        <v>14.813670999999999</v>
      </c>
      <c r="C1200">
        <v>128.488159</v>
      </c>
      <c r="D1200">
        <v>56.076144999999997</v>
      </c>
      <c r="E1200">
        <v>41.971499999999999</v>
      </c>
      <c r="F1200">
        <v>1057.579956</v>
      </c>
      <c r="H1200" s="50">
        <f t="shared" si="153"/>
        <v>1.0591457454102945E-2</v>
      </c>
      <c r="I1200" s="50">
        <f t="shared" si="154"/>
        <v>-1.929622609494366E-3</v>
      </c>
      <c r="J1200" s="50">
        <f t="shared" si="155"/>
        <v>2.613948480945249E-3</v>
      </c>
      <c r="K1200" s="50">
        <f t="shared" si="156"/>
        <v>-2.7087477327998356E-3</v>
      </c>
      <c r="L1200" s="50">
        <f t="shared" si="157"/>
        <v>-7.4145212939618352E-3</v>
      </c>
      <c r="P1200" s="50">
        <f t="shared" si="152"/>
        <v>-7.4145212939618352E-3</v>
      </c>
      <c r="Q1200" s="51">
        <f t="shared" si="158"/>
        <v>111.50374209752896</v>
      </c>
      <c r="R1200" s="51">
        <f t="shared" si="159"/>
        <v>60.719387366316532</v>
      </c>
    </row>
    <row r="1201" spans="1:18" x14ac:dyDescent="0.15">
      <c r="A1201" s="59">
        <v>42650.75</v>
      </c>
      <c r="B1201">
        <v>14.658417</v>
      </c>
      <c r="C1201">
        <v>128.736572</v>
      </c>
      <c r="D1201">
        <v>55.929946999999999</v>
      </c>
      <c r="E1201">
        <v>42.085498999999999</v>
      </c>
      <c r="F1201">
        <v>1065.4799800000001</v>
      </c>
      <c r="H1201" s="50">
        <f t="shared" si="153"/>
        <v>8.7548178233605601E-3</v>
      </c>
      <c r="I1201" s="50">
        <f t="shared" si="154"/>
        <v>-4.8343580215246427E-3</v>
      </c>
      <c r="J1201" s="50">
        <f t="shared" si="155"/>
        <v>6.8723740260238104E-3</v>
      </c>
      <c r="K1201" s="50">
        <f t="shared" si="156"/>
        <v>1.2888086952781852E-2</v>
      </c>
      <c r="L1201" s="50">
        <f t="shared" si="157"/>
        <v>-5.6090211351390836E-3</v>
      </c>
      <c r="P1201" s="50">
        <f t="shared" si="152"/>
        <v>-5.6090211351390836E-3</v>
      </c>
      <c r="Q1201" s="51">
        <f t="shared" si="158"/>
        <v>110.87831525145683</v>
      </c>
      <c r="R1201" s="51">
        <f t="shared" si="159"/>
        <v>61.250974541054688</v>
      </c>
    </row>
    <row r="1202" spans="1:18" x14ac:dyDescent="0.15">
      <c r="A1202" s="59">
        <v>42651.75</v>
      </c>
      <c r="B1202">
        <v>14.531199000000001</v>
      </c>
      <c r="C1202">
        <v>129.361954</v>
      </c>
      <c r="D1202">
        <v>55.548198999999997</v>
      </c>
      <c r="E1202">
        <v>41.549999</v>
      </c>
      <c r="F1202">
        <v>1071.48999</v>
      </c>
      <c r="H1202" s="50">
        <f t="shared" si="153"/>
        <v>-1.0373093121763906E-3</v>
      </c>
      <c r="I1202" s="50">
        <f t="shared" si="154"/>
        <v>3.6551472831982848E-3</v>
      </c>
      <c r="J1202" s="50">
        <f t="shared" si="155"/>
        <v>7.8101377266643242E-3</v>
      </c>
      <c r="K1202" s="50">
        <f t="shared" si="156"/>
        <v>-3.7046123897715127E-3</v>
      </c>
      <c r="L1202" s="50">
        <f t="shared" si="157"/>
        <v>-4.3672132780137691E-3</v>
      </c>
      <c r="P1202" s="50">
        <f t="shared" si="152"/>
        <v>-4.3672132780137691E-3</v>
      </c>
      <c r="Q1202" s="51">
        <f t="shared" si="158"/>
        <v>110.39408600084685</v>
      </c>
      <c r="R1202" s="51">
        <f t="shared" si="159"/>
        <v>61.187438334783373</v>
      </c>
    </row>
    <row r="1203" spans="1:18" x14ac:dyDescent="0.15">
      <c r="A1203" s="59">
        <v>42654.75</v>
      </c>
      <c r="B1203">
        <v>14.546288000000001</v>
      </c>
      <c r="C1203">
        <v>128.890839</v>
      </c>
      <c r="D1203">
        <v>55.117722000000001</v>
      </c>
      <c r="E1203">
        <v>41.704498000000001</v>
      </c>
      <c r="F1203">
        <v>1076.1899410000001</v>
      </c>
      <c r="H1203" s="50">
        <f t="shared" si="153"/>
        <v>-1.128570619725891E-2</v>
      </c>
      <c r="I1203" s="50">
        <f t="shared" si="154"/>
        <v>1.5982728079028199E-3</v>
      </c>
      <c r="J1203" s="50">
        <f t="shared" si="155"/>
        <v>-4.4218478783137249E-4</v>
      </c>
      <c r="K1203" s="50">
        <f t="shared" si="156"/>
        <v>5.8001397404943561E-3</v>
      </c>
      <c r="L1203" s="50">
        <f t="shared" si="157"/>
        <v>2.7954045089209419E-3</v>
      </c>
      <c r="P1203" s="50">
        <f t="shared" si="152"/>
        <v>2.7954045089209419E-3</v>
      </c>
      <c r="Q1203" s="51">
        <f t="shared" si="158"/>
        <v>110.70268212661182</v>
      </c>
      <c r="R1203" s="51">
        <f t="shared" si="159"/>
        <v>60.496894882774114</v>
      </c>
    </row>
    <row r="1204" spans="1:18" x14ac:dyDescent="0.15">
      <c r="A1204" s="59">
        <v>42655.75</v>
      </c>
      <c r="B1204">
        <v>14.712327</v>
      </c>
      <c r="C1204">
        <v>128.68516500000001</v>
      </c>
      <c r="D1204">
        <v>55.142105000000001</v>
      </c>
      <c r="E1204">
        <v>41.464001000000003</v>
      </c>
      <c r="F1204">
        <v>1073.1899410000001</v>
      </c>
      <c r="H1204" s="50">
        <f t="shared" si="153"/>
        <v>-3.2140753450969799E-3</v>
      </c>
      <c r="I1204" s="50">
        <f t="shared" si="154"/>
        <v>4.6574055878101069E-4</v>
      </c>
      <c r="J1204" s="50">
        <f t="shared" si="155"/>
        <v>-3.2294206230974098E-3</v>
      </c>
      <c r="K1204" s="50">
        <f t="shared" si="156"/>
        <v>7.6796443977750796E-3</v>
      </c>
      <c r="L1204" s="50">
        <f t="shared" si="157"/>
        <v>-1.7243345959902678E-2</v>
      </c>
      <c r="P1204" s="50">
        <f t="shared" si="152"/>
        <v>-1.7243345959902678E-2</v>
      </c>
      <c r="Q1204" s="51">
        <f t="shared" si="158"/>
        <v>108.79379748001352</v>
      </c>
      <c r="R1204" s="51">
        <f t="shared" si="159"/>
        <v>60.302453304476465</v>
      </c>
    </row>
    <row r="1205" spans="1:18" x14ac:dyDescent="0.15">
      <c r="A1205" s="59">
        <v>42656.75</v>
      </c>
      <c r="B1205">
        <v>14.759766000000001</v>
      </c>
      <c r="C1205">
        <v>128.625259</v>
      </c>
      <c r="D1205">
        <v>55.320759000000002</v>
      </c>
      <c r="E1205">
        <v>41.147998999999999</v>
      </c>
      <c r="F1205">
        <v>1092.0200199999999</v>
      </c>
      <c r="H1205" s="50">
        <f t="shared" si="153"/>
        <v>3.3716132017246256E-3</v>
      </c>
      <c r="I1205" s="50">
        <f t="shared" si="154"/>
        <v>9.7517684633219928E-3</v>
      </c>
      <c r="J1205" s="50">
        <f t="shared" si="155"/>
        <v>1.2938389215686697E-2</v>
      </c>
      <c r="K1205" s="50">
        <f t="shared" si="156"/>
        <v>1.2313180695323844E-2</v>
      </c>
      <c r="L1205" s="50">
        <f t="shared" si="157"/>
        <v>-4.1402556683855828E-3</v>
      </c>
      <c r="P1205" s="50">
        <f t="shared" si="152"/>
        <v>-4.1402556683855828E-3</v>
      </c>
      <c r="Q1205" s="51">
        <f t="shared" si="158"/>
        <v>108.34336334331171</v>
      </c>
      <c r="R1205" s="51">
        <f t="shared" si="159"/>
        <v>60.505769852134215</v>
      </c>
    </row>
    <row r="1206" spans="1:18" x14ac:dyDescent="0.15">
      <c r="A1206" s="59">
        <v>42657.75</v>
      </c>
      <c r="B1206">
        <v>14.710169</v>
      </c>
      <c r="C1206">
        <v>127.383049</v>
      </c>
      <c r="D1206">
        <v>54.614139999999999</v>
      </c>
      <c r="E1206">
        <v>40.647499000000003</v>
      </c>
      <c r="F1206">
        <v>1096.5600589999999</v>
      </c>
      <c r="H1206" s="50">
        <f t="shared" si="153"/>
        <v>-9.4381080337079971E-3</v>
      </c>
      <c r="I1206" s="50">
        <f t="shared" si="154"/>
        <v>-2.7501454053031702E-3</v>
      </c>
      <c r="J1206" s="50">
        <f t="shared" si="155"/>
        <v>-1.7816508695035977E-3</v>
      </c>
      <c r="K1206" s="50">
        <f t="shared" si="156"/>
        <v>-5.748205222283297E-3</v>
      </c>
      <c r="L1206" s="50">
        <f t="shared" si="157"/>
        <v>8.1641701227702975E-3</v>
      </c>
      <c r="P1206" s="50">
        <f t="shared" si="152"/>
        <v>8.1641701227702975E-3</v>
      </c>
      <c r="Q1206" s="51">
        <f t="shared" si="158"/>
        <v>109.22789699331963</v>
      </c>
      <c r="R1206" s="51">
        <f t="shared" si="159"/>
        <v>59.934709859607096</v>
      </c>
    </row>
    <row r="1207" spans="1:18" x14ac:dyDescent="0.15">
      <c r="A1207" s="59">
        <v>42658.75</v>
      </c>
      <c r="B1207">
        <v>14.850327999999999</v>
      </c>
      <c r="C1207">
        <v>127.734337</v>
      </c>
      <c r="D1207">
        <v>54.711616999999997</v>
      </c>
      <c r="E1207">
        <v>40.8825</v>
      </c>
      <c r="F1207">
        <v>1087.6800539999999</v>
      </c>
      <c r="H1207" s="50">
        <f t="shared" si="153"/>
        <v>-2.9054886808469436E-4</v>
      </c>
      <c r="I1207" s="50">
        <f t="shared" si="154"/>
        <v>-2.2744760716785477E-3</v>
      </c>
      <c r="J1207" s="50">
        <f t="shared" si="155"/>
        <v>-2.5170794986253235E-3</v>
      </c>
      <c r="K1207" s="50">
        <f t="shared" si="156"/>
        <v>-4.889383626782032E-5</v>
      </c>
      <c r="L1207" s="50">
        <f t="shared" si="157"/>
        <v>-9.317685131931373E-3</v>
      </c>
      <c r="P1207" s="50">
        <f t="shared" si="152"/>
        <v>-9.317685131931373E-3</v>
      </c>
      <c r="Q1207" s="51">
        <f t="shared" si="158"/>
        <v>108.21014584151285</v>
      </c>
      <c r="R1207" s="51">
        <f t="shared" si="159"/>
        <v>59.917295897498406</v>
      </c>
    </row>
    <row r="1208" spans="1:18" x14ac:dyDescent="0.15">
      <c r="A1208" s="59">
        <v>42661.75</v>
      </c>
      <c r="B1208">
        <v>14.854644</v>
      </c>
      <c r="C1208">
        <v>128.02552800000001</v>
      </c>
      <c r="D1208">
        <v>54.849677999999997</v>
      </c>
      <c r="E1208">
        <v>40.884498999999998</v>
      </c>
      <c r="F1208">
        <v>1097.910034</v>
      </c>
      <c r="H1208" s="50">
        <f t="shared" si="153"/>
        <v>2.3282507674186538E-3</v>
      </c>
      <c r="I1208" s="50">
        <f t="shared" si="154"/>
        <v>-3.9322592703258672E-3</v>
      </c>
      <c r="J1208" s="50">
        <f t="shared" si="155"/>
        <v>-2.658344782070666E-3</v>
      </c>
      <c r="K1208" s="50">
        <f t="shared" si="156"/>
        <v>9.0951725021021293E-3</v>
      </c>
      <c r="L1208" s="50">
        <f t="shared" si="157"/>
        <v>6.278274915753365E-3</v>
      </c>
      <c r="P1208" s="50">
        <f t="shared" si="152"/>
        <v>6.278274915753365E-3</v>
      </c>
      <c r="Q1208" s="51">
        <f t="shared" si="158"/>
        <v>108.88951888577962</v>
      </c>
      <c r="R1208" s="51">
        <f t="shared" si="159"/>
        <v>60.056798387653409</v>
      </c>
    </row>
    <row r="1209" spans="1:18" x14ac:dyDescent="0.15">
      <c r="A1209" s="59">
        <v>42662.75</v>
      </c>
      <c r="B1209">
        <v>14.820138999999999</v>
      </c>
      <c r="C1209">
        <v>128.530945</v>
      </c>
      <c r="D1209">
        <v>54.995876000000003</v>
      </c>
      <c r="E1209">
        <v>40.515999000000001</v>
      </c>
      <c r="F1209">
        <v>1091.0600589999999</v>
      </c>
      <c r="H1209" s="50">
        <f t="shared" si="153"/>
        <v>5.7066872420651919E-3</v>
      </c>
      <c r="I1209" s="50">
        <f t="shared" si="154"/>
        <v>7.1820019584307639E-3</v>
      </c>
      <c r="J1209" s="50">
        <f t="shared" si="155"/>
        <v>-7.6214433575599681E-3</v>
      </c>
      <c r="K1209" s="50">
        <f t="shared" si="156"/>
        <v>-1.0586258425957307E-2</v>
      </c>
      <c r="L1209" s="50">
        <f t="shared" si="157"/>
        <v>8.932896972082811E-3</v>
      </c>
      <c r="P1209" s="50">
        <f t="shared" si="152"/>
        <v>8.932896972082811E-3</v>
      </c>
      <c r="Q1209" s="51">
        <f t="shared" si="158"/>
        <v>109.86221773932596</v>
      </c>
      <c r="R1209" s="51">
        <f t="shared" si="159"/>
        <v>60.399523752811518</v>
      </c>
    </row>
    <row r="1210" spans="1:18" x14ac:dyDescent="0.15">
      <c r="A1210" s="59">
        <v>42663.75</v>
      </c>
      <c r="B1210">
        <v>14.736045000000001</v>
      </c>
      <c r="C1210">
        <v>127.614418</v>
      </c>
      <c r="D1210">
        <v>55.418242999999997</v>
      </c>
      <c r="E1210">
        <v>40.949500999999998</v>
      </c>
      <c r="F1210">
        <v>1081.400024</v>
      </c>
      <c r="H1210" s="50">
        <f t="shared" si="153"/>
        <v>-1.2285069101628538E-2</v>
      </c>
      <c r="I1210" s="50">
        <f t="shared" si="154"/>
        <v>-2.0707110781579184E-2</v>
      </c>
      <c r="J1210" s="50">
        <f t="shared" si="155"/>
        <v>-4.3939133883405025E-4</v>
      </c>
      <c r="K1210" s="50">
        <f t="shared" si="156"/>
        <v>-2.278986798052408E-2</v>
      </c>
      <c r="L1210" s="50">
        <f t="shared" si="157"/>
        <v>-1.0531525598565385E-2</v>
      </c>
      <c r="P1210" s="50">
        <f t="shared" si="152"/>
        <v>-1.0531525598565385E-2</v>
      </c>
      <c r="Q1210" s="51">
        <f t="shared" si="158"/>
        <v>108.70520098088907</v>
      </c>
      <c r="R1210" s="51">
        <f t="shared" si="159"/>
        <v>59.657511429802774</v>
      </c>
    </row>
    <row r="1211" spans="1:18" x14ac:dyDescent="0.15">
      <c r="A1211" s="59">
        <v>42664.75</v>
      </c>
      <c r="B1211">
        <v>14.91933</v>
      </c>
      <c r="C1211">
        <v>130.31281999999999</v>
      </c>
      <c r="D1211">
        <v>55.442604000000003</v>
      </c>
      <c r="E1211">
        <v>41.904499000000001</v>
      </c>
      <c r="F1211">
        <v>1092.910034</v>
      </c>
      <c r="H1211" s="50">
        <f t="shared" si="153"/>
        <v>-2.451058398816527E-3</v>
      </c>
      <c r="I1211" s="50">
        <f t="shared" si="154"/>
        <v>7.4838869849427154E-3</v>
      </c>
      <c r="J1211" s="50">
        <f t="shared" si="155"/>
        <v>4.562226853307272E-3</v>
      </c>
      <c r="K1211" s="50">
        <f t="shared" si="156"/>
        <v>3.4842789215325395E-3</v>
      </c>
      <c r="L1211" s="50">
        <f t="shared" si="157"/>
        <v>1.2328694234798711E-2</v>
      </c>
      <c r="P1211" s="50">
        <f t="shared" si="152"/>
        <v>1.2328694234798711E-2</v>
      </c>
      <c r="Q1211" s="51">
        <f t="shared" si="158"/>
        <v>110.04539416551479</v>
      </c>
      <c r="R1211" s="51">
        <f t="shared" si="159"/>
        <v>59.511287385360262</v>
      </c>
    </row>
    <row r="1212" spans="1:18" x14ac:dyDescent="0.15">
      <c r="A1212" s="59">
        <v>42665.75</v>
      </c>
      <c r="B1212">
        <v>14.955988</v>
      </c>
      <c r="C1212">
        <v>129.344818</v>
      </c>
      <c r="D1212">
        <v>55.190810999999997</v>
      </c>
      <c r="E1212">
        <v>41.758999000000003</v>
      </c>
      <c r="F1212">
        <v>1079.599976</v>
      </c>
      <c r="H1212" s="50">
        <f t="shared" si="153"/>
        <v>-3.3051031739319997E-3</v>
      </c>
      <c r="I1212" s="50">
        <f t="shared" si="154"/>
        <v>6.6300054811454121E-5</v>
      </c>
      <c r="J1212" s="50">
        <f t="shared" si="155"/>
        <v>-9.3308746767224622E-3</v>
      </c>
      <c r="K1212" s="50">
        <f t="shared" si="156"/>
        <v>1.5305267136598745E-2</v>
      </c>
      <c r="L1212" s="50">
        <f t="shared" si="157"/>
        <v>1.1856249665828902E-2</v>
      </c>
      <c r="P1212" s="50">
        <f t="shared" si="152"/>
        <v>1.1856249665828902E-2</v>
      </c>
      <c r="Q1212" s="51">
        <f t="shared" si="158"/>
        <v>111.3501198333157</v>
      </c>
      <c r="R1212" s="51">
        <f t="shared" si="159"/>
        <v>59.314596440538132</v>
      </c>
    </row>
    <row r="1213" spans="1:18" x14ac:dyDescent="0.15">
      <c r="A1213" s="59">
        <v>42668.75</v>
      </c>
      <c r="B1213">
        <v>15.005583</v>
      </c>
      <c r="C1213">
        <v>129.336243</v>
      </c>
      <c r="D1213">
        <v>55.710639999999998</v>
      </c>
      <c r="E1213">
        <v>41.129500999999998</v>
      </c>
      <c r="F1213">
        <v>1066.9499510000001</v>
      </c>
      <c r="H1213" s="50">
        <f t="shared" si="153"/>
        <v>-3.4367974352960359E-3</v>
      </c>
      <c r="I1213" s="50">
        <f t="shared" si="154"/>
        <v>7.9533582707853965E-4</v>
      </c>
      <c r="J1213" s="50">
        <f t="shared" si="155"/>
        <v>1.4344738186720175E-2</v>
      </c>
      <c r="K1213" s="50">
        <f t="shared" si="156"/>
        <v>5.1689233386020628E-3</v>
      </c>
      <c r="L1213" s="50">
        <f t="shared" si="157"/>
        <v>3.3288354320719711E-3</v>
      </c>
      <c r="P1213" s="50">
        <f t="shared" si="152"/>
        <v>3.3288354320719711E-3</v>
      </c>
      <c r="Q1213" s="51">
        <f t="shared" si="158"/>
        <v>111.7207860575823</v>
      </c>
      <c r="R1213" s="51">
        <f t="shared" si="159"/>
        <v>59.110744187615673</v>
      </c>
    </row>
    <row r="1214" spans="1:18" x14ac:dyDescent="0.15">
      <c r="A1214" s="59">
        <v>42669.75</v>
      </c>
      <c r="B1214">
        <v>15.057332000000001</v>
      </c>
      <c r="C1214">
        <v>129.23345900000001</v>
      </c>
      <c r="D1214">
        <v>54.922787</v>
      </c>
      <c r="E1214">
        <v>40.917999000000002</v>
      </c>
      <c r="F1214">
        <v>1063.410034</v>
      </c>
      <c r="H1214" s="50">
        <f t="shared" si="153"/>
        <v>-2.2860047739730691E-3</v>
      </c>
      <c r="I1214" s="50">
        <f t="shared" si="154"/>
        <v>7.3453017271141261E-3</v>
      </c>
      <c r="J1214" s="50">
        <f t="shared" si="155"/>
        <v>-1.7579286871377196E-2</v>
      </c>
      <c r="K1214" s="50">
        <f t="shared" si="156"/>
        <v>5.4152846550245035E-2</v>
      </c>
      <c r="L1214" s="50">
        <f t="shared" si="157"/>
        <v>1.9930396114007876E-2</v>
      </c>
      <c r="P1214" s="50">
        <f t="shared" si="152"/>
        <v>1.9930396114007876E-2</v>
      </c>
      <c r="Q1214" s="51">
        <f t="shared" si="158"/>
        <v>113.94742557787824</v>
      </c>
      <c r="R1214" s="51">
        <f t="shared" si="159"/>
        <v>58.975616744209681</v>
      </c>
    </row>
    <row r="1215" spans="1:18" x14ac:dyDescent="0.15">
      <c r="A1215" s="59">
        <v>42670.75</v>
      </c>
      <c r="B1215">
        <v>15.091832</v>
      </c>
      <c r="C1215">
        <v>128.291122</v>
      </c>
      <c r="D1215">
        <v>55.905566999999998</v>
      </c>
      <c r="E1215">
        <v>38.816001999999997</v>
      </c>
      <c r="F1215">
        <v>1042.630005</v>
      </c>
      <c r="H1215" s="50">
        <f t="shared" si="153"/>
        <v>-4.2819398770605632E-4</v>
      </c>
      <c r="I1215" s="50">
        <f t="shared" si="154"/>
        <v>1.278154018781312E-2</v>
      </c>
      <c r="J1215" s="50">
        <f t="shared" si="155"/>
        <v>1.4545440084516143E-3</v>
      </c>
      <c r="K1215" s="50">
        <f t="shared" si="156"/>
        <v>-1.7092476334038726E-2</v>
      </c>
      <c r="L1215" s="50">
        <f t="shared" si="157"/>
        <v>-2.2023975321833297E-2</v>
      </c>
      <c r="P1215" s="50">
        <f t="shared" si="152"/>
        <v>-2.2023975321833297E-2</v>
      </c>
      <c r="Q1215" s="51">
        <f t="shared" si="158"/>
        <v>111.43785028896461</v>
      </c>
      <c r="R1215" s="51">
        <f t="shared" si="159"/>
        <v>58.950363739698552</v>
      </c>
    </row>
    <row r="1216" spans="1:18" x14ac:dyDescent="0.15">
      <c r="A1216" s="59">
        <v>42671.75</v>
      </c>
      <c r="B1216">
        <v>15.098297000000001</v>
      </c>
      <c r="C1216">
        <v>126.67205800000001</v>
      </c>
      <c r="D1216">
        <v>55.824368</v>
      </c>
      <c r="E1216">
        <v>39.491000999999997</v>
      </c>
      <c r="F1216">
        <v>1066.1099850000001</v>
      </c>
      <c r="H1216" s="50">
        <f t="shared" si="153"/>
        <v>1.0389447346314347E-2</v>
      </c>
      <c r="I1216" s="50">
        <f t="shared" si="154"/>
        <v>8.2504140369928994E-3</v>
      </c>
      <c r="J1216" s="50">
        <f t="shared" si="155"/>
        <v>1.4016049263010436E-2</v>
      </c>
      <c r="K1216" s="50">
        <f t="shared" si="156"/>
        <v>5.6149272354566087E-3</v>
      </c>
      <c r="L1216" s="50">
        <f t="shared" si="157"/>
        <v>2.8875057377149311E-2</v>
      </c>
      <c r="P1216" s="50">
        <f t="shared" si="152"/>
        <v>2.8875057377149311E-2</v>
      </c>
      <c r="Q1216" s="51">
        <f t="shared" si="158"/>
        <v>114.65562461004463</v>
      </c>
      <c r="R1216" s="51">
        <f t="shared" si="159"/>
        <v>59.562825439818234</v>
      </c>
    </row>
    <row r="1217" spans="1:18" x14ac:dyDescent="0.15">
      <c r="A1217" s="59">
        <v>42672.75</v>
      </c>
      <c r="B1217">
        <v>14.943047</v>
      </c>
      <c r="C1217">
        <v>125.635513</v>
      </c>
      <c r="D1217">
        <v>55.052745999999999</v>
      </c>
      <c r="E1217">
        <v>39.270499999999998</v>
      </c>
      <c r="F1217">
        <v>1036.1899410000001</v>
      </c>
      <c r="H1217" s="50">
        <f t="shared" si="153"/>
        <v>-2.1598766830276898E-3</v>
      </c>
      <c r="I1217" s="50">
        <f t="shared" si="154"/>
        <v>-4.1016153889822257E-4</v>
      </c>
      <c r="J1217" s="50">
        <f t="shared" si="155"/>
        <v>-7.0317404283536857E-3</v>
      </c>
      <c r="K1217" s="50">
        <f t="shared" si="156"/>
        <v>2.5928731908668158E-2</v>
      </c>
      <c r="L1217" s="50">
        <f t="shared" si="157"/>
        <v>-6.4149892297531326E-3</v>
      </c>
      <c r="P1217" s="50">
        <f t="shared" ref="P1217:P1280" si="160">(F1217-F1218)/F1218</f>
        <v>-6.4149892297531326E-3</v>
      </c>
      <c r="Q1217" s="51">
        <f t="shared" si="158"/>
        <v>113.92011001304057</v>
      </c>
      <c r="R1217" s="51">
        <f t="shared" si="159"/>
        <v>59.434177081975527</v>
      </c>
    </row>
    <row r="1218" spans="1:18" x14ac:dyDescent="0.15">
      <c r="A1218" s="59">
        <v>42675.75</v>
      </c>
      <c r="B1218">
        <v>14.975391999999999</v>
      </c>
      <c r="C1218">
        <v>125.687065</v>
      </c>
      <c r="D1218">
        <v>55.442604000000003</v>
      </c>
      <c r="E1218">
        <v>38.277999999999999</v>
      </c>
      <c r="F1218">
        <v>1042.880005</v>
      </c>
      <c r="H1218" s="50">
        <f t="shared" ref="H1218:H1281" si="161">(B1218-B1219)/B1219</f>
        <v>-2.5854838459377027E-3</v>
      </c>
      <c r="I1218" s="50">
        <f t="shared" ref="I1218:I1281" si="162">(C1218-C1219)/C1219</f>
        <v>1.259936176955553E-2</v>
      </c>
      <c r="J1218" s="50">
        <f t="shared" ref="J1218:J1281" si="163">(D1218-D1219)/D1219</f>
        <v>2.3848775921995472E-2</v>
      </c>
      <c r="K1218" s="50">
        <f t="shared" ref="K1218:K1281" si="164">(E1218-E1219)/E1219</f>
        <v>-1.9165090826562502E-3</v>
      </c>
      <c r="L1218" s="50">
        <f t="shared" ref="L1218:L1281" si="165">(F1218-F1219)/F1219</f>
        <v>-2.4201307790393881E-3</v>
      </c>
      <c r="P1218" s="50">
        <f t="shared" si="160"/>
        <v>-2.4201307790393881E-3</v>
      </c>
      <c r="Q1218" s="51">
        <f t="shared" si="158"/>
        <v>113.64440844844646</v>
      </c>
      <c r="R1218" s="51">
        <f t="shared" si="159"/>
        <v>59.280510977233476</v>
      </c>
    </row>
    <row r="1219" spans="1:18" x14ac:dyDescent="0.15">
      <c r="A1219" s="59">
        <v>42676.75</v>
      </c>
      <c r="B1219">
        <v>15.014211</v>
      </c>
      <c r="C1219">
        <v>124.123192</v>
      </c>
      <c r="D1219">
        <v>54.151164999999999</v>
      </c>
      <c r="E1219">
        <v>38.351500999999999</v>
      </c>
      <c r="F1219">
        <v>1045.410034</v>
      </c>
      <c r="H1219" s="50">
        <f t="shared" si="161"/>
        <v>6.7962823225244965E-3</v>
      </c>
      <c r="I1219" s="50">
        <f t="shared" si="162"/>
        <v>1.5536847842088352E-2</v>
      </c>
      <c r="J1219" s="50">
        <f t="shared" si="163"/>
        <v>2.1042440986813178E-3</v>
      </c>
      <c r="K1219" s="50">
        <f t="shared" si="164"/>
        <v>1.5866552304259346E-2</v>
      </c>
      <c r="L1219" s="50">
        <f t="shared" si="165"/>
        <v>-1.0415346392737735E-3</v>
      </c>
      <c r="P1219" s="50">
        <f t="shared" si="160"/>
        <v>-1.0415346392737735E-3</v>
      </c>
      <c r="Q1219" s="51">
        <f t="shared" ref="Q1219:Q1282" si="166">Q1218*(1+P1219)</f>
        <v>113.52604386048762</v>
      </c>
      <c r="R1219" s="51">
        <f t="shared" ref="R1219:R1282" si="167">R1218*(1+H1219)</f>
        <v>59.683398066058267</v>
      </c>
    </row>
    <row r="1220" spans="1:18" x14ac:dyDescent="0.15">
      <c r="A1220" s="59">
        <v>42677.75</v>
      </c>
      <c r="B1220">
        <v>14.912858999999999</v>
      </c>
      <c r="C1220">
        <v>122.22421300000001</v>
      </c>
      <c r="D1220">
        <v>54.037457000000003</v>
      </c>
      <c r="E1220">
        <v>37.752499</v>
      </c>
      <c r="F1220">
        <v>1046.5</v>
      </c>
      <c r="H1220" s="50">
        <f t="shared" si="161"/>
        <v>-8.8852255909011926E-3</v>
      </c>
      <c r="I1220" s="50">
        <f t="shared" si="162"/>
        <v>-9.0563950873202917E-3</v>
      </c>
      <c r="J1220" s="50">
        <f t="shared" si="163"/>
        <v>-1.4808127041329101E-2</v>
      </c>
      <c r="K1220" s="50">
        <f t="shared" si="164"/>
        <v>-3.8067065244904198E-2</v>
      </c>
      <c r="L1220" s="50">
        <f t="shared" si="165"/>
        <v>-1.887252834219677E-2</v>
      </c>
      <c r="P1220" s="50">
        <f t="shared" si="160"/>
        <v>-1.887252834219677E-2</v>
      </c>
      <c r="Q1220" s="51">
        <f t="shared" si="166"/>
        <v>111.38352038015309</v>
      </c>
      <c r="R1220" s="51">
        <f t="shared" si="167"/>
        <v>59.153097610209784</v>
      </c>
    </row>
    <row r="1221" spans="1:18" x14ac:dyDescent="0.15">
      <c r="A1221" s="59">
        <v>42678.75</v>
      </c>
      <c r="B1221">
        <v>15.046550999999999</v>
      </c>
      <c r="C1221">
        <v>123.34124</v>
      </c>
      <c r="D1221">
        <v>54.849677999999997</v>
      </c>
      <c r="E1221">
        <v>39.246498000000003</v>
      </c>
      <c r="F1221">
        <v>1066.630005</v>
      </c>
      <c r="H1221" s="50">
        <f t="shared" si="161"/>
        <v>-1.4313523987618054E-4</v>
      </c>
      <c r="I1221" s="50">
        <f t="shared" si="162"/>
        <v>-1.7455068996241795E-2</v>
      </c>
      <c r="J1221" s="50">
        <f t="shared" si="163"/>
        <v>7.1585060305094286E-3</v>
      </c>
      <c r="K1221" s="50">
        <f t="shared" si="164"/>
        <v>-3.5798920068576519E-3</v>
      </c>
      <c r="L1221" s="50">
        <f t="shared" si="165"/>
        <v>-2.4970016624398022E-3</v>
      </c>
      <c r="P1221" s="50">
        <f t="shared" si="160"/>
        <v>-2.4970016624398022E-3</v>
      </c>
      <c r="Q1221" s="51">
        <f t="shared" si="166"/>
        <v>111.10539554459544</v>
      </c>
      <c r="R1221" s="51">
        <f t="shared" si="167"/>
        <v>59.144630717393923</v>
      </c>
    </row>
    <row r="1222" spans="1:18" x14ac:dyDescent="0.15">
      <c r="A1222" s="59">
        <v>42679.75</v>
      </c>
      <c r="B1222">
        <v>15.048705</v>
      </c>
      <c r="C1222">
        <v>125.532417</v>
      </c>
      <c r="D1222">
        <v>54.459826999999997</v>
      </c>
      <c r="E1222">
        <v>39.387501</v>
      </c>
      <c r="F1222">
        <v>1069.3000489999999</v>
      </c>
      <c r="H1222" s="50">
        <f t="shared" si="161"/>
        <v>-1.8425126200298708E-2</v>
      </c>
      <c r="I1222" s="50">
        <f t="shared" si="162"/>
        <v>-4.768875281413178E-3</v>
      </c>
      <c r="J1222" s="50">
        <f t="shared" si="163"/>
        <v>-2.5577613249094727E-2</v>
      </c>
      <c r="K1222" s="50">
        <f t="shared" si="164"/>
        <v>2.0560163726995637E-2</v>
      </c>
      <c r="L1222" s="50">
        <f t="shared" si="165"/>
        <v>-2.1754956597154994E-2</v>
      </c>
      <c r="P1222" s="50">
        <f t="shared" si="160"/>
        <v>-2.1754956597154994E-2</v>
      </c>
      <c r="Q1222" s="51">
        <f t="shared" si="166"/>
        <v>108.68830248681303</v>
      </c>
      <c r="R1222" s="51">
        <f t="shared" si="167"/>
        <v>58.054883432355879</v>
      </c>
    </row>
    <row r="1223" spans="1:18" x14ac:dyDescent="0.15">
      <c r="A1223" s="59">
        <v>42682.75</v>
      </c>
      <c r="B1223">
        <v>15.331184</v>
      </c>
      <c r="C1223">
        <v>126.133934</v>
      </c>
      <c r="D1223">
        <v>55.889342999999997</v>
      </c>
      <c r="E1223">
        <v>38.594002000000003</v>
      </c>
      <c r="F1223">
        <v>1093.079956</v>
      </c>
      <c r="H1223" s="50">
        <f t="shared" si="161"/>
        <v>-4.0616594780152901E-3</v>
      </c>
      <c r="I1223" s="50">
        <f t="shared" si="162"/>
        <v>6.1347044718846537E-4</v>
      </c>
      <c r="J1223" s="50">
        <f t="shared" si="163"/>
        <v>-2.4525078718295731E-2</v>
      </c>
      <c r="K1223" s="50">
        <f t="shared" si="164"/>
        <v>3.9737143773731637E-2</v>
      </c>
      <c r="L1223" s="50">
        <f t="shared" si="165"/>
        <v>6.3993924447290903E-5</v>
      </c>
      <c r="P1223" s="50">
        <f t="shared" si="160"/>
        <v>6.3993924447290903E-5</v>
      </c>
      <c r="Q1223" s="51">
        <f t="shared" si="166"/>
        <v>108.69525787783068</v>
      </c>
      <c r="R1223" s="51">
        <f t="shared" si="167"/>
        <v>57.819084264817775</v>
      </c>
    </row>
    <row r="1224" spans="1:18" x14ac:dyDescent="0.15">
      <c r="A1224" s="59">
        <v>42683.75</v>
      </c>
      <c r="B1224">
        <v>15.393708</v>
      </c>
      <c r="C1224">
        <v>126.056602</v>
      </c>
      <c r="D1224">
        <v>57.294494999999998</v>
      </c>
      <c r="E1224">
        <v>37.118999000000002</v>
      </c>
      <c r="F1224">
        <v>1093.01001</v>
      </c>
      <c r="H1224" s="50">
        <f t="shared" si="161"/>
        <v>2.2460790626601911E-3</v>
      </c>
      <c r="I1224" s="50">
        <f t="shared" si="162"/>
        <v>-1.7809274628389278E-2</v>
      </c>
      <c r="J1224" s="50">
        <f t="shared" si="163"/>
        <v>-1.1352318883696044E-2</v>
      </c>
      <c r="K1224" s="50">
        <f t="shared" si="164"/>
        <v>4.5601277384610273E-3</v>
      </c>
      <c r="L1224" s="50">
        <f t="shared" si="165"/>
        <v>-5.0067818681051434E-3</v>
      </c>
      <c r="P1224" s="50">
        <f t="shared" si="160"/>
        <v>-5.0067818681051434E-3</v>
      </c>
      <c r="Q1224" s="51">
        <f t="shared" si="166"/>
        <v>108.15104443153895</v>
      </c>
      <c r="R1224" s="51">
        <f t="shared" si="167"/>
        <v>57.948950499407168</v>
      </c>
    </row>
    <row r="1225" spans="1:18" x14ac:dyDescent="0.15">
      <c r="A1225" s="59">
        <v>42684.75</v>
      </c>
      <c r="B1225">
        <v>15.359209999999999</v>
      </c>
      <c r="C1225">
        <v>128.342285</v>
      </c>
      <c r="D1225">
        <v>57.952388999999997</v>
      </c>
      <c r="E1225">
        <v>36.950499999999998</v>
      </c>
      <c r="F1225">
        <v>1098.51001</v>
      </c>
      <c r="H1225" s="50">
        <f t="shared" si="161"/>
        <v>1.049807551401037E-2</v>
      </c>
      <c r="I1225" s="50">
        <f t="shared" si="162"/>
        <v>-1.7368239267017728E-2</v>
      </c>
      <c r="J1225" s="50">
        <f t="shared" si="163"/>
        <v>-1.9675892328819229E-2</v>
      </c>
      <c r="K1225" s="50">
        <f t="shared" si="164"/>
        <v>2.7730291285418349E-2</v>
      </c>
      <c r="L1225" s="50">
        <f t="shared" si="165"/>
        <v>1.0365715116862038E-2</v>
      </c>
      <c r="P1225" s="50">
        <f t="shared" si="160"/>
        <v>1.0365715116862038E-2</v>
      </c>
      <c r="Q1225" s="51">
        <f t="shared" si="166"/>
        <v>109.27210734770738</v>
      </c>
      <c r="R1225" s="51">
        <f t="shared" si="167"/>
        <v>58.557302957707591</v>
      </c>
    </row>
    <row r="1226" spans="1:18" x14ac:dyDescent="0.15">
      <c r="A1226" s="59">
        <v>42685.75</v>
      </c>
      <c r="B1226">
        <v>15.199643</v>
      </c>
      <c r="C1226">
        <v>130.61076399999999</v>
      </c>
      <c r="D1226">
        <v>59.115540000000003</v>
      </c>
      <c r="E1226">
        <v>35.953499000000001</v>
      </c>
      <c r="F1226">
        <v>1087.23999</v>
      </c>
      <c r="H1226" s="50">
        <f t="shared" si="161"/>
        <v>-1.302141047098496E-2</v>
      </c>
      <c r="I1226" s="50">
        <f t="shared" si="162"/>
        <v>5.6236987832092395E-3</v>
      </c>
      <c r="J1226" s="50">
        <f t="shared" si="163"/>
        <v>1.0218295045985395E-2</v>
      </c>
      <c r="K1226" s="50">
        <f t="shared" si="164"/>
        <v>-3.2519779143204884E-2</v>
      </c>
      <c r="L1226" s="50">
        <f t="shared" si="165"/>
        <v>-5.7065425194158872E-3</v>
      </c>
      <c r="P1226" s="50">
        <f t="shared" si="160"/>
        <v>-5.7065425194158872E-3</v>
      </c>
      <c r="Q1226" s="51">
        <f t="shared" si="166"/>
        <v>108.6485414209415</v>
      </c>
      <c r="R1226" s="51">
        <f t="shared" si="167"/>
        <v>57.794804279821463</v>
      </c>
    </row>
    <row r="1227" spans="1:18" x14ac:dyDescent="0.15">
      <c r="A1227" s="59">
        <v>42686.75</v>
      </c>
      <c r="B1227">
        <v>15.400175000000001</v>
      </c>
      <c r="C1227">
        <v>129.88035600000001</v>
      </c>
      <c r="D1227">
        <v>58.517589999999998</v>
      </c>
      <c r="E1227">
        <v>37.161999000000002</v>
      </c>
      <c r="F1227">
        <v>1093.4799800000001</v>
      </c>
      <c r="H1227" s="50">
        <f t="shared" si="161"/>
        <v>4.2010670853316606E-4</v>
      </c>
      <c r="I1227" s="50">
        <f t="shared" si="162"/>
        <v>-6.5074273578051628E-3</v>
      </c>
      <c r="J1227" s="50">
        <f t="shared" si="163"/>
        <v>-6.0370502241731676E-2</v>
      </c>
      <c r="K1227" s="50">
        <f t="shared" si="164"/>
        <v>-4.3537621574631733E-3</v>
      </c>
      <c r="L1227" s="50">
        <f t="shared" si="165"/>
        <v>-1.4261307402141724E-2</v>
      </c>
      <c r="P1227" s="50">
        <f t="shared" si="160"/>
        <v>-1.4261307402141724E-2</v>
      </c>
      <c r="Q1227" s="51">
        <f t="shared" si="166"/>
        <v>107.09907117294313</v>
      </c>
      <c r="R1227" s="51">
        <f t="shared" si="167"/>
        <v>57.819084264817782</v>
      </c>
    </row>
    <row r="1228" spans="1:18" x14ac:dyDescent="0.15">
      <c r="A1228" s="59">
        <v>42689.75</v>
      </c>
      <c r="B1228">
        <v>15.393708</v>
      </c>
      <c r="C1228">
        <v>130.73107899999999</v>
      </c>
      <c r="D1228">
        <v>62.277301999999999</v>
      </c>
      <c r="E1228">
        <v>37.324500999999998</v>
      </c>
      <c r="F1228">
        <v>1109.3000489999999</v>
      </c>
      <c r="H1228" s="50">
        <f t="shared" si="161"/>
        <v>3.1796199963403167E-2</v>
      </c>
      <c r="I1228" s="50">
        <f t="shared" si="162"/>
        <v>6.2169268950913988E-3</v>
      </c>
      <c r="J1228" s="50">
        <f t="shared" si="163"/>
        <v>-1.3143035803454706E-3</v>
      </c>
      <c r="K1228" s="50">
        <f t="shared" si="164"/>
        <v>-1.3101507139079914E-2</v>
      </c>
      <c r="L1228" s="50">
        <f t="shared" si="165"/>
        <v>-9.185613603307529E-4</v>
      </c>
      <c r="P1228" s="50">
        <f t="shared" si="160"/>
        <v>-9.185613603307529E-4</v>
      </c>
      <c r="Q1228" s="51">
        <f t="shared" si="166"/>
        <v>107.00069410443635</v>
      </c>
      <c r="R1228" s="51">
        <f t="shared" si="167"/>
        <v>59.657511429802781</v>
      </c>
    </row>
    <row r="1229" spans="1:18" x14ac:dyDescent="0.15">
      <c r="A1229" s="59">
        <v>42690.75</v>
      </c>
      <c r="B1229">
        <v>14.91933</v>
      </c>
      <c r="C1229">
        <v>129.92335499999999</v>
      </c>
      <c r="D1229">
        <v>62.359260999999996</v>
      </c>
      <c r="E1229">
        <v>37.82</v>
      </c>
      <c r="F1229">
        <v>1110.3199460000001</v>
      </c>
      <c r="H1229" s="50">
        <f t="shared" si="161"/>
        <v>9.4835495170872974E-3</v>
      </c>
      <c r="I1229" s="50">
        <f t="shared" si="162"/>
        <v>5.586511104984958E-3</v>
      </c>
      <c r="J1229" s="50">
        <f t="shared" si="163"/>
        <v>-7.872178724687601E-4</v>
      </c>
      <c r="K1229" s="50">
        <f t="shared" si="164"/>
        <v>-4.9463009089217727E-3</v>
      </c>
      <c r="L1229" s="50">
        <f t="shared" si="165"/>
        <v>4.6846006221443968E-4</v>
      </c>
      <c r="P1229" s="50">
        <f t="shared" si="160"/>
        <v>4.6846006221443968E-4</v>
      </c>
      <c r="Q1229" s="51">
        <f t="shared" si="166"/>
        <v>107.05081965625351</v>
      </c>
      <c r="R1229" s="51">
        <f t="shared" si="167"/>
        <v>60.223276393513515</v>
      </c>
    </row>
    <row r="1230" spans="1:18" x14ac:dyDescent="0.15">
      <c r="A1230" s="59">
        <v>42691.75</v>
      </c>
      <c r="B1230">
        <v>14.779171</v>
      </c>
      <c r="C1230">
        <v>129.20156900000001</v>
      </c>
      <c r="D1230">
        <v>62.408389999999997</v>
      </c>
      <c r="E1230">
        <v>38.007998999999998</v>
      </c>
      <c r="F1230">
        <v>1109.8000489999999</v>
      </c>
      <c r="H1230" s="50">
        <f t="shared" si="161"/>
        <v>-1.1964457873330137E-2</v>
      </c>
      <c r="I1230" s="50">
        <f t="shared" si="162"/>
        <v>-5.3577080554315952E-3</v>
      </c>
      <c r="J1230" s="50">
        <f t="shared" si="163"/>
        <v>-4.1823823271752618E-3</v>
      </c>
      <c r="K1230" s="50">
        <f t="shared" si="164"/>
        <v>-2.5435923076923127E-2</v>
      </c>
      <c r="L1230" s="50">
        <f t="shared" si="165"/>
        <v>1.3608571260749113E-2</v>
      </c>
      <c r="P1230" s="50">
        <f t="shared" si="160"/>
        <v>1.3608571260749113E-2</v>
      </c>
      <c r="Q1230" s="51">
        <f t="shared" si="166"/>
        <v>108.50762836406724</v>
      </c>
      <c r="R1230" s="51">
        <f t="shared" si="167"/>
        <v>59.502737540109408</v>
      </c>
    </row>
    <row r="1231" spans="1:18" x14ac:dyDescent="0.15">
      <c r="A1231" s="59">
        <v>42692.75</v>
      </c>
      <c r="B1231">
        <v>14.958137000000001</v>
      </c>
      <c r="C1231">
        <v>129.89752200000001</v>
      </c>
      <c r="D1231">
        <v>62.670501999999999</v>
      </c>
      <c r="E1231">
        <v>39</v>
      </c>
      <c r="F1231">
        <v>1094.900024</v>
      </c>
      <c r="H1231" s="50">
        <f t="shared" si="161"/>
        <v>-1.0696195507604421E-2</v>
      </c>
      <c r="I1231" s="50">
        <f t="shared" si="162"/>
        <v>-9.8252516330533911E-3</v>
      </c>
      <c r="J1231" s="50">
        <f t="shared" si="163"/>
        <v>-1.7465088385730791E-2</v>
      </c>
      <c r="K1231" s="50">
        <f t="shared" si="164"/>
        <v>-6.7869305078612462E-3</v>
      </c>
      <c r="L1231" s="50">
        <f t="shared" si="165"/>
        <v>3.2252918175828663E-3</v>
      </c>
      <c r="P1231" s="50">
        <f t="shared" si="160"/>
        <v>3.2252918175828663E-3</v>
      </c>
      <c r="Q1231" s="51">
        <f t="shared" si="166"/>
        <v>108.85759712997519</v>
      </c>
      <c r="R1231" s="51">
        <f t="shared" si="167"/>
        <v>58.866284626142729</v>
      </c>
    </row>
    <row r="1232" spans="1:18" x14ac:dyDescent="0.15">
      <c r="A1232" s="59">
        <v>42693.75</v>
      </c>
      <c r="B1232">
        <v>15.119861999999999</v>
      </c>
      <c r="C1232">
        <v>131.18646200000001</v>
      </c>
      <c r="D1232">
        <v>63.784503999999998</v>
      </c>
      <c r="E1232">
        <v>39.266499000000003</v>
      </c>
      <c r="F1232">
        <v>1091.380005</v>
      </c>
      <c r="H1232" s="50">
        <f t="shared" si="161"/>
        <v>-1.002431551755879E-2</v>
      </c>
      <c r="I1232" s="50">
        <f t="shared" si="162"/>
        <v>7.0575922130448289E-3</v>
      </c>
      <c r="J1232" s="50">
        <f t="shared" si="163"/>
        <v>-7.7726763312968607E-3</v>
      </c>
      <c r="K1232" s="50">
        <f t="shared" si="164"/>
        <v>6.6784082787672968E-3</v>
      </c>
      <c r="L1232" s="50">
        <f t="shared" si="165"/>
        <v>-1.343287635081792E-2</v>
      </c>
      <c r="P1232" s="50">
        <f t="shared" si="160"/>
        <v>-1.343287635081792E-2</v>
      </c>
      <c r="Q1232" s="51">
        <f t="shared" si="166"/>
        <v>107.39532648788108</v>
      </c>
      <c r="R1232" s="51">
        <f t="shared" si="167"/>
        <v>58.276190415703851</v>
      </c>
    </row>
    <row r="1233" spans="1:18" x14ac:dyDescent="0.15">
      <c r="A1233" s="59">
        <v>42696.75</v>
      </c>
      <c r="B1233">
        <v>15.272963000000001</v>
      </c>
      <c r="C1233">
        <v>130.26709</v>
      </c>
      <c r="D1233">
        <v>64.284164000000004</v>
      </c>
      <c r="E1233">
        <v>39.006000999999998</v>
      </c>
      <c r="F1233">
        <v>1106.23999</v>
      </c>
      <c r="H1233" s="50">
        <f t="shared" si="161"/>
        <v>-5.6153278716807968E-3</v>
      </c>
      <c r="I1233" s="50">
        <f t="shared" si="162"/>
        <v>-1.8432253528136266E-3</v>
      </c>
      <c r="J1233" s="50">
        <f t="shared" si="163"/>
        <v>-1.6538424457114228E-3</v>
      </c>
      <c r="K1233" s="50">
        <f t="shared" si="164"/>
        <v>-3.2036084625605791E-4</v>
      </c>
      <c r="L1233" s="50">
        <f t="shared" si="165"/>
        <v>5.3359199312060434E-4</v>
      </c>
      <c r="P1233" s="50">
        <f t="shared" si="160"/>
        <v>5.3359199312060434E-4</v>
      </c>
      <c r="Q1233" s="51">
        <f t="shared" si="166"/>
        <v>107.45263177419359</v>
      </c>
      <c r="R1233" s="51">
        <f t="shared" si="167"/>
        <v>57.948950499407168</v>
      </c>
    </row>
    <row r="1234" spans="1:18" x14ac:dyDescent="0.15">
      <c r="A1234" s="59">
        <v>42697.75</v>
      </c>
      <c r="B1234">
        <v>15.359209999999999</v>
      </c>
      <c r="C1234">
        <v>130.507645</v>
      </c>
      <c r="D1234">
        <v>64.390656000000007</v>
      </c>
      <c r="E1234">
        <v>39.018501000000001</v>
      </c>
      <c r="F1234">
        <v>1105.650024</v>
      </c>
      <c r="H1234" s="50">
        <f t="shared" si="161"/>
        <v>5.6173747622799506E-4</v>
      </c>
      <c r="I1234" s="50">
        <f t="shared" si="162"/>
        <v>4.1652025372206358E-3</v>
      </c>
      <c r="J1234" s="50">
        <f t="shared" si="163"/>
        <v>1.1451719082051184E-2</v>
      </c>
      <c r="K1234" s="50">
        <f t="shared" si="164"/>
        <v>1.7736739368083267E-2</v>
      </c>
      <c r="L1234" s="50">
        <f t="shared" si="165"/>
        <v>-4.4839244190957661E-3</v>
      </c>
      <c r="P1234" s="50">
        <f t="shared" si="160"/>
        <v>-4.4839244190957661E-3</v>
      </c>
      <c r="Q1234" s="51">
        <f t="shared" si="166"/>
        <v>106.97082229468518</v>
      </c>
      <c r="R1234" s="51">
        <f t="shared" si="167"/>
        <v>57.98150259661076</v>
      </c>
    </row>
    <row r="1235" spans="1:18" x14ac:dyDescent="0.15">
      <c r="A1235" s="59">
        <v>42698.75</v>
      </c>
      <c r="B1235">
        <v>15.350587000000001</v>
      </c>
      <c r="C1235">
        <v>129.966309</v>
      </c>
      <c r="D1235">
        <v>63.661620999999997</v>
      </c>
      <c r="E1235">
        <v>38.338501000000001</v>
      </c>
      <c r="F1235">
        <v>1110.630005</v>
      </c>
      <c r="H1235" s="50">
        <f t="shared" si="161"/>
        <v>-2.5219958232285938E-3</v>
      </c>
      <c r="I1235" s="50">
        <f t="shared" si="162"/>
        <v>-1.5180936098185104E-3</v>
      </c>
      <c r="J1235" s="50">
        <f t="shared" si="163"/>
        <v>-8.7998458338431357E-3</v>
      </c>
      <c r="K1235" s="50">
        <f t="shared" si="164"/>
        <v>5.5736769022105004E-3</v>
      </c>
      <c r="L1235" s="50">
        <f t="shared" si="165"/>
        <v>1.7535676163186752E-2</v>
      </c>
      <c r="P1235" s="50">
        <f t="shared" si="160"/>
        <v>1.7535676163186752E-2</v>
      </c>
      <c r="Q1235" s="51">
        <f t="shared" si="166"/>
        <v>108.84662799335459</v>
      </c>
      <c r="R1235" s="51">
        <f t="shared" si="167"/>
        <v>57.835273489237593</v>
      </c>
    </row>
    <row r="1236" spans="1:18" x14ac:dyDescent="0.15">
      <c r="A1236" s="59">
        <v>42700.75</v>
      </c>
      <c r="B1236">
        <v>15.389398999999999</v>
      </c>
      <c r="C1236">
        <v>130.16390999999999</v>
      </c>
      <c r="D1236">
        <v>64.226806999999994</v>
      </c>
      <c r="E1236">
        <v>38.125999</v>
      </c>
      <c r="F1236">
        <v>1091.48999</v>
      </c>
      <c r="H1236" s="50">
        <f t="shared" si="161"/>
        <v>1.3346405288149515E-2</v>
      </c>
      <c r="I1236" s="50">
        <f t="shared" si="162"/>
        <v>9.1262869346104072E-3</v>
      </c>
      <c r="J1236" s="50">
        <f t="shared" si="163"/>
        <v>1.5147502906978126E-2</v>
      </c>
      <c r="K1236" s="50">
        <f t="shared" si="164"/>
        <v>1.5921206549688878E-2</v>
      </c>
      <c r="L1236" s="50">
        <f t="shared" si="165"/>
        <v>-3.7786615747165018E-3</v>
      </c>
      <c r="P1236" s="50">
        <f t="shared" si="160"/>
        <v>-3.7786615747165018E-3</v>
      </c>
      <c r="Q1236" s="51">
        <f t="shared" si="166"/>
        <v>108.43533342261864</v>
      </c>
      <c r="R1236" s="51">
        <f t="shared" si="167"/>
        <v>58.607166489175931</v>
      </c>
    </row>
    <row r="1237" spans="1:18" x14ac:dyDescent="0.15">
      <c r="A1237" s="59">
        <v>42703.75</v>
      </c>
      <c r="B1237">
        <v>15.186711000000001</v>
      </c>
      <c r="C1237">
        <v>128.98674</v>
      </c>
      <c r="D1237">
        <v>63.268447999999999</v>
      </c>
      <c r="E1237">
        <v>37.528500000000001</v>
      </c>
      <c r="F1237">
        <v>1095.630005</v>
      </c>
      <c r="H1237" s="50">
        <f t="shared" si="161"/>
        <v>-3.3960122350937152E-3</v>
      </c>
      <c r="I1237" s="50">
        <f t="shared" si="162"/>
        <v>-1.0741643163229867E-2</v>
      </c>
      <c r="J1237" s="50">
        <f t="shared" si="163"/>
        <v>-7.4530230754399768E-3</v>
      </c>
      <c r="K1237" s="50">
        <f t="shared" si="164"/>
        <v>9.3054799786319118E-3</v>
      </c>
      <c r="L1237" s="50">
        <f t="shared" si="165"/>
        <v>-1.1931154680453247E-2</v>
      </c>
      <c r="P1237" s="50">
        <f t="shared" si="160"/>
        <v>-1.1931154680453247E-2</v>
      </c>
      <c r="Q1237" s="51">
        <f t="shared" si="166"/>
        <v>107.14157468672686</v>
      </c>
      <c r="R1237" s="51">
        <f t="shared" si="167"/>
        <v>58.408135834714521</v>
      </c>
    </row>
    <row r="1238" spans="1:18" x14ac:dyDescent="0.15">
      <c r="A1238" s="59">
        <v>42704.75</v>
      </c>
      <c r="B1238">
        <v>15.238460999999999</v>
      </c>
      <c r="C1238">
        <v>130.387314</v>
      </c>
      <c r="D1238">
        <v>63.74353</v>
      </c>
      <c r="E1238">
        <v>37.182499</v>
      </c>
      <c r="F1238">
        <v>1108.8599850000001</v>
      </c>
      <c r="H1238" s="50">
        <f t="shared" si="161"/>
        <v>-2.9624949758695488E-3</v>
      </c>
      <c r="I1238" s="50">
        <f t="shared" si="162"/>
        <v>-2.3016324897497651E-3</v>
      </c>
      <c r="J1238" s="50">
        <f t="shared" si="163"/>
        <v>-1.5396959112714975E-3</v>
      </c>
      <c r="K1238" s="50">
        <f t="shared" si="164"/>
        <v>4.4709460232296256E-3</v>
      </c>
      <c r="L1238" s="50">
        <f t="shared" si="165"/>
        <v>-3.4258141017795693E-4</v>
      </c>
      <c r="P1238" s="50">
        <f t="shared" si="160"/>
        <v>-3.4258141017795693E-4</v>
      </c>
      <c r="Q1238" s="51">
        <f t="shared" si="166"/>
        <v>107.10486997498199</v>
      </c>
      <c r="R1238" s="51">
        <f t="shared" si="167"/>
        <v>58.235102025754273</v>
      </c>
    </row>
    <row r="1239" spans="1:18" x14ac:dyDescent="0.15">
      <c r="A1239" s="59">
        <v>42705.75</v>
      </c>
      <c r="B1239">
        <v>15.283739000000001</v>
      </c>
      <c r="C1239">
        <v>130.68810999999999</v>
      </c>
      <c r="D1239">
        <v>63.841827000000002</v>
      </c>
      <c r="E1239">
        <v>37.016998000000001</v>
      </c>
      <c r="F1239">
        <v>1109.23999</v>
      </c>
      <c r="H1239" s="50">
        <f t="shared" si="161"/>
        <v>1.3439643314078585E-2</v>
      </c>
      <c r="I1239" s="50">
        <f t="shared" si="162"/>
        <v>2.108399393199103E-3</v>
      </c>
      <c r="J1239" s="50">
        <f t="shared" si="163"/>
        <v>1.2470876832731599E-2</v>
      </c>
      <c r="K1239" s="50">
        <f t="shared" si="164"/>
        <v>-2.5047435341535855E-2</v>
      </c>
      <c r="L1239" s="50">
        <f t="shared" si="165"/>
        <v>8.4732940824561176E-3</v>
      </c>
      <c r="P1239" s="50">
        <f t="shared" si="160"/>
        <v>8.4732940824561176E-3</v>
      </c>
      <c r="Q1239" s="51">
        <f t="shared" si="166"/>
        <v>108.01240103594324</v>
      </c>
      <c r="R1239" s="51">
        <f t="shared" si="167"/>
        <v>59.017761025339389</v>
      </c>
    </row>
    <row r="1240" spans="1:18" x14ac:dyDescent="0.15">
      <c r="A1240" s="59">
        <v>42706.75</v>
      </c>
      <c r="B1240">
        <v>15.081054999999999</v>
      </c>
      <c r="C1240">
        <v>130.41314700000001</v>
      </c>
      <c r="D1240">
        <v>63.05547</v>
      </c>
      <c r="E1240">
        <v>37.967998999999999</v>
      </c>
      <c r="F1240">
        <v>1099.920044</v>
      </c>
      <c r="H1240" s="50">
        <f t="shared" si="161"/>
        <v>-5.9691070483197705E-3</v>
      </c>
      <c r="I1240" s="50">
        <f t="shared" si="162"/>
        <v>5.0328342106678945E-3</v>
      </c>
      <c r="J1240" s="50">
        <f t="shared" si="163"/>
        <v>2.7354253122566044E-3</v>
      </c>
      <c r="K1240" s="50">
        <f t="shared" si="164"/>
        <v>-7.0091275237995129E-3</v>
      </c>
      <c r="L1240" s="50">
        <f t="shared" si="165"/>
        <v>-5.4792456550615924E-3</v>
      </c>
      <c r="P1240" s="50">
        <f t="shared" si="160"/>
        <v>-5.4792456550615924E-3</v>
      </c>
      <c r="Q1240" s="51">
        <f t="shared" si="166"/>
        <v>107.42057455687427</v>
      </c>
      <c r="R1240" s="51">
        <f t="shared" si="167"/>
        <v>58.665477692026982</v>
      </c>
    </row>
    <row r="1241" spans="1:18" x14ac:dyDescent="0.15">
      <c r="A1241" s="59">
        <v>42707.75</v>
      </c>
      <c r="B1241">
        <v>15.171616</v>
      </c>
      <c r="C1241">
        <v>129.760086</v>
      </c>
      <c r="D1241">
        <v>62.883457</v>
      </c>
      <c r="E1241">
        <v>38.235999999999997</v>
      </c>
      <c r="F1241">
        <v>1105.9799800000001</v>
      </c>
      <c r="H1241" s="50">
        <f t="shared" si="161"/>
        <v>-2.4645803167486963E-2</v>
      </c>
      <c r="I1241" s="50">
        <f t="shared" si="162"/>
        <v>-1.8459722571334238E-2</v>
      </c>
      <c r="J1241" s="50">
        <f t="shared" si="163"/>
        <v>-2.5989529070183726E-3</v>
      </c>
      <c r="K1241" s="50">
        <f t="shared" si="164"/>
        <v>-7.3985618234210871E-3</v>
      </c>
      <c r="L1241" s="50">
        <f t="shared" si="165"/>
        <v>2.4744890097440006E-3</v>
      </c>
      <c r="P1241" s="50">
        <f t="shared" si="160"/>
        <v>2.4744890097440006E-3</v>
      </c>
      <c r="Q1241" s="51">
        <f t="shared" si="166"/>
        <v>107.68638558803563</v>
      </c>
      <c r="R1241" s="51">
        <f t="shared" si="167"/>
        <v>57.219619876102684</v>
      </c>
    </row>
    <row r="1242" spans="1:18" x14ac:dyDescent="0.15">
      <c r="A1242" s="59">
        <v>42710.75</v>
      </c>
      <c r="B1242">
        <v>15.554981</v>
      </c>
      <c r="C1242">
        <v>132.20047</v>
      </c>
      <c r="D1242">
        <v>63.047314</v>
      </c>
      <c r="E1242">
        <v>38.521000000000001</v>
      </c>
      <c r="F1242">
        <v>1103.25</v>
      </c>
      <c r="H1242" s="50">
        <f t="shared" si="161"/>
        <v>3.6962263685871265E-3</v>
      </c>
      <c r="I1242" s="50">
        <f t="shared" si="162"/>
        <v>-2.3732044376700259E-2</v>
      </c>
      <c r="J1242" s="50">
        <f t="shared" si="163"/>
        <v>-1.117659580978538E-2</v>
      </c>
      <c r="K1242" s="50">
        <f t="shared" si="164"/>
        <v>4.026924425555546E-3</v>
      </c>
      <c r="L1242" s="50">
        <f t="shared" si="165"/>
        <v>1.0357766554122147E-2</v>
      </c>
      <c r="P1242" s="50">
        <f t="shared" si="160"/>
        <v>1.0357766554122147E-2</v>
      </c>
      <c r="Q1242" s="51">
        <f t="shared" si="166"/>
        <v>108.80177603101369</v>
      </c>
      <c r="R1242" s="51">
        <f t="shared" si="167"/>
        <v>57.431116543889267</v>
      </c>
    </row>
    <row r="1243" spans="1:18" x14ac:dyDescent="0.15">
      <c r="A1243" s="59">
        <v>42711.75</v>
      </c>
      <c r="B1243">
        <v>15.497698</v>
      </c>
      <c r="C1243">
        <v>135.41412399999999</v>
      </c>
      <c r="D1243">
        <v>63.759932999999997</v>
      </c>
      <c r="E1243">
        <v>38.366501</v>
      </c>
      <c r="F1243">
        <v>1091.9399410000001</v>
      </c>
      <c r="H1243" s="50">
        <f t="shared" si="161"/>
        <v>3.710069154238313E-3</v>
      </c>
      <c r="I1243" s="50">
        <f t="shared" si="162"/>
        <v>-1.3212680535553084E-2</v>
      </c>
      <c r="J1243" s="50">
        <f t="shared" si="163"/>
        <v>5.8145956786714165E-3</v>
      </c>
      <c r="K1243" s="50">
        <f t="shared" si="164"/>
        <v>-1.7302318770388652E-3</v>
      </c>
      <c r="L1243" s="50">
        <f t="shared" si="165"/>
        <v>-3.6589353339913288E-3</v>
      </c>
      <c r="P1243" s="50">
        <f t="shared" si="160"/>
        <v>-3.6589353339913288E-3</v>
      </c>
      <c r="Q1243" s="51">
        <f t="shared" si="166"/>
        <v>108.4036773682928</v>
      </c>
      <c r="R1243" s="51">
        <f t="shared" si="167"/>
        <v>57.644189957872214</v>
      </c>
    </row>
    <row r="1244" spans="1:18" x14ac:dyDescent="0.15">
      <c r="A1244" s="59">
        <v>42712.75</v>
      </c>
      <c r="B1244">
        <v>15.440412999999999</v>
      </c>
      <c r="C1244">
        <v>137.22726399999999</v>
      </c>
      <c r="D1244">
        <v>63.391337999999998</v>
      </c>
      <c r="E1244">
        <v>38.432999000000002</v>
      </c>
      <c r="F1244">
        <v>1095.9499510000001</v>
      </c>
      <c r="H1244" s="50">
        <f t="shared" si="161"/>
        <v>-2.2185040071925722E-2</v>
      </c>
      <c r="I1244" s="50">
        <f t="shared" si="162"/>
        <v>-3.9293133558735531E-3</v>
      </c>
      <c r="J1244" s="50">
        <f t="shared" si="163"/>
        <v>8.4703356733784024E-3</v>
      </c>
      <c r="K1244" s="50">
        <f t="shared" si="164"/>
        <v>1.1235015228253155E-2</v>
      </c>
      <c r="L1244" s="50">
        <f t="shared" si="165"/>
        <v>-5.8058013692013858E-3</v>
      </c>
      <c r="P1244" s="50">
        <f t="shared" si="160"/>
        <v>-5.8058013692013858E-3</v>
      </c>
      <c r="Q1244" s="51">
        <f t="shared" si="166"/>
        <v>107.7743071498015</v>
      </c>
      <c r="R1244" s="51">
        <f t="shared" si="167"/>
        <v>56.365351293743124</v>
      </c>
    </row>
    <row r="1245" spans="1:18" x14ac:dyDescent="0.15">
      <c r="A1245" s="59">
        <v>42713.75</v>
      </c>
      <c r="B1245">
        <v>15.790730999999999</v>
      </c>
      <c r="C1245">
        <v>137.76859999999999</v>
      </c>
      <c r="D1245">
        <v>62.858902</v>
      </c>
      <c r="E1245">
        <v>38.006000999999998</v>
      </c>
      <c r="F1245">
        <v>1102.349976</v>
      </c>
      <c r="H1245" s="50">
        <f t="shared" si="161"/>
        <v>-1.8103124087946131E-3</v>
      </c>
      <c r="I1245" s="50">
        <f t="shared" si="162"/>
        <v>3.5050631267331293E-3</v>
      </c>
      <c r="J1245" s="50">
        <f t="shared" si="163"/>
        <v>-1.1973359909607954E-2</v>
      </c>
      <c r="K1245" s="50">
        <f t="shared" si="164"/>
        <v>-1.836397495580697E-2</v>
      </c>
      <c r="L1245" s="50">
        <f t="shared" si="165"/>
        <v>-3.6695780725358338E-3</v>
      </c>
      <c r="P1245" s="50">
        <f t="shared" si="160"/>
        <v>-3.6695780725358338E-3</v>
      </c>
      <c r="Q1245" s="51">
        <f t="shared" si="166"/>
        <v>107.37882091550185</v>
      </c>
      <c r="R1245" s="51">
        <f t="shared" si="167"/>
        <v>56.263312398869992</v>
      </c>
    </row>
    <row r="1246" spans="1:18" x14ac:dyDescent="0.15">
      <c r="A1246" s="59">
        <v>42714.75</v>
      </c>
      <c r="B1246">
        <v>15.819369</v>
      </c>
      <c r="C1246">
        <v>137.28739899999999</v>
      </c>
      <c r="D1246">
        <v>63.620654999999999</v>
      </c>
      <c r="E1246">
        <v>38.716999000000001</v>
      </c>
      <c r="F1246">
        <v>1106.410034</v>
      </c>
      <c r="H1246" s="50">
        <f t="shared" si="161"/>
        <v>6.4476934250768574E-3</v>
      </c>
      <c r="I1246" s="50">
        <f t="shared" si="162"/>
        <v>4.9060973622182223E-3</v>
      </c>
      <c r="J1246" s="50">
        <f t="shared" si="163"/>
        <v>6.21808538661053E-3</v>
      </c>
      <c r="K1246" s="50">
        <f t="shared" si="164"/>
        <v>7.179755616151833E-3</v>
      </c>
      <c r="L1246" s="50">
        <f t="shared" si="165"/>
        <v>-6.9113023881569964E-3</v>
      </c>
      <c r="P1246" s="50">
        <f t="shared" si="160"/>
        <v>-6.9113023881569964E-3</v>
      </c>
      <c r="Q1246" s="51">
        <f t="shared" si="166"/>
        <v>106.63669341407106</v>
      </c>
      <c r="R1246" s="51">
        <f t="shared" si="167"/>
        <v>56.626080988297225</v>
      </c>
    </row>
    <row r="1247" spans="1:18" x14ac:dyDescent="0.15">
      <c r="A1247" s="59">
        <v>42717.75</v>
      </c>
      <c r="B1247">
        <v>15.718024</v>
      </c>
      <c r="C1247">
        <v>136.617142</v>
      </c>
      <c r="D1247">
        <v>63.227500999999997</v>
      </c>
      <c r="E1247">
        <v>38.441001999999997</v>
      </c>
      <c r="F1247">
        <v>1114.1099850000001</v>
      </c>
      <c r="H1247" s="50">
        <f t="shared" si="161"/>
        <v>3.6581297110256342E-3</v>
      </c>
      <c r="I1247" s="50">
        <f t="shared" si="162"/>
        <v>-6.995132248199561E-3</v>
      </c>
      <c r="J1247" s="50">
        <f t="shared" si="163"/>
        <v>2.7282486356853251E-3</v>
      </c>
      <c r="K1247" s="50">
        <f t="shared" si="164"/>
        <v>1.0276031807517204E-2</v>
      </c>
      <c r="L1247" s="50">
        <f t="shared" si="165"/>
        <v>5.5779071771620385E-3</v>
      </c>
      <c r="P1247" s="50">
        <f t="shared" si="160"/>
        <v>5.5779071771620385E-3</v>
      </c>
      <c r="Q1247" s="51">
        <f t="shared" si="166"/>
        <v>107.23150299161424</v>
      </c>
      <c r="R1247" s="51">
        <f t="shared" si="167"/>
        <v>56.833226537579456</v>
      </c>
    </row>
    <row r="1248" spans="1:18" x14ac:dyDescent="0.15">
      <c r="A1248" s="59">
        <v>42718.75</v>
      </c>
      <c r="B1248">
        <v>15.660735000000001</v>
      </c>
      <c r="C1248">
        <v>137.57952900000001</v>
      </c>
      <c r="D1248">
        <v>63.05547</v>
      </c>
      <c r="E1248">
        <v>38.049999</v>
      </c>
      <c r="F1248">
        <v>1107.9300539999999</v>
      </c>
      <c r="H1248" s="50">
        <f t="shared" si="161"/>
        <v>1.4086844147262118E-3</v>
      </c>
      <c r="I1248" s="50">
        <f t="shared" si="162"/>
        <v>-1.8704075262160002E-3</v>
      </c>
      <c r="J1248" s="50">
        <f t="shared" si="163"/>
        <v>2.9961453135646456E-3</v>
      </c>
      <c r="K1248" s="50">
        <f t="shared" si="164"/>
        <v>4.2624806999485114E-3</v>
      </c>
      <c r="L1248" s="50">
        <f t="shared" si="165"/>
        <v>-1.1269585992753528E-3</v>
      </c>
      <c r="P1248" s="50">
        <f t="shared" si="160"/>
        <v>-1.1269585992753528E-3</v>
      </c>
      <c r="Q1248" s="51">
        <f t="shared" si="166"/>
        <v>107.11065752720461</v>
      </c>
      <c r="R1248" s="51">
        <f t="shared" si="167"/>
        <v>56.913286618041553</v>
      </c>
    </row>
    <row r="1249" spans="1:18" x14ac:dyDescent="0.15">
      <c r="A1249" s="59">
        <v>42719.75</v>
      </c>
      <c r="B1249">
        <v>15.638705</v>
      </c>
      <c r="C1249">
        <v>137.83734100000001</v>
      </c>
      <c r="D1249">
        <v>62.867111000000001</v>
      </c>
      <c r="E1249">
        <v>37.888500000000001</v>
      </c>
      <c r="F1249">
        <v>1109.1800539999999</v>
      </c>
      <c r="H1249" s="50">
        <f t="shared" si="161"/>
        <v>-8.3820845204883639E-3</v>
      </c>
      <c r="I1249" s="50">
        <f t="shared" si="162"/>
        <v>-1.865907256652076E-2</v>
      </c>
      <c r="J1249" s="50">
        <f t="shared" si="163"/>
        <v>-3.7636392166188783E-3</v>
      </c>
      <c r="K1249" s="50">
        <f t="shared" si="164"/>
        <v>-1.0744099497234953E-2</v>
      </c>
      <c r="L1249" s="50">
        <f t="shared" si="165"/>
        <v>1.1951772248264604E-2</v>
      </c>
      <c r="P1249" s="50">
        <f t="shared" si="160"/>
        <v>1.1951772248264604E-2</v>
      </c>
      <c r="Q1249" s="51">
        <f t="shared" si="166"/>
        <v>108.39081971133164</v>
      </c>
      <c r="R1249" s="51">
        <f t="shared" si="167"/>
        <v>56.436234639270346</v>
      </c>
    </row>
    <row r="1250" spans="1:18" x14ac:dyDescent="0.15">
      <c r="A1250" s="59">
        <v>42720.75</v>
      </c>
      <c r="B1250">
        <v>15.770898000000001</v>
      </c>
      <c r="C1250">
        <v>140.45815999999999</v>
      </c>
      <c r="D1250">
        <v>63.104613999999998</v>
      </c>
      <c r="E1250">
        <v>38.299999</v>
      </c>
      <c r="F1250">
        <v>1096.079956</v>
      </c>
      <c r="H1250" s="50">
        <f t="shared" si="161"/>
        <v>-3.3416802664547169E-3</v>
      </c>
      <c r="I1250" s="50">
        <f t="shared" si="162"/>
        <v>-2.4407284113282827E-3</v>
      </c>
      <c r="J1250" s="50">
        <f t="shared" si="163"/>
        <v>-7.8559485755410243E-3</v>
      </c>
      <c r="K1250" s="50">
        <f t="shared" si="164"/>
        <v>-6.7685483579639893E-3</v>
      </c>
      <c r="L1250" s="50">
        <f t="shared" si="165"/>
        <v>-5.7960898419789691E-3</v>
      </c>
      <c r="P1250" s="50">
        <f t="shared" si="160"/>
        <v>-5.7960898419789691E-3</v>
      </c>
      <c r="Q1250" s="51">
        <f t="shared" si="166"/>
        <v>107.76257678223902</v>
      </c>
      <c r="R1250" s="51">
        <f t="shared" si="167"/>
        <v>56.247642787663288</v>
      </c>
    </row>
    <row r="1251" spans="1:18" x14ac:dyDescent="0.15">
      <c r="A1251" s="59">
        <v>42721.75</v>
      </c>
      <c r="B1251">
        <v>15.823776000000001</v>
      </c>
      <c r="C1251">
        <v>140.80181899999999</v>
      </c>
      <c r="D1251">
        <v>63.604286000000002</v>
      </c>
      <c r="E1251">
        <v>38.561000999999997</v>
      </c>
      <c r="F1251">
        <v>1102.469971</v>
      </c>
      <c r="H1251" s="50">
        <f t="shared" si="161"/>
        <v>8.1415719917181991E-3</v>
      </c>
      <c r="I1251" s="50">
        <f t="shared" si="162"/>
        <v>5.0292929062857915E-3</v>
      </c>
      <c r="J1251" s="50">
        <f t="shared" si="163"/>
        <v>6.7418191000845036E-3</v>
      </c>
      <c r="K1251" s="50">
        <f t="shared" si="164"/>
        <v>8.0461979768026637E-4</v>
      </c>
      <c r="L1251" s="50">
        <f t="shared" si="165"/>
        <v>-1.0394576087846802E-2</v>
      </c>
      <c r="P1251" s="50">
        <f t="shared" si="160"/>
        <v>-1.0394576087846802E-2</v>
      </c>
      <c r="Q1251" s="51">
        <f t="shared" si="166"/>
        <v>106.6424304784536</v>
      </c>
      <c r="R1251" s="51">
        <f t="shared" si="167"/>
        <v>56.705587020783497</v>
      </c>
    </row>
    <row r="1252" spans="1:18" x14ac:dyDescent="0.15">
      <c r="A1252" s="59">
        <v>42724.75</v>
      </c>
      <c r="B1252">
        <v>15.695986</v>
      </c>
      <c r="C1252">
        <v>140.097229</v>
      </c>
      <c r="D1252">
        <v>63.178348999999997</v>
      </c>
      <c r="E1252">
        <v>38.529998999999997</v>
      </c>
      <c r="F1252">
        <v>1114.0500489999999</v>
      </c>
      <c r="H1252" s="50">
        <f t="shared" si="161"/>
        <v>2.3710101945859645E-2</v>
      </c>
      <c r="I1252" s="50">
        <f t="shared" si="162"/>
        <v>5.9850183679910169E-3</v>
      </c>
      <c r="J1252" s="50">
        <f t="shared" si="163"/>
        <v>4.5972573379136711E-2</v>
      </c>
      <c r="K1252" s="50">
        <f t="shared" si="164"/>
        <v>5.558837968556018E-3</v>
      </c>
      <c r="L1252" s="50">
        <f t="shared" si="165"/>
        <v>-3.550894374861004E-3</v>
      </c>
      <c r="P1252" s="50">
        <f t="shared" si="160"/>
        <v>-3.550894374861004E-3</v>
      </c>
      <c r="Q1252" s="51">
        <f t="shared" si="166"/>
        <v>106.26375447194616</v>
      </c>
      <c r="R1252" s="51">
        <f t="shared" si="167"/>
        <v>58.050082269946088</v>
      </c>
    </row>
    <row r="1253" spans="1:18" x14ac:dyDescent="0.15">
      <c r="A1253" s="59">
        <v>42725.75</v>
      </c>
      <c r="B1253">
        <v>15.332452</v>
      </c>
      <c r="C1253">
        <v>139.263733</v>
      </c>
      <c r="D1253">
        <v>60.401535000000003</v>
      </c>
      <c r="E1253">
        <v>38.317000999999998</v>
      </c>
      <c r="F1253">
        <v>1118.0200199999999</v>
      </c>
      <c r="H1253" s="50">
        <f t="shared" si="161"/>
        <v>7.1892734343393782E-4</v>
      </c>
      <c r="I1253" s="50">
        <f t="shared" si="162"/>
        <v>-6.1792600467391623E-5</v>
      </c>
      <c r="J1253" s="50">
        <f t="shared" si="163"/>
        <v>3.265029773956942E-3</v>
      </c>
      <c r="K1253" s="50">
        <f t="shared" si="164"/>
        <v>7.5599733775087693E-3</v>
      </c>
      <c r="L1253" s="50">
        <f t="shared" si="165"/>
        <v>-2.2933865891853547E-3</v>
      </c>
      <c r="P1253" s="50">
        <f t="shared" si="160"/>
        <v>-2.2933865891853547E-3</v>
      </c>
      <c r="Q1253" s="51">
        <f t="shared" si="166"/>
        <v>106.02005060252371</v>
      </c>
      <c r="R1253" s="51">
        <f t="shared" si="167"/>
        <v>58.091816061378545</v>
      </c>
    </row>
    <row r="1254" spans="1:18" x14ac:dyDescent="0.15">
      <c r="A1254" s="59">
        <v>42726.75</v>
      </c>
      <c r="B1254">
        <v>15.321437</v>
      </c>
      <c r="C1254">
        <v>139.27233899999999</v>
      </c>
      <c r="D1254">
        <v>60.204963999999997</v>
      </c>
      <c r="E1254">
        <v>38.029499000000001</v>
      </c>
      <c r="F1254">
        <v>1120.589966</v>
      </c>
      <c r="H1254" s="50">
        <f t="shared" si="161"/>
        <v>-2.2957418173133346E-3</v>
      </c>
      <c r="I1254" s="50">
        <f t="shared" si="162"/>
        <v>1.8508176219518034E-4</v>
      </c>
      <c r="J1254" s="50">
        <f t="shared" si="163"/>
        <v>-2.7136871693925276E-3</v>
      </c>
      <c r="K1254" s="50">
        <f t="shared" si="164"/>
        <v>-1.401350790770026E-2</v>
      </c>
      <c r="L1254" s="50">
        <f t="shared" si="165"/>
        <v>-5.228689461485205E-3</v>
      </c>
      <c r="P1254" s="50">
        <f t="shared" si="160"/>
        <v>-5.228689461485205E-3</v>
      </c>
      <c r="Q1254" s="51">
        <f t="shared" si="166"/>
        <v>105.46570468123217</v>
      </c>
      <c r="R1254" s="51">
        <f t="shared" si="167"/>
        <v>57.958452250002765</v>
      </c>
    </row>
    <row r="1255" spans="1:18" x14ac:dyDescent="0.15">
      <c r="A1255" s="59">
        <v>42727.75</v>
      </c>
      <c r="B1255">
        <v>15.356692000000001</v>
      </c>
      <c r="C1255">
        <v>139.246567</v>
      </c>
      <c r="D1255">
        <v>60.368786</v>
      </c>
      <c r="E1255">
        <v>38.57</v>
      </c>
      <c r="F1255">
        <v>1126.4799800000001</v>
      </c>
      <c r="H1255" s="50">
        <f t="shared" si="161"/>
        <v>5.6274223995575979E-3</v>
      </c>
      <c r="I1255" s="50">
        <f t="shared" si="162"/>
        <v>6.4595115930911242E-3</v>
      </c>
      <c r="J1255" s="50">
        <f t="shared" si="163"/>
        <v>1.1945708666320071E-2</v>
      </c>
      <c r="K1255" s="50">
        <f t="shared" si="164"/>
        <v>-9.454107713833148E-4</v>
      </c>
      <c r="L1255" s="50">
        <f t="shared" si="165"/>
        <v>-1.1527505068099982E-3</v>
      </c>
      <c r="P1255" s="50">
        <f t="shared" si="160"/>
        <v>-1.1527505068099982E-3</v>
      </c>
      <c r="Q1255" s="51">
        <f t="shared" si="166"/>
        <v>105.3441290367098</v>
      </c>
      <c r="R1255" s="51">
        <f t="shared" si="167"/>
        <v>58.284608942438119</v>
      </c>
    </row>
    <row r="1256" spans="1:18" x14ac:dyDescent="0.15">
      <c r="A1256" s="59">
        <v>42731.75</v>
      </c>
      <c r="B1256">
        <v>15.270757</v>
      </c>
      <c r="C1256">
        <v>138.35287500000001</v>
      </c>
      <c r="D1256">
        <v>59.656151000000001</v>
      </c>
      <c r="E1256">
        <v>38.606498999999999</v>
      </c>
      <c r="F1256">
        <v>1127.780029</v>
      </c>
      <c r="H1256" s="50">
        <f t="shared" si="161"/>
        <v>7.2189953944825757E-4</v>
      </c>
      <c r="I1256" s="50">
        <f t="shared" si="162"/>
        <v>-7.4510292757972428E-4</v>
      </c>
      <c r="J1256" s="50">
        <f t="shared" si="163"/>
        <v>2.8919311533310457E-3</v>
      </c>
      <c r="K1256" s="50">
        <f t="shared" si="164"/>
        <v>9.122368163105252E-3</v>
      </c>
      <c r="L1256" s="50">
        <f t="shared" si="165"/>
        <v>1.4030172871140158E-3</v>
      </c>
      <c r="P1256" s="50">
        <f t="shared" si="160"/>
        <v>1.4030172871140158E-3</v>
      </c>
      <c r="Q1256" s="51">
        <f t="shared" si="166"/>
        <v>105.49192867084427</v>
      </c>
      <c r="R1256" s="51">
        <f t="shared" si="167"/>
        <v>58.326684574790583</v>
      </c>
    </row>
    <row r="1257" spans="1:18" x14ac:dyDescent="0.15">
      <c r="A1257" s="59">
        <v>42732.75</v>
      </c>
      <c r="B1257">
        <v>15.259741</v>
      </c>
      <c r="C1257">
        <v>138.456039</v>
      </c>
      <c r="D1257">
        <v>59.484127000000001</v>
      </c>
      <c r="E1257">
        <v>38.2575</v>
      </c>
      <c r="F1257">
        <v>1126.1999510000001</v>
      </c>
      <c r="H1257" s="50">
        <f t="shared" si="161"/>
        <v>2.0252284817175435E-3</v>
      </c>
      <c r="I1257" s="50">
        <f t="shared" si="162"/>
        <v>6.3709332803428631E-3</v>
      </c>
      <c r="J1257" s="50">
        <f t="shared" si="163"/>
        <v>5.3991495738133985E-3</v>
      </c>
      <c r="K1257" s="50">
        <f t="shared" si="164"/>
        <v>2.037686532332279E-2</v>
      </c>
      <c r="L1257" s="50">
        <f t="shared" si="165"/>
        <v>-1.9539158697703908E-4</v>
      </c>
      <c r="P1257" s="50">
        <f t="shared" si="160"/>
        <v>-1.9539158697703908E-4</v>
      </c>
      <c r="Q1257" s="51">
        <f t="shared" si="166"/>
        <v>105.47131643548801</v>
      </c>
      <c r="R1257" s="51">
        <f t="shared" si="167"/>
        <v>58.444809437635598</v>
      </c>
    </row>
    <row r="1258" spans="1:18" x14ac:dyDescent="0.15">
      <c r="A1258" s="59">
        <v>42733.75</v>
      </c>
      <c r="B1258">
        <v>15.228899</v>
      </c>
      <c r="C1258">
        <v>137.57952900000001</v>
      </c>
      <c r="D1258">
        <v>59.164687999999998</v>
      </c>
      <c r="E1258">
        <v>37.493499999999997</v>
      </c>
      <c r="F1258">
        <v>1126.420044</v>
      </c>
      <c r="H1258" s="50">
        <f t="shared" si="161"/>
        <v>6.6998304483866641E-3</v>
      </c>
      <c r="I1258" s="50">
        <f t="shared" si="162"/>
        <v>2.3790956948981849E-3</v>
      </c>
      <c r="J1258" s="50">
        <f t="shared" si="163"/>
        <v>-7.1479182207769111E-3</v>
      </c>
      <c r="K1258" s="50">
        <f t="shared" si="164"/>
        <v>-5.0419417008474845E-3</v>
      </c>
      <c r="L1258" s="50">
        <f t="shared" si="165"/>
        <v>1.0151617113836251E-2</v>
      </c>
      <c r="P1258" s="50">
        <f t="shared" si="160"/>
        <v>1.0151617113836251E-2</v>
      </c>
      <c r="Q1258" s="51">
        <f t="shared" si="166"/>
        <v>106.54202085643335</v>
      </c>
      <c r="R1258" s="51">
        <f t="shared" si="167"/>
        <v>58.836379751456029</v>
      </c>
    </row>
    <row r="1259" spans="1:18" x14ac:dyDescent="0.15">
      <c r="A1259" s="59">
        <v>42734.75</v>
      </c>
      <c r="B1259">
        <v>15.127547</v>
      </c>
      <c r="C1259">
        <v>137.25299100000001</v>
      </c>
      <c r="D1259">
        <v>59.590637000000001</v>
      </c>
      <c r="E1259">
        <v>37.683498</v>
      </c>
      <c r="F1259">
        <v>1115.099976</v>
      </c>
      <c r="H1259" s="50">
        <f t="shared" si="161"/>
        <v>-5.7923792045600992E-3</v>
      </c>
      <c r="I1259" s="50">
        <f t="shared" si="162"/>
        <v>-1.8773479187009608E-4</v>
      </c>
      <c r="J1259" s="50">
        <f t="shared" si="163"/>
        <v>-1.4360900923720324E-2</v>
      </c>
      <c r="K1259" s="50">
        <f t="shared" si="164"/>
        <v>-4.6357007676985215E-3</v>
      </c>
      <c r="L1259" s="50">
        <f t="shared" si="165"/>
        <v>-1.5790090078377537E-2</v>
      </c>
      <c r="P1259" s="50">
        <f t="shared" si="160"/>
        <v>-1.5790090078377537E-2</v>
      </c>
      <c r="Q1259" s="51">
        <f t="shared" si="166"/>
        <v>104.8597127499779</v>
      </c>
      <c r="R1259" s="51">
        <f t="shared" si="167"/>
        <v>58.495577128912096</v>
      </c>
    </row>
    <row r="1260" spans="1:18" x14ac:dyDescent="0.15">
      <c r="A1260" s="59">
        <v>42738.75</v>
      </c>
      <c r="B1260">
        <v>15.215681999999999</v>
      </c>
      <c r="C1260">
        <v>137.278763</v>
      </c>
      <c r="D1260">
        <v>60.458880999999998</v>
      </c>
      <c r="E1260">
        <v>37.859000999999999</v>
      </c>
      <c r="F1260">
        <v>1132.98999</v>
      </c>
      <c r="H1260" s="50">
        <f t="shared" si="161"/>
        <v>-2.1670007055015809E-3</v>
      </c>
      <c r="I1260" s="50">
        <f t="shared" si="162"/>
        <v>-1.9336083546060676E-2</v>
      </c>
      <c r="J1260" s="50">
        <f t="shared" si="163"/>
        <v>1.7227142949104018E-2</v>
      </c>
      <c r="K1260" s="50">
        <f t="shared" si="164"/>
        <v>-2.9816081230471785E-2</v>
      </c>
      <c r="L1260" s="50">
        <f t="shared" si="165"/>
        <v>-3.1059989598774488E-3</v>
      </c>
      <c r="P1260" s="50">
        <f t="shared" si="160"/>
        <v>-3.1059989598774488E-3</v>
      </c>
      <c r="Q1260" s="51">
        <f t="shared" si="166"/>
        <v>104.53401859124342</v>
      </c>
      <c r="R1260" s="51">
        <f t="shared" si="167"/>
        <v>58.368817172005024</v>
      </c>
    </row>
    <row r="1261" spans="1:18" x14ac:dyDescent="0.15">
      <c r="A1261" s="59">
        <v>42739.75</v>
      </c>
      <c r="B1261">
        <v>15.248726</v>
      </c>
      <c r="C1261">
        <v>139.985535</v>
      </c>
      <c r="D1261">
        <v>59.434986000000002</v>
      </c>
      <c r="E1261">
        <v>39.022499000000003</v>
      </c>
      <c r="F1261">
        <v>1136.5200199999999</v>
      </c>
      <c r="H1261" s="50">
        <f t="shared" si="161"/>
        <v>1.3917496126012853E-2</v>
      </c>
      <c r="I1261" s="50">
        <f t="shared" si="162"/>
        <v>4.9119187673868456E-4</v>
      </c>
      <c r="J1261" s="50">
        <f t="shared" si="163"/>
        <v>1.567726900578106E-2</v>
      </c>
      <c r="K1261" s="50">
        <f t="shared" si="164"/>
        <v>-1.9522883453309676E-2</v>
      </c>
      <c r="L1261" s="50">
        <f t="shared" si="165"/>
        <v>-5.4522309638362098E-4</v>
      </c>
      <c r="P1261" s="50">
        <f t="shared" si="160"/>
        <v>-5.4522309638362098E-4</v>
      </c>
      <c r="Q1261" s="51">
        <f t="shared" si="166"/>
        <v>104.47702422994969</v>
      </c>
      <c r="R1261" s="51">
        <f t="shared" si="167"/>
        <v>59.181164958876359</v>
      </c>
    </row>
    <row r="1262" spans="1:18" x14ac:dyDescent="0.15">
      <c r="A1262" s="59">
        <v>42740.75</v>
      </c>
      <c r="B1262">
        <v>15.039415</v>
      </c>
      <c r="C1262">
        <v>139.916809</v>
      </c>
      <c r="D1262">
        <v>58.517589999999998</v>
      </c>
      <c r="E1262">
        <v>39.799500000000002</v>
      </c>
      <c r="F1262">
        <v>1137.1400149999999</v>
      </c>
      <c r="H1262" s="50">
        <f t="shared" si="161"/>
        <v>-6.5496291689959903E-3</v>
      </c>
      <c r="I1262" s="50">
        <f t="shared" si="162"/>
        <v>1.1554855856724626E-2</v>
      </c>
      <c r="J1262" s="50">
        <f t="shared" si="163"/>
        <v>1.4004588254501956E-4</v>
      </c>
      <c r="K1262" s="50">
        <f t="shared" si="164"/>
        <v>-1.1670179900863636E-3</v>
      </c>
      <c r="L1262" s="50">
        <f t="shared" si="165"/>
        <v>-3.9852553978139511E-3</v>
      </c>
      <c r="P1262" s="50">
        <f t="shared" si="160"/>
        <v>-3.9852553978139511E-3</v>
      </c>
      <c r="Q1262" s="51">
        <f t="shared" si="166"/>
        <v>104.06065660518975</v>
      </c>
      <c r="R1262" s="51">
        <f t="shared" si="167"/>
        <v>58.793550274606538</v>
      </c>
    </row>
    <row r="1263" spans="1:18" x14ac:dyDescent="0.15">
      <c r="A1263" s="59">
        <v>42741.75</v>
      </c>
      <c r="B1263">
        <v>15.138567</v>
      </c>
      <c r="C1263">
        <v>138.318558</v>
      </c>
      <c r="D1263">
        <v>58.509396000000002</v>
      </c>
      <c r="E1263">
        <v>39.846001000000001</v>
      </c>
      <c r="F1263">
        <v>1141.6899410000001</v>
      </c>
      <c r="H1263" s="50">
        <f t="shared" si="161"/>
        <v>7.0351455938806777E-3</v>
      </c>
      <c r="I1263" s="50">
        <f t="shared" si="162"/>
        <v>-4.2680430678430385E-3</v>
      </c>
      <c r="J1263" s="50">
        <f t="shared" si="163"/>
        <v>0</v>
      </c>
      <c r="K1263" s="50">
        <f t="shared" si="164"/>
        <v>1.2816434869528442E-3</v>
      </c>
      <c r="L1263" s="50">
        <f t="shared" si="165"/>
        <v>-2.8734467479509807E-3</v>
      </c>
      <c r="P1263" s="50">
        <f t="shared" si="160"/>
        <v>-2.8734467479509807E-3</v>
      </c>
      <c r="Q1263" s="51">
        <f t="shared" si="166"/>
        <v>103.76164384987793</v>
      </c>
      <c r="R1263" s="51">
        <f t="shared" si="167"/>
        <v>59.207171460769537</v>
      </c>
    </row>
    <row r="1264" spans="1:18" x14ac:dyDescent="0.15">
      <c r="A1264" s="59">
        <v>42742.75</v>
      </c>
      <c r="B1264">
        <v>15.032809</v>
      </c>
      <c r="C1264">
        <v>138.911438</v>
      </c>
      <c r="D1264">
        <v>58.509396000000002</v>
      </c>
      <c r="E1264">
        <v>39.794998</v>
      </c>
      <c r="F1264">
        <v>1144.9799800000001</v>
      </c>
      <c r="H1264" s="50">
        <f t="shared" si="161"/>
        <v>-4.3775359868811637E-3</v>
      </c>
      <c r="I1264" s="50">
        <f t="shared" si="162"/>
        <v>7.4299589453964796E-4</v>
      </c>
      <c r="J1264" s="50">
        <f t="shared" si="163"/>
        <v>-2.5135009853072005E-3</v>
      </c>
      <c r="K1264" s="50">
        <f t="shared" si="164"/>
        <v>-3.9048334209406737E-3</v>
      </c>
      <c r="L1264" s="50">
        <f t="shared" si="165"/>
        <v>-1.7437095981396292E-3</v>
      </c>
      <c r="P1264" s="50">
        <f t="shared" si="160"/>
        <v>-1.7437095981396292E-3</v>
      </c>
      <c r="Q1264" s="51">
        <f t="shared" si="166"/>
        <v>103.58071367557815</v>
      </c>
      <c r="R1264" s="51">
        <f t="shared" si="167"/>
        <v>58.947989937018576</v>
      </c>
    </row>
    <row r="1265" spans="1:18" x14ac:dyDescent="0.15">
      <c r="A1265" s="59">
        <v>42745.75</v>
      </c>
      <c r="B1265">
        <v>15.098905</v>
      </c>
      <c r="C1265">
        <v>138.80830399999999</v>
      </c>
      <c r="D1265">
        <v>58.656829999999999</v>
      </c>
      <c r="E1265">
        <v>39.951000000000001</v>
      </c>
      <c r="F1265">
        <v>1146.9799800000001</v>
      </c>
      <c r="H1265" s="50">
        <f t="shared" si="161"/>
        <v>8.2387762699471928E-3</v>
      </c>
      <c r="I1265" s="50">
        <f t="shared" si="162"/>
        <v>-2.0385019989994585E-3</v>
      </c>
      <c r="J1265" s="50">
        <f t="shared" si="163"/>
        <v>5.0527448178472245E-3</v>
      </c>
      <c r="K1265" s="50">
        <f t="shared" si="164"/>
        <v>-1.796861063784002E-2</v>
      </c>
      <c r="L1265" s="50">
        <f t="shared" si="165"/>
        <v>9.4700051703281336E-3</v>
      </c>
      <c r="P1265" s="50">
        <f t="shared" si="160"/>
        <v>9.4700051703281336E-3</v>
      </c>
      <c r="Q1265" s="51">
        <f t="shared" si="166"/>
        <v>104.56162356963215</v>
      </c>
      <c r="R1265" s="51">
        <f t="shared" si="167"/>
        <v>59.433649237672768</v>
      </c>
    </row>
    <row r="1266" spans="1:18" x14ac:dyDescent="0.15">
      <c r="A1266" s="59">
        <v>42746.75</v>
      </c>
      <c r="B1266">
        <v>14.975524999999999</v>
      </c>
      <c r="C1266">
        <v>139.09184300000001</v>
      </c>
      <c r="D1266">
        <v>58.361941999999999</v>
      </c>
      <c r="E1266">
        <v>40.681998999999998</v>
      </c>
      <c r="F1266">
        <v>1136.219971</v>
      </c>
      <c r="H1266" s="50">
        <f t="shared" si="161"/>
        <v>1.2512936554411141E-2</v>
      </c>
      <c r="I1266" s="50">
        <f t="shared" si="162"/>
        <v>6.1660904183427216E-5</v>
      </c>
      <c r="J1266" s="50">
        <f t="shared" si="163"/>
        <v>1.5101621405644961E-2</v>
      </c>
      <c r="K1266" s="50">
        <f t="shared" si="164"/>
        <v>-4.2832074936097779E-3</v>
      </c>
      <c r="L1266" s="50">
        <f t="shared" si="165"/>
        <v>-8.2571770076394647E-3</v>
      </c>
      <c r="P1266" s="50">
        <f t="shared" si="160"/>
        <v>-8.2571770076394647E-3</v>
      </c>
      <c r="Q1266" s="51">
        <f t="shared" si="166"/>
        <v>103.69823973561152</v>
      </c>
      <c r="R1266" s="51">
        <f t="shared" si="167"/>
        <v>60.177338719780899</v>
      </c>
    </row>
    <row r="1267" spans="1:18" x14ac:dyDescent="0.15">
      <c r="A1267" s="59">
        <v>42747.75</v>
      </c>
      <c r="B1267">
        <v>14.790452999999999</v>
      </c>
      <c r="C1267">
        <v>139.08326700000001</v>
      </c>
      <c r="D1267">
        <v>57.493693999999998</v>
      </c>
      <c r="E1267">
        <v>40.856997999999997</v>
      </c>
      <c r="F1267">
        <v>1145.6800539999999</v>
      </c>
      <c r="H1267" s="50">
        <f t="shared" si="161"/>
        <v>-1.8854010147219862E-2</v>
      </c>
      <c r="I1267" s="50">
        <f t="shared" si="162"/>
        <v>-1.1904459970090962E-2</v>
      </c>
      <c r="J1267" s="50">
        <f t="shared" si="163"/>
        <v>-1.0572223027714329E-2</v>
      </c>
      <c r="K1267" s="50">
        <f t="shared" si="164"/>
        <v>9.1636121128291313E-3</v>
      </c>
      <c r="L1267" s="50">
        <f t="shared" si="165"/>
        <v>-2.4205519516584122E-3</v>
      </c>
      <c r="P1267" s="50">
        <f t="shared" si="160"/>
        <v>-2.4205519516584122E-3</v>
      </c>
      <c r="Q1267" s="51">
        <f t="shared" si="166"/>
        <v>103.44723275903594</v>
      </c>
      <c r="R1267" s="51">
        <f t="shared" si="167"/>
        <v>59.04275456492546</v>
      </c>
    </row>
    <row r="1268" spans="1:18" x14ac:dyDescent="0.15">
      <c r="A1268" s="59">
        <v>42748.75</v>
      </c>
      <c r="B1268">
        <v>15.074671</v>
      </c>
      <c r="C1268">
        <v>140.758926</v>
      </c>
      <c r="D1268">
        <v>58.108024999999998</v>
      </c>
      <c r="E1268">
        <v>40.485999999999997</v>
      </c>
      <c r="F1268">
        <v>1148.459961</v>
      </c>
      <c r="H1268" s="50">
        <f t="shared" si="161"/>
        <v>4.5515340852941158E-3</v>
      </c>
      <c r="I1268" s="50">
        <f t="shared" si="162"/>
        <v>-2.7997976594790882E-3</v>
      </c>
      <c r="J1268" s="50">
        <f t="shared" si="163"/>
        <v>6.118177445375262E-2</v>
      </c>
      <c r="K1268" s="50">
        <f t="shared" si="164"/>
        <v>2.7740376783563585E-3</v>
      </c>
      <c r="L1268" s="50">
        <f t="shared" si="165"/>
        <v>1.0941552320532901E-2</v>
      </c>
      <c r="P1268" s="50">
        <f t="shared" si="160"/>
        <v>1.0941552320532901E-2</v>
      </c>
      <c r="Q1268" s="51">
        <f t="shared" si="166"/>
        <v>104.57910606868329</v>
      </c>
      <c r="R1268" s="51">
        <f t="shared" si="167"/>
        <v>59.311489674817373</v>
      </c>
    </row>
    <row r="1269" spans="1:18" x14ac:dyDescent="0.15">
      <c r="A1269" s="59">
        <v>42749.75</v>
      </c>
      <c r="B1269">
        <v>15.006368999999999</v>
      </c>
      <c r="C1269">
        <v>141.15412900000001</v>
      </c>
      <c r="D1269">
        <v>54.757843000000001</v>
      </c>
      <c r="E1269">
        <v>40.374001</v>
      </c>
      <c r="F1269">
        <v>1136.030029</v>
      </c>
      <c r="H1269" s="50">
        <f t="shared" si="161"/>
        <v>7.2462761297161157E-3</v>
      </c>
      <c r="I1269" s="50">
        <f t="shared" si="162"/>
        <v>3.481770166557146E-3</v>
      </c>
      <c r="J1269" s="50">
        <f t="shared" si="163"/>
        <v>2.2327496396274949E-2</v>
      </c>
      <c r="K1269" s="50">
        <f t="shared" si="164"/>
        <v>-1.9281864926332043E-3</v>
      </c>
      <c r="L1269" s="50">
        <f t="shared" si="165"/>
        <v>-1.2345314630036033E-2</v>
      </c>
      <c r="P1269" s="50">
        <f t="shared" si="160"/>
        <v>-1.2345314630036033E-2</v>
      </c>
      <c r="Q1269" s="51">
        <f t="shared" si="166"/>
        <v>103.28804410053748</v>
      </c>
      <c r="R1269" s="51">
        <f t="shared" si="167"/>
        <v>59.741277106665905</v>
      </c>
    </row>
    <row r="1270" spans="1:18" x14ac:dyDescent="0.15">
      <c r="A1270" s="59">
        <v>42753.75</v>
      </c>
      <c r="B1270">
        <v>14.898410999999999</v>
      </c>
      <c r="C1270">
        <v>140.664368</v>
      </c>
      <c r="D1270">
        <v>53.561939000000002</v>
      </c>
      <c r="E1270">
        <v>40.451999999999998</v>
      </c>
      <c r="F1270">
        <v>1150.2299800000001</v>
      </c>
      <c r="H1270" s="50">
        <f t="shared" si="161"/>
        <v>6.5497570679658454E-3</v>
      </c>
      <c r="I1270" s="50">
        <f t="shared" si="162"/>
        <v>-3.2877092163695917E-3</v>
      </c>
      <c r="J1270" s="50">
        <f t="shared" si="163"/>
        <v>2.012475582695181E-2</v>
      </c>
      <c r="K1270" s="50">
        <f t="shared" si="164"/>
        <v>8.7835413754280996E-4</v>
      </c>
      <c r="L1270" s="50">
        <f t="shared" si="165"/>
        <v>1.0711346334274351E-2</v>
      </c>
      <c r="P1270" s="50">
        <f t="shared" si="160"/>
        <v>1.0711346334274351E-2</v>
      </c>
      <c r="Q1270" s="51">
        <f t="shared" si="166"/>
        <v>104.39439811308813</v>
      </c>
      <c r="R1270" s="51">
        <f t="shared" si="167"/>
        <v>60.132567958644593</v>
      </c>
    </row>
    <row r="1271" spans="1:18" x14ac:dyDescent="0.15">
      <c r="A1271" s="59">
        <v>42754.75</v>
      </c>
      <c r="B1271">
        <v>14.801465</v>
      </c>
      <c r="C1271">
        <v>141.12835699999999</v>
      </c>
      <c r="D1271">
        <v>52.505282999999999</v>
      </c>
      <c r="E1271">
        <v>40.416499999999999</v>
      </c>
      <c r="F1271">
        <v>1138.040039</v>
      </c>
      <c r="H1271" s="50">
        <f t="shared" si="161"/>
        <v>7.951816500104408E-3</v>
      </c>
      <c r="I1271" s="50">
        <f t="shared" si="162"/>
        <v>7.545765352502818E-3</v>
      </c>
      <c r="J1271" s="50">
        <f t="shared" si="163"/>
        <v>3.9155266950702807E-3</v>
      </c>
      <c r="K1271" s="50">
        <f t="shared" si="164"/>
        <v>-1.1676553732172201E-2</v>
      </c>
      <c r="L1271" s="50">
        <f t="shared" si="165"/>
        <v>1.9310743932909491E-2</v>
      </c>
      <c r="P1271" s="50">
        <f t="shared" si="160"/>
        <v>1.9310743932909491E-2</v>
      </c>
      <c r="Q1271" s="51">
        <f t="shared" si="166"/>
        <v>106.41033160308018</v>
      </c>
      <c r="R1271" s="51">
        <f t="shared" si="167"/>
        <v>60.610731104731798</v>
      </c>
    </row>
    <row r="1272" spans="1:18" x14ac:dyDescent="0.15">
      <c r="A1272" s="59">
        <v>42755.75</v>
      </c>
      <c r="B1272">
        <v>14.684695</v>
      </c>
      <c r="C1272">
        <v>140.07141100000001</v>
      </c>
      <c r="D1272">
        <v>52.300499000000002</v>
      </c>
      <c r="E1272">
        <v>40.894001000000003</v>
      </c>
      <c r="F1272">
        <v>1116.4799800000001</v>
      </c>
      <c r="H1272" s="50">
        <f t="shared" si="161"/>
        <v>-1.112758779682538E-2</v>
      </c>
      <c r="I1272" s="50">
        <f t="shared" si="162"/>
        <v>-4.0327061073183439E-3</v>
      </c>
      <c r="J1272" s="50">
        <f t="shared" si="163"/>
        <v>-8.6944063168194283E-3</v>
      </c>
      <c r="K1272" s="50">
        <f t="shared" si="164"/>
        <v>-5.5445014569086154E-3</v>
      </c>
      <c r="L1272" s="50">
        <f t="shared" si="165"/>
        <v>2.2642311289639658E-2</v>
      </c>
      <c r="P1272" s="50">
        <f t="shared" si="160"/>
        <v>2.2642311289639658E-2</v>
      </c>
      <c r="Q1272" s="51">
        <f t="shared" si="166"/>
        <v>108.81970745567091</v>
      </c>
      <c r="R1272" s="51">
        <f t="shared" si="167"/>
        <v>59.936279872934115</v>
      </c>
    </row>
    <row r="1273" spans="1:18" x14ac:dyDescent="0.15">
      <c r="A1273" s="59">
        <v>42756.75</v>
      </c>
      <c r="B1273">
        <v>14.849939000000001</v>
      </c>
      <c r="C1273">
        <v>140.638565</v>
      </c>
      <c r="D1273">
        <v>52.759208999999998</v>
      </c>
      <c r="E1273">
        <v>41.122002000000002</v>
      </c>
      <c r="F1273">
        <v>1091.76001</v>
      </c>
      <c r="H1273" s="50">
        <f t="shared" si="161"/>
        <v>7.6245943106906843E-3</v>
      </c>
      <c r="I1273" s="50">
        <f t="shared" si="162"/>
        <v>-2.863570506609907E-3</v>
      </c>
      <c r="J1273" s="50">
        <f t="shared" si="163"/>
        <v>-9.0766818987412737E-3</v>
      </c>
      <c r="K1273" s="50">
        <f t="shared" si="164"/>
        <v>-1.6831588007459441E-2</v>
      </c>
      <c r="L1273" s="50">
        <f t="shared" si="165"/>
        <v>-4.5770517945855557E-3</v>
      </c>
      <c r="P1273" s="50">
        <f t="shared" si="160"/>
        <v>-4.5770517945855557E-3</v>
      </c>
      <c r="Q1273" s="51">
        <f t="shared" si="166"/>
        <v>108.32163401837465</v>
      </c>
      <c r="R1273" s="51">
        <f t="shared" si="167"/>
        <v>60.393269691457256</v>
      </c>
    </row>
    <row r="1274" spans="1:18" x14ac:dyDescent="0.15">
      <c r="A1274" s="59">
        <v>42759.75</v>
      </c>
      <c r="B1274">
        <v>14.737571000000001</v>
      </c>
      <c r="C1274">
        <v>141.04245</v>
      </c>
      <c r="D1274">
        <v>53.242474000000001</v>
      </c>
      <c r="E1274">
        <v>41.826000000000001</v>
      </c>
      <c r="F1274">
        <v>1096.780029</v>
      </c>
      <c r="H1274" s="50">
        <f t="shared" si="161"/>
        <v>2.3976488064469136E-3</v>
      </c>
      <c r="I1274" s="50">
        <f t="shared" si="162"/>
        <v>4.2664930278476831E-4</v>
      </c>
      <c r="J1274" s="50">
        <f t="shared" si="163"/>
        <v>1.293421115363776E-2</v>
      </c>
      <c r="K1274" s="50">
        <f t="shared" si="164"/>
        <v>-3.1341238157660159E-3</v>
      </c>
      <c r="L1274" s="50">
        <f t="shared" si="165"/>
        <v>4.2209407091191482E-3</v>
      </c>
      <c r="P1274" s="50">
        <f t="shared" si="160"/>
        <v>4.2209407091191482E-3</v>
      </c>
      <c r="Q1274" s="51">
        <f t="shared" si="166"/>
        <v>108.77885321308112</v>
      </c>
      <c r="R1274" s="51">
        <f t="shared" si="167"/>
        <v>60.53807154245041</v>
      </c>
    </row>
    <row r="1275" spans="1:18" x14ac:dyDescent="0.15">
      <c r="A1275" s="59">
        <v>42760.75</v>
      </c>
      <c r="B1275">
        <v>14.70232</v>
      </c>
      <c r="C1275">
        <v>140.98230000000001</v>
      </c>
      <c r="D1275">
        <v>52.562618000000001</v>
      </c>
      <c r="E1275">
        <v>41.957500000000003</v>
      </c>
      <c r="F1275">
        <v>1092.170044</v>
      </c>
      <c r="H1275" s="50">
        <f t="shared" si="161"/>
        <v>1.6295910835557936E-2</v>
      </c>
      <c r="I1275" s="50">
        <f t="shared" si="162"/>
        <v>1.2403049160593921E-2</v>
      </c>
      <c r="J1275" s="50">
        <f t="shared" si="163"/>
        <v>7.378314482823882E-3</v>
      </c>
      <c r="K1275" s="50">
        <f t="shared" si="164"/>
        <v>4.0441267791796404E-3</v>
      </c>
      <c r="L1275" s="50">
        <f t="shared" si="165"/>
        <v>-4.856451936218714E-3</v>
      </c>
      <c r="P1275" s="50">
        <f t="shared" si="160"/>
        <v>-4.856451936218714E-3</v>
      </c>
      <c r="Q1275" s="51">
        <f t="shared" si="166"/>
        <v>108.2505739407748</v>
      </c>
      <c r="R1275" s="51">
        <f t="shared" si="167"/>
        <v>61.524594558462816</v>
      </c>
    </row>
    <row r="1276" spans="1:18" x14ac:dyDescent="0.15">
      <c r="A1276" s="59">
        <v>42761.75</v>
      </c>
      <c r="B1276">
        <v>14.466574</v>
      </c>
      <c r="C1276">
        <v>139.255112</v>
      </c>
      <c r="D1276">
        <v>52.177635000000002</v>
      </c>
      <c r="E1276">
        <v>41.788502000000001</v>
      </c>
      <c r="F1276">
        <v>1097.5</v>
      </c>
      <c r="H1276" s="50">
        <f t="shared" si="161"/>
        <v>-1.1441971909829892E-2</v>
      </c>
      <c r="I1276" s="50">
        <f t="shared" si="162"/>
        <v>-7.2895916676808522E-3</v>
      </c>
      <c r="J1276" s="50">
        <f t="shared" si="163"/>
        <v>-6.5503628016708683E-3</v>
      </c>
      <c r="K1276" s="50">
        <f t="shared" si="164"/>
        <v>6.4910280476160346E-3</v>
      </c>
      <c r="L1276" s="50">
        <f t="shared" si="165"/>
        <v>1.1959070429759383E-2</v>
      </c>
      <c r="P1276" s="50">
        <f t="shared" si="160"/>
        <v>1.1959070429759383E-2</v>
      </c>
      <c r="Q1276" s="51">
        <f t="shared" si="166"/>
        <v>109.5451501785944</v>
      </c>
      <c r="R1276" s="51">
        <f t="shared" si="167"/>
        <v>60.820631875761215</v>
      </c>
    </row>
    <row r="1277" spans="1:18" x14ac:dyDescent="0.15">
      <c r="A1277" s="59">
        <v>42762.75</v>
      </c>
      <c r="B1277">
        <v>14.634016000000001</v>
      </c>
      <c r="C1277">
        <v>140.27767900000001</v>
      </c>
      <c r="D1277">
        <v>52.521670999999998</v>
      </c>
      <c r="E1277">
        <v>41.519001000000003</v>
      </c>
      <c r="F1277">
        <v>1084.530029</v>
      </c>
      <c r="H1277" s="50">
        <f t="shared" si="161"/>
        <v>-4.7949869033501839E-3</v>
      </c>
      <c r="I1277" s="50">
        <f t="shared" si="162"/>
        <v>-4.2695241395735665E-3</v>
      </c>
      <c r="J1277" s="50">
        <f t="shared" si="163"/>
        <v>-5.5830230628291953E-3</v>
      </c>
      <c r="K1277" s="50">
        <f t="shared" si="164"/>
        <v>8.3790984601934092E-3</v>
      </c>
      <c r="L1277" s="50">
        <f t="shared" si="165"/>
        <v>9.9267453692101684E-3</v>
      </c>
      <c r="P1277" s="50">
        <f t="shared" si="160"/>
        <v>9.9267453692101684E-3</v>
      </c>
      <c r="Q1277" s="51">
        <f t="shared" si="166"/>
        <v>110.6325769908492</v>
      </c>
      <c r="R1277" s="51">
        <f t="shared" si="167"/>
        <v>60.528997742463453</v>
      </c>
    </row>
    <row r="1278" spans="1:18" x14ac:dyDescent="0.15">
      <c r="A1278" s="59">
        <v>42763.75</v>
      </c>
      <c r="B1278">
        <v>14.704523999999999</v>
      </c>
      <c r="C1278">
        <v>140.879166</v>
      </c>
      <c r="D1278">
        <v>52.816547</v>
      </c>
      <c r="E1278">
        <v>41.173999999999999</v>
      </c>
      <c r="F1278">
        <v>1073.869995</v>
      </c>
      <c r="H1278" s="50">
        <f t="shared" si="161"/>
        <v>7.7005065118199451E-3</v>
      </c>
      <c r="I1278" s="50">
        <f t="shared" si="162"/>
        <v>1.2912401604716342E-2</v>
      </c>
      <c r="J1278" s="50">
        <f t="shared" si="163"/>
        <v>1.2721977160418479E-2</v>
      </c>
      <c r="K1278" s="50">
        <f t="shared" si="164"/>
        <v>-1.06565747582147E-2</v>
      </c>
      <c r="L1278" s="50">
        <f t="shared" si="165"/>
        <v>-1.4065449398049547E-2</v>
      </c>
      <c r="P1278" s="50">
        <f t="shared" si="160"/>
        <v>-1.4065449398049547E-2</v>
      </c>
      <c r="Q1278" s="51">
        <f t="shared" si="166"/>
        <v>109.07648007740859</v>
      </c>
      <c r="R1278" s="51">
        <f t="shared" si="167"/>
        <v>60.995101683733225</v>
      </c>
    </row>
    <row r="1279" spans="1:18" x14ac:dyDescent="0.15">
      <c r="A1279" s="59">
        <v>42766.75</v>
      </c>
      <c r="B1279">
        <v>14.592157</v>
      </c>
      <c r="C1279">
        <v>139.08326700000001</v>
      </c>
      <c r="D1279">
        <v>52.153056999999997</v>
      </c>
      <c r="E1279">
        <v>41.6175</v>
      </c>
      <c r="F1279">
        <v>1089.1899410000001</v>
      </c>
      <c r="H1279" s="50">
        <f t="shared" si="161"/>
        <v>-7.0466133250297819E-3</v>
      </c>
      <c r="I1279" s="50">
        <f t="shared" si="162"/>
        <v>-3.7407262133439242E-2</v>
      </c>
      <c r="J1279" s="50">
        <f t="shared" si="163"/>
        <v>-1.5701311742041243E-4</v>
      </c>
      <c r="K1279" s="50">
        <f t="shared" si="164"/>
        <v>-9.0481812239256807E-3</v>
      </c>
      <c r="L1279" s="50">
        <f t="shared" si="165"/>
        <v>-1.2806806449232797E-2</v>
      </c>
      <c r="P1279" s="50">
        <f t="shared" si="160"/>
        <v>-1.2806806449232797E-2</v>
      </c>
      <c r="Q1279" s="51">
        <f t="shared" si="166"/>
        <v>107.67955870889362</v>
      </c>
      <c r="R1279" s="51">
        <f t="shared" si="167"/>
        <v>60.565292787447085</v>
      </c>
    </row>
    <row r="1280" spans="1:18" x14ac:dyDescent="0.15">
      <c r="A1280" s="59">
        <v>42767.75</v>
      </c>
      <c r="B1280">
        <v>14.695712</v>
      </c>
      <c r="C1280">
        <v>144.48817399999999</v>
      </c>
      <c r="D1280">
        <v>52.161247000000003</v>
      </c>
      <c r="E1280">
        <v>41.997501</v>
      </c>
      <c r="F1280">
        <v>1103.3199460000001</v>
      </c>
      <c r="H1280" s="50">
        <f t="shared" si="161"/>
        <v>3.0076486292153594E-3</v>
      </c>
      <c r="I1280" s="50">
        <f t="shared" si="162"/>
        <v>-1.0099475264665446E-3</v>
      </c>
      <c r="J1280" s="50">
        <f t="shared" si="163"/>
        <v>-1.0981338255206801E-3</v>
      </c>
      <c r="K1280" s="50">
        <f t="shared" si="164"/>
        <v>3.6719404429494083E-2</v>
      </c>
      <c r="L1280" s="50">
        <f t="shared" si="165"/>
        <v>5.5044444812364845E-3</v>
      </c>
      <c r="P1280" s="50">
        <f t="shared" si="160"/>
        <v>5.5044444812364845E-3</v>
      </c>
      <c r="Q1280" s="51">
        <f t="shared" si="166"/>
        <v>108.27227486157076</v>
      </c>
      <c r="R1280" s="51">
        <f t="shared" si="167"/>
        <v>60.747451907277281</v>
      </c>
    </row>
    <row r="1281" spans="1:18" x14ac:dyDescent="0.15">
      <c r="A1281" s="59">
        <v>42768.75</v>
      </c>
      <c r="B1281">
        <v>14.651645</v>
      </c>
      <c r="C1281">
        <v>144.63424699999999</v>
      </c>
      <c r="D1281">
        <v>52.218589999999999</v>
      </c>
      <c r="E1281">
        <v>40.509998000000003</v>
      </c>
      <c r="F1281">
        <v>1097.280029</v>
      </c>
      <c r="H1281" s="50">
        <f t="shared" si="161"/>
        <v>1.5061918943841083E-3</v>
      </c>
      <c r="I1281" s="50">
        <f t="shared" si="162"/>
        <v>7.7233880456091253E-3</v>
      </c>
      <c r="J1281" s="50">
        <f t="shared" si="163"/>
        <v>5.2033672565584251E-3</v>
      </c>
      <c r="K1281" s="50">
        <f t="shared" si="164"/>
        <v>3.1696795602002173E-3</v>
      </c>
      <c r="L1281" s="50">
        <f t="shared" si="165"/>
        <v>3.2141588812186692E-2</v>
      </c>
      <c r="P1281" s="50">
        <f t="shared" ref="P1281:P1344" si="168">(F1281-F1282)/F1282</f>
        <v>3.2141588812186692E-2</v>
      </c>
      <c r="Q1281" s="51">
        <f t="shared" si="166"/>
        <v>111.75231779993143</v>
      </c>
      <c r="R1281" s="51">
        <f t="shared" si="167"/>
        <v>60.838949226944514</v>
      </c>
    </row>
    <row r="1282" spans="1:18" x14ac:dyDescent="0.15">
      <c r="A1282" s="59">
        <v>42769.75</v>
      </c>
      <c r="B1282">
        <v>14.62961</v>
      </c>
      <c r="C1282">
        <v>143.52574200000001</v>
      </c>
      <c r="D1282">
        <v>51.948284000000001</v>
      </c>
      <c r="E1282">
        <v>40.381999999999998</v>
      </c>
      <c r="F1282">
        <v>1063.1099850000001</v>
      </c>
      <c r="H1282" s="50">
        <f t="shared" ref="H1282:H1345" si="169">(B1282-B1283)/B1283</f>
        <v>-7.3255626724377651E-3</v>
      </c>
      <c r="I1282" s="50">
        <f t="shared" ref="I1282:I1345" si="170">(C1282-C1283)/C1283</f>
        <v>-2.9252538626711251E-3</v>
      </c>
      <c r="J1282" s="50">
        <f t="shared" ref="J1282:J1345" si="171">(D1282-D1283)/D1283</f>
        <v>-2.359387560940643E-3</v>
      </c>
      <c r="K1282" s="50">
        <f t="shared" ref="K1282:K1345" si="172">(E1282-E1283)/E1283</f>
        <v>-5.9815384615385129E-3</v>
      </c>
      <c r="L1282" s="50">
        <f t="shared" ref="L1282:L1345" si="173">(F1282-F1283)/F1283</f>
        <v>-2.8887498198597599E-3</v>
      </c>
      <c r="P1282" s="50">
        <f t="shared" si="168"/>
        <v>-2.8887498198597599E-3</v>
      </c>
      <c r="Q1282" s="51">
        <f t="shared" si="166"/>
        <v>111.42949331201797</v>
      </c>
      <c r="R1282" s="51">
        <f t="shared" si="167"/>
        <v>60.39326969145727</v>
      </c>
    </row>
    <row r="1283" spans="1:18" x14ac:dyDescent="0.15">
      <c r="A1283" s="59">
        <v>42770.75</v>
      </c>
      <c r="B1283">
        <v>14.737571000000001</v>
      </c>
      <c r="C1283">
        <v>143.94682299999999</v>
      </c>
      <c r="D1283">
        <v>52.07114</v>
      </c>
      <c r="E1283">
        <v>40.625</v>
      </c>
      <c r="F1283">
        <v>1066.1899410000001</v>
      </c>
      <c r="H1283" s="50">
        <f t="shared" si="169"/>
        <v>-1.3567291621905031E-2</v>
      </c>
      <c r="I1283" s="50">
        <f t="shared" si="170"/>
        <v>-8.015521746940233E-3</v>
      </c>
      <c r="J1283" s="50">
        <f t="shared" si="171"/>
        <v>-1.8527355062452063E-2</v>
      </c>
      <c r="K1283" s="50">
        <f t="shared" si="172"/>
        <v>-8.795793634334137E-3</v>
      </c>
      <c r="L1283" s="50">
        <f t="shared" si="173"/>
        <v>8.9425507593405788E-3</v>
      </c>
      <c r="P1283" s="50">
        <f t="shared" si="168"/>
        <v>8.9425507593405788E-3</v>
      </c>
      <c r="Q1283" s="51">
        <f t="shared" ref="Q1283:Q1346" si="174">Q1282*(1+P1283)</f>
        <v>112.42595721204829</v>
      </c>
      <c r="R1283" s="51">
        <f t="shared" ref="R1283:R1346" si="175">R1282*(1+H1283)</f>
        <v>59.573896589552909</v>
      </c>
    </row>
    <row r="1284" spans="1:18" x14ac:dyDescent="0.15">
      <c r="A1284" s="59">
        <v>42773.75</v>
      </c>
      <c r="B1284">
        <v>14.94027</v>
      </c>
      <c r="C1284">
        <v>145.10995500000001</v>
      </c>
      <c r="D1284">
        <v>53.054091999999997</v>
      </c>
      <c r="E1284">
        <v>40.985500000000002</v>
      </c>
      <c r="F1284">
        <v>1056.73999</v>
      </c>
      <c r="H1284" s="50">
        <f t="shared" si="169"/>
        <v>-1.8384524027594065E-2</v>
      </c>
      <c r="I1284" s="50">
        <f t="shared" si="170"/>
        <v>-1.485763646330528E-2</v>
      </c>
      <c r="J1284" s="50">
        <f t="shared" si="171"/>
        <v>-2.4695023320767496E-2</v>
      </c>
      <c r="K1284" s="50">
        <f t="shared" si="172"/>
        <v>-2.0088876495352329E-3</v>
      </c>
      <c r="L1284" s="50">
        <f t="shared" si="173"/>
        <v>-1.2872276783763369E-2</v>
      </c>
      <c r="P1284" s="50">
        <f t="shared" si="168"/>
        <v>-1.2872276783763369E-2</v>
      </c>
      <c r="Q1284" s="51">
        <f t="shared" si="174"/>
        <v>110.97877917313527</v>
      </c>
      <c r="R1284" s="51">
        <f t="shared" si="175"/>
        <v>58.478658856284873</v>
      </c>
    </row>
    <row r="1285" spans="1:18" x14ac:dyDescent="0.15">
      <c r="A1285" s="59">
        <v>42774.75</v>
      </c>
      <c r="B1285">
        <v>15.220084</v>
      </c>
      <c r="C1285">
        <v>147.298462</v>
      </c>
      <c r="D1285">
        <v>54.397438000000001</v>
      </c>
      <c r="E1285">
        <v>41.068001000000002</v>
      </c>
      <c r="F1285">
        <v>1070.5200199999999</v>
      </c>
      <c r="H1285" s="50">
        <f t="shared" si="169"/>
        <v>1.5583651435464816E-2</v>
      </c>
      <c r="I1285" s="50">
        <f t="shared" si="170"/>
        <v>-6.0461836522067011E-3</v>
      </c>
      <c r="J1285" s="50">
        <f t="shared" si="171"/>
        <v>1.0345515250425812E-2</v>
      </c>
      <c r="K1285" s="50">
        <f t="shared" si="172"/>
        <v>-7.3719573786779381E-3</v>
      </c>
      <c r="L1285" s="50">
        <f t="shared" si="173"/>
        <v>2.2375693865092279E-3</v>
      </c>
      <c r="P1285" s="50">
        <f t="shared" si="168"/>
        <v>2.2375693865092279E-3</v>
      </c>
      <c r="Q1285" s="51">
        <f t="shared" si="174"/>
        <v>111.22710189196525</v>
      </c>
      <c r="R1285" s="51">
        <f t="shared" si="175"/>
        <v>59.389969892314674</v>
      </c>
    </row>
    <row r="1286" spans="1:18" x14ac:dyDescent="0.15">
      <c r="A1286" s="59">
        <v>42775.75</v>
      </c>
      <c r="B1286">
        <v>14.986539</v>
      </c>
      <c r="C1286">
        <v>148.19447299999999</v>
      </c>
      <c r="D1286">
        <v>53.840431000000002</v>
      </c>
      <c r="E1286">
        <v>41.373001000000002</v>
      </c>
      <c r="F1286">
        <v>1068.130005</v>
      </c>
      <c r="H1286" s="50">
        <f t="shared" si="169"/>
        <v>3.6889230777062275E-3</v>
      </c>
      <c r="I1286" s="50">
        <f t="shared" si="170"/>
        <v>2.3223531928110922E-4</v>
      </c>
      <c r="J1286" s="50">
        <f t="shared" si="171"/>
        <v>4.9375561551494827E-3</v>
      </c>
      <c r="K1286" s="50">
        <f t="shared" si="172"/>
        <v>-1.0842384612625985E-2</v>
      </c>
      <c r="L1286" s="50">
        <f t="shared" si="173"/>
        <v>-9.5876253192403484E-3</v>
      </c>
      <c r="P1286" s="50">
        <f t="shared" si="168"/>
        <v>-9.5876253192403484E-3</v>
      </c>
      <c r="Q1286" s="51">
        <f t="shared" si="174"/>
        <v>110.16069811368011</v>
      </c>
      <c r="R1286" s="51">
        <f t="shared" si="175"/>
        <v>59.609054922834709</v>
      </c>
    </row>
    <row r="1287" spans="1:18" x14ac:dyDescent="0.15">
      <c r="A1287" s="59">
        <v>42776.75</v>
      </c>
      <c r="B1287">
        <v>14.931457999999999</v>
      </c>
      <c r="C1287">
        <v>148.160065</v>
      </c>
      <c r="D1287">
        <v>53.575896999999998</v>
      </c>
      <c r="E1287">
        <v>41.826500000000003</v>
      </c>
      <c r="F1287">
        <v>1078.469971</v>
      </c>
      <c r="H1287" s="50">
        <f t="shared" si="169"/>
        <v>-1.2962379161671131E-2</v>
      </c>
      <c r="I1287" s="50">
        <f t="shared" si="170"/>
        <v>-9.6178987742770398E-3</v>
      </c>
      <c r="J1287" s="50">
        <f t="shared" si="171"/>
        <v>-1.2795231011998483E-2</v>
      </c>
      <c r="K1287" s="50">
        <f t="shared" si="172"/>
        <v>1.6738602804923546E-4</v>
      </c>
      <c r="L1287" s="50">
        <f t="shared" si="173"/>
        <v>2.7521463979679941E-3</v>
      </c>
      <c r="P1287" s="50">
        <f t="shared" si="168"/>
        <v>2.7521463979679941E-3</v>
      </c>
      <c r="Q1287" s="51">
        <f t="shared" si="174"/>
        <v>110.46387648219132</v>
      </c>
      <c r="R1287" s="51">
        <f t="shared" si="175"/>
        <v>58.83637975145605</v>
      </c>
    </row>
    <row r="1288" spans="1:18" x14ac:dyDescent="0.15">
      <c r="A1288" s="59">
        <v>42777.75</v>
      </c>
      <c r="B1288">
        <v>15.127547</v>
      </c>
      <c r="C1288">
        <v>149.59889200000001</v>
      </c>
      <c r="D1288">
        <v>54.270297999999997</v>
      </c>
      <c r="E1288">
        <v>41.819499999999998</v>
      </c>
      <c r="F1288">
        <v>1075.51001</v>
      </c>
      <c r="H1288" s="50">
        <f t="shared" si="169"/>
        <v>-4.3695850975539825E-4</v>
      </c>
      <c r="I1288" s="50">
        <f t="shared" si="170"/>
        <v>-7.8285954432386045E-3</v>
      </c>
      <c r="J1288" s="50">
        <f t="shared" si="171"/>
        <v>-1.5210208384197276E-3</v>
      </c>
      <c r="K1288" s="50">
        <f t="shared" si="172"/>
        <v>-7.4877896042621185E-3</v>
      </c>
      <c r="L1288" s="50">
        <f t="shared" si="173"/>
        <v>-1.7682450965331324E-2</v>
      </c>
      <c r="P1288" s="50">
        <f t="shared" si="168"/>
        <v>-1.7682450965331324E-2</v>
      </c>
      <c r="Q1288" s="51">
        <f t="shared" si="174"/>
        <v>108.51060440285457</v>
      </c>
      <c r="R1288" s="51">
        <f t="shared" si="175"/>
        <v>58.81067069464045</v>
      </c>
    </row>
    <row r="1289" spans="1:18" x14ac:dyDescent="0.15">
      <c r="A1289" s="59">
        <v>42781.75</v>
      </c>
      <c r="B1289">
        <v>15.13416</v>
      </c>
      <c r="C1289">
        <v>150.77928199999999</v>
      </c>
      <c r="D1289">
        <v>54.352969999999999</v>
      </c>
      <c r="E1289">
        <v>42.134998000000003</v>
      </c>
      <c r="F1289">
        <v>1094.869995</v>
      </c>
      <c r="H1289" s="50">
        <f t="shared" si="169"/>
        <v>-2.6135808403660228E-3</v>
      </c>
      <c r="I1289" s="50">
        <f t="shared" si="170"/>
        <v>-4.2672088282969221E-3</v>
      </c>
      <c r="J1289" s="50">
        <f t="shared" si="171"/>
        <v>8.4356272137987125E-3</v>
      </c>
      <c r="K1289" s="50">
        <f t="shared" si="172"/>
        <v>-1.70594920970564E-3</v>
      </c>
      <c r="L1289" s="50">
        <f t="shared" si="173"/>
        <v>-4.22007526789133E-3</v>
      </c>
      <c r="P1289" s="50">
        <f t="shared" si="168"/>
        <v>-4.22007526789133E-3</v>
      </c>
      <c r="Q1289" s="51">
        <f t="shared" si="174"/>
        <v>108.05268148491014</v>
      </c>
      <c r="R1289" s="51">
        <f t="shared" si="175"/>
        <v>58.656964252503862</v>
      </c>
    </row>
    <row r="1290" spans="1:18" x14ac:dyDescent="0.15">
      <c r="A1290" s="59">
        <v>42782.75</v>
      </c>
      <c r="B1290">
        <v>15.173818000000001</v>
      </c>
      <c r="C1290">
        <v>151.42544599999999</v>
      </c>
      <c r="D1290">
        <v>53.898304000000003</v>
      </c>
      <c r="E1290">
        <v>42.207000999999998</v>
      </c>
      <c r="F1290">
        <v>1099.51001</v>
      </c>
      <c r="H1290" s="50">
        <f t="shared" si="169"/>
        <v>-7.2074177556938346E-3</v>
      </c>
      <c r="I1290" s="50">
        <f t="shared" si="170"/>
        <v>-6.2577768475907366E-4</v>
      </c>
      <c r="J1290" s="50">
        <f t="shared" si="171"/>
        <v>-8.9678179844279119E-3</v>
      </c>
      <c r="K1290" s="50">
        <f t="shared" si="172"/>
        <v>-1.1005241648372539E-3</v>
      </c>
      <c r="L1290" s="50">
        <f t="shared" si="173"/>
        <v>-6.5416670431443728E-3</v>
      </c>
      <c r="P1290" s="50">
        <f t="shared" si="168"/>
        <v>-6.5416670431443728E-3</v>
      </c>
      <c r="Q1290" s="51">
        <f t="shared" si="174"/>
        <v>107.34583681951692</v>
      </c>
      <c r="R1290" s="51">
        <f t="shared" si="175"/>
        <v>58.23419900685527</v>
      </c>
    </row>
    <row r="1291" spans="1:18" x14ac:dyDescent="0.15">
      <c r="A1291" s="59">
        <v>42783.75</v>
      </c>
      <c r="B1291">
        <v>15.283975999999999</v>
      </c>
      <c r="C1291">
        <v>151.520264</v>
      </c>
      <c r="D1291">
        <v>54.386028000000003</v>
      </c>
      <c r="E1291">
        <v>42.253501999999997</v>
      </c>
      <c r="F1291">
        <v>1106.75</v>
      </c>
      <c r="H1291" s="50">
        <f t="shared" si="169"/>
        <v>-2.9111579800051589E-2</v>
      </c>
      <c r="I1291" s="50">
        <f t="shared" si="170"/>
        <v>-6.1038837669379238E-3</v>
      </c>
      <c r="J1291" s="50">
        <f t="shared" si="171"/>
        <v>-6.3434776100447406E-3</v>
      </c>
      <c r="K1291" s="50">
        <f t="shared" si="172"/>
        <v>-1.3275816479282079E-2</v>
      </c>
      <c r="L1291" s="50">
        <f t="shared" si="173"/>
        <v>-2.1818512076584372E-3</v>
      </c>
      <c r="P1291" s="50">
        <f t="shared" si="168"/>
        <v>-2.1818512076584372E-3</v>
      </c>
      <c r="Q1291" s="51">
        <f t="shared" si="174"/>
        <v>107.11162417581515</v>
      </c>
      <c r="R1291" s="51">
        <f t="shared" si="175"/>
        <v>56.538909475375114</v>
      </c>
    </row>
    <row r="1292" spans="1:18" x14ac:dyDescent="0.15">
      <c r="A1292" s="59">
        <v>42784.75</v>
      </c>
      <c r="B1292">
        <v>15.742258</v>
      </c>
      <c r="C1292">
        <v>152.450806</v>
      </c>
      <c r="D1292">
        <v>54.733226999999999</v>
      </c>
      <c r="E1292">
        <v>42.821998999999998</v>
      </c>
      <c r="F1292">
        <v>1109.170044</v>
      </c>
      <c r="H1292" s="50">
        <f t="shared" si="169"/>
        <v>-3.6256116554272033E-3</v>
      </c>
      <c r="I1292" s="50">
        <f t="shared" si="170"/>
        <v>2.4364106230317616E-3</v>
      </c>
      <c r="J1292" s="50">
        <f t="shared" si="171"/>
        <v>4.0946226610885945E-3</v>
      </c>
      <c r="K1292" s="50">
        <f t="shared" si="172"/>
        <v>9.7006816119651169E-4</v>
      </c>
      <c r="L1292" s="50">
        <f t="shared" si="173"/>
        <v>1.046952635382776E-3</v>
      </c>
      <c r="P1292" s="50">
        <f t="shared" si="168"/>
        <v>1.046952635382776E-3</v>
      </c>
      <c r="Q1292" s="51">
        <f t="shared" si="174"/>
        <v>107.22376497302614</v>
      </c>
      <c r="R1292" s="51">
        <f t="shared" si="175"/>
        <v>56.33392134619605</v>
      </c>
    </row>
    <row r="1293" spans="1:18" x14ac:dyDescent="0.15">
      <c r="A1293" s="59">
        <v>42787.75</v>
      </c>
      <c r="B1293">
        <v>15.799541</v>
      </c>
      <c r="C1293">
        <v>152.080276</v>
      </c>
      <c r="D1293">
        <v>54.510029000000003</v>
      </c>
      <c r="E1293">
        <v>42.780498999999999</v>
      </c>
      <c r="F1293">
        <v>1108.01001</v>
      </c>
      <c r="H1293" s="50">
        <f t="shared" si="169"/>
        <v>5.6092348669871525E-3</v>
      </c>
      <c r="I1293" s="50">
        <f t="shared" si="170"/>
        <v>3.7532700793915653E-3</v>
      </c>
      <c r="J1293" s="50">
        <f t="shared" si="171"/>
        <v>1.4773708561986303E-2</v>
      </c>
      <c r="K1293" s="50">
        <f t="shared" si="172"/>
        <v>4.0131425148583018E-3</v>
      </c>
      <c r="L1293" s="50">
        <f t="shared" si="173"/>
        <v>1.2251081942285733E-2</v>
      </c>
      <c r="P1293" s="50">
        <f t="shared" si="168"/>
        <v>1.2251081942285733E-2</v>
      </c>
      <c r="Q1293" s="51">
        <f t="shared" si="174"/>
        <v>108.53737210387105</v>
      </c>
      <c r="R1293" s="51">
        <f t="shared" si="175"/>
        <v>56.649911542005242</v>
      </c>
    </row>
    <row r="1294" spans="1:18" x14ac:dyDescent="0.15">
      <c r="A1294" s="59">
        <v>42788.75</v>
      </c>
      <c r="B1294">
        <v>15.711411999999999</v>
      </c>
      <c r="C1294">
        <v>151.51161200000001</v>
      </c>
      <c r="D1294">
        <v>53.716437999999997</v>
      </c>
      <c r="E1294">
        <v>42.609501000000002</v>
      </c>
      <c r="F1294">
        <v>1094.599976</v>
      </c>
      <c r="H1294" s="50">
        <f t="shared" si="169"/>
        <v>-1.4919215587530635E-2</v>
      </c>
      <c r="I1294" s="50">
        <f t="shared" si="170"/>
        <v>-9.6305427187799077E-3</v>
      </c>
      <c r="J1294" s="50">
        <f t="shared" si="171"/>
        <v>-2.3004033303876095E-2</v>
      </c>
      <c r="K1294" s="50">
        <f t="shared" si="172"/>
        <v>8.222516487092121E-3</v>
      </c>
      <c r="L1294" s="50">
        <f t="shared" si="173"/>
        <v>-9.6268811265144902E-3</v>
      </c>
      <c r="P1294" s="50">
        <f t="shared" si="168"/>
        <v>-9.6268811265144902E-3</v>
      </c>
      <c r="Q1294" s="51">
        <f t="shared" si="174"/>
        <v>107.49249572484283</v>
      </c>
      <c r="R1294" s="51">
        <f t="shared" si="175"/>
        <v>55.804739298695523</v>
      </c>
    </row>
    <row r="1295" spans="1:18" x14ac:dyDescent="0.15">
      <c r="A1295" s="59">
        <v>42789.75</v>
      </c>
      <c r="B1295">
        <v>15.949363999999999</v>
      </c>
      <c r="C1295">
        <v>152.98493999999999</v>
      </c>
      <c r="D1295">
        <v>54.981228000000002</v>
      </c>
      <c r="E1295">
        <v>42.262000999999998</v>
      </c>
      <c r="F1295">
        <v>1105.23999</v>
      </c>
      <c r="H1295" s="50">
        <f t="shared" si="169"/>
        <v>9.0601397252893009E-3</v>
      </c>
      <c r="I1295" s="50">
        <f t="shared" si="170"/>
        <v>-3.3770348340350566E-4</v>
      </c>
      <c r="J1295" s="50">
        <f t="shared" si="171"/>
        <v>-5.9781898985087388E-3</v>
      </c>
      <c r="K1295" s="50">
        <f t="shared" si="172"/>
        <v>-4.0063632165903773E-3</v>
      </c>
      <c r="L1295" s="50">
        <f t="shared" si="173"/>
        <v>2.0853800959593177E-3</v>
      </c>
      <c r="P1295" s="50">
        <f t="shared" si="168"/>
        <v>2.0853800959593177E-3</v>
      </c>
      <c r="Q1295" s="51">
        <f t="shared" si="174"/>
        <v>107.7166584358924</v>
      </c>
      <c r="R1295" s="51">
        <f t="shared" si="175"/>
        <v>56.310338034075052</v>
      </c>
    </row>
    <row r="1296" spans="1:18" x14ac:dyDescent="0.15">
      <c r="A1296" s="59">
        <v>42790.75</v>
      </c>
      <c r="B1296">
        <v>15.806158</v>
      </c>
      <c r="C1296">
        <v>153.036621</v>
      </c>
      <c r="D1296">
        <v>55.311892999999998</v>
      </c>
      <c r="E1296">
        <v>42.431998999999998</v>
      </c>
      <c r="F1296">
        <v>1102.9399410000001</v>
      </c>
      <c r="H1296" s="50">
        <f t="shared" si="169"/>
        <v>1.1420180094469518E-2</v>
      </c>
      <c r="I1296" s="50">
        <f t="shared" si="170"/>
        <v>2.4833693743582849E-3</v>
      </c>
      <c r="J1296" s="50">
        <f t="shared" si="171"/>
        <v>0.13850615279662268</v>
      </c>
      <c r="K1296" s="50">
        <f t="shared" si="172"/>
        <v>4.2601534663484139E-3</v>
      </c>
      <c r="L1296" s="50">
        <f t="shared" si="173"/>
        <v>-1.403407015033196E-3</v>
      </c>
      <c r="P1296" s="50">
        <f t="shared" si="168"/>
        <v>-1.403407015033196E-3</v>
      </c>
      <c r="Q1296" s="51">
        <f t="shared" si="174"/>
        <v>107.56548812180753</v>
      </c>
      <c r="R1296" s="51">
        <f t="shared" si="175"/>
        <v>56.953412235604645</v>
      </c>
    </row>
    <row r="1297" spans="1:18" x14ac:dyDescent="0.15">
      <c r="A1297" s="59">
        <v>42791.75</v>
      </c>
      <c r="B1297">
        <v>15.627687</v>
      </c>
      <c r="C1297">
        <v>152.65751599999999</v>
      </c>
      <c r="D1297">
        <v>48.582867</v>
      </c>
      <c r="E1297">
        <v>42.251998999999998</v>
      </c>
      <c r="F1297">
        <v>1104.48999</v>
      </c>
      <c r="H1297" s="50">
        <f t="shared" si="169"/>
        <v>6.8134572706781355E-3</v>
      </c>
      <c r="I1297" s="50">
        <f t="shared" si="170"/>
        <v>-3.8234785373095692E-3</v>
      </c>
      <c r="J1297" s="50">
        <f t="shared" si="171"/>
        <v>1.6254701992423539E-2</v>
      </c>
      <c r="K1297" s="50">
        <f t="shared" si="172"/>
        <v>-9.4246731707383642E-3</v>
      </c>
      <c r="L1297" s="50">
        <f t="shared" si="173"/>
        <v>-1.0056351016122178E-2</v>
      </c>
      <c r="P1297" s="50">
        <f t="shared" si="168"/>
        <v>-1.0056351016122178E-2</v>
      </c>
      <c r="Q1297" s="51">
        <f t="shared" si="174"/>
        <v>106.48377181603411</v>
      </c>
      <c r="R1297" s="51">
        <f t="shared" si="175"/>
        <v>57.341461876291255</v>
      </c>
    </row>
    <row r="1298" spans="1:18" x14ac:dyDescent="0.15">
      <c r="A1298" s="59">
        <v>42794.75</v>
      </c>
      <c r="B1298">
        <v>15.521929</v>
      </c>
      <c r="C1298">
        <v>153.243439</v>
      </c>
      <c r="D1298">
        <v>47.805798000000003</v>
      </c>
      <c r="E1298">
        <v>42.653998999999999</v>
      </c>
      <c r="F1298">
        <v>1115.709961</v>
      </c>
      <c r="H1298" s="50">
        <f t="shared" si="169"/>
        <v>-4.3813322890899177E-3</v>
      </c>
      <c r="I1298" s="50">
        <f t="shared" si="170"/>
        <v>-6.7424281709328802E-4</v>
      </c>
      <c r="J1298" s="50">
        <f t="shared" si="171"/>
        <v>-2.0708692993923364E-3</v>
      </c>
      <c r="K1298" s="50">
        <f t="shared" si="172"/>
        <v>4.9121816190687449E-3</v>
      </c>
      <c r="L1298" s="50">
        <f t="shared" si="173"/>
        <v>-2.3250242444612483E-3</v>
      </c>
      <c r="P1298" s="50">
        <f t="shared" si="168"/>
        <v>-2.3250242444612483E-3</v>
      </c>
      <c r="Q1298" s="51">
        <f t="shared" si="174"/>
        <v>106.23619446492015</v>
      </c>
      <c r="R1298" s="51">
        <f t="shared" si="175"/>
        <v>57.090229877869042</v>
      </c>
    </row>
    <row r="1299" spans="1:18" x14ac:dyDescent="0.15">
      <c r="A1299" s="59">
        <v>42795.75</v>
      </c>
      <c r="B1299">
        <v>15.590235</v>
      </c>
      <c r="C1299">
        <v>153.34683200000001</v>
      </c>
      <c r="D1299">
        <v>47.905003000000001</v>
      </c>
      <c r="E1299">
        <v>42.445498999999998</v>
      </c>
      <c r="F1299">
        <v>1118.3100589999999</v>
      </c>
      <c r="H1299" s="50">
        <f t="shared" si="169"/>
        <v>1.0424127397849705E-2</v>
      </c>
      <c r="I1299" s="50">
        <f t="shared" si="170"/>
        <v>4.5342523830194742E-2</v>
      </c>
      <c r="J1299" s="50">
        <f t="shared" si="171"/>
        <v>1.04620413065804E-2</v>
      </c>
      <c r="K1299" s="50">
        <f t="shared" si="172"/>
        <v>-1.1413376274613317E-3</v>
      </c>
      <c r="L1299" s="50">
        <f t="shared" si="173"/>
        <v>-4.2901704812199236E-4</v>
      </c>
      <c r="P1299" s="50">
        <f t="shared" si="168"/>
        <v>-4.2901704812199236E-4</v>
      </c>
      <c r="Q1299" s="51">
        <f t="shared" si="174"/>
        <v>106.19061732636709</v>
      </c>
      <c r="R1299" s="51">
        <f t="shared" si="175"/>
        <v>57.685345707288484</v>
      </c>
    </row>
    <row r="1300" spans="1:18" x14ac:dyDescent="0.15">
      <c r="A1300" s="59">
        <v>42796.75</v>
      </c>
      <c r="B1300">
        <v>15.429397</v>
      </c>
      <c r="C1300">
        <v>146.69529700000001</v>
      </c>
      <c r="D1300">
        <v>47.409008</v>
      </c>
      <c r="E1300">
        <v>42.493999000000002</v>
      </c>
      <c r="F1300">
        <v>1118.790039</v>
      </c>
      <c r="H1300" s="50">
        <f t="shared" si="169"/>
        <v>2.1467432692629084E-3</v>
      </c>
      <c r="I1300" s="50">
        <f t="shared" si="170"/>
        <v>2.1172131710312354E-2</v>
      </c>
      <c r="J1300" s="50">
        <f t="shared" si="171"/>
        <v>2.2281612542504176E-2</v>
      </c>
      <c r="K1300" s="50">
        <f t="shared" si="172"/>
        <v>3.8623921823558705E-3</v>
      </c>
      <c r="L1300" s="50">
        <f t="shared" si="173"/>
        <v>-3.7222117313411296E-3</v>
      </c>
      <c r="P1300" s="50">
        <f t="shared" si="168"/>
        <v>-3.7222117313411296E-3</v>
      </c>
      <c r="Q1300" s="51">
        <f t="shared" si="174"/>
        <v>105.79535336479653</v>
      </c>
      <c r="R1300" s="51">
        <f t="shared" si="175"/>
        <v>57.809181334920716</v>
      </c>
    </row>
    <row r="1301" spans="1:18" x14ac:dyDescent="0.15">
      <c r="A1301" s="59">
        <v>42797.75</v>
      </c>
      <c r="B1301">
        <v>15.396345</v>
      </c>
      <c r="C1301">
        <v>143.653839</v>
      </c>
      <c r="D1301">
        <v>46.375683000000002</v>
      </c>
      <c r="E1301">
        <v>42.330502000000003</v>
      </c>
      <c r="F1301">
        <v>1122.969971</v>
      </c>
      <c r="H1301" s="50">
        <f t="shared" si="169"/>
        <v>1.4297644610830281E-4</v>
      </c>
      <c r="I1301" s="50">
        <f t="shared" si="170"/>
        <v>-1.6171146539647027E-3</v>
      </c>
      <c r="J1301" s="50">
        <f t="shared" si="171"/>
        <v>1.741014870489049E-2</v>
      </c>
      <c r="K1301" s="50">
        <f t="shared" si="172"/>
        <v>6.9745397738728082E-4</v>
      </c>
      <c r="L1301" s="50">
        <f t="shared" si="173"/>
        <v>-1.3813981449798155E-2</v>
      </c>
      <c r="P1301" s="50">
        <f t="shared" si="168"/>
        <v>-1.3813981449798155E-2</v>
      </c>
      <c r="Q1301" s="51">
        <f t="shared" si="174"/>
        <v>104.33389831594039</v>
      </c>
      <c r="R1301" s="51">
        <f t="shared" si="175"/>
        <v>57.817446686220414</v>
      </c>
    </row>
    <row r="1302" spans="1:18" x14ac:dyDescent="0.15">
      <c r="A1302" s="59">
        <v>42798.75</v>
      </c>
      <c r="B1302">
        <v>15.394144000000001</v>
      </c>
      <c r="C1302">
        <v>143.88651999999999</v>
      </c>
      <c r="D1302">
        <v>45.582092000000003</v>
      </c>
      <c r="E1302">
        <v>42.300998999999997</v>
      </c>
      <c r="F1302">
        <v>1138.6999510000001</v>
      </c>
      <c r="H1302" s="50">
        <f t="shared" si="169"/>
        <v>-2.0916784492850896E-2</v>
      </c>
      <c r="I1302" s="50">
        <f t="shared" si="170"/>
        <v>4.5716130477243067E-3</v>
      </c>
      <c r="J1302" s="50">
        <f t="shared" si="171"/>
        <v>2.1809737484828912E-3</v>
      </c>
      <c r="K1302" s="50">
        <f t="shared" si="172"/>
        <v>-5.2675600109319994E-3</v>
      </c>
      <c r="L1302" s="50">
        <f t="shared" si="173"/>
        <v>1.7562670180066361E-4</v>
      </c>
      <c r="P1302" s="50">
        <f t="shared" si="168"/>
        <v>1.7562670180066361E-4</v>
      </c>
      <c r="Q1302" s="51">
        <f t="shared" si="174"/>
        <v>104.35222213438763</v>
      </c>
      <c r="R1302" s="51">
        <f t="shared" si="175"/>
        <v>56.608091613957839</v>
      </c>
    </row>
    <row r="1303" spans="1:18" x14ac:dyDescent="0.15">
      <c r="A1303" s="59">
        <v>42801.75</v>
      </c>
      <c r="B1303">
        <v>15.723019000000001</v>
      </c>
      <c r="C1303">
        <v>143.23172</v>
      </c>
      <c r="D1303">
        <v>45.482894999999999</v>
      </c>
      <c r="E1303">
        <v>42.525002000000001</v>
      </c>
      <c r="F1303">
        <v>1138.5</v>
      </c>
      <c r="H1303" s="50">
        <f t="shared" si="169"/>
        <v>-8.589565073278165E-4</v>
      </c>
      <c r="I1303" s="50">
        <f t="shared" si="170"/>
        <v>2.8354915287007935E-3</v>
      </c>
      <c r="J1303" s="50">
        <f t="shared" si="171"/>
        <v>-3.2608913607088531E-3</v>
      </c>
      <c r="K1303" s="50">
        <f t="shared" si="172"/>
        <v>-2.9308322189527682E-3</v>
      </c>
      <c r="L1303" s="50">
        <f t="shared" si="173"/>
        <v>-1.7098084824241932E-3</v>
      </c>
      <c r="P1303" s="50">
        <f t="shared" si="168"/>
        <v>-1.7098084824241932E-3</v>
      </c>
      <c r="Q1303" s="51">
        <f t="shared" si="174"/>
        <v>104.17379981982243</v>
      </c>
      <c r="R1303" s="51">
        <f t="shared" si="175"/>
        <v>56.559467725298624</v>
      </c>
    </row>
    <row r="1304" spans="1:18" x14ac:dyDescent="0.15">
      <c r="A1304" s="59">
        <v>42802.75</v>
      </c>
      <c r="B1304">
        <v>15.736535999999999</v>
      </c>
      <c r="C1304">
        <v>142.82673600000001</v>
      </c>
      <c r="D1304">
        <v>45.631695000000001</v>
      </c>
      <c r="E1304">
        <v>42.650002000000001</v>
      </c>
      <c r="F1304">
        <v>1140.4499510000001</v>
      </c>
      <c r="H1304" s="50">
        <f t="shared" si="169"/>
        <v>-3.4234935415670231E-3</v>
      </c>
      <c r="I1304" s="50">
        <f t="shared" si="170"/>
        <v>2.4187950457019926E-3</v>
      </c>
      <c r="J1304" s="50">
        <f t="shared" si="171"/>
        <v>-2.8898731134358044E-3</v>
      </c>
      <c r="K1304" s="50">
        <f t="shared" si="172"/>
        <v>6.3348425419407933E-4</v>
      </c>
      <c r="L1304" s="50">
        <f t="shared" si="173"/>
        <v>-4.5041803646639796E-3</v>
      </c>
      <c r="P1304" s="50">
        <f t="shared" si="168"/>
        <v>-4.5041803646639796E-3</v>
      </c>
      <c r="Q1304" s="51">
        <f t="shared" si="174"/>
        <v>103.70458223616156</v>
      </c>
      <c r="R1304" s="51">
        <f t="shared" si="175"/>
        <v>56.365836752826596</v>
      </c>
    </row>
    <row r="1305" spans="1:18" x14ac:dyDescent="0.15">
      <c r="A1305" s="59">
        <v>42803.75</v>
      </c>
      <c r="B1305">
        <v>15.790595</v>
      </c>
      <c r="C1305">
        <v>142.482101</v>
      </c>
      <c r="D1305">
        <v>45.763947000000002</v>
      </c>
      <c r="E1305">
        <v>42.623001000000002</v>
      </c>
      <c r="F1305">
        <v>1145.6099850000001</v>
      </c>
      <c r="H1305" s="50">
        <f t="shared" si="169"/>
        <v>2.144406677343144E-3</v>
      </c>
      <c r="I1305" s="50">
        <f t="shared" si="170"/>
        <v>4.9828796411794758E-3</v>
      </c>
      <c r="J1305" s="50">
        <f t="shared" si="171"/>
        <v>3.0798866687626789E-3</v>
      </c>
      <c r="K1305" s="50">
        <f t="shared" si="172"/>
        <v>-2.4923998642623819E-3</v>
      </c>
      <c r="L1305" s="50">
        <f t="shared" si="173"/>
        <v>-4.0252512869075113E-3</v>
      </c>
      <c r="P1305" s="50">
        <f t="shared" si="168"/>
        <v>-4.0252512869075113E-3</v>
      </c>
      <c r="Q1305" s="51">
        <f t="shared" si="174"/>
        <v>103.28714523305723</v>
      </c>
      <c r="R1305" s="51">
        <f t="shared" si="175"/>
        <v>56.486708029533389</v>
      </c>
    </row>
    <row r="1306" spans="1:18" x14ac:dyDescent="0.15">
      <c r="A1306" s="59">
        <v>42804.75</v>
      </c>
      <c r="B1306">
        <v>15.756805999999999</v>
      </c>
      <c r="C1306">
        <v>141.77565000000001</v>
      </c>
      <c r="D1306">
        <v>45.623432000000001</v>
      </c>
      <c r="E1306">
        <v>42.729500000000002</v>
      </c>
      <c r="F1306">
        <v>1150.23999</v>
      </c>
      <c r="H1306" s="50">
        <f t="shared" si="169"/>
        <v>-1.0887899897132911E-2</v>
      </c>
      <c r="I1306" s="50">
        <f t="shared" si="170"/>
        <v>-4.1753991297975596E-3</v>
      </c>
      <c r="J1306" s="50">
        <f t="shared" si="171"/>
        <v>8.0367093961508426E-3</v>
      </c>
      <c r="K1306" s="50">
        <f t="shared" si="172"/>
        <v>2.4163607712657568E-3</v>
      </c>
      <c r="L1306" s="50">
        <f t="shared" si="173"/>
        <v>2.1739319661382442E-4</v>
      </c>
      <c r="P1306" s="50">
        <f t="shared" si="168"/>
        <v>2.1739319661382442E-4</v>
      </c>
      <c r="Q1306" s="51">
        <f t="shared" si="174"/>
        <v>103.30959915572856</v>
      </c>
      <c r="R1306" s="51">
        <f t="shared" si="175"/>
        <v>55.871686406989255</v>
      </c>
    </row>
    <row r="1307" spans="1:18" x14ac:dyDescent="0.15">
      <c r="A1307" s="59">
        <v>42805.75</v>
      </c>
      <c r="B1307">
        <v>15.930253</v>
      </c>
      <c r="C1307">
        <v>142.370102</v>
      </c>
      <c r="D1307">
        <v>45.259692999999999</v>
      </c>
      <c r="E1307">
        <v>42.626499000000003</v>
      </c>
      <c r="F1307">
        <v>1149.98999</v>
      </c>
      <c r="H1307" s="50">
        <f t="shared" si="169"/>
        <v>1.983241168692747E-3</v>
      </c>
      <c r="I1307" s="50">
        <f t="shared" si="170"/>
        <v>-7.8058036565825314E-3</v>
      </c>
      <c r="J1307" s="50">
        <f t="shared" si="171"/>
        <v>3.2984491529839733E-3</v>
      </c>
      <c r="K1307" s="50">
        <f t="shared" si="172"/>
        <v>-5.158446490695596E-4</v>
      </c>
      <c r="L1307" s="50">
        <f t="shared" si="173"/>
        <v>-4.5199085230030405E-4</v>
      </c>
      <c r="P1307" s="50">
        <f t="shared" si="168"/>
        <v>-4.5199085230030405E-4</v>
      </c>
      <c r="Q1307" s="51">
        <f t="shared" si="174"/>
        <v>103.26290416195536</v>
      </c>
      <c r="R1307" s="51">
        <f t="shared" si="175"/>
        <v>55.982493435635881</v>
      </c>
    </row>
    <row r="1308" spans="1:18" x14ac:dyDescent="0.15">
      <c r="A1308" s="59">
        <v>42808.75</v>
      </c>
      <c r="B1308">
        <v>15.898721999999999</v>
      </c>
      <c r="C1308">
        <v>143.49015800000001</v>
      </c>
      <c r="D1308">
        <v>45.110897000000001</v>
      </c>
      <c r="E1308">
        <v>42.648499000000001</v>
      </c>
      <c r="F1308">
        <v>1150.51001</v>
      </c>
      <c r="H1308" s="50">
        <f t="shared" si="169"/>
        <v>1.9874979722301813E-3</v>
      </c>
      <c r="I1308" s="50">
        <f t="shared" si="170"/>
        <v>-3.1126486260382807E-3</v>
      </c>
      <c r="J1308" s="50">
        <f t="shared" si="171"/>
        <v>-3.6653975348648391E-4</v>
      </c>
      <c r="K1308" s="50">
        <f t="shared" si="172"/>
        <v>-5.2733705497079399E-4</v>
      </c>
      <c r="L1308" s="50">
        <f t="shared" si="173"/>
        <v>-7.719068619050016E-3</v>
      </c>
      <c r="P1308" s="50">
        <f t="shared" si="168"/>
        <v>-7.719068619050016E-3</v>
      </c>
      <c r="Q1308" s="51">
        <f t="shared" si="174"/>
        <v>102.46581071892685</v>
      </c>
      <c r="R1308" s="51">
        <f t="shared" si="175"/>
        <v>56.093758527819588</v>
      </c>
    </row>
    <row r="1309" spans="1:18" x14ac:dyDescent="0.15">
      <c r="A1309" s="59">
        <v>42809.75</v>
      </c>
      <c r="B1309">
        <v>15.867186</v>
      </c>
      <c r="C1309">
        <v>143.938187</v>
      </c>
      <c r="D1309">
        <v>45.127437999999998</v>
      </c>
      <c r="E1309">
        <v>42.671000999999997</v>
      </c>
      <c r="F1309">
        <v>1159.459961</v>
      </c>
      <c r="H1309" s="50">
        <f t="shared" si="169"/>
        <v>7.8695093923799985E-3</v>
      </c>
      <c r="I1309" s="50">
        <f t="shared" si="170"/>
        <v>-4.4693209289322086E-3</v>
      </c>
      <c r="J1309" s="50">
        <f t="shared" si="171"/>
        <v>5.5261175448554868E-3</v>
      </c>
      <c r="K1309" s="50">
        <f t="shared" si="172"/>
        <v>1.3023430136371035E-3</v>
      </c>
      <c r="L1309" s="50">
        <f t="shared" si="173"/>
        <v>-5.7879800599645193E-3</v>
      </c>
      <c r="P1309" s="50">
        <f t="shared" si="168"/>
        <v>-5.7879800599645193E-3</v>
      </c>
      <c r="Q1309" s="51">
        <f t="shared" si="174"/>
        <v>101.8727406496576</v>
      </c>
      <c r="R1309" s="51">
        <f t="shared" si="175"/>
        <v>56.535188887408161</v>
      </c>
    </row>
    <row r="1310" spans="1:18" x14ac:dyDescent="0.15">
      <c r="A1310" s="59">
        <v>42810.75</v>
      </c>
      <c r="B1310">
        <v>15.743294000000001</v>
      </c>
      <c r="C1310">
        <v>144.58438100000001</v>
      </c>
      <c r="D1310">
        <v>44.879429000000002</v>
      </c>
      <c r="E1310">
        <v>42.615501000000002</v>
      </c>
      <c r="F1310">
        <v>1166.209961</v>
      </c>
      <c r="H1310" s="50">
        <f t="shared" si="169"/>
        <v>-1.2858133659248852E-3</v>
      </c>
      <c r="I1310" s="50">
        <f t="shared" si="170"/>
        <v>2.2096118402715526E-3</v>
      </c>
      <c r="J1310" s="50">
        <f t="shared" si="171"/>
        <v>-1.4712911445284587E-3</v>
      </c>
      <c r="K1310" s="50">
        <f t="shared" si="172"/>
        <v>-5.4377167330877784E-3</v>
      </c>
      <c r="L1310" s="50">
        <f t="shared" si="173"/>
        <v>3.2595233811266283E-4</v>
      </c>
      <c r="P1310" s="50">
        <f t="shared" si="168"/>
        <v>3.2595233811266283E-4</v>
      </c>
      <c r="Q1310" s="51">
        <f t="shared" si="174"/>
        <v>101.9059463076623</v>
      </c>
      <c r="R1310" s="51">
        <f t="shared" si="175"/>
        <v>56.46249518589164</v>
      </c>
    </row>
    <row r="1311" spans="1:18" x14ac:dyDescent="0.15">
      <c r="A1311" s="59">
        <v>42811.75</v>
      </c>
      <c r="B1311">
        <v>15.763563</v>
      </c>
      <c r="C1311">
        <v>144.26561000000001</v>
      </c>
      <c r="D1311">
        <v>44.945557000000001</v>
      </c>
      <c r="E1311">
        <v>42.848498999999997</v>
      </c>
      <c r="F1311">
        <v>1165.829956</v>
      </c>
      <c r="H1311" s="50">
        <f t="shared" si="169"/>
        <v>1.1441329320516576E-3</v>
      </c>
      <c r="I1311" s="50">
        <f t="shared" si="170"/>
        <v>3.9574958212398861E-3</v>
      </c>
      <c r="J1311" s="50">
        <f t="shared" si="171"/>
        <v>1.8355410719545946E-2</v>
      </c>
      <c r="K1311" s="50">
        <f t="shared" si="172"/>
        <v>1.6330621442125243E-2</v>
      </c>
      <c r="L1311" s="50">
        <f t="shared" si="173"/>
        <v>5.1124509675844337E-3</v>
      </c>
      <c r="P1311" s="50">
        <f t="shared" si="168"/>
        <v>5.1124509675844337E-3</v>
      </c>
      <c r="Q1311" s="51">
        <f t="shared" si="174"/>
        <v>102.42693546146552</v>
      </c>
      <c r="R1311" s="51">
        <f t="shared" si="175"/>
        <v>56.527095786059625</v>
      </c>
    </row>
    <row r="1312" spans="1:18" x14ac:dyDescent="0.15">
      <c r="A1312" s="59">
        <v>42812.75</v>
      </c>
      <c r="B1312">
        <v>15.745547999999999</v>
      </c>
      <c r="C1312">
        <v>143.69693000000001</v>
      </c>
      <c r="D1312">
        <v>44.135432999999999</v>
      </c>
      <c r="E1312">
        <v>42.16</v>
      </c>
      <c r="F1312">
        <v>1159.900024</v>
      </c>
      <c r="H1312" s="50">
        <f t="shared" si="169"/>
        <v>-4.9816801669323053E-3</v>
      </c>
      <c r="I1312" s="50">
        <f t="shared" si="170"/>
        <v>-5.3673655486474485E-3</v>
      </c>
      <c r="J1312" s="50">
        <f t="shared" si="171"/>
        <v>-3.5458608692291054E-3</v>
      </c>
      <c r="K1312" s="50">
        <f t="shared" si="172"/>
        <v>-5.7307265995331013E-3</v>
      </c>
      <c r="L1312" s="50">
        <f t="shared" si="173"/>
        <v>-5.0694664661491652E-3</v>
      </c>
      <c r="P1312" s="50">
        <f t="shared" si="168"/>
        <v>-5.0694664661491652E-3</v>
      </c>
      <c r="Q1312" s="51">
        <f t="shared" si="174"/>
        <v>101.9076855469132</v>
      </c>
      <c r="R1312" s="51">
        <f t="shared" si="175"/>
        <v>56.245495874087929</v>
      </c>
    </row>
    <row r="1313" spans="1:18" x14ac:dyDescent="0.15">
      <c r="A1313" s="59">
        <v>42815.75</v>
      </c>
      <c r="B1313">
        <v>15.82438</v>
      </c>
      <c r="C1313">
        <v>144.47236599999999</v>
      </c>
      <c r="D1313">
        <v>44.292487999999999</v>
      </c>
      <c r="E1313">
        <v>42.402999999999999</v>
      </c>
      <c r="F1313">
        <v>1165.8100589999999</v>
      </c>
      <c r="H1313" s="50">
        <f t="shared" si="169"/>
        <v>5.5821687822529987E-3</v>
      </c>
      <c r="I1313" s="50">
        <f t="shared" si="170"/>
        <v>4.6735504905872152E-3</v>
      </c>
      <c r="J1313" s="50">
        <f t="shared" si="171"/>
        <v>8.2797678277706475E-3</v>
      </c>
      <c r="K1313" s="50">
        <f t="shared" si="172"/>
        <v>8.0249712767574216E-4</v>
      </c>
      <c r="L1313" s="50">
        <f t="shared" si="173"/>
        <v>-7.1199099676571651E-3</v>
      </c>
      <c r="P1313" s="50">
        <f t="shared" si="168"/>
        <v>-7.1199099676571651E-3</v>
      </c>
      <c r="Q1313" s="51">
        <f t="shared" si="174"/>
        <v>101.18211200080685</v>
      </c>
      <c r="R1313" s="51">
        <f t="shared" si="175"/>
        <v>56.559467725298603</v>
      </c>
    </row>
    <row r="1314" spans="1:18" x14ac:dyDescent="0.15">
      <c r="A1314" s="59">
        <v>42816.75</v>
      </c>
      <c r="B1314">
        <v>15.736535999999999</v>
      </c>
      <c r="C1314">
        <v>143.800308</v>
      </c>
      <c r="D1314">
        <v>43.928767999999998</v>
      </c>
      <c r="E1314">
        <v>42.368999000000002</v>
      </c>
      <c r="F1314">
        <v>1174.170044</v>
      </c>
      <c r="H1314" s="50">
        <f t="shared" si="169"/>
        <v>3.5917232522992793E-3</v>
      </c>
      <c r="I1314" s="50">
        <f t="shared" si="170"/>
        <v>5.3003824817207017E-3</v>
      </c>
      <c r="J1314" s="50">
        <f t="shared" si="171"/>
        <v>3.7622761595409462E-4</v>
      </c>
      <c r="K1314" s="50">
        <f t="shared" si="172"/>
        <v>2.0931635646022854E-3</v>
      </c>
      <c r="L1314" s="50">
        <f t="shared" si="173"/>
        <v>5.5236470730875035E-3</v>
      </c>
      <c r="P1314" s="50">
        <f t="shared" si="168"/>
        <v>5.5236470730875035E-3</v>
      </c>
      <c r="Q1314" s="51">
        <f t="shared" si="174"/>
        <v>101.74100627760892</v>
      </c>
      <c r="R1314" s="51">
        <f t="shared" si="175"/>
        <v>56.762613680665226</v>
      </c>
    </row>
    <row r="1315" spans="1:18" x14ac:dyDescent="0.15">
      <c r="A1315" s="59">
        <v>42817.75</v>
      </c>
      <c r="B1315">
        <v>15.680217000000001</v>
      </c>
      <c r="C1315">
        <v>143.04212999999999</v>
      </c>
      <c r="D1315">
        <v>43.912247000000001</v>
      </c>
      <c r="E1315">
        <v>42.280498999999999</v>
      </c>
      <c r="F1315">
        <v>1167.719971</v>
      </c>
      <c r="H1315" s="50">
        <f t="shared" si="169"/>
        <v>-7.1796910464097692E-4</v>
      </c>
      <c r="I1315" s="50">
        <f t="shared" si="170"/>
        <v>-7.8258291620728526E-4</v>
      </c>
      <c r="J1315" s="50">
        <f t="shared" si="171"/>
        <v>-3.9376587159206085E-3</v>
      </c>
      <c r="K1315" s="50">
        <f t="shared" si="172"/>
        <v>-1.4288987033844768E-3</v>
      </c>
      <c r="L1315" s="50">
        <f t="shared" si="173"/>
        <v>1.7070771397677514E-3</v>
      </c>
      <c r="P1315" s="50">
        <f t="shared" si="168"/>
        <v>1.7070771397677514E-3</v>
      </c>
      <c r="Q1315" s="51">
        <f t="shared" si="174"/>
        <v>101.9146860236024</v>
      </c>
      <c r="R1315" s="51">
        <f t="shared" si="175"/>
        <v>56.721859877743839</v>
      </c>
    </row>
    <row r="1316" spans="1:18" x14ac:dyDescent="0.15">
      <c r="A1316" s="59">
        <v>42818.75</v>
      </c>
      <c r="B1316">
        <v>15.691483</v>
      </c>
      <c r="C1316">
        <v>143.15415999999999</v>
      </c>
      <c r="D1316">
        <v>44.085842</v>
      </c>
      <c r="E1316">
        <v>42.341000000000001</v>
      </c>
      <c r="F1316">
        <v>1165.7299800000001</v>
      </c>
      <c r="H1316" s="50">
        <f t="shared" si="169"/>
        <v>-9.3857042046434792E-3</v>
      </c>
      <c r="I1316" s="50">
        <f t="shared" si="170"/>
        <v>-3.7177264902068094E-3</v>
      </c>
      <c r="J1316" s="50">
        <f t="shared" si="171"/>
        <v>-5.0372118228886641E-3</v>
      </c>
      <c r="K1316" s="50">
        <f t="shared" si="172"/>
        <v>-1.0724275951501742E-2</v>
      </c>
      <c r="L1316" s="50">
        <f t="shared" si="173"/>
        <v>-7.3717932183889128E-4</v>
      </c>
      <c r="P1316" s="50">
        <f t="shared" si="168"/>
        <v>-7.3717932183889128E-4</v>
      </c>
      <c r="Q1316" s="51">
        <f t="shared" si="174"/>
        <v>101.8395566244741</v>
      </c>
      <c r="R1316" s="51">
        <f t="shared" si="175"/>
        <v>56.189485278994098</v>
      </c>
    </row>
    <row r="1317" spans="1:18" x14ac:dyDescent="0.15">
      <c r="A1317" s="59">
        <v>42819.75</v>
      </c>
      <c r="B1317">
        <v>15.840154</v>
      </c>
      <c r="C1317">
        <v>143.688354</v>
      </c>
      <c r="D1317">
        <v>44.309035999999999</v>
      </c>
      <c r="E1317">
        <v>42.799999</v>
      </c>
      <c r="F1317">
        <v>1166.589966</v>
      </c>
      <c r="H1317" s="50">
        <f t="shared" si="169"/>
        <v>-5.9371458410954446E-3</v>
      </c>
      <c r="I1317" s="50">
        <f t="shared" si="170"/>
        <v>-3.9418194150718094E-3</v>
      </c>
      <c r="J1317" s="50">
        <f t="shared" si="171"/>
        <v>-2.8105216008041094E-2</v>
      </c>
      <c r="K1317" s="50">
        <f t="shared" si="172"/>
        <v>-2.095344953792665E-2</v>
      </c>
      <c r="L1317" s="50">
        <f t="shared" si="173"/>
        <v>-5.6511184295208209E-3</v>
      </c>
      <c r="P1317" s="50">
        <f t="shared" si="168"/>
        <v>-5.6511184295208209E-3</v>
      </c>
      <c r="Q1317" s="51">
        <f t="shared" si="174"/>
        <v>101.26404922917931</v>
      </c>
      <c r="R1317" s="51">
        <f t="shared" si="175"/>
        <v>55.855880110156626</v>
      </c>
    </row>
    <row r="1318" spans="1:18" x14ac:dyDescent="0.15">
      <c r="A1318" s="59">
        <v>42822.75</v>
      </c>
      <c r="B1318">
        <v>15.934761</v>
      </c>
      <c r="C1318">
        <v>144.256989</v>
      </c>
      <c r="D1318">
        <v>45.590363000000004</v>
      </c>
      <c r="E1318">
        <v>43.716000000000001</v>
      </c>
      <c r="F1318">
        <v>1173.219971</v>
      </c>
      <c r="H1318" s="50">
        <f t="shared" si="169"/>
        <v>-1.1873263388496563E-2</v>
      </c>
      <c r="I1318" s="50">
        <f t="shared" si="170"/>
        <v>-2.7398679822903719E-3</v>
      </c>
      <c r="J1318" s="50">
        <f t="shared" si="171"/>
        <v>-1.8099959251663895E-3</v>
      </c>
      <c r="K1318" s="50">
        <f t="shared" si="172"/>
        <v>-2.3050641918646274E-3</v>
      </c>
      <c r="L1318" s="50">
        <f t="shared" si="173"/>
        <v>-4.265769954638788E-5</v>
      </c>
      <c r="P1318" s="50">
        <f t="shared" si="168"/>
        <v>-4.265769954638788E-5</v>
      </c>
      <c r="Q1318" s="51">
        <f t="shared" si="174"/>
        <v>101.25972953779244</v>
      </c>
      <c r="R1318" s="51">
        <f t="shared" si="175"/>
        <v>55.192688533812451</v>
      </c>
    </row>
    <row r="1319" spans="1:18" x14ac:dyDescent="0.15">
      <c r="A1319" s="59">
        <v>42823.75</v>
      </c>
      <c r="B1319">
        <v>16.126232000000002</v>
      </c>
      <c r="C1319">
        <v>144.65332000000001</v>
      </c>
      <c r="D1319">
        <v>45.673031000000002</v>
      </c>
      <c r="E1319">
        <v>43.817000999999998</v>
      </c>
      <c r="F1319">
        <v>1173.2700199999999</v>
      </c>
      <c r="H1319" s="50">
        <f t="shared" si="169"/>
        <v>-6.7980939370963032E-3</v>
      </c>
      <c r="I1319" s="50">
        <f t="shared" si="170"/>
        <v>1.1926619861575916E-3</v>
      </c>
      <c r="J1319" s="50">
        <f t="shared" si="171"/>
        <v>1.0871387316938501E-3</v>
      </c>
      <c r="K1319" s="50">
        <f t="shared" si="172"/>
        <v>-1.1505380467886402E-2</v>
      </c>
      <c r="L1319" s="50">
        <f t="shared" si="173"/>
        <v>3.2836217838471972E-3</v>
      </c>
      <c r="P1319" s="50">
        <f t="shared" si="168"/>
        <v>3.2836217838471972E-3</v>
      </c>
      <c r="Q1319" s="51">
        <f t="shared" si="174"/>
        <v>101.59222819152922</v>
      </c>
      <c r="R1319" s="51">
        <f t="shared" si="175"/>
        <v>54.817483452518694</v>
      </c>
    </row>
    <row r="1320" spans="1:18" x14ac:dyDescent="0.15">
      <c r="A1320" s="59">
        <v>42824.75</v>
      </c>
      <c r="B1320">
        <v>16.236609999999999</v>
      </c>
      <c r="C1320">
        <v>144.48100299999999</v>
      </c>
      <c r="D1320">
        <v>45.623432000000001</v>
      </c>
      <c r="E1320">
        <v>44.326999999999998</v>
      </c>
      <c r="F1320">
        <v>1169.4300539999999</v>
      </c>
      <c r="H1320" s="50">
        <f t="shared" si="169"/>
        <v>3.4805300818389904E-3</v>
      </c>
      <c r="I1320" s="50">
        <f t="shared" si="170"/>
        <v>5.9389322720249131E-3</v>
      </c>
      <c r="J1320" s="50">
        <f t="shared" si="171"/>
        <v>2.1469736914310349E-2</v>
      </c>
      <c r="K1320" s="50">
        <f t="shared" si="172"/>
        <v>-5.5748112752520996E-3</v>
      </c>
      <c r="L1320" s="50">
        <f t="shared" si="173"/>
        <v>-7.3592413009267747E-3</v>
      </c>
      <c r="P1320" s="50">
        <f t="shared" si="168"/>
        <v>-7.3592413009267747E-3</v>
      </c>
      <c r="Q1320" s="51">
        <f t="shared" si="174"/>
        <v>100.84458646996893</v>
      </c>
      <c r="R1320" s="51">
        <f t="shared" si="175"/>
        <v>55.008277352685894</v>
      </c>
    </row>
    <row r="1321" spans="1:18" x14ac:dyDescent="0.15">
      <c r="A1321" s="59">
        <v>42825.75</v>
      </c>
      <c r="B1321">
        <v>16.180294</v>
      </c>
      <c r="C1321">
        <v>143.628006</v>
      </c>
      <c r="D1321">
        <v>44.664496999999997</v>
      </c>
      <c r="E1321">
        <v>44.575499999999998</v>
      </c>
      <c r="F1321">
        <v>1178.099976</v>
      </c>
      <c r="H1321" s="50">
        <f t="shared" si="169"/>
        <v>-2.4997469305231587E-3</v>
      </c>
      <c r="I1321" s="50">
        <f t="shared" si="170"/>
        <v>-3.288589578466249E-3</v>
      </c>
      <c r="J1321" s="50">
        <f t="shared" si="171"/>
        <v>1.1229585933668525E-2</v>
      </c>
      <c r="K1321" s="50">
        <f t="shared" si="172"/>
        <v>-1.6893993734084546E-2</v>
      </c>
      <c r="L1321" s="50">
        <f t="shared" si="173"/>
        <v>-7.8656314963891881E-3</v>
      </c>
      <c r="P1321" s="50">
        <f t="shared" si="168"/>
        <v>-7.8656314963891881E-3</v>
      </c>
      <c r="Q1321" s="51">
        <f t="shared" si="174"/>
        <v>100.0513801143904</v>
      </c>
      <c r="R1321" s="51">
        <f t="shared" si="175"/>
        <v>54.870770580220153</v>
      </c>
    </row>
    <row r="1322" spans="1:18" x14ac:dyDescent="0.15">
      <c r="A1322" s="59">
        <v>42829.75</v>
      </c>
      <c r="B1322">
        <v>16.220842000000001</v>
      </c>
      <c r="C1322">
        <v>144.10189800000001</v>
      </c>
      <c r="D1322">
        <v>44.168503000000001</v>
      </c>
      <c r="E1322">
        <v>45.341498999999999</v>
      </c>
      <c r="F1322">
        <v>1187.4399410000001</v>
      </c>
      <c r="H1322" s="50">
        <f t="shared" si="169"/>
        <v>5.024489849531741E-3</v>
      </c>
      <c r="I1322" s="50">
        <f t="shared" si="170"/>
        <v>1.4968601645242057E-3</v>
      </c>
      <c r="J1322" s="50">
        <f t="shared" si="171"/>
        <v>1.2891098545719328E-2</v>
      </c>
      <c r="K1322" s="50">
        <f t="shared" si="172"/>
        <v>-2.6944834881559221E-3</v>
      </c>
      <c r="L1322" s="50">
        <f t="shared" si="173"/>
        <v>-1.6814636292762594E-3</v>
      </c>
      <c r="P1322" s="50">
        <f t="shared" si="168"/>
        <v>-1.6814636292762594E-3</v>
      </c>
      <c r="Q1322" s="51">
        <f t="shared" si="174"/>
        <v>99.883147357669159</v>
      </c>
      <c r="R1322" s="51">
        <f t="shared" si="175"/>
        <v>55.146468210036453</v>
      </c>
    </row>
    <row r="1323" spans="1:18" x14ac:dyDescent="0.15">
      <c r="A1323" s="59">
        <v>42830.75</v>
      </c>
      <c r="B1323">
        <v>16.139748000000001</v>
      </c>
      <c r="C1323">
        <v>143.88651999999999</v>
      </c>
      <c r="D1323">
        <v>43.606369000000001</v>
      </c>
      <c r="E1323">
        <v>45.464001000000003</v>
      </c>
      <c r="F1323">
        <v>1189.4399410000001</v>
      </c>
      <c r="H1323" s="50">
        <f t="shared" si="169"/>
        <v>3.080075690845032E-3</v>
      </c>
      <c r="I1323" s="50">
        <f t="shared" si="170"/>
        <v>-1.7762316419456765E-2</v>
      </c>
      <c r="J1323" s="50">
        <f t="shared" si="171"/>
        <v>-1.5307118450036147E-2</v>
      </c>
      <c r="K1323" s="50">
        <f t="shared" si="172"/>
        <v>1.2245624699523078E-2</v>
      </c>
      <c r="L1323" s="50">
        <f t="shared" si="173"/>
        <v>5.9114468177605206E-3</v>
      </c>
      <c r="P1323" s="50">
        <f t="shared" si="168"/>
        <v>5.9114468177605206E-3</v>
      </c>
      <c r="Q1323" s="51">
        <f t="shared" si="174"/>
        <v>100.47360127126456</v>
      </c>
      <c r="R1323" s="51">
        <f t="shared" si="175"/>
        <v>55.316323506206146</v>
      </c>
    </row>
    <row r="1324" spans="1:18" x14ac:dyDescent="0.15">
      <c r="A1324" s="59">
        <v>42831.75</v>
      </c>
      <c r="B1324">
        <v>16.090188999999999</v>
      </c>
      <c r="C1324">
        <v>146.488495</v>
      </c>
      <c r="D1324">
        <v>44.284233</v>
      </c>
      <c r="E1324">
        <v>44.914000999999999</v>
      </c>
      <c r="F1324">
        <v>1182.4499510000001</v>
      </c>
      <c r="H1324" s="50">
        <f t="shared" si="169"/>
        <v>-2.0164939197350941E-2</v>
      </c>
      <c r="I1324" s="50">
        <f t="shared" si="170"/>
        <v>-3.5169634596275913E-3</v>
      </c>
      <c r="J1324" s="50">
        <f t="shared" si="171"/>
        <v>6.1983208182527158E-3</v>
      </c>
      <c r="K1324" s="50">
        <f t="shared" si="172"/>
        <v>3.7994368809099216E-3</v>
      </c>
      <c r="L1324" s="50">
        <f t="shared" si="173"/>
        <v>-3.3629936603761334E-3</v>
      </c>
      <c r="P1324" s="50">
        <f t="shared" si="168"/>
        <v>-3.3629936603761334E-3</v>
      </c>
      <c r="Q1324" s="51">
        <f t="shared" si="174"/>
        <v>100.13570918715413</v>
      </c>
      <c r="R1324" s="51">
        <f t="shared" si="175"/>
        <v>54.200873206082505</v>
      </c>
    </row>
    <row r="1325" spans="1:18" x14ac:dyDescent="0.15">
      <c r="A1325" s="59">
        <v>42832.75</v>
      </c>
      <c r="B1325">
        <v>16.421323999999998</v>
      </c>
      <c r="C1325">
        <v>147.00550799999999</v>
      </c>
      <c r="D1325">
        <v>44.011436000000003</v>
      </c>
      <c r="E1325">
        <v>44.743999000000002</v>
      </c>
      <c r="F1325">
        <v>1186.4399410000001</v>
      </c>
      <c r="H1325" s="50">
        <f t="shared" si="169"/>
        <v>-2.189597978630825E-3</v>
      </c>
      <c r="I1325" s="50">
        <f t="shared" si="170"/>
        <v>-3.5041311611658764E-3</v>
      </c>
      <c r="J1325" s="50">
        <f t="shared" si="171"/>
        <v>-1.022493563017517E-2</v>
      </c>
      <c r="K1325" s="50">
        <f t="shared" si="172"/>
        <v>-1.3406288291447141E-2</v>
      </c>
      <c r="L1325" s="50">
        <f t="shared" si="173"/>
        <v>-6.639528817031214E-3</v>
      </c>
      <c r="P1325" s="50">
        <f t="shared" si="168"/>
        <v>-6.639528817031214E-3</v>
      </c>
      <c r="Q1325" s="51">
        <f t="shared" si="174"/>
        <v>99.47085526039217</v>
      </c>
      <c r="R1325" s="51">
        <f t="shared" si="175"/>
        <v>54.082195083670442</v>
      </c>
    </row>
    <row r="1326" spans="1:18" x14ac:dyDescent="0.15">
      <c r="A1326" s="59">
        <v>42833.75</v>
      </c>
      <c r="B1326">
        <v>16.457359</v>
      </c>
      <c r="C1326">
        <v>147.522446</v>
      </c>
      <c r="D1326">
        <v>44.466099</v>
      </c>
      <c r="E1326">
        <v>45.352001000000001</v>
      </c>
      <c r="F1326">
        <v>1194.369995</v>
      </c>
      <c r="H1326" s="50">
        <f t="shared" si="169"/>
        <v>-5.0389623611615184E-3</v>
      </c>
      <c r="I1326" s="50">
        <f t="shared" si="170"/>
        <v>3.4577088292352376E-3</v>
      </c>
      <c r="J1326" s="50">
        <f t="shared" si="171"/>
        <v>1.4895507908418797E-3</v>
      </c>
      <c r="K1326" s="50">
        <f t="shared" si="172"/>
        <v>5.1864222704906962E-3</v>
      </c>
      <c r="L1326" s="50">
        <f t="shared" si="173"/>
        <v>-1.7634937778065048E-3</v>
      </c>
      <c r="P1326" s="50">
        <f t="shared" si="168"/>
        <v>-1.7634937778065048E-3</v>
      </c>
      <c r="Q1326" s="51">
        <f t="shared" si="174"/>
        <v>99.295439026067385</v>
      </c>
      <c r="R1326" s="51">
        <f t="shared" si="175"/>
        <v>53.80967693823483</v>
      </c>
    </row>
    <row r="1327" spans="1:18" x14ac:dyDescent="0.15">
      <c r="A1327" s="59">
        <v>42836.75</v>
      </c>
      <c r="B1327">
        <v>16.540707000000001</v>
      </c>
      <c r="C1327">
        <v>147.01411400000001</v>
      </c>
      <c r="D1327">
        <v>44.399963</v>
      </c>
      <c r="E1327">
        <v>45.118000000000002</v>
      </c>
      <c r="F1327">
        <v>1196.4799800000001</v>
      </c>
      <c r="H1327" s="50">
        <f t="shared" si="169"/>
        <v>-1.3625130349984455E-4</v>
      </c>
      <c r="I1327" s="50">
        <f t="shared" si="170"/>
        <v>2.7032671968058278E-3</v>
      </c>
      <c r="J1327" s="50">
        <f t="shared" si="171"/>
        <v>5.8052909751825296E-3</v>
      </c>
      <c r="K1327" s="50">
        <f t="shared" si="172"/>
        <v>6.8397396463020128E-3</v>
      </c>
      <c r="L1327" s="50">
        <f t="shared" si="173"/>
        <v>-6.8493190214500351E-4</v>
      </c>
      <c r="P1327" s="50">
        <f t="shared" si="168"/>
        <v>-6.8493190214500351E-4</v>
      </c>
      <c r="Q1327" s="51">
        <f t="shared" si="174"/>
        <v>99.227428412140938</v>
      </c>
      <c r="R1327" s="51">
        <f t="shared" si="175"/>
        <v>53.80234529961109</v>
      </c>
    </row>
    <row r="1328" spans="1:18" x14ac:dyDescent="0.15">
      <c r="A1328" s="59">
        <v>42837.75</v>
      </c>
      <c r="B1328">
        <v>16.542960999999998</v>
      </c>
      <c r="C1328">
        <v>146.61776699999999</v>
      </c>
      <c r="D1328">
        <v>44.143695999999998</v>
      </c>
      <c r="E1328">
        <v>44.811501</v>
      </c>
      <c r="F1328">
        <v>1197.3000489999999</v>
      </c>
      <c r="H1328" s="50">
        <f t="shared" si="169"/>
        <v>3.964342462190234E-3</v>
      </c>
      <c r="I1328" s="50">
        <f t="shared" si="170"/>
        <v>7.8771521610331817E-3</v>
      </c>
      <c r="J1328" s="50">
        <f t="shared" si="171"/>
        <v>1.8721918962479568E-4</v>
      </c>
      <c r="K1328" s="50">
        <f t="shared" si="172"/>
        <v>1.3067019045135112E-2</v>
      </c>
      <c r="L1328" s="50">
        <f t="shared" si="173"/>
        <v>-1.1027113315449854E-2</v>
      </c>
      <c r="P1328" s="50">
        <f t="shared" si="168"/>
        <v>-1.1027113315449854E-2</v>
      </c>
      <c r="Q1328" s="51">
        <f t="shared" si="174"/>
        <v>98.133236315039582</v>
      </c>
      <c r="R1328" s="51">
        <f t="shared" si="175"/>
        <v>54.01563622164776</v>
      </c>
    </row>
    <row r="1329" spans="1:18" x14ac:dyDescent="0.15">
      <c r="A1329" s="59">
        <v>42838.75</v>
      </c>
      <c r="B1329">
        <v>16.477637999999999</v>
      </c>
      <c r="C1329">
        <v>145.47186300000001</v>
      </c>
      <c r="D1329">
        <v>44.135432999999999</v>
      </c>
      <c r="E1329">
        <v>44.233500999999997</v>
      </c>
      <c r="F1329">
        <v>1210.650024</v>
      </c>
      <c r="H1329" s="50">
        <f t="shared" si="169"/>
        <v>-4.626492353070508E-3</v>
      </c>
      <c r="I1329" s="50">
        <f t="shared" si="170"/>
        <v>-5.0676201334856697E-3</v>
      </c>
      <c r="J1329" s="50">
        <f t="shared" si="171"/>
        <v>-5.4024584199884752E-3</v>
      </c>
      <c r="K1329" s="50">
        <f t="shared" si="172"/>
        <v>-1.9201942797635173E-2</v>
      </c>
      <c r="L1329" s="50">
        <f t="shared" si="173"/>
        <v>-8.4182984059968339E-4</v>
      </c>
      <c r="P1329" s="50">
        <f t="shared" si="168"/>
        <v>-8.4182984059968339E-4</v>
      </c>
      <c r="Q1329" s="51">
        <f t="shared" si="174"/>
        <v>98.05062482835497</v>
      </c>
      <c r="R1329" s="51">
        <f t="shared" si="175"/>
        <v>53.765733293722064</v>
      </c>
    </row>
    <row r="1330" spans="1:18" x14ac:dyDescent="0.15">
      <c r="A1330" s="59">
        <v>42839.75</v>
      </c>
      <c r="B1330">
        <v>16.554226</v>
      </c>
      <c r="C1330">
        <v>146.21281400000001</v>
      </c>
      <c r="D1330">
        <v>44.375168000000002</v>
      </c>
      <c r="E1330">
        <v>45.099499000000002</v>
      </c>
      <c r="F1330">
        <v>1211.670044</v>
      </c>
      <c r="H1330" s="50">
        <f t="shared" si="169"/>
        <v>-5.4131963897603901E-3</v>
      </c>
      <c r="I1330" s="50">
        <f t="shared" si="170"/>
        <v>-2.5275660129198694E-3</v>
      </c>
      <c r="J1330" s="50">
        <f t="shared" si="171"/>
        <v>1.492517237341909E-3</v>
      </c>
      <c r="K1330" s="50">
        <f t="shared" si="172"/>
        <v>-1.98057053664767E-3</v>
      </c>
      <c r="L1330" s="50">
        <f t="shared" si="173"/>
        <v>1.639086250496646E-2</v>
      </c>
      <c r="P1330" s="50">
        <f t="shared" si="168"/>
        <v>1.639086250496646E-2</v>
      </c>
      <c r="Q1330" s="51">
        <f t="shared" si="174"/>
        <v>99.657759138442586</v>
      </c>
      <c r="R1330" s="51">
        <f t="shared" si="175"/>
        <v>53.474688820363667</v>
      </c>
    </row>
    <row r="1331" spans="1:18" x14ac:dyDescent="0.15">
      <c r="A1331" s="59">
        <v>42840.75</v>
      </c>
      <c r="B1331">
        <v>16.644324999999998</v>
      </c>
      <c r="C1331">
        <v>146.583313</v>
      </c>
      <c r="D1331">
        <v>44.309035999999999</v>
      </c>
      <c r="E1331">
        <v>45.188999000000003</v>
      </c>
      <c r="F1331">
        <v>1192.130005</v>
      </c>
      <c r="H1331" s="50">
        <f t="shared" si="169"/>
        <v>-2.4301654816411005E-3</v>
      </c>
      <c r="I1331" s="50">
        <f t="shared" si="170"/>
        <v>4.1176476208724521E-4</v>
      </c>
      <c r="J1331" s="50">
        <f t="shared" si="171"/>
        <v>-5.3813161652711741E-3</v>
      </c>
      <c r="K1331" s="50">
        <f t="shared" si="172"/>
        <v>5.0934164833944763E-3</v>
      </c>
      <c r="L1331" s="50">
        <f t="shared" si="173"/>
        <v>-4.5009811192968183E-3</v>
      </c>
      <c r="P1331" s="50">
        <f t="shared" si="168"/>
        <v>-4.5009811192968183E-3</v>
      </c>
      <c r="Q1331" s="51">
        <f t="shared" si="174"/>
        <v>99.209201446169018</v>
      </c>
      <c r="R1331" s="51">
        <f t="shared" si="175"/>
        <v>53.344736477450923</v>
      </c>
    </row>
    <row r="1332" spans="1:18" x14ac:dyDescent="0.15">
      <c r="A1332" s="59">
        <v>42843.75</v>
      </c>
      <c r="B1332">
        <v>16.684871999999999</v>
      </c>
      <c r="C1332">
        <v>146.52297999999999</v>
      </c>
      <c r="D1332">
        <v>44.548766999999998</v>
      </c>
      <c r="E1332">
        <v>44.959999000000003</v>
      </c>
      <c r="F1332">
        <v>1197.5200199999999</v>
      </c>
      <c r="H1332" s="50">
        <f t="shared" si="169"/>
        <v>-9.7590963093672801E-3</v>
      </c>
      <c r="I1332" s="50">
        <f t="shared" si="170"/>
        <v>-5.29056714252249E-4</v>
      </c>
      <c r="J1332" s="50">
        <f t="shared" si="171"/>
        <v>-1.3726277135842055E-2</v>
      </c>
      <c r="K1332" s="50">
        <f t="shared" si="172"/>
        <v>-3.1705650805806834E-3</v>
      </c>
      <c r="L1332" s="50">
        <f t="shared" si="173"/>
        <v>-7.9939226855102706E-3</v>
      </c>
      <c r="P1332" s="50">
        <f t="shared" si="168"/>
        <v>-7.9939226855102706E-3</v>
      </c>
      <c r="Q1332" s="51">
        <f t="shared" si="174"/>
        <v>98.416130760117127</v>
      </c>
      <c r="R1332" s="51">
        <f t="shared" si="175"/>
        <v>52.824140056569661</v>
      </c>
    </row>
    <row r="1333" spans="1:18" x14ac:dyDescent="0.15">
      <c r="A1333" s="59">
        <v>42844.75</v>
      </c>
      <c r="B1333">
        <v>16.849305999999999</v>
      </c>
      <c r="C1333">
        <v>146.60054</v>
      </c>
      <c r="D1333">
        <v>45.168765999999998</v>
      </c>
      <c r="E1333">
        <v>45.103000999999999</v>
      </c>
      <c r="F1333">
        <v>1207.170044</v>
      </c>
      <c r="H1333" s="50">
        <f t="shared" si="169"/>
        <v>-1.8681532591800023E-3</v>
      </c>
      <c r="I1333" s="50">
        <f t="shared" si="170"/>
        <v>-3.6307534419979075E-3</v>
      </c>
      <c r="J1333" s="50">
        <f t="shared" si="171"/>
        <v>-2.5555326975955084E-3</v>
      </c>
      <c r="K1333" s="50">
        <f t="shared" si="172"/>
        <v>3.9287059498827786E-3</v>
      </c>
      <c r="L1333" s="50">
        <f t="shared" si="173"/>
        <v>1.0200367018110663E-3</v>
      </c>
      <c r="P1333" s="50">
        <f t="shared" si="168"/>
        <v>1.0200367018110663E-3</v>
      </c>
      <c r="Q1333" s="51">
        <f t="shared" si="174"/>
        <v>98.51651882554269</v>
      </c>
      <c r="R1333" s="51">
        <f t="shared" si="175"/>
        <v>52.725456467159603</v>
      </c>
    </row>
    <row r="1334" spans="1:18" x14ac:dyDescent="0.15">
      <c r="A1334" s="59">
        <v>42845.75</v>
      </c>
      <c r="B1334">
        <v>16.880842000000001</v>
      </c>
      <c r="C1334">
        <v>147.13475</v>
      </c>
      <c r="D1334">
        <v>45.284492</v>
      </c>
      <c r="E1334">
        <v>44.926498000000002</v>
      </c>
      <c r="F1334">
        <v>1205.9399410000001</v>
      </c>
      <c r="H1334" s="50">
        <f t="shared" si="169"/>
        <v>2.1394729282380076E-3</v>
      </c>
      <c r="I1334" s="50">
        <f t="shared" si="170"/>
        <v>-9.052174086044272E-3</v>
      </c>
      <c r="J1334" s="50">
        <f t="shared" si="171"/>
        <v>-7.2949661379542556E-4</v>
      </c>
      <c r="K1334" s="50">
        <f t="shared" si="172"/>
        <v>-9.7861167451563646E-3</v>
      </c>
      <c r="L1334" s="50">
        <f t="shared" si="173"/>
        <v>-2.2587661649698929E-3</v>
      </c>
      <c r="P1334" s="50">
        <f t="shared" si="168"/>
        <v>-2.2587661649698929E-3</v>
      </c>
      <c r="Q1334" s="51">
        <f t="shared" si="174"/>
        <v>98.293993046128932</v>
      </c>
      <c r="R1334" s="51">
        <f t="shared" si="175"/>
        <v>52.838261153900085</v>
      </c>
    </row>
    <row r="1335" spans="1:18" x14ac:dyDescent="0.15">
      <c r="A1335" s="59">
        <v>42846.75</v>
      </c>
      <c r="B1335">
        <v>16.844802999999999</v>
      </c>
      <c r="C1335">
        <v>148.47880599999999</v>
      </c>
      <c r="D1335">
        <v>45.317551000000002</v>
      </c>
      <c r="E1335">
        <v>45.370499000000002</v>
      </c>
      <c r="F1335">
        <v>1208.670044</v>
      </c>
      <c r="H1335" s="50">
        <f t="shared" si="169"/>
        <v>-3.597796378554851E-3</v>
      </c>
      <c r="I1335" s="50">
        <f t="shared" si="170"/>
        <v>-2.0264644707273173E-3</v>
      </c>
      <c r="J1335" s="50">
        <f t="shared" si="171"/>
        <v>-5.9839839397638006E-3</v>
      </c>
      <c r="K1335" s="50">
        <f t="shared" si="172"/>
        <v>-2.3141842992831623E-4</v>
      </c>
      <c r="L1335" s="50">
        <f t="shared" si="173"/>
        <v>-7.073134196634431E-3</v>
      </c>
      <c r="P1335" s="50">
        <f t="shared" si="168"/>
        <v>-7.073134196634431E-3</v>
      </c>
      <c r="Q1335" s="51">
        <f t="shared" si="174"/>
        <v>97.59874644259061</v>
      </c>
      <c r="R1335" s="51">
        <f t="shared" si="175"/>
        <v>52.648159849271451</v>
      </c>
    </row>
    <row r="1336" spans="1:18" x14ac:dyDescent="0.15">
      <c r="A1336" s="59">
        <v>42847.75</v>
      </c>
      <c r="B1336">
        <v>16.905626000000002</v>
      </c>
      <c r="C1336">
        <v>148.780304</v>
      </c>
      <c r="D1336">
        <v>45.590363000000004</v>
      </c>
      <c r="E1336">
        <v>45.381000999999998</v>
      </c>
      <c r="F1336">
        <v>1217.280029</v>
      </c>
      <c r="H1336" s="50">
        <f t="shared" si="169"/>
        <v>-5.0378942637805801E-3</v>
      </c>
      <c r="I1336" s="50">
        <f t="shared" si="170"/>
        <v>-2.330337070788804E-2</v>
      </c>
      <c r="J1336" s="50">
        <f t="shared" si="171"/>
        <v>-1.4826515982783606E-2</v>
      </c>
      <c r="K1336" s="50">
        <f t="shared" si="172"/>
        <v>-1.8365757899020845E-3</v>
      </c>
      <c r="L1336" s="50">
        <f t="shared" si="173"/>
        <v>4.314986831043038E-3</v>
      </c>
      <c r="P1336" s="50">
        <f t="shared" si="168"/>
        <v>4.314986831043038E-3</v>
      </c>
      <c r="Q1336" s="51">
        <f t="shared" si="174"/>
        <v>98.019883748216699</v>
      </c>
      <c r="R1336" s="51">
        <f t="shared" si="175"/>
        <v>52.382923986768205</v>
      </c>
    </row>
    <row r="1337" spans="1:18" x14ac:dyDescent="0.15">
      <c r="A1337" s="59">
        <v>42850.75</v>
      </c>
      <c r="B1337">
        <v>16.991226000000001</v>
      </c>
      <c r="C1337">
        <v>152.33010899999999</v>
      </c>
      <c r="D1337">
        <v>46.276482000000001</v>
      </c>
      <c r="E1337">
        <v>45.464500000000001</v>
      </c>
      <c r="F1337">
        <v>1212.0500489999999</v>
      </c>
      <c r="H1337" s="50">
        <f t="shared" si="169"/>
        <v>-1.3222723806961378E-4</v>
      </c>
      <c r="I1337" s="50">
        <f t="shared" si="170"/>
        <v>-3.663237185498392E-3</v>
      </c>
      <c r="J1337" s="50">
        <f t="shared" si="171"/>
        <v>-1.9612477899352884E-3</v>
      </c>
      <c r="K1337" s="50">
        <f t="shared" si="172"/>
        <v>-9.8978420675067073E-3</v>
      </c>
      <c r="L1337" s="50">
        <f t="shared" si="173"/>
        <v>2.3941750034829623E-2</v>
      </c>
      <c r="P1337" s="50">
        <f t="shared" si="168"/>
        <v>2.3941750034829623E-2</v>
      </c>
      <c r="Q1337" s="51">
        <f t="shared" si="174"/>
        <v>100.36665130335956</v>
      </c>
      <c r="R1337" s="51">
        <f t="shared" si="175"/>
        <v>52.375997537407422</v>
      </c>
    </row>
    <row r="1338" spans="1:18" x14ac:dyDescent="0.15">
      <c r="A1338" s="59">
        <v>42851.75</v>
      </c>
      <c r="B1338">
        <v>16.993473000000002</v>
      </c>
      <c r="C1338">
        <v>152.89018200000001</v>
      </c>
      <c r="D1338">
        <v>46.367420000000003</v>
      </c>
      <c r="E1338">
        <v>45.918998999999999</v>
      </c>
      <c r="F1338">
        <v>1183.709961</v>
      </c>
      <c r="H1338" s="50">
        <f t="shared" si="169"/>
        <v>3.4581228952502868E-3</v>
      </c>
      <c r="I1338" s="50">
        <f t="shared" si="170"/>
        <v>-3.941668175324057E-4</v>
      </c>
      <c r="J1338" s="50">
        <f t="shared" si="171"/>
        <v>4.2972973780815854E-3</v>
      </c>
      <c r="K1338" s="50">
        <f t="shared" si="172"/>
        <v>-7.1460448221061451E-3</v>
      </c>
      <c r="L1338" s="50">
        <f t="shared" si="173"/>
        <v>-6.4212531026044406E-3</v>
      </c>
      <c r="P1338" s="50">
        <f t="shared" si="168"/>
        <v>-6.4212531026044406E-3</v>
      </c>
      <c r="Q1338" s="51">
        <f t="shared" si="174"/>
        <v>99.722171632279839</v>
      </c>
      <c r="R1338" s="51">
        <f t="shared" si="175"/>
        <v>52.557120173653111</v>
      </c>
    </row>
    <row r="1339" spans="1:18" x14ac:dyDescent="0.15">
      <c r="A1339" s="59">
        <v>42852.75</v>
      </c>
      <c r="B1339">
        <v>16.934909999999999</v>
      </c>
      <c r="C1339">
        <v>152.95047</v>
      </c>
      <c r="D1339">
        <v>46.169018000000001</v>
      </c>
      <c r="E1339">
        <v>46.249499999999998</v>
      </c>
      <c r="F1339">
        <v>1191.3599850000001</v>
      </c>
      <c r="H1339" s="50">
        <f t="shared" si="169"/>
        <v>-6.6486972253388711E-4</v>
      </c>
      <c r="I1339" s="50">
        <f t="shared" si="170"/>
        <v>-1.9117882103911763E-3</v>
      </c>
      <c r="J1339" s="50">
        <f t="shared" si="171"/>
        <v>1.4344438220202352E-3</v>
      </c>
      <c r="K1339" s="50">
        <f t="shared" si="172"/>
        <v>-2.4508801124385492E-2</v>
      </c>
      <c r="L1339" s="50">
        <f t="shared" si="173"/>
        <v>-1.2777841553093817E-2</v>
      </c>
      <c r="P1339" s="50">
        <f t="shared" si="168"/>
        <v>-1.2777841553093817E-2</v>
      </c>
      <c r="Q1339" s="51">
        <f t="shared" si="174"/>
        <v>98.447937523832138</v>
      </c>
      <c r="R1339" s="51">
        <f t="shared" si="175"/>
        <v>52.522176535746077</v>
      </c>
    </row>
    <row r="1340" spans="1:18" x14ac:dyDescent="0.15">
      <c r="A1340" s="59">
        <v>42853.75</v>
      </c>
      <c r="B1340">
        <v>16.946176999999999</v>
      </c>
      <c r="C1340">
        <v>153.243439</v>
      </c>
      <c r="D1340">
        <v>46.102885999999998</v>
      </c>
      <c r="E1340">
        <v>47.411498999999999</v>
      </c>
      <c r="F1340">
        <v>1206.780029</v>
      </c>
      <c r="H1340" s="50">
        <f t="shared" si="169"/>
        <v>-3.8395804624802676E-3</v>
      </c>
      <c r="I1340" s="50">
        <f t="shared" si="170"/>
        <v>-4.0874909131684203E-3</v>
      </c>
      <c r="J1340" s="50">
        <f t="shared" si="171"/>
        <v>-6.9443202903383943E-3</v>
      </c>
      <c r="K1340" s="50">
        <f t="shared" si="172"/>
        <v>1.3622616005237473E-3</v>
      </c>
      <c r="L1340" s="50">
        <f t="shared" si="173"/>
        <v>1.6929517396153542E-2</v>
      </c>
      <c r="P1340" s="50">
        <f t="shared" si="168"/>
        <v>1.6929517396153542E-2</v>
      </c>
      <c r="Q1340" s="51">
        <f t="shared" si="174"/>
        <v>100.11461359475729</v>
      </c>
      <c r="R1340" s="51">
        <f t="shared" si="175"/>
        <v>52.320513412872486</v>
      </c>
    </row>
    <row r="1341" spans="1:18" x14ac:dyDescent="0.15">
      <c r="A1341" s="59">
        <v>42854.75</v>
      </c>
      <c r="B1341">
        <v>17.011493999999999</v>
      </c>
      <c r="C1341">
        <v>153.87239099999999</v>
      </c>
      <c r="D1341">
        <v>46.425277999999999</v>
      </c>
      <c r="E1341">
        <v>47.347000000000001</v>
      </c>
      <c r="F1341">
        <v>1186.6899410000001</v>
      </c>
      <c r="H1341" s="50">
        <f t="shared" si="169"/>
        <v>-3.1680767093536966E-3</v>
      </c>
      <c r="I1341" s="50">
        <f t="shared" si="170"/>
        <v>-6.8404054702899267E-3</v>
      </c>
      <c r="J1341" s="50">
        <f t="shared" si="171"/>
        <v>-2.0579231775430362E-2</v>
      </c>
      <c r="K1341" s="50">
        <f t="shared" si="172"/>
        <v>6.2803951534125234E-3</v>
      </c>
      <c r="L1341" s="50">
        <f t="shared" si="173"/>
        <v>-1.2950666969285518E-2</v>
      </c>
      <c r="P1341" s="50">
        <f t="shared" si="168"/>
        <v>-1.2950666969285518E-2</v>
      </c>
      <c r="Q1341" s="51">
        <f t="shared" si="174"/>
        <v>98.818062575332888</v>
      </c>
      <c r="R1341" s="51">
        <f t="shared" si="175"/>
        <v>52.154758012907735</v>
      </c>
    </row>
    <row r="1342" spans="1:18" x14ac:dyDescent="0.15">
      <c r="A1342" s="59">
        <v>42857.75</v>
      </c>
      <c r="B1342">
        <v>17.065559</v>
      </c>
      <c r="C1342">
        <v>154.93218999999999</v>
      </c>
      <c r="D1342">
        <v>47.400748999999998</v>
      </c>
      <c r="E1342">
        <v>47.051498000000002</v>
      </c>
      <c r="F1342">
        <v>1202.26001</v>
      </c>
      <c r="H1342" s="50">
        <f t="shared" si="169"/>
        <v>-7.5974893765817517E-3</v>
      </c>
      <c r="I1342" s="50">
        <f t="shared" si="170"/>
        <v>-1.4414579409609512E-2</v>
      </c>
      <c r="J1342" s="50">
        <f t="shared" si="171"/>
        <v>8.7273033787550714E-4</v>
      </c>
      <c r="K1342" s="50">
        <f t="shared" si="172"/>
        <v>3.7331926174776764E-3</v>
      </c>
      <c r="L1342" s="50">
        <f t="shared" si="173"/>
        <v>2.4420615700489753E-2</v>
      </c>
      <c r="P1342" s="50">
        <f t="shared" si="168"/>
        <v>2.4420615700489753E-2</v>
      </c>
      <c r="Q1342" s="51">
        <f t="shared" si="174"/>
        <v>101.23126050575205</v>
      </c>
      <c r="R1342" s="51">
        <f t="shared" si="175"/>
        <v>51.758512792966478</v>
      </c>
    </row>
    <row r="1343" spans="1:18" x14ac:dyDescent="0.15">
      <c r="A1343" s="59">
        <v>42858.75</v>
      </c>
      <c r="B1343">
        <v>17.196207000000001</v>
      </c>
      <c r="C1343">
        <v>157.19813500000001</v>
      </c>
      <c r="D1343">
        <v>47.359417000000001</v>
      </c>
      <c r="E1343">
        <v>46.876499000000003</v>
      </c>
      <c r="F1343">
        <v>1173.599976</v>
      </c>
      <c r="H1343" s="50">
        <f t="shared" si="169"/>
        <v>-2.0914856842820118E-3</v>
      </c>
      <c r="I1343" s="50">
        <f t="shared" si="170"/>
        <v>1.2486176614065345E-2</v>
      </c>
      <c r="J1343" s="50">
        <f t="shared" si="171"/>
        <v>-5.2327555853408424E-4</v>
      </c>
      <c r="K1343" s="50">
        <f t="shared" si="172"/>
        <v>3.6182411818230357E-3</v>
      </c>
      <c r="L1343" s="50">
        <f t="shared" si="173"/>
        <v>6.6302255252738982E-3</v>
      </c>
      <c r="P1343" s="50">
        <f t="shared" si="168"/>
        <v>6.6302255252738982E-3</v>
      </c>
      <c r="Q1343" s="51">
        <f t="shared" si="174"/>
        <v>101.90244659311294</v>
      </c>
      <c r="R1343" s="51">
        <f t="shared" si="175"/>
        <v>51.650260604420261</v>
      </c>
    </row>
    <row r="1344" spans="1:18" x14ac:dyDescent="0.15">
      <c r="A1344" s="59">
        <v>42859.75</v>
      </c>
      <c r="B1344">
        <v>17.232247999999998</v>
      </c>
      <c r="C1344">
        <v>155.25953699999999</v>
      </c>
      <c r="D1344">
        <v>47.384211999999998</v>
      </c>
      <c r="E1344">
        <v>46.707500000000003</v>
      </c>
      <c r="F1344">
        <v>1165.869995</v>
      </c>
      <c r="H1344" s="50">
        <f t="shared" si="169"/>
        <v>4.9918777156171016E-3</v>
      </c>
      <c r="I1344" s="50">
        <f t="shared" si="170"/>
        <v>3.2433819291807155E-3</v>
      </c>
      <c r="J1344" s="50">
        <f t="shared" si="171"/>
        <v>3.4901434902444013E-4</v>
      </c>
      <c r="K1344" s="50">
        <f t="shared" si="172"/>
        <v>-1.5689538902469762E-2</v>
      </c>
      <c r="L1344" s="50">
        <f t="shared" si="173"/>
        <v>3.3435243715422718E-2</v>
      </c>
      <c r="P1344" s="50">
        <f t="shared" si="168"/>
        <v>3.3435243715422718E-2</v>
      </c>
      <c r="Q1344" s="51">
        <f t="shared" si="174"/>
        <v>105.30957973015151</v>
      </c>
      <c r="R1344" s="51">
        <f t="shared" si="175"/>
        <v>51.908092389337277</v>
      </c>
    </row>
    <row r="1345" spans="1:18" x14ac:dyDescent="0.15">
      <c r="A1345" s="59">
        <v>42860.75</v>
      </c>
      <c r="B1345">
        <v>17.146654000000002</v>
      </c>
      <c r="C1345">
        <v>154.757599</v>
      </c>
      <c r="D1345">
        <v>47.36768</v>
      </c>
      <c r="E1345">
        <v>47.451999999999998</v>
      </c>
      <c r="F1345">
        <v>1128.150024</v>
      </c>
      <c r="H1345" s="50">
        <f t="shared" si="169"/>
        <v>-7.8205363594211503E-3</v>
      </c>
      <c r="I1345" s="50">
        <f t="shared" si="170"/>
        <v>-2.3095953411438378E-4</v>
      </c>
      <c r="J1345" s="50">
        <f t="shared" si="171"/>
        <v>-1.3429882670927084E-2</v>
      </c>
      <c r="K1345" s="50">
        <f t="shared" si="172"/>
        <v>-3.9671502270555367E-3</v>
      </c>
      <c r="L1345" s="50">
        <f t="shared" si="173"/>
        <v>1.5546250650177153E-2</v>
      </c>
      <c r="P1345" s="50">
        <f t="shared" ref="P1345:P1408" si="176">(F1345-F1346)/F1346</f>
        <v>1.5546250650177153E-2</v>
      </c>
      <c r="Q1345" s="51">
        <f t="shared" si="174"/>
        <v>106.94674885250126</v>
      </c>
      <c r="R1345" s="51">
        <f t="shared" si="175"/>
        <v>51.502143265458272</v>
      </c>
    </row>
    <row r="1346" spans="1:18" x14ac:dyDescent="0.15">
      <c r="A1346" s="59">
        <v>42861.75</v>
      </c>
      <c r="B1346">
        <v>17.281807000000001</v>
      </c>
      <c r="C1346">
        <v>154.79335</v>
      </c>
      <c r="D1346">
        <v>48.012481999999999</v>
      </c>
      <c r="E1346">
        <v>47.640999000000001</v>
      </c>
      <c r="F1346">
        <v>1110.880005</v>
      </c>
      <c r="H1346" s="50">
        <f t="shared" ref="H1346:H1409" si="177">(B1346-B1347)/B1347</f>
        <v>-1.9686861274782058E-2</v>
      </c>
      <c r="I1346" s="50">
        <f t="shared" ref="I1346:I1409" si="178">(C1346-C1347)/C1347</f>
        <v>4.8433778830221947E-3</v>
      </c>
      <c r="J1346" s="50">
        <f t="shared" ref="J1346:J1409" si="179">(D1346-D1347)/D1347</f>
        <v>-5.6495281967041885E-3</v>
      </c>
      <c r="K1346" s="50">
        <f t="shared" ref="K1346:K1409" si="180">(E1346-E1347)/E1347</f>
        <v>4.078212933377387E-3</v>
      </c>
      <c r="L1346" s="50">
        <f t="shared" ref="L1346:L1409" si="181">(F1346-F1347)/F1347</f>
        <v>-4.2121852364289211E-2</v>
      </c>
      <c r="P1346" s="50">
        <f t="shared" si="176"/>
        <v>-4.2121852364289211E-2</v>
      </c>
      <c r="Q1346" s="51">
        <f t="shared" si="174"/>
        <v>102.44195368649548</v>
      </c>
      <c r="R1346" s="51">
        <f t="shared" si="175"/>
        <v>50.488227715637244</v>
      </c>
    </row>
    <row r="1347" spans="1:18" x14ac:dyDescent="0.15">
      <c r="A1347" s="59">
        <v>42864.75</v>
      </c>
      <c r="B1347">
        <v>17.628864</v>
      </c>
      <c r="C1347">
        <v>154.04724100000001</v>
      </c>
      <c r="D1347">
        <v>48.285271000000002</v>
      </c>
      <c r="E1347">
        <v>47.447498000000003</v>
      </c>
      <c r="F1347">
        <v>1159.7299800000001</v>
      </c>
      <c r="H1347" s="50">
        <f t="shared" si="177"/>
        <v>7.486858392969243E-3</v>
      </c>
      <c r="I1347" s="50">
        <f t="shared" si="178"/>
        <v>5.2545251465652447E-4</v>
      </c>
      <c r="J1347" s="50">
        <f t="shared" si="179"/>
        <v>4.1919294983337269E-2</v>
      </c>
      <c r="K1347" s="50">
        <f t="shared" si="180"/>
        <v>1.4034528312309264E-3</v>
      </c>
      <c r="L1347" s="50">
        <f t="shared" si="181"/>
        <v>3.4088726040665332E-3</v>
      </c>
      <c r="P1347" s="50">
        <f t="shared" si="176"/>
        <v>3.4088726040665332E-3</v>
      </c>
      <c r="Q1347" s="51">
        <f t="shared" ref="Q1347:Q1410" si="182">Q1346*(1+P1347)</f>
        <v>102.79116525592444</v>
      </c>
      <c r="R1347" s="51">
        <f t="shared" ref="R1347:R1410" si="183">R1346*(1+H1347)</f>
        <v>50.866225927056206</v>
      </c>
    </row>
    <row r="1348" spans="1:18" x14ac:dyDescent="0.15">
      <c r="A1348" s="59">
        <v>42865.75</v>
      </c>
      <c r="B1348">
        <v>17.497859999999999</v>
      </c>
      <c r="C1348">
        <v>153.966339</v>
      </c>
      <c r="D1348">
        <v>46.342621000000001</v>
      </c>
      <c r="E1348">
        <v>47.381000999999998</v>
      </c>
      <c r="F1348">
        <v>1155.790039</v>
      </c>
      <c r="H1348" s="50">
        <f t="shared" si="177"/>
        <v>5.5477972045915331E-3</v>
      </c>
      <c r="I1348" s="50">
        <f t="shared" si="178"/>
        <v>2.2236915314249885E-3</v>
      </c>
      <c r="J1348" s="50">
        <f t="shared" si="179"/>
        <v>4.659653177456459E-3</v>
      </c>
      <c r="K1348" s="50">
        <f t="shared" si="180"/>
        <v>-1.4281998974733517E-2</v>
      </c>
      <c r="L1348" s="50">
        <f t="shared" si="181"/>
        <v>-1.3553308016467461E-2</v>
      </c>
      <c r="P1348" s="50">
        <f t="shared" si="176"/>
        <v>-1.3553308016467461E-2</v>
      </c>
      <c r="Q1348" s="51">
        <f t="shared" si="182"/>
        <v>101.39800493183928</v>
      </c>
      <c r="R1348" s="51">
        <f t="shared" si="183"/>
        <v>51.148421433062452</v>
      </c>
    </row>
    <row r="1349" spans="1:18" x14ac:dyDescent="0.15">
      <c r="A1349" s="59">
        <v>42866.75</v>
      </c>
      <c r="B1349">
        <v>17.401320999999999</v>
      </c>
      <c r="C1349">
        <v>153.62472500000001</v>
      </c>
      <c r="D1349">
        <v>46.127682</v>
      </c>
      <c r="E1349">
        <v>48.067501</v>
      </c>
      <c r="F1349">
        <v>1171.670044</v>
      </c>
      <c r="H1349" s="50">
        <f t="shared" si="177"/>
        <v>-7.6027258513323278E-3</v>
      </c>
      <c r="I1349" s="50">
        <f t="shared" si="178"/>
        <v>-4.0218205740913671E-3</v>
      </c>
      <c r="J1349" s="50">
        <f t="shared" si="179"/>
        <v>-2.7103513446596647E-3</v>
      </c>
      <c r="K1349" s="50">
        <f t="shared" si="180"/>
        <v>3.5283360340790425E-3</v>
      </c>
      <c r="L1349" s="50">
        <f t="shared" si="181"/>
        <v>1.2294463406632924E-2</v>
      </c>
      <c r="P1349" s="50">
        <f t="shared" si="176"/>
        <v>1.2294463406632924E-2</v>
      </c>
      <c r="Q1349" s="51">
        <f t="shared" si="182"/>
        <v>102.64463899297935</v>
      </c>
      <c r="R1349" s="51">
        <f t="shared" si="183"/>
        <v>50.759554007178465</v>
      </c>
    </row>
    <row r="1350" spans="1:18" x14ac:dyDescent="0.15">
      <c r="A1350" s="59">
        <v>42867.75</v>
      </c>
      <c r="B1350">
        <v>17.534631999999998</v>
      </c>
      <c r="C1350">
        <v>154.245071</v>
      </c>
      <c r="D1350">
        <v>46.253044000000003</v>
      </c>
      <c r="E1350">
        <v>47.898499000000001</v>
      </c>
      <c r="F1350">
        <v>1157.4399410000001</v>
      </c>
      <c r="H1350" s="50">
        <f t="shared" si="177"/>
        <v>1.5710448036471984E-2</v>
      </c>
      <c r="I1350" s="50">
        <f t="shared" si="178"/>
        <v>3.3337895585279806E-3</v>
      </c>
      <c r="J1350" s="50">
        <f t="shared" si="179"/>
        <v>1.5037855018769664E-2</v>
      </c>
      <c r="K1350" s="50">
        <f t="shared" si="180"/>
        <v>-8.3845268275687945E-3</v>
      </c>
      <c r="L1350" s="50">
        <f t="shared" si="181"/>
        <v>1.9160226441733531E-2</v>
      </c>
      <c r="P1350" s="50">
        <f t="shared" si="176"/>
        <v>1.9160226441733531E-2</v>
      </c>
      <c r="Q1350" s="51">
        <f t="shared" si="182"/>
        <v>104.61133351911482</v>
      </c>
      <c r="R1350" s="51">
        <f t="shared" si="183"/>
        <v>51.55700934276274</v>
      </c>
    </row>
    <row r="1351" spans="1:18" x14ac:dyDescent="0.15">
      <c r="A1351" s="59">
        <v>42868.75</v>
      </c>
      <c r="B1351">
        <v>17.263415999999999</v>
      </c>
      <c r="C1351">
        <v>153.73255900000001</v>
      </c>
      <c r="D1351">
        <v>45.567802</v>
      </c>
      <c r="E1351">
        <v>48.303500999999997</v>
      </c>
      <c r="F1351">
        <v>1135.6800539999999</v>
      </c>
      <c r="H1351" s="50">
        <f t="shared" si="177"/>
        <v>-1.3344360964977447E-4</v>
      </c>
      <c r="I1351" s="50">
        <f t="shared" si="178"/>
        <v>1.0936961656094708E-2</v>
      </c>
      <c r="J1351" s="50">
        <f t="shared" si="179"/>
        <v>-9.2661240856087811E-3</v>
      </c>
      <c r="K1351" s="50">
        <f t="shared" si="180"/>
        <v>2.2556035872730237E-2</v>
      </c>
      <c r="L1351" s="50">
        <f t="shared" si="181"/>
        <v>-1.1081385696521699E-3</v>
      </c>
      <c r="P1351" s="50">
        <f t="shared" si="176"/>
        <v>-1.1081385696521699E-3</v>
      </c>
      <c r="Q1351" s="51">
        <f t="shared" si="182"/>
        <v>104.49540966561955</v>
      </c>
      <c r="R1351" s="51">
        <f t="shared" si="183"/>
        <v>51.5501293893333</v>
      </c>
    </row>
    <row r="1352" spans="1:18" x14ac:dyDescent="0.15">
      <c r="A1352" s="59">
        <v>42871.75</v>
      </c>
      <c r="B1352">
        <v>17.265720000000002</v>
      </c>
      <c r="C1352">
        <v>152.06938199999999</v>
      </c>
      <c r="D1352">
        <v>45.993988000000002</v>
      </c>
      <c r="E1352">
        <v>47.237999000000002</v>
      </c>
      <c r="F1352">
        <v>1136.9399410000001</v>
      </c>
      <c r="H1352" s="50">
        <f t="shared" si="177"/>
        <v>-3.120951968512492E-2</v>
      </c>
      <c r="I1352" s="50">
        <f t="shared" si="178"/>
        <v>-9.1963785710074807E-3</v>
      </c>
      <c r="J1352" s="50">
        <f t="shared" si="179"/>
        <v>-1.4150081574740099E-2</v>
      </c>
      <c r="K1352" s="50">
        <f t="shared" si="180"/>
        <v>-1.4324635624784813E-2</v>
      </c>
      <c r="L1352" s="50">
        <f t="shared" si="181"/>
        <v>1.4400331276216911E-2</v>
      </c>
      <c r="P1352" s="50">
        <f t="shared" si="176"/>
        <v>1.4400331276216911E-2</v>
      </c>
      <c r="Q1352" s="51">
        <f t="shared" si="182"/>
        <v>106.00017818164847</v>
      </c>
      <c r="R1352" s="51">
        <f t="shared" si="183"/>
        <v>49.941274611386163</v>
      </c>
    </row>
    <row r="1353" spans="1:18" x14ac:dyDescent="0.15">
      <c r="A1353" s="59">
        <v>42872.75</v>
      </c>
      <c r="B1353">
        <v>17.821933999999999</v>
      </c>
      <c r="C1353">
        <v>153.48085</v>
      </c>
      <c r="D1353">
        <v>46.654147999999999</v>
      </c>
      <c r="E1353">
        <v>47.924500000000002</v>
      </c>
      <c r="F1353">
        <v>1120.8000489999999</v>
      </c>
      <c r="H1353" s="50">
        <f t="shared" si="177"/>
        <v>-1.5614949915869701E-2</v>
      </c>
      <c r="I1353" s="50">
        <f t="shared" si="178"/>
        <v>-5.3600801768136598E-3</v>
      </c>
      <c r="J1353" s="50">
        <f t="shared" si="179"/>
        <v>-2.8576009125788637E-3</v>
      </c>
      <c r="K1353" s="50">
        <f t="shared" si="180"/>
        <v>-1.4065052215680698E-3</v>
      </c>
      <c r="L1353" s="50">
        <f t="shared" si="181"/>
        <v>5.1567192030139986E-3</v>
      </c>
      <c r="P1353" s="50">
        <f t="shared" si="176"/>
        <v>5.1567192030139986E-3</v>
      </c>
      <c r="Q1353" s="51">
        <f t="shared" si="182"/>
        <v>106.54679133600068</v>
      </c>
      <c r="R1353" s="51">
        <f t="shared" si="183"/>
        <v>49.161444109594676</v>
      </c>
    </row>
    <row r="1354" spans="1:18" x14ac:dyDescent="0.15">
      <c r="A1354" s="59">
        <v>42873.75</v>
      </c>
      <c r="B1354">
        <v>18.104637</v>
      </c>
      <c r="C1354">
        <v>154.307953</v>
      </c>
      <c r="D1354">
        <v>46.787849000000001</v>
      </c>
      <c r="E1354">
        <v>47.992001000000002</v>
      </c>
      <c r="F1354">
        <v>1115.0500489999999</v>
      </c>
      <c r="H1354" s="50">
        <f t="shared" si="177"/>
        <v>2.800586571175722E-3</v>
      </c>
      <c r="I1354" s="50">
        <f t="shared" si="178"/>
        <v>-4.4081669679527334E-3</v>
      </c>
      <c r="J1354" s="50">
        <f t="shared" si="179"/>
        <v>9.5565316369299966E-3</v>
      </c>
      <c r="K1354" s="50">
        <f t="shared" si="180"/>
        <v>-1.1157241675188426E-2</v>
      </c>
      <c r="L1354" s="50">
        <f t="shared" si="181"/>
        <v>4.0556634887340799E-2</v>
      </c>
      <c r="P1354" s="50">
        <f t="shared" si="176"/>
        <v>4.0556634887340799E-2</v>
      </c>
      <c r="Q1354" s="51">
        <f t="shared" si="182"/>
        <v>110.86797065063254</v>
      </c>
      <c r="R1354" s="51">
        <f t="shared" si="183"/>
        <v>49.299124989787614</v>
      </c>
    </row>
    <row r="1355" spans="1:18" x14ac:dyDescent="0.15">
      <c r="A1355" s="59">
        <v>42874.75</v>
      </c>
      <c r="B1355">
        <v>18.054075000000001</v>
      </c>
      <c r="C1355">
        <v>154.99118000000001</v>
      </c>
      <c r="D1355">
        <v>46.344951999999999</v>
      </c>
      <c r="E1355">
        <v>48.533501000000001</v>
      </c>
      <c r="F1355">
        <v>1071.589966</v>
      </c>
      <c r="H1355" s="50">
        <f t="shared" si="177"/>
        <v>7.6462223620578579E-4</v>
      </c>
      <c r="I1355" s="50">
        <f t="shared" si="178"/>
        <v>-4.0603882496822194E-4</v>
      </c>
      <c r="J1355" s="50">
        <f t="shared" si="179"/>
        <v>1.7801184362077518E-2</v>
      </c>
      <c r="K1355" s="50">
        <f t="shared" si="180"/>
        <v>-8.9546493196362618E-4</v>
      </c>
      <c r="L1355" s="50">
        <f t="shared" si="181"/>
        <v>-1.4801989420990778E-2</v>
      </c>
      <c r="P1355" s="50">
        <f t="shared" si="176"/>
        <v>-1.4801989420990778E-2</v>
      </c>
      <c r="Q1355" s="51">
        <f t="shared" si="182"/>
        <v>109.22690412193516</v>
      </c>
      <c r="R1355" s="51">
        <f t="shared" si="183"/>
        <v>49.336820196980298</v>
      </c>
    </row>
    <row r="1356" spans="1:18" x14ac:dyDescent="0.15">
      <c r="A1356" s="59">
        <v>42875.75</v>
      </c>
      <c r="B1356">
        <v>18.040281</v>
      </c>
      <c r="C1356">
        <v>155.05413799999999</v>
      </c>
      <c r="D1356">
        <v>45.534385999999998</v>
      </c>
      <c r="E1356">
        <v>48.576999999999998</v>
      </c>
      <c r="F1356">
        <v>1087.6899410000001</v>
      </c>
      <c r="H1356" s="50">
        <f t="shared" si="177"/>
        <v>4.350260918228023E-3</v>
      </c>
      <c r="I1356" s="50">
        <f t="shared" si="178"/>
        <v>-3.1215190147840504E-3</v>
      </c>
      <c r="J1356" s="50">
        <f t="shared" si="179"/>
        <v>6.6507939339799354E-3</v>
      </c>
      <c r="K1356" s="50">
        <f t="shared" si="180"/>
        <v>-8.9866268583005757E-3</v>
      </c>
      <c r="L1356" s="50">
        <f t="shared" si="181"/>
        <v>1.3076809655061358E-2</v>
      </c>
      <c r="P1356" s="50">
        <f t="shared" si="176"/>
        <v>1.3076809655061358E-2</v>
      </c>
      <c r="Q1356" s="51">
        <f t="shared" si="182"/>
        <v>110.65524355634935</v>
      </c>
      <c r="R1356" s="51">
        <f t="shared" si="183"/>
        <v>49.551448237712862</v>
      </c>
    </row>
    <row r="1357" spans="1:18" x14ac:dyDescent="0.15">
      <c r="A1357" s="59">
        <v>42878.75</v>
      </c>
      <c r="B1357">
        <v>17.962140999999999</v>
      </c>
      <c r="C1357">
        <v>155.539658</v>
      </c>
      <c r="D1357">
        <v>45.233547000000002</v>
      </c>
      <c r="E1357">
        <v>49.017502</v>
      </c>
      <c r="F1357">
        <v>1073.650024</v>
      </c>
      <c r="H1357" s="50">
        <f t="shared" si="177"/>
        <v>-2.0429013733108984E-3</v>
      </c>
      <c r="I1357" s="50">
        <f t="shared" si="178"/>
        <v>-9.843529087880519E-3</v>
      </c>
      <c r="J1357" s="50">
        <f t="shared" si="179"/>
        <v>-1.2916615894325552E-3</v>
      </c>
      <c r="K1357" s="50">
        <f t="shared" si="180"/>
        <v>-1.3116773301591987E-2</v>
      </c>
      <c r="L1357" s="50">
        <f t="shared" si="181"/>
        <v>-3.5381226757113588E-4</v>
      </c>
      <c r="P1357" s="50">
        <f t="shared" si="176"/>
        <v>-3.5381226757113588E-4</v>
      </c>
      <c r="Q1357" s="51">
        <f t="shared" si="182"/>
        <v>110.61609237370804</v>
      </c>
      <c r="R1357" s="51">
        <f t="shared" si="183"/>
        <v>49.450219516058496</v>
      </c>
    </row>
    <row r="1358" spans="1:18" x14ac:dyDescent="0.15">
      <c r="A1358" s="59">
        <v>42879.75</v>
      </c>
      <c r="B1358">
        <v>17.998911</v>
      </c>
      <c r="C1358">
        <v>157.085938</v>
      </c>
      <c r="D1358">
        <v>45.292048999999999</v>
      </c>
      <c r="E1358">
        <v>49.668998999999999</v>
      </c>
      <c r="F1358">
        <v>1074.030029</v>
      </c>
      <c r="H1358" s="50">
        <f t="shared" si="177"/>
        <v>2.3036000914156774E-3</v>
      </c>
      <c r="I1358" s="50">
        <f t="shared" si="178"/>
        <v>-1.7598192549066704E-2</v>
      </c>
      <c r="J1358" s="50">
        <f t="shared" si="179"/>
        <v>-3.6763098913528166E-3</v>
      </c>
      <c r="K1358" s="50">
        <f t="shared" si="180"/>
        <v>-2.4102110423946748E-3</v>
      </c>
      <c r="L1358" s="50">
        <f t="shared" si="181"/>
        <v>5.6932237267361954E-3</v>
      </c>
      <c r="P1358" s="50">
        <f t="shared" si="176"/>
        <v>5.6932237267361954E-3</v>
      </c>
      <c r="Q1358" s="51">
        <f t="shared" si="182"/>
        <v>111.24585453536888</v>
      </c>
      <c r="R1358" s="51">
        <f t="shared" si="183"/>
        <v>49.56413304625621</v>
      </c>
    </row>
    <row r="1359" spans="1:18" x14ac:dyDescent="0.15">
      <c r="A1359" s="59">
        <v>42880.75</v>
      </c>
      <c r="B1359">
        <v>17.957543999999999</v>
      </c>
      <c r="C1359">
        <v>159.89988700000001</v>
      </c>
      <c r="D1359">
        <v>45.459170999999998</v>
      </c>
      <c r="E1359">
        <v>49.789000999999999</v>
      </c>
      <c r="F1359">
        <v>1067.9499510000001</v>
      </c>
      <c r="H1359" s="50">
        <f t="shared" si="177"/>
        <v>-2.5592717482845762E-4</v>
      </c>
      <c r="I1359" s="50">
        <f t="shared" si="178"/>
        <v>-5.9244025551702263E-3</v>
      </c>
      <c r="J1359" s="50">
        <f t="shared" si="179"/>
        <v>-9.8288800195877029E-3</v>
      </c>
      <c r="K1359" s="50">
        <f t="shared" si="180"/>
        <v>-9.2300593805579132E-4</v>
      </c>
      <c r="L1359" s="50">
        <f t="shared" si="181"/>
        <v>-3.1829733760670831E-2</v>
      </c>
      <c r="P1359" s="50">
        <f t="shared" si="176"/>
        <v>-3.1829733760670831E-2</v>
      </c>
      <c r="Q1359" s="51">
        <f t="shared" si="182"/>
        <v>107.70492860352978</v>
      </c>
      <c r="R1359" s="51">
        <f t="shared" si="183"/>
        <v>49.551448237712862</v>
      </c>
    </row>
    <row r="1360" spans="1:18" x14ac:dyDescent="0.15">
      <c r="A1360" s="59">
        <v>42881.75</v>
      </c>
      <c r="B1360">
        <v>17.962140999999999</v>
      </c>
      <c r="C1360">
        <v>160.852844</v>
      </c>
      <c r="D1360">
        <v>45.910418999999997</v>
      </c>
      <c r="E1360">
        <v>49.834999000000003</v>
      </c>
      <c r="F1360">
        <v>1103.0600589999999</v>
      </c>
      <c r="H1360" s="50">
        <f t="shared" si="177"/>
        <v>-5.7252549614955142E-3</v>
      </c>
      <c r="I1360" s="50">
        <f t="shared" si="178"/>
        <v>-8.3687512353558362E-3</v>
      </c>
      <c r="J1360" s="50">
        <f t="shared" si="179"/>
        <v>-3.8079316691820527E-3</v>
      </c>
      <c r="K1360" s="50">
        <f t="shared" si="180"/>
        <v>2.0912509720548006E-3</v>
      </c>
      <c r="L1360" s="50">
        <f t="shared" si="181"/>
        <v>1.2529740477863007E-2</v>
      </c>
      <c r="P1360" s="50">
        <f t="shared" si="176"/>
        <v>1.2529740477863007E-2</v>
      </c>
      <c r="Q1360" s="51">
        <f t="shared" si="182"/>
        <v>109.05444340711878</v>
      </c>
      <c r="R1360" s="51">
        <f t="shared" si="183"/>
        <v>49.267753562840603</v>
      </c>
    </row>
    <row r="1361" spans="1:18" x14ac:dyDescent="0.15">
      <c r="A1361" s="59">
        <v>42882.75</v>
      </c>
      <c r="B1361">
        <v>18.065570999999998</v>
      </c>
      <c r="C1361">
        <v>162.210342</v>
      </c>
      <c r="D1361">
        <v>46.085911000000003</v>
      </c>
      <c r="E1361">
        <v>49.730998999999997</v>
      </c>
      <c r="F1361">
        <v>1089.410034</v>
      </c>
      <c r="H1361" s="50">
        <f t="shared" si="177"/>
        <v>-1.5160810733900887E-2</v>
      </c>
      <c r="I1361" s="50">
        <f t="shared" si="178"/>
        <v>-1.1074561145575468E-3</v>
      </c>
      <c r="J1361" s="50">
        <f t="shared" si="179"/>
        <v>-9.1626509540476651E-3</v>
      </c>
      <c r="K1361" s="50">
        <f t="shared" si="180"/>
        <v>-1.33544853987753E-3</v>
      </c>
      <c r="L1361" s="50">
        <f t="shared" si="181"/>
        <v>1.7465115373107073E-2</v>
      </c>
      <c r="P1361" s="50">
        <f t="shared" si="176"/>
        <v>1.7465115373107073E-2</v>
      </c>
      <c r="Q1361" s="51">
        <f t="shared" si="182"/>
        <v>110.95909184317409</v>
      </c>
      <c r="R1361" s="51">
        <f t="shared" si="183"/>
        <v>48.520814475789905</v>
      </c>
    </row>
    <row r="1362" spans="1:18" x14ac:dyDescent="0.15">
      <c r="A1362" s="59">
        <v>42886.75</v>
      </c>
      <c r="B1362">
        <v>18.343675999999999</v>
      </c>
      <c r="C1362">
        <v>162.39018200000001</v>
      </c>
      <c r="D1362">
        <v>46.512084999999999</v>
      </c>
      <c r="E1362">
        <v>49.797500999999997</v>
      </c>
      <c r="F1362">
        <v>1070.709961</v>
      </c>
      <c r="H1362" s="50">
        <f t="shared" si="177"/>
        <v>2.3863927906030515E-3</v>
      </c>
      <c r="I1362" s="50">
        <f t="shared" si="178"/>
        <v>-1.8787510906776641E-3</v>
      </c>
      <c r="J1362" s="50">
        <f t="shared" si="179"/>
        <v>2.5214299017721794E-3</v>
      </c>
      <c r="K1362" s="50">
        <f t="shared" si="180"/>
        <v>-1.0707876420008439E-2</v>
      </c>
      <c r="L1362" s="50">
        <f t="shared" si="181"/>
        <v>-2.5191685822794966E-2</v>
      </c>
      <c r="P1362" s="50">
        <f t="shared" si="176"/>
        <v>-2.5191685822794966E-2</v>
      </c>
      <c r="Q1362" s="51">
        <f t="shared" si="182"/>
        <v>108.1638452622782</v>
      </c>
      <c r="R1362" s="51">
        <f t="shared" si="183"/>
        <v>48.63660419764912</v>
      </c>
    </row>
    <row r="1363" spans="1:18" x14ac:dyDescent="0.15">
      <c r="A1363" s="59">
        <v>42887.75</v>
      </c>
      <c r="B1363">
        <v>18.300004999999999</v>
      </c>
      <c r="C1363">
        <v>162.69584699999999</v>
      </c>
      <c r="D1363">
        <v>46.395102999999999</v>
      </c>
      <c r="E1363">
        <v>50.336497999999999</v>
      </c>
      <c r="F1363">
        <v>1098.380005</v>
      </c>
      <c r="H1363" s="50">
        <f t="shared" si="177"/>
        <v>-7.9739896272055227E-3</v>
      </c>
      <c r="I1363" s="50">
        <f t="shared" si="178"/>
        <v>-6.0961035767397014E-3</v>
      </c>
      <c r="J1363" s="50">
        <f t="shared" si="179"/>
        <v>-1.9773904228676904E-3</v>
      </c>
      <c r="K1363" s="50">
        <f t="shared" si="180"/>
        <v>-4.5583680155364325E-3</v>
      </c>
      <c r="L1363" s="50">
        <f t="shared" si="181"/>
        <v>-4.0350291319073087E-3</v>
      </c>
      <c r="P1363" s="50">
        <f t="shared" si="176"/>
        <v>-4.0350291319073087E-3</v>
      </c>
      <c r="Q1363" s="51">
        <f t="shared" si="182"/>
        <v>107.72740099562579</v>
      </c>
      <c r="R1363" s="51">
        <f t="shared" si="183"/>
        <v>48.248776420274567</v>
      </c>
    </row>
    <row r="1364" spans="1:18" x14ac:dyDescent="0.15">
      <c r="A1364" s="59">
        <v>42888.75</v>
      </c>
      <c r="B1364">
        <v>18.447102000000001</v>
      </c>
      <c r="C1364">
        <v>163.69374099999999</v>
      </c>
      <c r="D1364">
        <v>46.487026</v>
      </c>
      <c r="E1364">
        <v>50.567000999999998</v>
      </c>
      <c r="F1364">
        <v>1102.829956</v>
      </c>
      <c r="H1364" s="50">
        <f t="shared" si="177"/>
        <v>1.6850453363302306E-2</v>
      </c>
      <c r="I1364" s="50">
        <f t="shared" si="178"/>
        <v>3.4720787164137811E-3</v>
      </c>
      <c r="J1364" s="50">
        <f t="shared" si="179"/>
        <v>1.9238083398478576E-2</v>
      </c>
      <c r="K1364" s="50">
        <f t="shared" si="180"/>
        <v>8.3150345637074356E-3</v>
      </c>
      <c r="L1364" s="50">
        <f t="shared" si="181"/>
        <v>3.5637772163822398E-2</v>
      </c>
      <c r="P1364" s="50">
        <f t="shared" si="176"/>
        <v>3.5637772163822398E-2</v>
      </c>
      <c r="Q1364" s="51">
        <f t="shared" si="182"/>
        <v>111.56656556810863</v>
      </c>
      <c r="R1364" s="51">
        <f t="shared" si="183"/>
        <v>49.061790177180804</v>
      </c>
    </row>
    <row r="1365" spans="1:18" x14ac:dyDescent="0.15">
      <c r="A1365" s="59">
        <v>42889.75</v>
      </c>
      <c r="B1365">
        <v>18.141411000000002</v>
      </c>
      <c r="C1365">
        <v>163.12735000000001</v>
      </c>
      <c r="D1365">
        <v>45.609585000000003</v>
      </c>
      <c r="E1365">
        <v>50.150002000000001</v>
      </c>
      <c r="F1365">
        <v>1064.880005</v>
      </c>
      <c r="H1365" s="50">
        <f t="shared" si="177"/>
        <v>-2.7795769530711196E-3</v>
      </c>
      <c r="I1365" s="50">
        <f t="shared" si="178"/>
        <v>-4.1164790319920559E-3</v>
      </c>
      <c r="J1365" s="50">
        <f t="shared" si="179"/>
        <v>2.0195017925130096E-3</v>
      </c>
      <c r="K1365" s="50">
        <f t="shared" si="180"/>
        <v>-6.9995146079176217E-3</v>
      </c>
      <c r="L1365" s="50">
        <f t="shared" si="181"/>
        <v>1.3717701978936432E-2</v>
      </c>
      <c r="P1365" s="50">
        <f t="shared" si="176"/>
        <v>1.3717701978936432E-2</v>
      </c>
      <c r="Q1365" s="51">
        <f t="shared" si="182"/>
        <v>113.09700246538543</v>
      </c>
      <c r="R1365" s="51">
        <f t="shared" si="183"/>
        <v>48.925419155927905</v>
      </c>
    </row>
    <row r="1366" spans="1:18" x14ac:dyDescent="0.15">
      <c r="A1366" s="59">
        <v>42892.75</v>
      </c>
      <c r="B1366">
        <v>18.191977000000001</v>
      </c>
      <c r="C1366">
        <v>163.801636</v>
      </c>
      <c r="D1366">
        <v>45.517662000000001</v>
      </c>
      <c r="E1366">
        <v>50.503501999999997</v>
      </c>
      <c r="F1366">
        <v>1050.469971</v>
      </c>
      <c r="H1366" s="50">
        <f t="shared" si="177"/>
        <v>2.7873245361124273E-3</v>
      </c>
      <c r="I1366" s="50">
        <f t="shared" si="178"/>
        <v>4.3547417869909946E-3</v>
      </c>
      <c r="J1366" s="50">
        <f t="shared" si="179"/>
        <v>-2.9289153221706329E-3</v>
      </c>
      <c r="K1366" s="50">
        <f t="shared" si="180"/>
        <v>-1.9792728676498481E-4</v>
      </c>
      <c r="L1366" s="50">
        <f t="shared" si="181"/>
        <v>-1.0856901129943515E-2</v>
      </c>
      <c r="P1366" s="50">
        <f t="shared" si="176"/>
        <v>-1.0856901129943515E-2</v>
      </c>
      <c r="Q1366" s="51">
        <f t="shared" si="182"/>
        <v>111.86911949152577</v>
      </c>
      <c r="R1366" s="51">
        <f t="shared" si="183"/>
        <v>49.061790177180811</v>
      </c>
    </row>
    <row r="1367" spans="1:18" x14ac:dyDescent="0.15">
      <c r="A1367" s="59">
        <v>42893.75</v>
      </c>
      <c r="B1367">
        <v>18.141411000000002</v>
      </c>
      <c r="C1367">
        <v>163.09141500000001</v>
      </c>
      <c r="D1367">
        <v>45.651370999999997</v>
      </c>
      <c r="E1367">
        <v>50.513500000000001</v>
      </c>
      <c r="F1367">
        <v>1062</v>
      </c>
      <c r="H1367" s="50">
        <f t="shared" si="177"/>
        <v>-6.1698684060882622E-3</v>
      </c>
      <c r="I1367" s="50">
        <f t="shared" si="178"/>
        <v>5.7102808086596478E-3</v>
      </c>
      <c r="J1367" s="50">
        <f t="shared" si="179"/>
        <v>-3.9894356639070011E-2</v>
      </c>
      <c r="K1367" s="50">
        <f t="shared" si="180"/>
        <v>3.2668560422186035E-2</v>
      </c>
      <c r="L1367" s="50">
        <f t="shared" si="181"/>
        <v>5.9771896604629195E-3</v>
      </c>
      <c r="P1367" s="50">
        <f t="shared" si="176"/>
        <v>5.9771896604629195E-3</v>
      </c>
      <c r="Q1367" s="51">
        <f t="shared" si="182"/>
        <v>112.53778243587561</v>
      </c>
      <c r="R1367" s="51">
        <f t="shared" si="183"/>
        <v>48.759085388020495</v>
      </c>
    </row>
    <row r="1368" spans="1:18" x14ac:dyDescent="0.15">
      <c r="A1368" s="59">
        <v>42894.75</v>
      </c>
      <c r="B1368">
        <v>18.254035999999999</v>
      </c>
      <c r="C1368">
        <v>162.16540499999999</v>
      </c>
      <c r="D1368">
        <v>47.548279000000001</v>
      </c>
      <c r="E1368">
        <v>48.915500999999999</v>
      </c>
      <c r="F1368">
        <v>1055.6899410000001</v>
      </c>
      <c r="H1368" s="50">
        <f t="shared" si="177"/>
        <v>2.2718263010455164E-3</v>
      </c>
      <c r="I1368" s="50">
        <f t="shared" si="178"/>
        <v>4.1194895307405501E-3</v>
      </c>
      <c r="J1368" s="50">
        <f t="shared" si="179"/>
        <v>-1.6762012496114718E-2</v>
      </c>
      <c r="K1368" s="50">
        <f t="shared" si="180"/>
        <v>1.3887347294304006E-2</v>
      </c>
      <c r="L1368" s="50">
        <f t="shared" si="181"/>
        <v>-2.8661096366049455E-2</v>
      </c>
      <c r="P1368" s="50">
        <f t="shared" si="176"/>
        <v>-2.8661096366049455E-2</v>
      </c>
      <c r="Q1368" s="51">
        <f t="shared" si="182"/>
        <v>109.31232620865948</v>
      </c>
      <c r="R1368" s="51">
        <f t="shared" si="183"/>
        <v>48.86985756061992</v>
      </c>
    </row>
    <row r="1369" spans="1:18" x14ac:dyDescent="0.15">
      <c r="A1369" s="59">
        <v>42895.75</v>
      </c>
      <c r="B1369">
        <v>18.21266</v>
      </c>
      <c r="C1369">
        <v>161.50010700000001</v>
      </c>
      <c r="D1369">
        <v>48.358871000000001</v>
      </c>
      <c r="E1369">
        <v>48.245499000000002</v>
      </c>
      <c r="F1369">
        <v>1086.839966</v>
      </c>
      <c r="H1369" s="50">
        <f t="shared" si="177"/>
        <v>-3.5214163183377458E-3</v>
      </c>
      <c r="I1369" s="50">
        <f t="shared" si="178"/>
        <v>-4.8198790492772698E-3</v>
      </c>
      <c r="J1369" s="50">
        <f t="shared" si="179"/>
        <v>8.5395218451714983E-3</v>
      </c>
      <c r="K1369" s="50">
        <f t="shared" si="180"/>
        <v>-1.6191070133441999E-2</v>
      </c>
      <c r="L1369" s="50">
        <f t="shared" si="181"/>
        <v>-4.3605808946994389E-3</v>
      </c>
      <c r="P1369" s="50">
        <f t="shared" si="176"/>
        <v>-4.3605808946994389E-3</v>
      </c>
      <c r="Q1369" s="51">
        <f t="shared" si="182"/>
        <v>108.83566096743884</v>
      </c>
      <c r="R1369" s="51">
        <f t="shared" si="183"/>
        <v>48.697766446731109</v>
      </c>
    </row>
    <row r="1370" spans="1:18" x14ac:dyDescent="0.15">
      <c r="A1370" s="59">
        <v>42896.75</v>
      </c>
      <c r="B1370">
        <v>18.277021000000001</v>
      </c>
      <c r="C1370">
        <v>162.28228799999999</v>
      </c>
      <c r="D1370">
        <v>47.949406000000003</v>
      </c>
      <c r="E1370">
        <v>49.039501000000001</v>
      </c>
      <c r="F1370">
        <v>1091.599976</v>
      </c>
      <c r="H1370" s="50">
        <f t="shared" si="177"/>
        <v>-4.7558425535026315E-3</v>
      </c>
      <c r="I1370" s="50">
        <f t="shared" si="178"/>
        <v>-6.3853718085600452E-3</v>
      </c>
      <c r="J1370" s="50">
        <f t="shared" si="179"/>
        <v>-8.2955091796572279E-3</v>
      </c>
      <c r="K1370" s="50">
        <f t="shared" si="180"/>
        <v>4.4240783874946871E-3</v>
      </c>
      <c r="L1370" s="50">
        <f t="shared" si="181"/>
        <v>1.8079265355766215E-3</v>
      </c>
      <c r="P1370" s="50">
        <f t="shared" si="176"/>
        <v>1.8079265355766215E-3</v>
      </c>
      <c r="Q1370" s="51">
        <f t="shared" si="182"/>
        <v>109.03242784691889</v>
      </c>
      <c r="R1370" s="51">
        <f t="shared" si="183"/>
        <v>48.466167536803212</v>
      </c>
    </row>
    <row r="1371" spans="1:18" x14ac:dyDescent="0.15">
      <c r="A1371" s="59">
        <v>42899.75</v>
      </c>
      <c r="B1371">
        <v>18.364359</v>
      </c>
      <c r="C1371">
        <v>163.32517999999999</v>
      </c>
      <c r="D1371">
        <v>48.350498000000002</v>
      </c>
      <c r="E1371">
        <v>48.823501999999998</v>
      </c>
      <c r="F1371">
        <v>1089.630005</v>
      </c>
      <c r="H1371" s="50">
        <f t="shared" si="177"/>
        <v>1.2545694338919401E-2</v>
      </c>
      <c r="I1371" s="50">
        <f t="shared" si="178"/>
        <v>8.9416190297353336E-3</v>
      </c>
      <c r="J1371" s="50">
        <f t="shared" si="179"/>
        <v>4.3274313888597891E-2</v>
      </c>
      <c r="K1371" s="50">
        <f t="shared" si="180"/>
        <v>1.2757127892384059E-2</v>
      </c>
      <c r="L1371" s="50">
        <f t="shared" si="181"/>
        <v>-2.295488415761571E-2</v>
      </c>
      <c r="P1371" s="50">
        <f t="shared" si="176"/>
        <v>-2.295488415761571E-2</v>
      </c>
      <c r="Q1371" s="51">
        <f t="shared" si="182"/>
        <v>106.52960109626927</v>
      </c>
      <c r="R1371" s="51">
        <f t="shared" si="183"/>
        <v>49.074209260498812</v>
      </c>
    </row>
    <row r="1372" spans="1:18" x14ac:dyDescent="0.15">
      <c r="A1372" s="59">
        <v>42900.75</v>
      </c>
      <c r="B1372">
        <v>18.13682</v>
      </c>
      <c r="C1372">
        <v>161.87773100000001</v>
      </c>
      <c r="D1372">
        <v>46.344951999999999</v>
      </c>
      <c r="E1372">
        <v>48.208500000000001</v>
      </c>
      <c r="F1372">
        <v>1115.2299800000001</v>
      </c>
      <c r="H1372" s="50">
        <f t="shared" si="177"/>
        <v>4.8777332769184126E-2</v>
      </c>
      <c r="I1372" s="50">
        <f t="shared" si="178"/>
        <v>7.7493725381472589E-2</v>
      </c>
      <c r="J1372" s="50">
        <f t="shared" si="179"/>
        <v>5.417210566507151E-2</v>
      </c>
      <c r="K1372" s="50">
        <f t="shared" si="180"/>
        <v>-2.3832945952437654E-2</v>
      </c>
      <c r="L1372" s="50">
        <f t="shared" si="181"/>
        <v>5.5624389548243386E-4</v>
      </c>
      <c r="P1372" s="50">
        <f t="shared" si="176"/>
        <v>5.5624389548243386E-4</v>
      </c>
      <c r="Q1372" s="51">
        <f t="shared" si="182"/>
        <v>106.58885753656726</v>
      </c>
      <c r="R1372" s="51">
        <f t="shared" si="183"/>
        <v>51.467918295982734</v>
      </c>
    </row>
    <row r="1373" spans="1:18" x14ac:dyDescent="0.15">
      <c r="A1373" s="59">
        <v>42901.75</v>
      </c>
      <c r="B1373">
        <v>17.293299000000001</v>
      </c>
      <c r="C1373">
        <v>150.23542800000001</v>
      </c>
      <c r="D1373">
        <v>43.963363999999999</v>
      </c>
      <c r="E1373">
        <v>49.385502000000002</v>
      </c>
      <c r="F1373">
        <v>1114.6099850000001</v>
      </c>
      <c r="H1373" s="50">
        <f t="shared" si="177"/>
        <v>-3.4434860860802436E-3</v>
      </c>
      <c r="I1373" s="50">
        <f t="shared" si="178"/>
        <v>1.6855453842173476E-2</v>
      </c>
      <c r="J1373" s="50">
        <f t="shared" si="179"/>
        <v>1.7404618904208437E-2</v>
      </c>
      <c r="K1373" s="50">
        <f t="shared" si="180"/>
        <v>-7.4961465376999822E-3</v>
      </c>
      <c r="L1373" s="50">
        <f t="shared" si="181"/>
        <v>-1.2813644224460726E-3</v>
      </c>
      <c r="P1373" s="50">
        <f t="shared" si="176"/>
        <v>-1.2813644224460726E-3</v>
      </c>
      <c r="Q1373" s="51">
        <f t="shared" si="182"/>
        <v>106.45227836669073</v>
      </c>
      <c r="R1373" s="51">
        <f t="shared" si="183"/>
        <v>51.290689235451005</v>
      </c>
    </row>
    <row r="1374" spans="1:18" x14ac:dyDescent="0.15">
      <c r="A1374" s="59">
        <v>42902.75</v>
      </c>
      <c r="B1374">
        <v>17.353054</v>
      </c>
      <c r="C1374">
        <v>147.74511699999999</v>
      </c>
      <c r="D1374">
        <v>43.211288000000003</v>
      </c>
      <c r="E1374">
        <v>49.758499</v>
      </c>
      <c r="F1374">
        <v>1116.040039</v>
      </c>
      <c r="H1374" s="50">
        <f t="shared" si="177"/>
        <v>-5.2971242035380916E-4</v>
      </c>
      <c r="I1374" s="50">
        <f t="shared" si="178"/>
        <v>8.8397494441312813E-3</v>
      </c>
      <c r="J1374" s="50">
        <f t="shared" si="179"/>
        <v>1.571409306780646E-2</v>
      </c>
      <c r="K1374" s="50">
        <f t="shared" si="180"/>
        <v>2.5992201694714366E-3</v>
      </c>
      <c r="L1374" s="50">
        <f t="shared" si="181"/>
        <v>-1.3153985081529487E-3</v>
      </c>
      <c r="P1374" s="50">
        <f t="shared" si="176"/>
        <v>-1.3153985081529487E-3</v>
      </c>
      <c r="Q1374" s="51">
        <f t="shared" si="182"/>
        <v>106.31225119853771</v>
      </c>
      <c r="R1374" s="51">
        <f t="shared" si="183"/>
        <v>51.263519920314479</v>
      </c>
    </row>
    <row r="1375" spans="1:18" x14ac:dyDescent="0.15">
      <c r="A1375" s="59">
        <v>42903.75</v>
      </c>
      <c r="B1375">
        <v>17.362251000000001</v>
      </c>
      <c r="C1375">
        <v>146.45053100000001</v>
      </c>
      <c r="D1375">
        <v>42.542766999999998</v>
      </c>
      <c r="E1375">
        <v>49.629500999999998</v>
      </c>
      <c r="F1375">
        <v>1117.51001</v>
      </c>
      <c r="H1375" s="50">
        <f t="shared" si="177"/>
        <v>-9.1817427283595893E-3</v>
      </c>
      <c r="I1375" s="50">
        <f t="shared" si="178"/>
        <v>-1.5320649161749888E-3</v>
      </c>
      <c r="J1375" s="50">
        <f t="shared" si="179"/>
        <v>7.7198781586255366E-3</v>
      </c>
      <c r="K1375" s="50">
        <f t="shared" si="180"/>
        <v>-9.618530676591238E-3</v>
      </c>
      <c r="L1375" s="50">
        <f t="shared" si="181"/>
        <v>3.8717743349953758E-3</v>
      </c>
      <c r="P1375" s="50">
        <f t="shared" si="176"/>
        <v>3.8717743349953758E-3</v>
      </c>
      <c r="Q1375" s="51">
        <f t="shared" si="182"/>
        <v>106.72386824422379</v>
      </c>
      <c r="R1375" s="51">
        <f t="shared" si="183"/>
        <v>50.792831469056019</v>
      </c>
    </row>
    <row r="1376" spans="1:18" x14ac:dyDescent="0.15">
      <c r="A1376" s="59">
        <v>42906.75</v>
      </c>
      <c r="B1376">
        <v>17.523143999999998</v>
      </c>
      <c r="C1376">
        <v>146.67524700000001</v>
      </c>
      <c r="D1376">
        <v>42.216858000000002</v>
      </c>
      <c r="E1376">
        <v>50.111499999999999</v>
      </c>
      <c r="F1376">
        <v>1113.1999510000001</v>
      </c>
      <c r="H1376" s="50">
        <f t="shared" si="177"/>
        <v>9.5340062045243829E-3</v>
      </c>
      <c r="I1376" s="50">
        <f t="shared" si="178"/>
        <v>2.102735024681297E-2</v>
      </c>
      <c r="J1376" s="50">
        <f t="shared" si="179"/>
        <v>-2.1725752082126411E-3</v>
      </c>
      <c r="K1376" s="50">
        <f t="shared" si="180"/>
        <v>9.2881256224531703E-4</v>
      </c>
      <c r="L1376" s="50">
        <f t="shared" si="181"/>
        <v>1.6333176029017137E-2</v>
      </c>
      <c r="P1376" s="50">
        <f t="shared" si="176"/>
        <v>1.6333176029017137E-2</v>
      </c>
      <c r="Q1376" s="51">
        <f t="shared" si="182"/>
        <v>108.46700797075432</v>
      </c>
      <c r="R1376" s="51">
        <f t="shared" si="183"/>
        <v>51.277090639427357</v>
      </c>
    </row>
    <row r="1377" spans="1:18" x14ac:dyDescent="0.15">
      <c r="A1377" s="59">
        <v>42907.75</v>
      </c>
      <c r="B1377">
        <v>17.357655999999999</v>
      </c>
      <c r="C1377">
        <v>143.654572</v>
      </c>
      <c r="D1377">
        <v>42.308776999999999</v>
      </c>
      <c r="E1377">
        <v>50.064999</v>
      </c>
      <c r="F1377">
        <v>1095.3100589999999</v>
      </c>
      <c r="H1377" s="50">
        <f t="shared" si="177"/>
        <v>9.0861996326918604E-3</v>
      </c>
      <c r="I1377" s="50">
        <f t="shared" si="178"/>
        <v>1.6928492466038631E-2</v>
      </c>
      <c r="J1377" s="50">
        <f t="shared" si="179"/>
        <v>-2.5612590902808876E-3</v>
      </c>
      <c r="K1377" s="50">
        <f t="shared" si="180"/>
        <v>-2.4309283280530289E-3</v>
      </c>
      <c r="L1377" s="50">
        <f t="shared" si="181"/>
        <v>2.9944140170852576E-3</v>
      </c>
      <c r="P1377" s="50">
        <f t="shared" si="176"/>
        <v>2.9944140170852576E-3</v>
      </c>
      <c r="Q1377" s="51">
        <f t="shared" si="182"/>
        <v>108.79180309981325</v>
      </c>
      <c r="R1377" s="51">
        <f t="shared" si="183"/>
        <v>51.743004521560827</v>
      </c>
    </row>
    <row r="1378" spans="1:18" x14ac:dyDescent="0.15">
      <c r="A1378" s="59">
        <v>42908.75</v>
      </c>
      <c r="B1378">
        <v>17.201360999999999</v>
      </c>
      <c r="C1378">
        <v>141.26319899999999</v>
      </c>
      <c r="D1378">
        <v>42.417419000000002</v>
      </c>
      <c r="E1378">
        <v>50.186999999999998</v>
      </c>
      <c r="F1378">
        <v>1092.040039</v>
      </c>
      <c r="H1378" s="50">
        <f t="shared" si="177"/>
        <v>-8.7415736734295663E-3</v>
      </c>
      <c r="I1378" s="50">
        <f t="shared" si="178"/>
        <v>-1.916333416451925E-2</v>
      </c>
      <c r="J1378" s="50">
        <f t="shared" si="179"/>
        <v>-1.3986025039816503E-2</v>
      </c>
      <c r="K1378" s="50">
        <f t="shared" si="180"/>
        <v>9.8190907298115505E-3</v>
      </c>
      <c r="L1378" s="50">
        <f t="shared" si="181"/>
        <v>1.7090686332507876E-2</v>
      </c>
      <c r="P1378" s="50">
        <f t="shared" si="176"/>
        <v>1.7090686332507876E-2</v>
      </c>
      <c r="Q1378" s="51">
        <f t="shared" si="182"/>
        <v>110.65112968214011</v>
      </c>
      <c r="R1378" s="51">
        <f t="shared" si="183"/>
        <v>51.290689235451005</v>
      </c>
    </row>
    <row r="1379" spans="1:18" x14ac:dyDescent="0.15">
      <c r="A1379" s="59">
        <v>42909.75</v>
      </c>
      <c r="B1379">
        <v>17.353054</v>
      </c>
      <c r="C1379">
        <v>144.02316300000001</v>
      </c>
      <c r="D1379">
        <v>43.019084999999997</v>
      </c>
      <c r="E1379">
        <v>49.699001000000003</v>
      </c>
      <c r="F1379">
        <v>1073.6899410000001</v>
      </c>
      <c r="H1379" s="50">
        <f t="shared" si="177"/>
        <v>-6.709569261428852E-3</v>
      </c>
      <c r="I1379" s="50">
        <f t="shared" si="178"/>
        <v>5.9026021029481958E-3</v>
      </c>
      <c r="J1379" s="50">
        <f t="shared" si="179"/>
        <v>-1.1330867276849321E-2</v>
      </c>
      <c r="K1379" s="50">
        <f t="shared" si="180"/>
        <v>1.7608877790108758E-2</v>
      </c>
      <c r="L1379" s="50">
        <f t="shared" si="181"/>
        <v>-2.8512100853372853E-3</v>
      </c>
      <c r="P1379" s="50">
        <f t="shared" si="176"/>
        <v>-2.8512100853372853E-3</v>
      </c>
      <c r="Q1379" s="51">
        <f t="shared" si="182"/>
        <v>110.33564006523643</v>
      </c>
      <c r="R1379" s="51">
        <f t="shared" si="183"/>
        <v>50.946550803559326</v>
      </c>
    </row>
    <row r="1380" spans="1:18" x14ac:dyDescent="0.15">
      <c r="A1380" s="59">
        <v>42910.75</v>
      </c>
      <c r="B1380">
        <v>17.470272000000001</v>
      </c>
      <c r="C1380">
        <v>143.17804000000001</v>
      </c>
      <c r="D1380">
        <v>43.512115000000001</v>
      </c>
      <c r="E1380">
        <v>48.839001000000003</v>
      </c>
      <c r="F1380">
        <v>1076.76001</v>
      </c>
      <c r="H1380" s="50">
        <f t="shared" si="177"/>
        <v>-6.5351567915599889E-3</v>
      </c>
      <c r="I1380" s="50">
        <f t="shared" si="178"/>
        <v>-5.6816094483623869E-3</v>
      </c>
      <c r="J1380" s="50">
        <f t="shared" si="179"/>
        <v>1.9212133793412826E-4</v>
      </c>
      <c r="K1380" s="50">
        <f t="shared" si="180"/>
        <v>-1.3682267803303297E-2</v>
      </c>
      <c r="L1380" s="50">
        <f t="shared" si="181"/>
        <v>2.0380841732566871E-3</v>
      </c>
      <c r="P1380" s="50">
        <f t="shared" si="176"/>
        <v>2.0380841732566871E-3</v>
      </c>
      <c r="Q1380" s="51">
        <f t="shared" si="182"/>
        <v>110.56051338699955</v>
      </c>
      <c r="R1380" s="51">
        <f t="shared" si="183"/>
        <v>50.613607106068891</v>
      </c>
    </row>
    <row r="1381" spans="1:18" x14ac:dyDescent="0.15">
      <c r="A1381" s="59">
        <v>42913.75</v>
      </c>
      <c r="B1381">
        <v>17.585194000000001</v>
      </c>
      <c r="C1381">
        <v>143.99617000000001</v>
      </c>
      <c r="D1381">
        <v>43.503757</v>
      </c>
      <c r="E1381">
        <v>49.516499000000003</v>
      </c>
      <c r="F1381">
        <v>1074.5699460000001</v>
      </c>
      <c r="H1381" s="50">
        <f t="shared" si="177"/>
        <v>7.638312661934544E-3</v>
      </c>
      <c r="I1381" s="50">
        <f t="shared" si="178"/>
        <v>9.3899525778090333E-3</v>
      </c>
      <c r="J1381" s="50">
        <f t="shared" si="179"/>
        <v>-5.7603200968104316E-4</v>
      </c>
      <c r="K1381" s="50">
        <f t="shared" si="180"/>
        <v>1.4755115330912843E-2</v>
      </c>
      <c r="L1381" s="50">
        <f t="shared" si="181"/>
        <v>3.2009869309764058E-2</v>
      </c>
      <c r="P1381" s="50">
        <f t="shared" si="176"/>
        <v>3.2009869309764058E-2</v>
      </c>
      <c r="Q1381" s="51">
        <f t="shared" si="182"/>
        <v>114.09954097133783</v>
      </c>
      <c r="R1381" s="51">
        <f t="shared" si="183"/>
        <v>51.000209662093361</v>
      </c>
    </row>
    <row r="1382" spans="1:18" x14ac:dyDescent="0.15">
      <c r="A1382" s="59">
        <v>42914.75</v>
      </c>
      <c r="B1382">
        <v>17.451891</v>
      </c>
      <c r="C1382">
        <v>142.656631</v>
      </c>
      <c r="D1382">
        <v>43.528830999999997</v>
      </c>
      <c r="E1382">
        <v>48.796500999999999</v>
      </c>
      <c r="F1382">
        <v>1041.23999</v>
      </c>
      <c r="H1382" s="50">
        <f t="shared" si="177"/>
        <v>3.3037598715541855E-3</v>
      </c>
      <c r="I1382" s="50">
        <f t="shared" si="178"/>
        <v>-7.8160500094776545E-3</v>
      </c>
      <c r="J1382" s="50">
        <f t="shared" si="179"/>
        <v>-3.8248386389762713E-3</v>
      </c>
      <c r="K1382" s="50">
        <f t="shared" si="180"/>
        <v>8.1921277606558495E-3</v>
      </c>
      <c r="L1382" s="50">
        <f t="shared" si="181"/>
        <v>1.0216287217971316E-2</v>
      </c>
      <c r="P1382" s="50">
        <f t="shared" si="176"/>
        <v>1.0216287217971316E-2</v>
      </c>
      <c r="Q1382" s="51">
        <f t="shared" si="182"/>
        <v>115.26521465333971</v>
      </c>
      <c r="R1382" s="51">
        <f t="shared" si="183"/>
        <v>51.168702108215832</v>
      </c>
    </row>
    <row r="1383" spans="1:18" x14ac:dyDescent="0.15">
      <c r="A1383" s="59">
        <v>42915.75</v>
      </c>
      <c r="B1383">
        <v>17.394424000000001</v>
      </c>
      <c r="C1383">
        <v>143.78042600000001</v>
      </c>
      <c r="D1383">
        <v>43.695960999999997</v>
      </c>
      <c r="E1383">
        <v>48.400002000000001</v>
      </c>
      <c r="F1383">
        <v>1030.709961</v>
      </c>
      <c r="H1383" s="50">
        <f t="shared" si="177"/>
        <v>4.2457997089410688E-3</v>
      </c>
      <c r="I1383" s="50">
        <f t="shared" si="178"/>
        <v>6.9889081389872135E-3</v>
      </c>
      <c r="J1383" s="50">
        <f t="shared" si="179"/>
        <v>-6.8372958202851247E-3</v>
      </c>
      <c r="K1383" s="50">
        <f t="shared" si="180"/>
        <v>1.5036868800974499E-2</v>
      </c>
      <c r="L1383" s="50">
        <f t="shared" si="181"/>
        <v>3.2509865153303448E-3</v>
      </c>
      <c r="P1383" s="50">
        <f t="shared" si="176"/>
        <v>3.2509865153303448E-3</v>
      </c>
      <c r="Q1383" s="51">
        <f t="shared" si="182"/>
        <v>115.63994031186436</v>
      </c>
      <c r="R1383" s="51">
        <f t="shared" si="183"/>
        <v>51.38595416873379</v>
      </c>
    </row>
    <row r="1384" spans="1:18" x14ac:dyDescent="0.15">
      <c r="A1384" s="59">
        <v>42916.75</v>
      </c>
      <c r="B1384">
        <v>17.320882999999998</v>
      </c>
      <c r="C1384">
        <v>142.782532</v>
      </c>
      <c r="D1384">
        <v>43.996780000000001</v>
      </c>
      <c r="E1384">
        <v>47.682999000000002</v>
      </c>
      <c r="F1384">
        <v>1027.369995</v>
      </c>
      <c r="H1384" s="50">
        <f t="shared" si="177"/>
        <v>5.3149081643235761E-4</v>
      </c>
      <c r="I1384" s="50">
        <f t="shared" si="178"/>
        <v>5.0628067589564884E-3</v>
      </c>
      <c r="J1384" s="50">
        <f t="shared" si="179"/>
        <v>9.3939701090147449E-3</v>
      </c>
      <c r="K1384" s="50">
        <f t="shared" si="180"/>
        <v>-1.8262322421247642E-2</v>
      </c>
      <c r="L1384" s="50">
        <f t="shared" si="181"/>
        <v>4.6842084926054439E-3</v>
      </c>
      <c r="P1384" s="50">
        <f t="shared" si="176"/>
        <v>4.6842084926054439E-3</v>
      </c>
      <c r="Q1384" s="51">
        <f t="shared" si="182"/>
        <v>116.18162190235759</v>
      </c>
      <c r="R1384" s="51">
        <f t="shared" si="183"/>
        <v>51.413265331468089</v>
      </c>
    </row>
    <row r="1385" spans="1:18" x14ac:dyDescent="0.15">
      <c r="A1385" s="59">
        <v>42917.75</v>
      </c>
      <c r="B1385">
        <v>17.311682000000001</v>
      </c>
      <c r="C1385">
        <v>142.06329299999999</v>
      </c>
      <c r="D1385">
        <v>43.587322</v>
      </c>
      <c r="E1385">
        <v>48.57</v>
      </c>
      <c r="F1385">
        <v>1022.580017</v>
      </c>
      <c r="H1385" s="50">
        <f t="shared" si="177"/>
        <v>-1.9875869926015886E-3</v>
      </c>
      <c r="I1385" s="50">
        <f t="shared" si="178"/>
        <v>5.9204972460040898E-3</v>
      </c>
      <c r="J1385" s="50">
        <f t="shared" si="179"/>
        <v>1.3996783718179882E-2</v>
      </c>
      <c r="K1385" s="50">
        <f t="shared" si="180"/>
        <v>6.4861056427047347E-3</v>
      </c>
      <c r="L1385" s="50">
        <f t="shared" si="181"/>
        <v>-5.3304687328582546E-3</v>
      </c>
      <c r="P1385" s="50">
        <f t="shared" si="176"/>
        <v>-5.3304687328582546E-3</v>
      </c>
      <c r="Q1385" s="51">
        <f t="shared" si="182"/>
        <v>115.56231939947432</v>
      </c>
      <c r="R1385" s="51">
        <f t="shared" si="183"/>
        <v>51.311076994048086</v>
      </c>
    </row>
    <row r="1386" spans="1:18" x14ac:dyDescent="0.15">
      <c r="A1386" s="59">
        <v>42921.75</v>
      </c>
      <c r="B1386">
        <v>17.346159</v>
      </c>
      <c r="C1386">
        <v>141.227158</v>
      </c>
      <c r="D1386">
        <v>42.985661</v>
      </c>
      <c r="E1386">
        <v>48.256999999999998</v>
      </c>
      <c r="F1386">
        <v>1028.0600589999999</v>
      </c>
      <c r="H1386" s="50">
        <f t="shared" si="177"/>
        <v>1.8585559183965379E-3</v>
      </c>
      <c r="I1386" s="50">
        <f t="shared" si="178"/>
        <v>1.9336693013811003E-2</v>
      </c>
      <c r="J1386" s="50">
        <f t="shared" si="179"/>
        <v>7.2451410219927662E-3</v>
      </c>
      <c r="K1386" s="50">
        <f t="shared" si="180"/>
        <v>-1.3915566635334596E-2</v>
      </c>
      <c r="L1386" s="50">
        <f t="shared" si="181"/>
        <v>-3.0379017035679291E-2</v>
      </c>
      <c r="P1386" s="50">
        <f t="shared" si="176"/>
        <v>-3.0379017035679291E-2</v>
      </c>
      <c r="Q1386" s="51">
        <f t="shared" si="182"/>
        <v>112.05164972975508</v>
      </c>
      <c r="R1386" s="51">
        <f t="shared" si="183"/>
        <v>51.406441499874674</v>
      </c>
    </row>
    <row r="1387" spans="1:18" x14ac:dyDescent="0.15">
      <c r="A1387" s="59">
        <v>42922.75</v>
      </c>
      <c r="B1387">
        <v>17.313980000000001</v>
      </c>
      <c r="C1387">
        <v>138.54809599999999</v>
      </c>
      <c r="D1387">
        <v>42.676464000000003</v>
      </c>
      <c r="E1387">
        <v>48.938000000000002</v>
      </c>
      <c r="F1387">
        <v>1060.2700199999999</v>
      </c>
      <c r="H1387" s="50">
        <f t="shared" si="177"/>
        <v>2.8676667787197234E-2</v>
      </c>
      <c r="I1387" s="50">
        <f t="shared" si="178"/>
        <v>2.0595953577192225E-2</v>
      </c>
      <c r="J1387" s="50">
        <f t="shared" si="179"/>
        <v>1.773614168156306E-2</v>
      </c>
      <c r="K1387" s="50">
        <f t="shared" si="180"/>
        <v>-1.7772777192578623E-2</v>
      </c>
      <c r="L1387" s="50">
        <f t="shared" si="181"/>
        <v>-9.324905395935593E-3</v>
      </c>
      <c r="P1387" s="50">
        <f t="shared" si="176"/>
        <v>-9.324905395935593E-3</v>
      </c>
      <c r="Q1387" s="51">
        <f t="shared" si="182"/>
        <v>111.00677869656661</v>
      </c>
      <c r="R1387" s="51">
        <f t="shared" si="183"/>
        <v>52.880606944888569</v>
      </c>
    </row>
    <row r="1388" spans="1:18" x14ac:dyDescent="0.15">
      <c r="A1388" s="59">
        <v>42923.75</v>
      </c>
      <c r="B1388">
        <v>16.831313999999999</v>
      </c>
      <c r="C1388">
        <v>135.752151</v>
      </c>
      <c r="D1388">
        <v>41.932738999999998</v>
      </c>
      <c r="E1388">
        <v>49.823501999999998</v>
      </c>
      <c r="F1388">
        <v>1070.25</v>
      </c>
      <c r="H1388" s="50">
        <f t="shared" si="177"/>
        <v>-3.2667558030751776E-3</v>
      </c>
      <c r="I1388" s="50">
        <f t="shared" si="178"/>
        <v>-7.2817238088241699E-4</v>
      </c>
      <c r="J1388" s="50">
        <f t="shared" si="179"/>
        <v>-4.5627124053320102E-3</v>
      </c>
      <c r="K1388" s="50">
        <f t="shared" si="180"/>
        <v>2.3538369759721128E-3</v>
      </c>
      <c r="L1388" s="50">
        <f t="shared" si="181"/>
        <v>-7.1523630551617685E-3</v>
      </c>
      <c r="P1388" s="50">
        <f t="shared" si="176"/>
        <v>-7.1523630551617685E-3</v>
      </c>
      <c r="Q1388" s="51">
        <f t="shared" si="182"/>
        <v>110.21281791374477</v>
      </c>
      <c r="R1388" s="51">
        <f t="shared" si="183"/>
        <v>52.707858915281214</v>
      </c>
    </row>
    <row r="1389" spans="1:18" x14ac:dyDescent="0.15">
      <c r="A1389" s="59">
        <v>42924.75</v>
      </c>
      <c r="B1389">
        <v>16.886478</v>
      </c>
      <c r="C1389">
        <v>135.85107400000001</v>
      </c>
      <c r="D1389">
        <v>42.124943000000002</v>
      </c>
      <c r="E1389">
        <v>49.706501000000003</v>
      </c>
      <c r="F1389">
        <v>1077.959961</v>
      </c>
      <c r="H1389" s="50">
        <f t="shared" si="177"/>
        <v>-6.356350209988473E-3</v>
      </c>
      <c r="I1389" s="50">
        <f t="shared" si="178"/>
        <v>-4.2172769142915078E-3</v>
      </c>
      <c r="J1389" s="50">
        <f t="shared" si="179"/>
        <v>-9.0425314816145273E-3</v>
      </c>
      <c r="K1389" s="50">
        <f t="shared" si="180"/>
        <v>-1.2299907601514047E-2</v>
      </c>
      <c r="L1389" s="50">
        <f t="shared" si="181"/>
        <v>-7.323652375434335E-4</v>
      </c>
      <c r="P1389" s="50">
        <f t="shared" si="176"/>
        <v>-7.323652375434335E-4</v>
      </c>
      <c r="Q1389" s="51">
        <f t="shared" si="182"/>
        <v>110.13210187717304</v>
      </c>
      <c r="R1389" s="51">
        <f t="shared" si="183"/>
        <v>52.372829305197023</v>
      </c>
    </row>
    <row r="1390" spans="1:18" x14ac:dyDescent="0.15">
      <c r="A1390" s="59">
        <v>42927.75</v>
      </c>
      <c r="B1390">
        <v>16.994501</v>
      </c>
      <c r="C1390">
        <v>136.426422</v>
      </c>
      <c r="D1390">
        <v>42.509335</v>
      </c>
      <c r="E1390">
        <v>50.325499999999998</v>
      </c>
      <c r="F1390">
        <v>1078.75</v>
      </c>
      <c r="H1390" s="50">
        <f t="shared" si="177"/>
        <v>-1.4790404199974154E-2</v>
      </c>
      <c r="I1390" s="50">
        <f t="shared" si="178"/>
        <v>-1.2044301810820507E-2</v>
      </c>
      <c r="J1390" s="50">
        <f t="shared" si="179"/>
        <v>-4.5770295516161345E-2</v>
      </c>
      <c r="K1390" s="50">
        <f t="shared" si="180"/>
        <v>5.8762577225843597E-3</v>
      </c>
      <c r="L1390" s="50">
        <f t="shared" si="181"/>
        <v>-1.5145951499043544E-2</v>
      </c>
      <c r="P1390" s="50">
        <f t="shared" si="176"/>
        <v>-1.5145951499043544E-2</v>
      </c>
      <c r="Q1390" s="51">
        <f t="shared" si="182"/>
        <v>108.46404640365365</v>
      </c>
      <c r="R1390" s="51">
        <f t="shared" si="183"/>
        <v>51.598213990676911</v>
      </c>
    </row>
    <row r="1391" spans="1:18" x14ac:dyDescent="0.15">
      <c r="A1391" s="59">
        <v>42928.75</v>
      </c>
      <c r="B1391">
        <v>17.24963</v>
      </c>
      <c r="C1391">
        <v>138.08961500000001</v>
      </c>
      <c r="D1391">
        <v>44.548324999999998</v>
      </c>
      <c r="E1391">
        <v>50.031502000000003</v>
      </c>
      <c r="F1391">
        <v>1095.339966</v>
      </c>
      <c r="H1391" s="50">
        <f t="shared" si="177"/>
        <v>-1.689797701190298E-2</v>
      </c>
      <c r="I1391" s="50">
        <f t="shared" si="178"/>
        <v>3.9213528916477221E-3</v>
      </c>
      <c r="J1391" s="50">
        <f t="shared" si="179"/>
        <v>1.5031204908182842E-3</v>
      </c>
      <c r="K1391" s="50">
        <f t="shared" si="180"/>
        <v>-1.1778281310826492E-3</v>
      </c>
      <c r="L1391" s="50">
        <f t="shared" si="181"/>
        <v>1.5515581432397389E-4</v>
      </c>
      <c r="P1391" s="50">
        <f t="shared" si="176"/>
        <v>1.5515581432397389E-4</v>
      </c>
      <c r="Q1391" s="51">
        <f t="shared" si="182"/>
        <v>108.4808752310983</v>
      </c>
      <c r="R1391" s="51">
        <f t="shared" si="183"/>
        <v>50.726308556807204</v>
      </c>
    </row>
    <row r="1392" spans="1:18" x14ac:dyDescent="0.15">
      <c r="A1392" s="59">
        <v>42929.75</v>
      </c>
      <c r="B1392">
        <v>17.546123999999999</v>
      </c>
      <c r="C1392">
        <v>137.55023199999999</v>
      </c>
      <c r="D1392">
        <v>44.481464000000003</v>
      </c>
      <c r="E1392">
        <v>50.090499999999999</v>
      </c>
      <c r="F1392">
        <v>1095.170044</v>
      </c>
      <c r="H1392" s="50">
        <f t="shared" si="177"/>
        <v>-3.9309465992877821E-4</v>
      </c>
      <c r="I1392" s="50">
        <f t="shared" si="178"/>
        <v>1.0469674579574042E-3</v>
      </c>
      <c r="J1392" s="50">
        <f t="shared" si="179"/>
        <v>-9.3058045820235726E-3</v>
      </c>
      <c r="K1392" s="50">
        <f t="shared" si="180"/>
        <v>-8.1481725109534605E-3</v>
      </c>
      <c r="L1392" s="50">
        <f t="shared" si="181"/>
        <v>-1.1946738872515546E-3</v>
      </c>
      <c r="P1392" s="50">
        <f t="shared" si="176"/>
        <v>-1.1946738872515546E-3</v>
      </c>
      <c r="Q1392" s="51">
        <f t="shared" si="182"/>
        <v>108.35127596219351</v>
      </c>
      <c r="R1392" s="51">
        <f t="shared" si="183"/>
        <v>50.706368315795622</v>
      </c>
    </row>
    <row r="1393" spans="1:18" x14ac:dyDescent="0.15">
      <c r="A1393" s="59">
        <v>42930.75</v>
      </c>
      <c r="B1393">
        <v>17.553024000000001</v>
      </c>
      <c r="C1393">
        <v>137.406372</v>
      </c>
      <c r="D1393">
        <v>44.899287999999999</v>
      </c>
      <c r="E1393">
        <v>50.501998999999998</v>
      </c>
      <c r="F1393">
        <v>1096.4799800000001</v>
      </c>
      <c r="H1393" s="50">
        <f t="shared" si="177"/>
        <v>2.231422130356338E-3</v>
      </c>
      <c r="I1393" s="50">
        <f t="shared" si="178"/>
        <v>8.8447203443986454E-3</v>
      </c>
      <c r="J1393" s="50">
        <f t="shared" si="179"/>
        <v>0</v>
      </c>
      <c r="K1393" s="50">
        <f t="shared" si="180"/>
        <v>-1.4066103762994754E-2</v>
      </c>
      <c r="L1393" s="50">
        <f t="shared" si="181"/>
        <v>2.9674681514937531E-2</v>
      </c>
      <c r="P1393" s="50">
        <f t="shared" si="176"/>
        <v>2.9674681514937531E-2</v>
      </c>
      <c r="Q1393" s="51">
        <f t="shared" si="182"/>
        <v>111.56656556810871</v>
      </c>
      <c r="R1393" s="51">
        <f t="shared" si="183"/>
        <v>50.819515628205487</v>
      </c>
    </row>
    <row r="1394" spans="1:18" x14ac:dyDescent="0.15">
      <c r="A1394" s="59">
        <v>42931.75</v>
      </c>
      <c r="B1394">
        <v>17.513943000000001</v>
      </c>
      <c r="C1394">
        <v>136.201706</v>
      </c>
      <c r="D1394">
        <v>44.899287999999999</v>
      </c>
      <c r="E1394">
        <v>51.222499999999997</v>
      </c>
      <c r="F1394">
        <v>1064.880005</v>
      </c>
      <c r="H1394" s="50">
        <f t="shared" si="177"/>
        <v>4.3495576781753158E-3</v>
      </c>
      <c r="I1394" s="50">
        <f t="shared" si="178"/>
        <v>1.7193760828564516E-3</v>
      </c>
      <c r="J1394" s="50">
        <f t="shared" si="179"/>
        <v>-6.839181952535218E-3</v>
      </c>
      <c r="K1394" s="50">
        <f t="shared" si="180"/>
        <v>-2.3566372513224589E-3</v>
      </c>
      <c r="L1394" s="50">
        <f t="shared" si="181"/>
        <v>-5.946319719953342E-3</v>
      </c>
      <c r="P1394" s="50">
        <f t="shared" si="176"/>
        <v>-5.946319719953342E-3</v>
      </c>
      <c r="Q1394" s="51">
        <f t="shared" si="182"/>
        <v>110.90315509918361</v>
      </c>
      <c r="R1394" s="51">
        <f t="shared" si="183"/>
        <v>51.040558042607302</v>
      </c>
    </row>
    <row r="1395" spans="1:18" x14ac:dyDescent="0.15">
      <c r="A1395" s="59">
        <v>42934.75</v>
      </c>
      <c r="B1395">
        <v>17.438095000000001</v>
      </c>
      <c r="C1395">
        <v>135.96792600000001</v>
      </c>
      <c r="D1395">
        <v>45.208477000000002</v>
      </c>
      <c r="E1395">
        <v>51.343497999999997</v>
      </c>
      <c r="F1395">
        <v>1071.25</v>
      </c>
      <c r="H1395" s="50">
        <f t="shared" si="177"/>
        <v>-1.9732069211103541E-3</v>
      </c>
      <c r="I1395" s="50">
        <f t="shared" si="178"/>
        <v>1.6557887217068135E-3</v>
      </c>
      <c r="J1395" s="50">
        <f t="shared" si="179"/>
        <v>-8.7943795147445575E-3</v>
      </c>
      <c r="K1395" s="50">
        <f t="shared" si="180"/>
        <v>-1.7790025900845806E-3</v>
      </c>
      <c r="L1395" s="50">
        <f t="shared" si="181"/>
        <v>-1.1287684337277804E-2</v>
      </c>
      <c r="P1395" s="50">
        <f t="shared" si="176"/>
        <v>-1.1287684337277804E-2</v>
      </c>
      <c r="Q1395" s="51">
        <f t="shared" si="182"/>
        <v>109.65131529241586</v>
      </c>
      <c r="R1395" s="51">
        <f t="shared" si="183"/>
        <v>50.939844460220293</v>
      </c>
    </row>
    <row r="1396" spans="1:18" x14ac:dyDescent="0.15">
      <c r="A1396" s="59">
        <v>42935.75</v>
      </c>
      <c r="B1396">
        <v>17.472572</v>
      </c>
      <c r="C1396">
        <v>135.74316400000001</v>
      </c>
      <c r="D1396">
        <v>45.609585000000003</v>
      </c>
      <c r="E1396">
        <v>51.435001</v>
      </c>
      <c r="F1396">
        <v>1083.4799800000001</v>
      </c>
      <c r="H1396" s="50">
        <f t="shared" si="177"/>
        <v>-1.7071323324945231E-3</v>
      </c>
      <c r="I1396" s="50">
        <f t="shared" si="178"/>
        <v>3.6557088955819291E-3</v>
      </c>
      <c r="J1396" s="50">
        <f t="shared" si="179"/>
        <v>-4.7412585221304421E-3</v>
      </c>
      <c r="K1396" s="50">
        <f t="shared" si="180"/>
        <v>2.9541664871904636E-3</v>
      </c>
      <c r="L1396" s="50">
        <f t="shared" si="181"/>
        <v>1.2986297966075033E-2</v>
      </c>
      <c r="P1396" s="50">
        <f t="shared" si="176"/>
        <v>1.2986297966075033E-2</v>
      </c>
      <c r="Q1396" s="51">
        <f t="shared" si="182"/>
        <v>111.07527994517521</v>
      </c>
      <c r="R1396" s="51">
        <f t="shared" si="183"/>
        <v>50.852883404730008</v>
      </c>
    </row>
    <row r="1397" spans="1:18" x14ac:dyDescent="0.15">
      <c r="A1397" s="59">
        <v>42936.75</v>
      </c>
      <c r="B1397">
        <v>17.502451000000001</v>
      </c>
      <c r="C1397">
        <v>135.24873400000001</v>
      </c>
      <c r="D1397">
        <v>45.826861999999998</v>
      </c>
      <c r="E1397">
        <v>51.283501000000001</v>
      </c>
      <c r="F1397">
        <v>1069.589966</v>
      </c>
      <c r="H1397" s="50">
        <f t="shared" si="177"/>
        <v>-9.6243114387027599E-3</v>
      </c>
      <c r="I1397" s="50">
        <f t="shared" si="178"/>
        <v>-3.7083537630279218E-3</v>
      </c>
      <c r="J1397" s="50">
        <f t="shared" si="179"/>
        <v>1.4616324228843736E-2</v>
      </c>
      <c r="K1397" s="50">
        <f t="shared" si="180"/>
        <v>-1.2782078551694673E-2</v>
      </c>
      <c r="L1397" s="50">
        <f t="shared" si="181"/>
        <v>-2.2017680864631926E-2</v>
      </c>
      <c r="P1397" s="50">
        <f t="shared" si="176"/>
        <v>-2.2017680864631926E-2</v>
      </c>
      <c r="Q1397" s="51">
        <f t="shared" si="182"/>
        <v>108.62965987939269</v>
      </c>
      <c r="R1397" s="51">
        <f t="shared" si="183"/>
        <v>50.363459417286847</v>
      </c>
    </row>
    <row r="1398" spans="1:18" x14ac:dyDescent="0.15">
      <c r="A1398" s="59">
        <v>42937.75</v>
      </c>
      <c r="B1398">
        <v>17.672536999999998</v>
      </c>
      <c r="C1398">
        <v>135.752151</v>
      </c>
      <c r="D1398">
        <v>45.166691</v>
      </c>
      <c r="E1398">
        <v>51.947498000000003</v>
      </c>
      <c r="F1398">
        <v>1093.670044</v>
      </c>
      <c r="H1398" s="50">
        <f t="shared" si="177"/>
        <v>-2.0758979603348538E-2</v>
      </c>
      <c r="I1398" s="50">
        <f t="shared" si="178"/>
        <v>-1.4167313221053069E-2</v>
      </c>
      <c r="J1398" s="50">
        <f t="shared" si="179"/>
        <v>-1.9056287337964318E-2</v>
      </c>
      <c r="K1398" s="50">
        <f t="shared" si="180"/>
        <v>-8.8476444170895068E-4</v>
      </c>
      <c r="L1398" s="50">
        <f t="shared" si="181"/>
        <v>-8.1530024874376054E-3</v>
      </c>
      <c r="P1398" s="50">
        <f t="shared" si="176"/>
        <v>-8.1530024874376054E-3</v>
      </c>
      <c r="Q1398" s="51">
        <f t="shared" si="182"/>
        <v>107.74400199218651</v>
      </c>
      <c r="R1398" s="51">
        <f t="shared" si="183"/>
        <v>49.31796539048932</v>
      </c>
    </row>
    <row r="1399" spans="1:18" x14ac:dyDescent="0.15">
      <c r="A1399" s="59">
        <v>42938.75</v>
      </c>
      <c r="B1399">
        <v>18.047177999999999</v>
      </c>
      <c r="C1399">
        <v>137.703033</v>
      </c>
      <c r="D1399">
        <v>46.044120999999997</v>
      </c>
      <c r="E1399">
        <v>51.993499999999997</v>
      </c>
      <c r="F1399">
        <v>1102.660034</v>
      </c>
      <c r="H1399" s="50">
        <f t="shared" si="177"/>
        <v>-4.8160099575869815E-3</v>
      </c>
      <c r="I1399" s="50">
        <f t="shared" si="178"/>
        <v>7.1007522942741633E-3</v>
      </c>
      <c r="J1399" s="50">
        <f t="shared" si="179"/>
        <v>2.5471214307514374E-3</v>
      </c>
      <c r="K1399" s="50">
        <f t="shared" si="180"/>
        <v>-1.2281516190758394E-2</v>
      </c>
      <c r="L1399" s="50">
        <f t="shared" si="181"/>
        <v>-1.1076112222526118E-2</v>
      </c>
      <c r="P1399" s="50">
        <f t="shared" si="176"/>
        <v>-1.1076112222526118E-2</v>
      </c>
      <c r="Q1399" s="51">
        <f t="shared" si="182"/>
        <v>106.55061733481698</v>
      </c>
      <c r="R1399" s="51">
        <f t="shared" si="183"/>
        <v>49.080449578080788</v>
      </c>
    </row>
    <row r="1400" spans="1:18" x14ac:dyDescent="0.15">
      <c r="A1400" s="59">
        <v>42941.75</v>
      </c>
      <c r="B1400">
        <v>18.134513999999999</v>
      </c>
      <c r="C1400">
        <v>136.73213200000001</v>
      </c>
      <c r="D1400">
        <v>45.927138999999997</v>
      </c>
      <c r="E1400">
        <v>52.639999000000003</v>
      </c>
      <c r="F1400">
        <v>1115.01001</v>
      </c>
      <c r="H1400" s="50">
        <f t="shared" si="177"/>
        <v>-1.1030671086708136E-2</v>
      </c>
      <c r="I1400" s="50">
        <f t="shared" si="178"/>
        <v>-2.8194324934268807E-3</v>
      </c>
      <c r="J1400" s="50">
        <f t="shared" si="179"/>
        <v>-1.9446925929406906E-2</v>
      </c>
      <c r="K1400" s="50">
        <f t="shared" si="180"/>
        <v>6.5009561472458809E-3</v>
      </c>
      <c r="L1400" s="50">
        <f t="shared" si="181"/>
        <v>1.0504597031131865E-3</v>
      </c>
      <c r="P1400" s="50">
        <f t="shared" si="176"/>
        <v>1.0504597031131865E-3</v>
      </c>
      <c r="Q1400" s="51">
        <f t="shared" si="182"/>
        <v>106.66254446466903</v>
      </c>
      <c r="R1400" s="51">
        <f t="shared" si="183"/>
        <v>48.539059281997211</v>
      </c>
    </row>
    <row r="1401" spans="1:18" x14ac:dyDescent="0.15">
      <c r="A1401" s="59">
        <v>42942.75</v>
      </c>
      <c r="B1401">
        <v>18.336780999999998</v>
      </c>
      <c r="C1401">
        <v>137.118729</v>
      </c>
      <c r="D1401">
        <v>46.837994000000002</v>
      </c>
      <c r="E1401">
        <v>52.299999</v>
      </c>
      <c r="F1401">
        <v>1113.839966</v>
      </c>
      <c r="H1401" s="50">
        <f t="shared" si="177"/>
        <v>-3.7587885874129569E-4</v>
      </c>
      <c r="I1401" s="50">
        <f t="shared" si="178"/>
        <v>-2.4199543176566338E-3</v>
      </c>
      <c r="J1401" s="50">
        <f t="shared" si="179"/>
        <v>-1.0691832725410661E-3</v>
      </c>
      <c r="K1401" s="50">
        <f t="shared" si="180"/>
        <v>2.5449982852632929E-2</v>
      </c>
      <c r="L1401" s="50">
        <f t="shared" si="181"/>
        <v>6.9702123305117481E-3</v>
      </c>
      <c r="P1401" s="50">
        <f t="shared" si="176"/>
        <v>6.9702123305117481E-3</v>
      </c>
      <c r="Q1401" s="51">
        <f t="shared" si="182"/>
        <v>107.40600504730043</v>
      </c>
      <c r="R1401" s="51">
        <f t="shared" si="183"/>
        <v>48.520814475789919</v>
      </c>
    </row>
    <row r="1402" spans="1:18" x14ac:dyDescent="0.15">
      <c r="A1402" s="59">
        <v>42943.75</v>
      </c>
      <c r="B1402">
        <v>18.343675999999999</v>
      </c>
      <c r="C1402">
        <v>137.45135500000001</v>
      </c>
      <c r="D1402">
        <v>46.888126</v>
      </c>
      <c r="E1402">
        <v>51.001998999999998</v>
      </c>
      <c r="F1402">
        <v>1106.130005</v>
      </c>
      <c r="H1402" s="50">
        <f t="shared" si="177"/>
        <v>-2.2503068798081258E-3</v>
      </c>
      <c r="I1402" s="50">
        <f t="shared" si="178"/>
        <v>-3.5454910452748206E-2</v>
      </c>
      <c r="J1402" s="50">
        <f t="shared" si="179"/>
        <v>-9.8816660997912021E-3</v>
      </c>
      <c r="K1402" s="50">
        <f t="shared" si="180"/>
        <v>3.2659073882848305E-2</v>
      </c>
      <c r="L1402" s="50">
        <f t="shared" si="181"/>
        <v>4.1759878341001352E-3</v>
      </c>
      <c r="P1402" s="50">
        <f t="shared" si="176"/>
        <v>4.1759878341001352E-3</v>
      </c>
      <c r="Q1402" s="51">
        <f t="shared" si="182"/>
        <v>107.85453121768725</v>
      </c>
      <c r="R1402" s="51">
        <f t="shared" si="183"/>
        <v>48.411627753161156</v>
      </c>
    </row>
    <row r="1403" spans="1:18" x14ac:dyDescent="0.15">
      <c r="A1403" s="59">
        <v>42944.75</v>
      </c>
      <c r="B1403">
        <v>18.385048000000001</v>
      </c>
      <c r="C1403">
        <v>142.503815</v>
      </c>
      <c r="D1403">
        <v>47.356082999999998</v>
      </c>
      <c r="E1403">
        <v>49.389000000000003</v>
      </c>
      <c r="F1403">
        <v>1101.530029</v>
      </c>
      <c r="H1403" s="50">
        <f t="shared" si="177"/>
        <v>-6.3352247054738325E-3</v>
      </c>
      <c r="I1403" s="50">
        <f t="shared" si="178"/>
        <v>-7.575644354829731E-3</v>
      </c>
      <c r="J1403" s="50">
        <f t="shared" si="179"/>
        <v>-3.3416702336208546E-3</v>
      </c>
      <c r="K1403" s="50">
        <f t="shared" si="180"/>
        <v>-8.44220446130939E-3</v>
      </c>
      <c r="L1403" s="50">
        <f t="shared" si="181"/>
        <v>-6.3495825638939976E-5</v>
      </c>
      <c r="P1403" s="50">
        <f t="shared" si="176"/>
        <v>-6.3495825638939976E-5</v>
      </c>
      <c r="Q1403" s="51">
        <f t="shared" si="182"/>
        <v>107.84768290517869</v>
      </c>
      <c r="R1403" s="51">
        <f t="shared" si="183"/>
        <v>48.104929212987123</v>
      </c>
    </row>
    <row r="1404" spans="1:18" x14ac:dyDescent="0.15">
      <c r="A1404" s="59">
        <v>42945.75</v>
      </c>
      <c r="B1404">
        <v>18.502264</v>
      </c>
      <c r="C1404">
        <v>143.59161399999999</v>
      </c>
      <c r="D1404">
        <v>47.514862000000001</v>
      </c>
      <c r="E1404">
        <v>49.809502000000002</v>
      </c>
      <c r="F1404">
        <v>1101.599976</v>
      </c>
      <c r="H1404" s="50">
        <f t="shared" si="177"/>
        <v>-3.7262629030017076E-4</v>
      </c>
      <c r="I1404" s="50">
        <f t="shared" si="178"/>
        <v>-9.6726766700395254E-3</v>
      </c>
      <c r="J1404" s="50">
        <f t="shared" si="179"/>
        <v>1.0563002313823463E-3</v>
      </c>
      <c r="K1404" s="50">
        <f t="shared" si="180"/>
        <v>3.0131843080343298E-4</v>
      </c>
      <c r="L1404" s="50">
        <f t="shared" si="181"/>
        <v>-2.1547980497770406E-2</v>
      </c>
      <c r="P1404" s="50">
        <f t="shared" si="176"/>
        <v>-2.1547980497770406E-2</v>
      </c>
      <c r="Q1404" s="51">
        <f t="shared" si="182"/>
        <v>105.52378313720817</v>
      </c>
      <c r="R1404" s="51">
        <f t="shared" si="183"/>
        <v>48.087004051669332</v>
      </c>
    </row>
    <row r="1405" spans="1:18" x14ac:dyDescent="0.15">
      <c r="A1405" s="59">
        <v>42948.75</v>
      </c>
      <c r="B1405">
        <v>18.509160999999999</v>
      </c>
      <c r="C1405">
        <v>144.99409499999999</v>
      </c>
      <c r="D1405">
        <v>47.464725000000001</v>
      </c>
      <c r="E1405">
        <v>49.794497999999997</v>
      </c>
      <c r="F1405">
        <v>1125.8599850000001</v>
      </c>
      <c r="H1405" s="50">
        <f t="shared" si="177"/>
        <v>-4.2044812183968314E-3</v>
      </c>
      <c r="I1405" s="50">
        <f t="shared" si="178"/>
        <v>2.1340892484158235E-2</v>
      </c>
      <c r="J1405" s="50">
        <f t="shared" si="179"/>
        <v>-4.2076326285527535E-3</v>
      </c>
      <c r="K1405" s="50">
        <f t="shared" si="180"/>
        <v>9.0888216048144645E-3</v>
      </c>
      <c r="L1405" s="50">
        <f t="shared" si="181"/>
        <v>4.8194707423374235E-3</v>
      </c>
      <c r="P1405" s="50">
        <f t="shared" si="176"/>
        <v>4.8194707423374235E-3</v>
      </c>
      <c r="Q1405" s="51">
        <f t="shared" si="182"/>
        <v>106.03235192265871</v>
      </c>
      <c r="R1405" s="51">
        <f t="shared" si="183"/>
        <v>47.884823146285122</v>
      </c>
    </row>
    <row r="1406" spans="1:18" x14ac:dyDescent="0.15">
      <c r="A1406" s="59">
        <v>42949.75</v>
      </c>
      <c r="B1406">
        <v>18.587311</v>
      </c>
      <c r="C1406">
        <v>141.96444700000001</v>
      </c>
      <c r="D1406">
        <v>47.665283000000002</v>
      </c>
      <c r="E1406">
        <v>49.346001000000001</v>
      </c>
      <c r="F1406">
        <v>1120.459961</v>
      </c>
      <c r="H1406" s="50">
        <f t="shared" si="177"/>
        <v>4.8463414166057357E-3</v>
      </c>
      <c r="I1406" s="50">
        <f t="shared" si="178"/>
        <v>9.3965934984423984E-3</v>
      </c>
      <c r="J1406" s="50">
        <f t="shared" si="179"/>
        <v>-9.3780880763538951E-3</v>
      </c>
      <c r="K1406" s="50">
        <f t="shared" si="180"/>
        <v>-6.6832051405167582E-4</v>
      </c>
      <c r="L1406" s="50">
        <f t="shared" si="181"/>
        <v>-6.0147165289975322E-3</v>
      </c>
      <c r="P1406" s="50">
        <f t="shared" si="176"/>
        <v>-6.0147165289975322E-3</v>
      </c>
      <c r="Q1406" s="51">
        <f t="shared" si="182"/>
        <v>105.394597382941</v>
      </c>
      <c r="R1406" s="51">
        <f t="shared" si="183"/>
        <v>48.116889347925806</v>
      </c>
    </row>
    <row r="1407" spans="1:18" x14ac:dyDescent="0.15">
      <c r="A1407" s="59">
        <v>42950.75</v>
      </c>
      <c r="B1407">
        <v>18.497665000000001</v>
      </c>
      <c r="C1407">
        <v>140.64288300000001</v>
      </c>
      <c r="D1407">
        <v>48.116523999999998</v>
      </c>
      <c r="E1407">
        <v>49.379002</v>
      </c>
      <c r="F1407">
        <v>1127.23999</v>
      </c>
      <c r="H1407" s="50">
        <f t="shared" si="177"/>
        <v>-9.8426569842390375E-3</v>
      </c>
      <c r="I1407" s="50">
        <f t="shared" si="178"/>
        <v>-3.2490904728086877E-3</v>
      </c>
      <c r="J1407" s="50">
        <f t="shared" si="179"/>
        <v>-5.1831387118441014E-3</v>
      </c>
      <c r="K1407" s="50">
        <f t="shared" si="180"/>
        <v>-4.7264757520931455E-3</v>
      </c>
      <c r="L1407" s="50">
        <f t="shared" si="181"/>
        <v>1.2701352138124076E-3</v>
      </c>
      <c r="P1407" s="50">
        <f t="shared" si="176"/>
        <v>1.2701352138124076E-3</v>
      </c>
      <c r="Q1407" s="51">
        <f t="shared" si="182"/>
        <v>105.52846277242266</v>
      </c>
      <c r="R1407" s="51">
        <f t="shared" si="183"/>
        <v>47.643291310925591</v>
      </c>
    </row>
    <row r="1408" spans="1:18" x14ac:dyDescent="0.15">
      <c r="A1408" s="59">
        <v>42951.75</v>
      </c>
      <c r="B1408">
        <v>18.681540999999999</v>
      </c>
      <c r="C1408">
        <v>141.10133400000001</v>
      </c>
      <c r="D1408">
        <v>48.367218000000001</v>
      </c>
      <c r="E1408">
        <v>49.613498999999997</v>
      </c>
      <c r="F1408">
        <v>1125.8100589999999</v>
      </c>
      <c r="H1408" s="50">
        <f t="shared" si="177"/>
        <v>-3.7994875643051007E-3</v>
      </c>
      <c r="I1408" s="50">
        <f t="shared" si="178"/>
        <v>-5.0713592952536454E-3</v>
      </c>
      <c r="J1408" s="50">
        <f t="shared" si="179"/>
        <v>-1.4640910991103793E-2</v>
      </c>
      <c r="K1408" s="50">
        <f t="shared" si="180"/>
        <v>2.4549017527094011E-3</v>
      </c>
      <c r="L1408" s="50">
        <f t="shared" si="181"/>
        <v>3.7178095861709801E-3</v>
      </c>
      <c r="P1408" s="50">
        <f t="shared" si="176"/>
        <v>3.7178095861709801E-3</v>
      </c>
      <c r="Q1408" s="51">
        <f t="shared" si="182"/>
        <v>105.92079750293186</v>
      </c>
      <c r="R1408" s="51">
        <f t="shared" si="183"/>
        <v>47.462271218067158</v>
      </c>
    </row>
    <row r="1409" spans="1:18" x14ac:dyDescent="0.15">
      <c r="A1409" s="59">
        <v>42952.75</v>
      </c>
      <c r="B1409">
        <v>18.752791999999999</v>
      </c>
      <c r="C1409">
        <v>141.82055700000001</v>
      </c>
      <c r="D1409">
        <v>49.085880000000003</v>
      </c>
      <c r="E1409">
        <v>49.492001000000002</v>
      </c>
      <c r="F1409">
        <v>1121.6400149999999</v>
      </c>
      <c r="H1409" s="50">
        <f t="shared" si="177"/>
        <v>-1.899292200224546E-2</v>
      </c>
      <c r="I1409" s="50">
        <f t="shared" si="178"/>
        <v>5.6737162377596059E-3</v>
      </c>
      <c r="J1409" s="50">
        <f t="shared" si="179"/>
        <v>1.5033622269634922E-2</v>
      </c>
      <c r="K1409" s="50">
        <f t="shared" si="180"/>
        <v>7.9735036495963887E-3</v>
      </c>
      <c r="L1409" s="50">
        <f t="shared" si="181"/>
        <v>-5.4531639643254828E-3</v>
      </c>
      <c r="P1409" s="50">
        <f t="shared" ref="P1409:P1472" si="184">(F1409-F1410)/F1410</f>
        <v>-5.4531639643254828E-3</v>
      </c>
      <c r="Q1409" s="51">
        <f t="shared" si="182"/>
        <v>105.34319402691625</v>
      </c>
      <c r="R1409" s="51">
        <f t="shared" si="183"/>
        <v>46.560824002772989</v>
      </c>
    </row>
    <row r="1410" spans="1:18" x14ac:dyDescent="0.15">
      <c r="A1410" s="59">
        <v>42955.75</v>
      </c>
      <c r="B1410">
        <v>19.115857999999999</v>
      </c>
      <c r="C1410">
        <v>141.02044699999999</v>
      </c>
      <c r="D1410">
        <v>48.358871000000001</v>
      </c>
      <c r="E1410">
        <v>49.100498000000002</v>
      </c>
      <c r="F1410">
        <v>1127.790039</v>
      </c>
      <c r="H1410" s="50">
        <f t="shared" ref="H1410:H1473" si="185">(B1410-B1411)/B1411</f>
        <v>1.1777964216266182E-2</v>
      </c>
      <c r="I1410" s="50">
        <f t="shared" ref="I1410:I1473" si="186">(C1410-C1411)/C1411</f>
        <v>1.4042765110308132E-3</v>
      </c>
      <c r="J1410" s="50">
        <f t="shared" ref="J1410:J1473" si="187">(D1410-D1411)/D1411</f>
        <v>4.0079303381805702E-2</v>
      </c>
      <c r="K1410" s="50">
        <f t="shared" ref="K1410:K1473" si="188">(E1410-E1411)/E1411</f>
        <v>2.6219474434237475E-2</v>
      </c>
      <c r="L1410" s="50">
        <f t="shared" ref="L1410:L1473" si="189">(F1410-F1411)/F1411</f>
        <v>6.0032287708147395E-3</v>
      </c>
      <c r="P1410" s="50">
        <f t="shared" si="184"/>
        <v>6.0032287708147395E-3</v>
      </c>
      <c r="Q1410" s="51">
        <f t="shared" si="182"/>
        <v>105.97559332010815</v>
      </c>
      <c r="R1410" s="51">
        <f t="shared" si="183"/>
        <v>47.109215721757515</v>
      </c>
    </row>
    <row r="1411" spans="1:18" x14ac:dyDescent="0.15">
      <c r="A1411" s="59">
        <v>42956.75</v>
      </c>
      <c r="B1411">
        <v>18.893332999999998</v>
      </c>
      <c r="C1411">
        <v>140.82269299999999</v>
      </c>
      <c r="D1411">
        <v>46.495368999999997</v>
      </c>
      <c r="E1411">
        <v>47.846001000000001</v>
      </c>
      <c r="F1411">
        <v>1121.0600589999999</v>
      </c>
      <c r="H1411" s="50">
        <f t="shared" si="185"/>
        <v>3.2342623551805528E-3</v>
      </c>
      <c r="I1411" s="50">
        <f t="shared" si="186"/>
        <v>-6.3707263561784774E-5</v>
      </c>
      <c r="J1411" s="50">
        <f t="shared" si="187"/>
        <v>-1.7996402783797396E-4</v>
      </c>
      <c r="K1411" s="50">
        <f t="shared" si="188"/>
        <v>-1.1436088743227093E-2</v>
      </c>
      <c r="L1411" s="50">
        <f t="shared" si="189"/>
        <v>2.8995831772218643E-2</v>
      </c>
      <c r="P1411" s="50">
        <f t="shared" si="184"/>
        <v>2.8995831772218643E-2</v>
      </c>
      <c r="Q1411" s="51">
        <f t="shared" ref="Q1411:Q1474" si="190">Q1410*(1+P1411)</f>
        <v>109.04844379597905</v>
      </c>
      <c r="R1411" s="51">
        <f t="shared" ref="R1411:R1474" si="191">R1410*(1+H1411)</f>
        <v>47.261579284748478</v>
      </c>
    </row>
    <row r="1412" spans="1:18" x14ac:dyDescent="0.15">
      <c r="A1412" s="59">
        <v>42957.75</v>
      </c>
      <c r="B1412">
        <v>18.832424</v>
      </c>
      <c r="C1412">
        <v>140.83166499999999</v>
      </c>
      <c r="D1412">
        <v>46.503737999999998</v>
      </c>
      <c r="E1412">
        <v>48.399501999999998</v>
      </c>
      <c r="F1412">
        <v>1089.469971</v>
      </c>
      <c r="H1412" s="50">
        <f t="shared" si="185"/>
        <v>-3.7177757674829409E-3</v>
      </c>
      <c r="I1412" s="50">
        <f t="shared" si="186"/>
        <v>-7.9793358403320528E-3</v>
      </c>
      <c r="J1412" s="50">
        <f t="shared" si="187"/>
        <v>-1.3622350004540229E-2</v>
      </c>
      <c r="K1412" s="50">
        <f t="shared" si="188"/>
        <v>-1.5569998666327666E-2</v>
      </c>
      <c r="L1412" s="50">
        <f t="shared" si="189"/>
        <v>5.4078368426993912E-3</v>
      </c>
      <c r="P1412" s="50">
        <f t="shared" si="184"/>
        <v>5.4078368426993912E-3</v>
      </c>
      <c r="Q1412" s="51">
        <f t="shared" si="190"/>
        <v>109.63815998797797</v>
      </c>
      <c r="R1412" s="51">
        <f t="shared" si="191"/>
        <v>47.085871330550667</v>
      </c>
    </row>
    <row r="1413" spans="1:18" x14ac:dyDescent="0.15">
      <c r="A1413" s="59">
        <v>42958.75</v>
      </c>
      <c r="B1413">
        <v>18.902699999999999</v>
      </c>
      <c r="C1413">
        <v>141.96444700000001</v>
      </c>
      <c r="D1413">
        <v>47.145977000000002</v>
      </c>
      <c r="E1413">
        <v>49.165000999999997</v>
      </c>
      <c r="F1413">
        <v>1083.6099850000001</v>
      </c>
      <c r="H1413" s="50">
        <f t="shared" si="185"/>
        <v>-8.6674322422783336E-4</v>
      </c>
      <c r="I1413" s="50">
        <f t="shared" si="186"/>
        <v>6.5656569917888373E-3</v>
      </c>
      <c r="J1413" s="50">
        <f t="shared" si="187"/>
        <v>2.6494930043136813E-2</v>
      </c>
      <c r="K1413" s="50">
        <f t="shared" si="188"/>
        <v>5.6983534668708603E-4</v>
      </c>
      <c r="L1413" s="50">
        <f t="shared" si="189"/>
        <v>4.0398285846653245E-3</v>
      </c>
      <c r="P1413" s="50">
        <f t="shared" si="184"/>
        <v>4.0398285846653245E-3</v>
      </c>
      <c r="Q1413" s="51">
        <f t="shared" si="190"/>
        <v>110.0810793606675</v>
      </c>
      <c r="R1413" s="51">
        <f t="shared" si="191"/>
        <v>47.045059970618048</v>
      </c>
    </row>
    <row r="1414" spans="1:18" x14ac:dyDescent="0.15">
      <c r="A1414" s="59">
        <v>42959.75</v>
      </c>
      <c r="B1414">
        <v>18.919098000000002</v>
      </c>
      <c r="C1414">
        <v>141.03843699999999</v>
      </c>
      <c r="D1414">
        <v>45.929088999999998</v>
      </c>
      <c r="E1414">
        <v>49.137000999999998</v>
      </c>
      <c r="F1414">
        <v>1079.25</v>
      </c>
      <c r="H1414" s="50">
        <f t="shared" si="185"/>
        <v>-2.5934860133954049E-3</v>
      </c>
      <c r="I1414" s="50">
        <f t="shared" si="186"/>
        <v>-2.1156482425209171E-2</v>
      </c>
      <c r="J1414" s="50">
        <f t="shared" si="187"/>
        <v>-3.480726769868752E-2</v>
      </c>
      <c r="K1414" s="50">
        <f t="shared" si="188"/>
        <v>4.6617391482140103E-3</v>
      </c>
      <c r="L1414" s="50">
        <f t="shared" si="189"/>
        <v>-1.2044414330241631E-4</v>
      </c>
      <c r="P1414" s="50">
        <f t="shared" si="184"/>
        <v>-1.2044414330241631E-4</v>
      </c>
      <c r="Q1414" s="51">
        <f t="shared" si="190"/>
        <v>110.06782073937011</v>
      </c>
      <c r="R1414" s="51">
        <f t="shared" si="191"/>
        <v>46.923049265584901</v>
      </c>
    </row>
    <row r="1415" spans="1:18" x14ac:dyDescent="0.15">
      <c r="A1415" s="59">
        <v>42962.75</v>
      </c>
      <c r="B1415">
        <v>18.968292000000002</v>
      </c>
      <c r="C1415">
        <v>144.08680699999999</v>
      </c>
      <c r="D1415">
        <v>47.585406999999996</v>
      </c>
      <c r="E1415">
        <v>48.908999999999999</v>
      </c>
      <c r="F1415">
        <v>1079.380005</v>
      </c>
      <c r="H1415" s="50">
        <f t="shared" si="185"/>
        <v>1.6060450166558979E-2</v>
      </c>
      <c r="I1415" s="50">
        <f t="shared" si="186"/>
        <v>7.504582607731812E-3</v>
      </c>
      <c r="J1415" s="50">
        <f t="shared" si="187"/>
        <v>3.3856516931430581E-3</v>
      </c>
      <c r="K1415" s="50">
        <f t="shared" si="188"/>
        <v>1.8332864861488447E-2</v>
      </c>
      <c r="L1415" s="50">
        <f t="shared" si="189"/>
        <v>-1.2045356261767169E-2</v>
      </c>
      <c r="P1415" s="50">
        <f t="shared" si="184"/>
        <v>-1.2045356261767169E-2</v>
      </c>
      <c r="Q1415" s="51">
        <f t="shared" si="190"/>
        <v>108.74201462560806</v>
      </c>
      <c r="R1415" s="51">
        <f t="shared" si="191"/>
        <v>47.676654559977813</v>
      </c>
    </row>
    <row r="1416" spans="1:18" x14ac:dyDescent="0.15">
      <c r="A1416" s="59">
        <v>42963.75</v>
      </c>
      <c r="B1416">
        <v>18.668468000000001</v>
      </c>
      <c r="C1416">
        <v>143.01355000000001</v>
      </c>
      <c r="D1416">
        <v>47.424843000000003</v>
      </c>
      <c r="E1416">
        <v>48.028500000000001</v>
      </c>
      <c r="F1416">
        <v>1092.540039</v>
      </c>
      <c r="H1416" s="50">
        <f t="shared" si="185"/>
        <v>4.9172315192021147E-3</v>
      </c>
      <c r="I1416" s="50">
        <f t="shared" si="186"/>
        <v>9.4855189928741007E-3</v>
      </c>
      <c r="J1416" s="50">
        <f t="shared" si="187"/>
        <v>8.4454744006890268E-3</v>
      </c>
      <c r="K1416" s="50">
        <f t="shared" si="188"/>
        <v>2.1909918933300777E-3</v>
      </c>
      <c r="L1416" s="50">
        <f t="shared" si="189"/>
        <v>-1.480583232489021E-3</v>
      </c>
      <c r="P1416" s="50">
        <f t="shared" si="184"/>
        <v>-1.480583232489021E-3</v>
      </c>
      <c r="Q1416" s="51">
        <f t="shared" si="190"/>
        <v>108.58101302208631</v>
      </c>
      <c r="R1416" s="51">
        <f t="shared" si="191"/>
        <v>47.911091708510249</v>
      </c>
    </row>
    <row r="1417" spans="1:18" x14ac:dyDescent="0.15">
      <c r="A1417" s="59">
        <v>42964.75</v>
      </c>
      <c r="B1417">
        <v>18.577120000000001</v>
      </c>
      <c r="C1417">
        <v>141.66973899999999</v>
      </c>
      <c r="D1417">
        <v>47.027672000000003</v>
      </c>
      <c r="E1417">
        <v>47.923499999999997</v>
      </c>
      <c r="F1417">
        <v>1094.160034</v>
      </c>
      <c r="H1417" s="50">
        <f t="shared" si="185"/>
        <v>-5.018153199863244E-3</v>
      </c>
      <c r="I1417" s="50">
        <f t="shared" si="186"/>
        <v>6.376503587373112E-5</v>
      </c>
      <c r="J1417" s="50">
        <f t="shared" si="187"/>
        <v>-1.6089006864557203E-2</v>
      </c>
      <c r="K1417" s="50">
        <f t="shared" si="188"/>
        <v>5.4337923311102276E-3</v>
      </c>
      <c r="L1417" s="50">
        <f t="shared" si="189"/>
        <v>1.7227140293469233E-2</v>
      </c>
      <c r="P1417" s="50">
        <f t="shared" si="184"/>
        <v>1.7227140293469233E-2</v>
      </c>
      <c r="Q1417" s="51">
        <f t="shared" si="190"/>
        <v>110.45155336662479</v>
      </c>
      <c r="R1417" s="51">
        <f t="shared" si="191"/>
        <v>47.670666510344248</v>
      </c>
    </row>
    <row r="1418" spans="1:18" x14ac:dyDescent="0.15">
      <c r="A1418" s="59">
        <v>42965.75</v>
      </c>
      <c r="B1418">
        <v>18.670812999999999</v>
      </c>
      <c r="C1418">
        <v>141.660706</v>
      </c>
      <c r="D1418">
        <v>47.796672999999998</v>
      </c>
      <c r="E1418">
        <v>47.664501000000001</v>
      </c>
      <c r="F1418">
        <v>1075.630005</v>
      </c>
      <c r="H1418" s="50">
        <f t="shared" si="185"/>
        <v>-3.8741047728359126E-3</v>
      </c>
      <c r="I1418" s="50">
        <f t="shared" si="186"/>
        <v>-1.0271079713135581E-2</v>
      </c>
      <c r="J1418" s="50">
        <f t="shared" si="187"/>
        <v>3.5360147550283941E-4</v>
      </c>
      <c r="K1418" s="50">
        <f t="shared" si="188"/>
        <v>-1.4075912419569545E-2</v>
      </c>
      <c r="L1418" s="50">
        <f t="shared" si="189"/>
        <v>3.6764962040451705E-3</v>
      </c>
      <c r="P1418" s="50">
        <f t="shared" si="184"/>
        <v>3.6764962040451705E-3</v>
      </c>
      <c r="Q1418" s="51">
        <f t="shared" si="190"/>
        <v>110.85762808330809</v>
      </c>
      <c r="R1418" s="51">
        <f t="shared" si="191"/>
        <v>47.485985353692257</v>
      </c>
    </row>
    <row r="1419" spans="1:18" x14ac:dyDescent="0.15">
      <c r="A1419" s="59">
        <v>42966.75</v>
      </c>
      <c r="B1419">
        <v>18.743427000000001</v>
      </c>
      <c r="C1419">
        <v>143.13081399999999</v>
      </c>
      <c r="D1419">
        <v>47.779778</v>
      </c>
      <c r="E1419">
        <v>48.345001000000003</v>
      </c>
      <c r="F1419">
        <v>1071.6899410000001</v>
      </c>
      <c r="H1419" s="50">
        <f t="shared" si="185"/>
        <v>7.5053245250646962E-4</v>
      </c>
      <c r="I1419" s="50">
        <f t="shared" si="186"/>
        <v>-4.2037903546503505E-3</v>
      </c>
      <c r="J1419" s="50">
        <f t="shared" si="187"/>
        <v>1.4169969632485777E-3</v>
      </c>
      <c r="K1419" s="50">
        <f t="shared" si="188"/>
        <v>9.290166626715439E-3</v>
      </c>
      <c r="L1419" s="50">
        <f t="shared" si="189"/>
        <v>4.0566969540272186E-3</v>
      </c>
      <c r="P1419" s="50">
        <f t="shared" si="184"/>
        <v>4.0566969540272186E-3</v>
      </c>
      <c r="Q1419" s="51">
        <f t="shared" si="190"/>
        <v>111.30734388548433</v>
      </c>
      <c r="R1419" s="51">
        <f t="shared" si="191"/>
        <v>47.521625126739451</v>
      </c>
    </row>
    <row r="1420" spans="1:18" x14ac:dyDescent="0.15">
      <c r="A1420" s="59">
        <v>42969.75</v>
      </c>
      <c r="B1420">
        <v>18.729369999999999</v>
      </c>
      <c r="C1420">
        <v>143.73504600000001</v>
      </c>
      <c r="D1420">
        <v>47.71217</v>
      </c>
      <c r="E1420">
        <v>47.900002000000001</v>
      </c>
      <c r="F1420">
        <v>1067.3599850000001</v>
      </c>
      <c r="H1420" s="50">
        <f t="shared" si="185"/>
        <v>2.0679064873938661E-2</v>
      </c>
      <c r="I1420" s="50">
        <f t="shared" si="186"/>
        <v>5.3128438890775731E-2</v>
      </c>
      <c r="J1420" s="50">
        <f t="shared" si="187"/>
        <v>4.1505296351644724E-2</v>
      </c>
      <c r="K1420" s="50">
        <f t="shared" si="188"/>
        <v>5.82709841299601E-3</v>
      </c>
      <c r="L1420" s="50">
        <f t="shared" si="189"/>
        <v>1.472614493581028E-2</v>
      </c>
      <c r="P1420" s="50">
        <f t="shared" si="184"/>
        <v>1.472614493581028E-2</v>
      </c>
      <c r="Q1420" s="51">
        <f t="shared" si="190"/>
        <v>112.94647196396204</v>
      </c>
      <c r="R1420" s="51">
        <f t="shared" si="191"/>
        <v>48.504327895650285</v>
      </c>
    </row>
    <row r="1421" spans="1:18" x14ac:dyDescent="0.15">
      <c r="A1421" s="59">
        <v>42970.75</v>
      </c>
      <c r="B1421">
        <v>18.349910999999999</v>
      </c>
      <c r="C1421">
        <v>136.48387099999999</v>
      </c>
      <c r="D1421">
        <v>45.810780000000001</v>
      </c>
      <c r="E1421">
        <v>47.622501</v>
      </c>
      <c r="F1421">
        <v>1051.869995</v>
      </c>
      <c r="H1421" s="50">
        <f t="shared" si="185"/>
        <v>-3.6879470361202297E-3</v>
      </c>
      <c r="I1421" s="50">
        <f t="shared" si="186"/>
        <v>-7.34641008734361E-3</v>
      </c>
      <c r="J1421" s="50">
        <f t="shared" si="187"/>
        <v>-1.4542701389967994E-2</v>
      </c>
      <c r="K1421" s="50">
        <f t="shared" si="188"/>
        <v>7.606394007997834E-3</v>
      </c>
      <c r="L1421" s="50">
        <f t="shared" si="189"/>
        <v>-3.2785585023230603E-3</v>
      </c>
      <c r="P1421" s="50">
        <f t="shared" si="184"/>
        <v>-3.2785585023230603E-3</v>
      </c>
      <c r="Q1421" s="51">
        <f t="shared" si="190"/>
        <v>112.57617034799721</v>
      </c>
      <c r="R1421" s="51">
        <f t="shared" si="191"/>
        <v>48.325446503348516</v>
      </c>
    </row>
    <row r="1422" spans="1:18" x14ac:dyDescent="0.15">
      <c r="A1422" s="59">
        <v>42971.75</v>
      </c>
      <c r="B1422">
        <v>18.417835</v>
      </c>
      <c r="C1422">
        <v>137.49395799999999</v>
      </c>
      <c r="D1422">
        <v>46.486823999999999</v>
      </c>
      <c r="E1422">
        <v>47.262999999999998</v>
      </c>
      <c r="F1422">
        <v>1055.329956</v>
      </c>
      <c r="H1422" s="50">
        <f t="shared" si="185"/>
        <v>7.6891562418034617E-3</v>
      </c>
      <c r="I1422" s="50">
        <f t="shared" si="186"/>
        <v>-6.5555515434653246E-4</v>
      </c>
      <c r="J1422" s="50">
        <f t="shared" si="187"/>
        <v>1.0470265299497553E-2</v>
      </c>
      <c r="K1422" s="50">
        <f t="shared" si="188"/>
        <v>-8.033445551540937E-4</v>
      </c>
      <c r="L1422" s="50">
        <f t="shared" si="189"/>
        <v>7.7442994066048536E-3</v>
      </c>
      <c r="P1422" s="50">
        <f t="shared" si="184"/>
        <v>7.7442994066048536E-3</v>
      </c>
      <c r="Q1422" s="51">
        <f t="shared" si="190"/>
        <v>113.44799391722104</v>
      </c>
      <c r="R1422" s="51">
        <f t="shared" si="191"/>
        <v>48.697028411967679</v>
      </c>
    </row>
    <row r="1423" spans="1:18" x14ac:dyDescent="0.15">
      <c r="A1423" s="59">
        <v>42972.75</v>
      </c>
      <c r="B1423">
        <v>18.277297999999998</v>
      </c>
      <c r="C1423">
        <v>137.58415199999999</v>
      </c>
      <c r="D1423">
        <v>46.005138000000002</v>
      </c>
      <c r="E1423">
        <v>47.300998999999997</v>
      </c>
      <c r="F1423">
        <v>1047.219971</v>
      </c>
      <c r="H1423" s="50">
        <f t="shared" si="185"/>
        <v>-9.3943675636009201E-3</v>
      </c>
      <c r="I1423" s="50">
        <f t="shared" si="186"/>
        <v>-6.5770513761571978E-3</v>
      </c>
      <c r="J1423" s="50">
        <f t="shared" si="187"/>
        <v>-2.0163309596772918E-3</v>
      </c>
      <c r="K1423" s="50">
        <f t="shared" si="188"/>
        <v>-8.4271431236430452E-3</v>
      </c>
      <c r="L1423" s="50">
        <f t="shared" si="189"/>
        <v>-1.6316136310456281E-2</v>
      </c>
      <c r="P1423" s="50">
        <f t="shared" si="184"/>
        <v>-1.6316136310456281E-2</v>
      </c>
      <c r="Q1423" s="51">
        <f t="shared" si="190"/>
        <v>111.59696098431985</v>
      </c>
      <c r="R1423" s="51">
        <f t="shared" si="191"/>
        <v>48.239550627810537</v>
      </c>
    </row>
    <row r="1424" spans="1:18" x14ac:dyDescent="0.15">
      <c r="A1424" s="59">
        <v>42973.75</v>
      </c>
      <c r="B1424">
        <v>18.45063</v>
      </c>
      <c r="C1424">
        <v>138.49504099999999</v>
      </c>
      <c r="D1424">
        <v>46.098087</v>
      </c>
      <c r="E1424">
        <v>47.702998999999998</v>
      </c>
      <c r="F1424">
        <v>1064.589966</v>
      </c>
      <c r="H1424" s="50">
        <f t="shared" si="185"/>
        <v>2.9283965646771E-3</v>
      </c>
      <c r="I1424" s="50">
        <f t="shared" si="186"/>
        <v>-5.6979139211698927E-3</v>
      </c>
      <c r="J1424" s="50">
        <f t="shared" si="187"/>
        <v>4.2337944577065072E-3</v>
      </c>
      <c r="K1424" s="50">
        <f t="shared" si="188"/>
        <v>-1.398323641246319E-2</v>
      </c>
      <c r="L1424" s="50">
        <f t="shared" si="189"/>
        <v>1.4939100544064008E-2</v>
      </c>
      <c r="P1424" s="50">
        <f t="shared" si="184"/>
        <v>1.4939100544064008E-2</v>
      </c>
      <c r="Q1424" s="51">
        <f t="shared" si="190"/>
        <v>113.26411920487659</v>
      </c>
      <c r="R1424" s="51">
        <f t="shared" si="191"/>
        <v>48.38081516215059</v>
      </c>
    </row>
    <row r="1425" spans="1:18" x14ac:dyDescent="0.15">
      <c r="A1425" s="59">
        <v>42976.75</v>
      </c>
      <c r="B1425">
        <v>18.396757000000001</v>
      </c>
      <c r="C1425">
        <v>139.28869599999999</v>
      </c>
      <c r="D1425">
        <v>45.903739999999999</v>
      </c>
      <c r="E1425">
        <v>48.379500999999998</v>
      </c>
      <c r="F1425">
        <v>1048.920044</v>
      </c>
      <c r="H1425" s="50">
        <f t="shared" si="185"/>
        <v>6.0202332114430461E-3</v>
      </c>
      <c r="I1425" s="50">
        <f t="shared" si="186"/>
        <v>-1.4674282251511073E-2</v>
      </c>
      <c r="J1425" s="50">
        <f t="shared" si="187"/>
        <v>-3.8510281850299794E-3</v>
      </c>
      <c r="K1425" s="50">
        <f t="shared" si="188"/>
        <v>-1.3267346793133709E-2</v>
      </c>
      <c r="L1425" s="50">
        <f t="shared" si="189"/>
        <v>-3.9064166390774101E-4</v>
      </c>
      <c r="P1425" s="50">
        <f t="shared" si="184"/>
        <v>-3.9064166390774101E-4</v>
      </c>
      <c r="Q1425" s="51">
        <f t="shared" si="190"/>
        <v>113.21987352088935</v>
      </c>
      <c r="R1425" s="51">
        <f t="shared" si="191"/>
        <v>48.67207895238645</v>
      </c>
    </row>
    <row r="1426" spans="1:18" x14ac:dyDescent="0.15">
      <c r="A1426" s="59">
        <v>42977.75</v>
      </c>
      <c r="B1426">
        <v>18.286667000000001</v>
      </c>
      <c r="C1426">
        <v>141.36309800000001</v>
      </c>
      <c r="D1426">
        <v>46.081200000000003</v>
      </c>
      <c r="E1426">
        <v>49.029998999999997</v>
      </c>
      <c r="F1426">
        <v>1049.329956</v>
      </c>
      <c r="H1426" s="50">
        <f t="shared" si="185"/>
        <v>-3.8283062708207886E-3</v>
      </c>
      <c r="I1426" s="50">
        <f t="shared" si="186"/>
        <v>-9.4793884227017747E-3</v>
      </c>
      <c r="J1426" s="50">
        <f t="shared" si="187"/>
        <v>-3.0060480300363571E-2</v>
      </c>
      <c r="K1426" s="50">
        <f t="shared" si="188"/>
        <v>2.4022694567755912E-3</v>
      </c>
      <c r="L1426" s="50">
        <f t="shared" si="189"/>
        <v>-2.8659046998766171E-2</v>
      </c>
      <c r="P1426" s="50">
        <f t="shared" si="184"/>
        <v>-2.8659046998766171E-2</v>
      </c>
      <c r="Q1426" s="51">
        <f t="shared" si="190"/>
        <v>109.97509984445982</v>
      </c>
      <c r="R1426" s="51">
        <f t="shared" si="191"/>
        <v>48.485747327319146</v>
      </c>
    </row>
    <row r="1427" spans="1:18" x14ac:dyDescent="0.15">
      <c r="A1427" s="59">
        <v>42978.75</v>
      </c>
      <c r="B1427">
        <v>18.356943000000001</v>
      </c>
      <c r="C1427">
        <v>142.715958</v>
      </c>
      <c r="D1427">
        <v>47.509354000000002</v>
      </c>
      <c r="E1427">
        <v>48.912497999999999</v>
      </c>
      <c r="F1427">
        <v>1080.290039</v>
      </c>
      <c r="H1427" s="50">
        <f t="shared" si="185"/>
        <v>-1.7919533350634908E-2</v>
      </c>
      <c r="I1427" s="50">
        <f t="shared" si="186"/>
        <v>-5.6553975545786542E-3</v>
      </c>
      <c r="J1427" s="50">
        <f t="shared" si="187"/>
        <v>-1.9703464828974518E-2</v>
      </c>
      <c r="K1427" s="50">
        <f t="shared" si="188"/>
        <v>1.344697338568481E-2</v>
      </c>
      <c r="L1427" s="50">
        <f t="shared" si="189"/>
        <v>-8.9991167929353213E-3</v>
      </c>
      <c r="P1427" s="50">
        <f t="shared" si="184"/>
        <v>-8.9991167929353213E-3</v>
      </c>
      <c r="Q1427" s="51">
        <f t="shared" si="190"/>
        <v>108.9854210766448</v>
      </c>
      <c r="R1427" s="51">
        <f t="shared" si="191"/>
        <v>47.616905361056794</v>
      </c>
    </row>
    <row r="1428" spans="1:18" x14ac:dyDescent="0.15">
      <c r="A1428" s="59">
        <v>42979.75</v>
      </c>
      <c r="B1428">
        <v>18.691893</v>
      </c>
      <c r="C1428">
        <v>143.52766399999999</v>
      </c>
      <c r="D1428">
        <v>48.464267999999997</v>
      </c>
      <c r="E1428">
        <v>48.263500000000001</v>
      </c>
      <c r="F1428">
        <v>1090.099976</v>
      </c>
      <c r="H1428" s="50">
        <f t="shared" si="185"/>
        <v>-3.4965253059859322E-3</v>
      </c>
      <c r="I1428" s="50">
        <f t="shared" si="186"/>
        <v>1.7627836116477821E-3</v>
      </c>
      <c r="J1428" s="50">
        <f t="shared" si="187"/>
        <v>-1.154776031063141E-2</v>
      </c>
      <c r="K1428" s="50">
        <f t="shared" si="188"/>
        <v>-2.6141558713403275E-3</v>
      </c>
      <c r="L1428" s="50">
        <f t="shared" si="189"/>
        <v>-1.3046539976582011E-2</v>
      </c>
      <c r="P1428" s="50">
        <f t="shared" si="184"/>
        <v>-1.3046539976582011E-2</v>
      </c>
      <c r="Q1428" s="51">
        <f t="shared" si="190"/>
        <v>107.56353842370373</v>
      </c>
      <c r="R1428" s="51">
        <f t="shared" si="191"/>
        <v>47.450411646469121</v>
      </c>
    </row>
    <row r="1429" spans="1:18" x14ac:dyDescent="0.15">
      <c r="A1429" s="59">
        <v>42980.75</v>
      </c>
      <c r="B1429">
        <v>18.757479</v>
      </c>
      <c r="C1429">
        <v>143.27510100000001</v>
      </c>
      <c r="D1429">
        <v>49.030459999999998</v>
      </c>
      <c r="E1429">
        <v>48.389999000000003</v>
      </c>
      <c r="F1429">
        <v>1104.51001</v>
      </c>
      <c r="H1429" s="50">
        <f t="shared" si="185"/>
        <v>-4.9923141062364429E-4</v>
      </c>
      <c r="I1429" s="50">
        <f t="shared" si="186"/>
        <v>-2.6369904363553582E-3</v>
      </c>
      <c r="J1429" s="50">
        <f t="shared" si="187"/>
        <v>-6.8468989353754834E-3</v>
      </c>
      <c r="K1429" s="50">
        <f t="shared" si="188"/>
        <v>-1.1914607122517297E-2</v>
      </c>
      <c r="L1429" s="50">
        <f t="shared" si="189"/>
        <v>1.1604305021382558E-2</v>
      </c>
      <c r="P1429" s="50">
        <f t="shared" si="184"/>
        <v>1.1604305021382558E-2</v>
      </c>
      <c r="Q1429" s="51">
        <f t="shared" si="190"/>
        <v>108.81173853275159</v>
      </c>
      <c r="R1429" s="51">
        <f t="shared" si="191"/>
        <v>47.426722910528177</v>
      </c>
    </row>
    <row r="1430" spans="1:18" x14ac:dyDescent="0.15">
      <c r="A1430" s="59">
        <v>42984.75</v>
      </c>
      <c r="B1430">
        <v>18.766848</v>
      </c>
      <c r="C1430">
        <v>143.65391500000001</v>
      </c>
      <c r="D1430">
        <v>49.368481000000003</v>
      </c>
      <c r="E1430">
        <v>48.973498999999997</v>
      </c>
      <c r="F1430">
        <v>1091.839966</v>
      </c>
      <c r="H1430" s="50">
        <f t="shared" si="185"/>
        <v>1.5719835496110082E-2</v>
      </c>
      <c r="I1430" s="50">
        <f t="shared" si="186"/>
        <v>1.2523142642113979E-2</v>
      </c>
      <c r="J1430" s="50">
        <f t="shared" si="187"/>
        <v>2.0080247679881438E-2</v>
      </c>
      <c r="K1430" s="50">
        <f t="shared" si="188"/>
        <v>1.4049094690924246E-2</v>
      </c>
      <c r="L1430" s="50">
        <f t="shared" si="189"/>
        <v>-6.3975074685700311E-3</v>
      </c>
      <c r="P1430" s="50">
        <f t="shared" si="184"/>
        <v>-6.3975074685700311E-3</v>
      </c>
      <c r="Q1430" s="51">
        <f t="shared" si="190"/>
        <v>108.11561462282022</v>
      </c>
      <c r="R1430" s="51">
        <f t="shared" si="191"/>
        <v>48.172263192801275</v>
      </c>
    </row>
    <row r="1431" spans="1:18" x14ac:dyDescent="0.15">
      <c r="A1431" s="59">
        <v>42985.75</v>
      </c>
      <c r="B1431">
        <v>18.476402</v>
      </c>
      <c r="C1431">
        <v>141.87716699999999</v>
      </c>
      <c r="D1431">
        <v>48.396664000000001</v>
      </c>
      <c r="E1431">
        <v>48.294998</v>
      </c>
      <c r="F1431">
        <v>1098.869995</v>
      </c>
      <c r="H1431" s="50">
        <f t="shared" si="185"/>
        <v>-2.5286611560038832E-3</v>
      </c>
      <c r="I1431" s="50">
        <f t="shared" si="186"/>
        <v>-3.1781481063103764E-4</v>
      </c>
      <c r="J1431" s="50">
        <f t="shared" si="187"/>
        <v>-3.4913767043852036E-4</v>
      </c>
      <c r="K1431" s="50">
        <f t="shared" si="188"/>
        <v>-1.2331813414287138E-2</v>
      </c>
      <c r="L1431" s="50">
        <f t="shared" si="189"/>
        <v>-4.809051730977845E-3</v>
      </c>
      <c r="P1431" s="50">
        <f t="shared" si="184"/>
        <v>-4.809051730977845E-3</v>
      </c>
      <c r="Q1431" s="51">
        <f t="shared" si="190"/>
        <v>107.5956810391726</v>
      </c>
      <c r="R1431" s="51">
        <f t="shared" si="191"/>
        <v>48.05045186206884</v>
      </c>
    </row>
    <row r="1432" spans="1:18" x14ac:dyDescent="0.15">
      <c r="A1432" s="59">
        <v>42986.75</v>
      </c>
      <c r="B1432">
        <v>18.523240999999999</v>
      </c>
      <c r="C1432">
        <v>141.92227199999999</v>
      </c>
      <c r="D1432">
        <v>48.413567</v>
      </c>
      <c r="E1432">
        <v>48.897998999999999</v>
      </c>
      <c r="F1432">
        <v>1104.1800539999999</v>
      </c>
      <c r="H1432" s="50">
        <f t="shared" si="185"/>
        <v>-6.657554755526855E-3</v>
      </c>
      <c r="I1432" s="50">
        <f t="shared" si="186"/>
        <v>-1.6746046016850855E-2</v>
      </c>
      <c r="J1432" s="50">
        <f t="shared" si="187"/>
        <v>-1.0364265208314139E-2</v>
      </c>
      <c r="K1432" s="50">
        <f t="shared" si="188"/>
        <v>-4.7019680961563433E-3</v>
      </c>
      <c r="L1432" s="50">
        <f t="shared" si="189"/>
        <v>-4.8397951988193889E-3</v>
      </c>
      <c r="P1432" s="50">
        <f t="shared" si="184"/>
        <v>-4.8397951988193889E-3</v>
      </c>
      <c r="Q1432" s="51">
        <f t="shared" si="190"/>
        <v>107.07493997866551</v>
      </c>
      <c r="R1432" s="51">
        <f t="shared" si="191"/>
        <v>47.730553347769309</v>
      </c>
    </row>
    <row r="1433" spans="1:18" x14ac:dyDescent="0.15">
      <c r="A1433" s="59">
        <v>42987.75</v>
      </c>
      <c r="B1433">
        <v>18.647386999999998</v>
      </c>
      <c r="C1433">
        <v>144.33938599999999</v>
      </c>
      <c r="D1433">
        <v>48.920592999999997</v>
      </c>
      <c r="E1433">
        <v>49.129002</v>
      </c>
      <c r="F1433">
        <v>1109.5500489999999</v>
      </c>
      <c r="H1433" s="50">
        <f t="shared" si="185"/>
        <v>-3.13060851019157E-3</v>
      </c>
      <c r="I1433" s="50">
        <f t="shared" si="186"/>
        <v>-1.8099007510472651E-2</v>
      </c>
      <c r="J1433" s="50">
        <f t="shared" si="187"/>
        <v>-2.722240943788044E-2</v>
      </c>
      <c r="K1433" s="50">
        <f t="shared" si="188"/>
        <v>-1.7026770708283255E-2</v>
      </c>
      <c r="L1433" s="50">
        <f t="shared" si="189"/>
        <v>-1.1008088720746908E-2</v>
      </c>
      <c r="P1433" s="50">
        <f t="shared" si="184"/>
        <v>-1.1008088720746908E-2</v>
      </c>
      <c r="Q1433" s="51">
        <f t="shared" si="190"/>
        <v>105.89624953961172</v>
      </c>
      <c r="R1433" s="51">
        <f t="shared" si="191"/>
        <v>47.581127671262628</v>
      </c>
    </row>
    <row r="1434" spans="1:18" x14ac:dyDescent="0.15">
      <c r="A1434" s="59">
        <v>42990.75</v>
      </c>
      <c r="B1434">
        <v>18.705947999999999</v>
      </c>
      <c r="C1434">
        <v>146.99993900000001</v>
      </c>
      <c r="D1434">
        <v>50.289597000000001</v>
      </c>
      <c r="E1434">
        <v>49.98</v>
      </c>
      <c r="F1434">
        <v>1121.900024</v>
      </c>
      <c r="H1434" s="50">
        <f t="shared" si="185"/>
        <v>2.2592419907175375E-3</v>
      </c>
      <c r="I1434" s="50">
        <f t="shared" si="186"/>
        <v>3.8185341170405332E-3</v>
      </c>
      <c r="J1434" s="50">
        <f t="shared" si="187"/>
        <v>6.7245966943275124E-4</v>
      </c>
      <c r="K1434" s="50">
        <f t="shared" si="188"/>
        <v>7.4480200763950184E-3</v>
      </c>
      <c r="L1434" s="50">
        <f t="shared" si="189"/>
        <v>7.1362770237010575E-4</v>
      </c>
      <c r="P1434" s="50">
        <f t="shared" si="184"/>
        <v>7.1362770237010575E-4</v>
      </c>
      <c r="Q1434" s="51">
        <f t="shared" si="190"/>
        <v>105.97182003686028</v>
      </c>
      <c r="R1434" s="51">
        <f t="shared" si="191"/>
        <v>47.688624952863236</v>
      </c>
    </row>
    <row r="1435" spans="1:18" x14ac:dyDescent="0.15">
      <c r="A1435" s="59">
        <v>42991.75</v>
      </c>
      <c r="B1435">
        <v>18.663782000000001</v>
      </c>
      <c r="C1435">
        <v>146.44075000000001</v>
      </c>
      <c r="D1435">
        <v>50.255802000000003</v>
      </c>
      <c r="E1435">
        <v>49.610500000000002</v>
      </c>
      <c r="F1435">
        <v>1121.099976</v>
      </c>
      <c r="H1435" s="50">
        <f t="shared" si="185"/>
        <v>-8.7088999636758552E-3</v>
      </c>
      <c r="I1435" s="50">
        <f t="shared" si="186"/>
        <v>4.3094004707148006E-4</v>
      </c>
      <c r="J1435" s="50">
        <f t="shared" si="187"/>
        <v>-8.1722304181923097E-3</v>
      </c>
      <c r="K1435" s="50">
        <f t="shared" si="188"/>
        <v>5.4925566736590522E-3</v>
      </c>
      <c r="L1435" s="50">
        <f t="shared" si="189"/>
        <v>-3.5286428315987588E-3</v>
      </c>
      <c r="P1435" s="50">
        <f t="shared" si="184"/>
        <v>-3.5286428315987588E-3</v>
      </c>
      <c r="Q1435" s="51">
        <f t="shared" si="190"/>
        <v>105.59788333373575</v>
      </c>
      <c r="R1435" s="51">
        <f t="shared" si="191"/>
        <v>47.273309488743493</v>
      </c>
    </row>
    <row r="1436" spans="1:18" x14ac:dyDescent="0.15">
      <c r="A1436" s="59">
        <v>42992.75</v>
      </c>
      <c r="B1436">
        <v>18.827750999999999</v>
      </c>
      <c r="C1436">
        <v>146.37766999999999</v>
      </c>
      <c r="D1436">
        <v>50.669888</v>
      </c>
      <c r="E1436">
        <v>49.339500000000001</v>
      </c>
      <c r="F1436">
        <v>1125.0699460000001</v>
      </c>
      <c r="H1436" s="50">
        <f t="shared" si="185"/>
        <v>4.7499450736903622E-3</v>
      </c>
      <c r="I1436" s="50">
        <f t="shared" si="186"/>
        <v>8.6388766039890014E-3</v>
      </c>
      <c r="J1436" s="50">
        <f t="shared" si="187"/>
        <v>1.4723455605810759E-2</v>
      </c>
      <c r="K1436" s="50">
        <f t="shared" si="188"/>
        <v>1.2933842739790858E-2</v>
      </c>
      <c r="L1436" s="50">
        <f t="shared" si="189"/>
        <v>3.6447636406369951E-4</v>
      </c>
      <c r="P1436" s="50">
        <f t="shared" si="184"/>
        <v>3.6447636406369951E-4</v>
      </c>
      <c r="Q1436" s="51">
        <f t="shared" si="190"/>
        <v>105.63637126630606</v>
      </c>
      <c r="R1436" s="51">
        <f t="shared" si="191"/>
        <v>47.497855112266585</v>
      </c>
    </row>
    <row r="1437" spans="1:18" x14ac:dyDescent="0.15">
      <c r="A1437" s="59">
        <v>42993.75</v>
      </c>
      <c r="B1437">
        <v>18.738742999999999</v>
      </c>
      <c r="C1437">
        <v>145.12396200000001</v>
      </c>
      <c r="D1437">
        <v>49.934677000000001</v>
      </c>
      <c r="E1437">
        <v>48.709499000000001</v>
      </c>
      <c r="F1437">
        <v>1124.660034</v>
      </c>
      <c r="H1437" s="50">
        <f t="shared" si="185"/>
        <v>-6.2414515366731465E-4</v>
      </c>
      <c r="I1437" s="50">
        <f t="shared" si="186"/>
        <v>-4.0234514778715357E-3</v>
      </c>
      <c r="J1437" s="50">
        <f t="shared" si="187"/>
        <v>-4.380633916655486E-3</v>
      </c>
      <c r="K1437" s="50">
        <f t="shared" si="188"/>
        <v>4.4645412739982857E-3</v>
      </c>
      <c r="L1437" s="50">
        <f t="shared" si="189"/>
        <v>-8.2617296536917416E-4</v>
      </c>
      <c r="P1437" s="50">
        <f t="shared" si="184"/>
        <v>-8.2617296536917416E-4</v>
      </c>
      <c r="Q1437" s="51">
        <f t="shared" si="190"/>
        <v>105.54909735220613</v>
      </c>
      <c r="R1437" s="51">
        <f t="shared" si="191"/>
        <v>47.468209556188675</v>
      </c>
    </row>
    <row r="1438" spans="1:18" x14ac:dyDescent="0.15">
      <c r="A1438" s="59">
        <v>42994.75</v>
      </c>
      <c r="B1438">
        <v>18.750446</v>
      </c>
      <c r="C1438">
        <v>145.71021999999999</v>
      </c>
      <c r="D1438">
        <v>50.154384999999998</v>
      </c>
      <c r="E1438">
        <v>48.493000000000002</v>
      </c>
      <c r="F1438">
        <v>1125.589966</v>
      </c>
      <c r="H1438" s="50">
        <f t="shared" si="185"/>
        <v>-5.5902002635362267E-3</v>
      </c>
      <c r="I1438" s="50">
        <f t="shared" si="186"/>
        <v>-7.9216563362606417E-3</v>
      </c>
      <c r="J1438" s="50">
        <f t="shared" si="187"/>
        <v>1.5185407806756143E-3</v>
      </c>
      <c r="K1438" s="50">
        <f t="shared" si="188"/>
        <v>-3.4422169932490803E-3</v>
      </c>
      <c r="L1438" s="50">
        <f t="shared" si="189"/>
        <v>-1.4981925059109568E-2</v>
      </c>
      <c r="P1438" s="50">
        <f t="shared" si="184"/>
        <v>-1.4981925059109568E-2</v>
      </c>
      <c r="Q1438" s="51">
        <f t="shared" si="190"/>
        <v>103.96776868561872</v>
      </c>
      <c r="R1438" s="51">
        <f t="shared" si="191"/>
        <v>47.202852758618079</v>
      </c>
    </row>
    <row r="1439" spans="1:18" x14ac:dyDescent="0.15">
      <c r="A1439" s="59">
        <v>42997.75</v>
      </c>
      <c r="B1439">
        <v>18.855854000000001</v>
      </c>
      <c r="C1439">
        <v>146.87370300000001</v>
      </c>
      <c r="D1439">
        <v>50.078339</v>
      </c>
      <c r="E1439">
        <v>48.660499999999999</v>
      </c>
      <c r="F1439">
        <v>1142.709961</v>
      </c>
      <c r="H1439" s="50">
        <f t="shared" si="185"/>
        <v>6.1243545394963229E-3</v>
      </c>
      <c r="I1439" s="50">
        <f t="shared" si="186"/>
        <v>8.4842235317347421E-3</v>
      </c>
      <c r="J1439" s="50">
        <f t="shared" si="187"/>
        <v>1.5943869024748897E-2</v>
      </c>
      <c r="K1439" s="50">
        <f t="shared" si="188"/>
        <v>8.8737265899020892E-3</v>
      </c>
      <c r="L1439" s="50">
        <f t="shared" si="189"/>
        <v>2.5706118070612446E-3</v>
      </c>
      <c r="P1439" s="50">
        <f t="shared" si="184"/>
        <v>2.5706118070612446E-3</v>
      </c>
      <c r="Q1439" s="51">
        <f t="shared" si="190"/>
        <v>104.23502945935579</v>
      </c>
      <c r="R1439" s="51">
        <f t="shared" si="191"/>
        <v>47.491939764187492</v>
      </c>
    </row>
    <row r="1440" spans="1:18" x14ac:dyDescent="0.15">
      <c r="A1440" s="59">
        <v>42998.75</v>
      </c>
      <c r="B1440">
        <v>18.741077000000001</v>
      </c>
      <c r="C1440">
        <v>145.63807700000001</v>
      </c>
      <c r="D1440">
        <v>49.292427000000004</v>
      </c>
      <c r="E1440">
        <v>48.232498</v>
      </c>
      <c r="F1440">
        <v>1139.780029</v>
      </c>
      <c r="H1440" s="50">
        <f t="shared" si="185"/>
        <v>6.0351122579943789E-3</v>
      </c>
      <c r="I1440" s="50">
        <f t="shared" si="186"/>
        <v>1.1781872537280525E-3</v>
      </c>
      <c r="J1440" s="50">
        <f t="shared" si="187"/>
        <v>-1.1188545806195438E-2</v>
      </c>
      <c r="K1440" s="50">
        <f t="shared" si="188"/>
        <v>9.9988899591898165E-3</v>
      </c>
      <c r="L1440" s="50">
        <f t="shared" si="189"/>
        <v>4.8488908024316452E-3</v>
      </c>
      <c r="P1440" s="50">
        <f t="shared" si="184"/>
        <v>4.8488908024316452E-3</v>
      </c>
      <c r="Q1440" s="51">
        <f t="shared" si="190"/>
        <v>104.74045373499244</v>
      </c>
      <c r="R1440" s="51">
        <f t="shared" si="191"/>
        <v>47.778558952014272</v>
      </c>
    </row>
    <row r="1441" spans="1:18" x14ac:dyDescent="0.15">
      <c r="A1441" s="59">
        <v>42999.75</v>
      </c>
      <c r="B1441">
        <v>18.628651000000001</v>
      </c>
      <c r="C1441">
        <v>145.46669</v>
      </c>
      <c r="D1441">
        <v>49.850178</v>
      </c>
      <c r="E1441">
        <v>47.755001</v>
      </c>
      <c r="F1441">
        <v>1134.280029</v>
      </c>
      <c r="H1441" s="50">
        <f t="shared" si="185"/>
        <v>4.8012806291731804E-3</v>
      </c>
      <c r="I1441" s="50">
        <f t="shared" si="186"/>
        <v>-6.4069257232968668E-3</v>
      </c>
      <c r="J1441" s="50">
        <f t="shared" si="187"/>
        <v>7.5150857918769428E-3</v>
      </c>
      <c r="K1441" s="50">
        <f t="shared" si="188"/>
        <v>1.6290938030451028E-2</v>
      </c>
      <c r="L1441" s="50">
        <f t="shared" si="189"/>
        <v>8.4013347525036704E-3</v>
      </c>
      <c r="P1441" s="50">
        <f t="shared" si="184"/>
        <v>8.4013347525036704E-3</v>
      </c>
      <c r="Q1441" s="51">
        <f t="shared" si="190"/>
        <v>105.62041334894923</v>
      </c>
      <c r="R1441" s="51">
        <f t="shared" si="191"/>
        <v>48.007957221600392</v>
      </c>
    </row>
    <row r="1442" spans="1:18" x14ac:dyDescent="0.15">
      <c r="A1442" s="59">
        <v>43000.75</v>
      </c>
      <c r="B1442">
        <v>18.539636999999999</v>
      </c>
      <c r="C1442">
        <v>146.40469400000001</v>
      </c>
      <c r="D1442">
        <v>49.478344</v>
      </c>
      <c r="E1442">
        <v>46.989497999999998</v>
      </c>
      <c r="F1442">
        <v>1124.829956</v>
      </c>
      <c r="H1442" s="50">
        <f t="shared" si="185"/>
        <v>-3.0230932120676032E-3</v>
      </c>
      <c r="I1442" s="50">
        <f t="shared" si="186"/>
        <v>-1.060507473446228E-2</v>
      </c>
      <c r="J1442" s="50">
        <f t="shared" si="187"/>
        <v>-6.8278190302781131E-4</v>
      </c>
      <c r="K1442" s="50">
        <f t="shared" si="188"/>
        <v>1.2678031110163611E-3</v>
      </c>
      <c r="L1442" s="50">
        <f t="shared" si="189"/>
        <v>-2.0754513556375049E-2</v>
      </c>
      <c r="P1442" s="50">
        <f t="shared" si="184"/>
        <v>-2.0754513556375049E-2</v>
      </c>
      <c r="Q1442" s="51">
        <f t="shared" si="190"/>
        <v>103.42831304826852</v>
      </c>
      <c r="R1442" s="51">
        <f t="shared" si="191"/>
        <v>47.86282469199854</v>
      </c>
    </row>
    <row r="1443" spans="1:18" x14ac:dyDescent="0.15">
      <c r="A1443" s="59">
        <v>43001.75</v>
      </c>
      <c r="B1443">
        <v>18.595853999999999</v>
      </c>
      <c r="C1443">
        <v>147.97396900000001</v>
      </c>
      <c r="D1443">
        <v>49.512149999999998</v>
      </c>
      <c r="E1443">
        <v>46.93</v>
      </c>
      <c r="F1443">
        <v>1148.670044</v>
      </c>
      <c r="H1443" s="50">
        <f t="shared" si="185"/>
        <v>1.2611164762913148E-3</v>
      </c>
      <c r="I1443" s="50">
        <f t="shared" si="186"/>
        <v>-2.1287596068238906E-3</v>
      </c>
      <c r="J1443" s="50">
        <f t="shared" si="187"/>
        <v>-4.7560984434586685E-3</v>
      </c>
      <c r="K1443" s="50">
        <f t="shared" si="188"/>
        <v>-1.2903951389862943E-2</v>
      </c>
      <c r="L1443" s="50">
        <f t="shared" si="189"/>
        <v>5.699735419038455E-3</v>
      </c>
      <c r="P1443" s="50">
        <f t="shared" si="184"/>
        <v>5.699735419038455E-3</v>
      </c>
      <c r="Q1443" s="51">
        <f t="shared" si="190"/>
        <v>104.01782706748114</v>
      </c>
      <c r="R1443" s="51">
        <f t="shared" si="191"/>
        <v>47.923185288819461</v>
      </c>
    </row>
    <row r="1444" spans="1:18" x14ac:dyDescent="0.15">
      <c r="A1444" s="59">
        <v>43004.75</v>
      </c>
      <c r="B1444">
        <v>18.572431999999999</v>
      </c>
      <c r="C1444">
        <v>148.28964199999999</v>
      </c>
      <c r="D1444">
        <v>49.748759999999997</v>
      </c>
      <c r="E1444">
        <v>47.543498999999997</v>
      </c>
      <c r="F1444">
        <v>1142.160034</v>
      </c>
      <c r="H1444" s="50">
        <f t="shared" si="185"/>
        <v>4.3065427870490136E-3</v>
      </c>
      <c r="I1444" s="50">
        <f t="shared" si="186"/>
        <v>3.173035379736705E-3</v>
      </c>
      <c r="J1444" s="50">
        <f t="shared" si="187"/>
        <v>-6.7915336632886898E-4</v>
      </c>
      <c r="K1444" s="50">
        <f t="shared" si="188"/>
        <v>-5.7821204516939192E-3</v>
      </c>
      <c r="L1444" s="50">
        <f t="shared" si="189"/>
        <v>-4.826973282671212E-3</v>
      </c>
      <c r="P1444" s="50">
        <f t="shared" si="184"/>
        <v>-4.826973282671212E-3</v>
      </c>
      <c r="Q1444" s="51">
        <f t="shared" si="190"/>
        <v>103.51573579530489</v>
      </c>
      <c r="R1444" s="51">
        <f t="shared" si="191"/>
        <v>48.129568536757439</v>
      </c>
    </row>
    <row r="1445" spans="1:18" x14ac:dyDescent="0.15">
      <c r="A1445" s="59">
        <v>43005.75</v>
      </c>
      <c r="B1445">
        <v>18.492792000000001</v>
      </c>
      <c r="C1445">
        <v>147.82060200000001</v>
      </c>
      <c r="D1445">
        <v>49.78257</v>
      </c>
      <c r="E1445">
        <v>47.82</v>
      </c>
      <c r="F1445">
        <v>1147.6999510000001</v>
      </c>
      <c r="H1445" s="50">
        <f t="shared" si="185"/>
        <v>1.0366301104782793E-2</v>
      </c>
      <c r="I1445" s="50">
        <f t="shared" si="186"/>
        <v>-2.3739987193157068E-3</v>
      </c>
      <c r="J1445" s="50">
        <f t="shared" si="187"/>
        <v>-1.6947252236400024E-3</v>
      </c>
      <c r="K1445" s="50">
        <f t="shared" si="188"/>
        <v>-5.1490299027611144E-3</v>
      </c>
      <c r="L1445" s="50">
        <f t="shared" si="189"/>
        <v>2.5944729778108779E-3</v>
      </c>
      <c r="P1445" s="50">
        <f t="shared" si="184"/>
        <v>2.5944729778108779E-3</v>
      </c>
      <c r="Q1445" s="51">
        <f t="shared" si="190"/>
        <v>103.78430457460402</v>
      </c>
      <c r="R1445" s="51">
        <f t="shared" si="191"/>
        <v>48.628494136252748</v>
      </c>
    </row>
    <row r="1446" spans="1:18" x14ac:dyDescent="0.15">
      <c r="A1446" s="59">
        <v>43006.75</v>
      </c>
      <c r="B1446">
        <v>18.303056999999999</v>
      </c>
      <c r="C1446">
        <v>148.17236299999999</v>
      </c>
      <c r="D1446">
        <v>49.867080999999999</v>
      </c>
      <c r="E1446">
        <v>48.067501</v>
      </c>
      <c r="F1446">
        <v>1144.7299800000001</v>
      </c>
      <c r="H1446" s="50">
        <f t="shared" si="185"/>
        <v>-3.951746420389611E-3</v>
      </c>
      <c r="I1446" s="50">
        <f t="shared" si="186"/>
        <v>-9.6453934042901382E-3</v>
      </c>
      <c r="J1446" s="50">
        <f t="shared" si="187"/>
        <v>2.0380521056529224E-3</v>
      </c>
      <c r="K1446" s="50">
        <f t="shared" si="188"/>
        <v>2.2519417894669635E-3</v>
      </c>
      <c r="L1446" s="50">
        <f t="shared" si="189"/>
        <v>3.0932607356903164E-3</v>
      </c>
      <c r="P1446" s="50">
        <f t="shared" si="184"/>
        <v>3.0932607356903164E-3</v>
      </c>
      <c r="Q1446" s="51">
        <f t="shared" si="190"/>
        <v>104.10533648892557</v>
      </c>
      <c r="R1446" s="51">
        <f t="shared" si="191"/>
        <v>48.436326658620871</v>
      </c>
    </row>
    <row r="1447" spans="1:18" x14ac:dyDescent="0.15">
      <c r="A1447" s="59">
        <v>43007.75</v>
      </c>
      <c r="B1447">
        <v>18.375672999999999</v>
      </c>
      <c r="C1447">
        <v>149.61546300000001</v>
      </c>
      <c r="D1447">
        <v>49.765656</v>
      </c>
      <c r="E1447">
        <v>47.959499000000001</v>
      </c>
      <c r="F1447">
        <v>1141.1999510000001</v>
      </c>
      <c r="H1447" s="50">
        <f t="shared" si="185"/>
        <v>-9.7199100066414964E-3</v>
      </c>
      <c r="I1447" s="50">
        <f t="shared" si="186"/>
        <v>4.9068776301650742E-3</v>
      </c>
      <c r="J1447" s="50">
        <f t="shared" si="187"/>
        <v>5.2917870187988098E-3</v>
      </c>
      <c r="K1447" s="50">
        <f t="shared" si="188"/>
        <v>2.1836589698047042E-3</v>
      </c>
      <c r="L1447" s="50">
        <f t="shared" si="189"/>
        <v>-4.3970189872715735E-3</v>
      </c>
      <c r="P1447" s="50">
        <f t="shared" si="184"/>
        <v>-4.3970189872715735E-3</v>
      </c>
      <c r="Q1447" s="51">
        <f t="shared" si="190"/>
        <v>103.64758334770747</v>
      </c>
      <c r="R1447" s="51">
        <f t="shared" si="191"/>
        <v>47.965529922446784</v>
      </c>
    </row>
    <row r="1448" spans="1:18" x14ac:dyDescent="0.15">
      <c r="A1448" s="59">
        <v>43008.75</v>
      </c>
      <c r="B1448">
        <v>18.556035999999999</v>
      </c>
      <c r="C1448">
        <v>148.88490300000001</v>
      </c>
      <c r="D1448">
        <v>49.503692999999998</v>
      </c>
      <c r="E1448">
        <v>47.854999999999997</v>
      </c>
      <c r="F1448">
        <v>1146.23999</v>
      </c>
      <c r="H1448" s="50">
        <f t="shared" si="185"/>
        <v>1.6434023616304753E-3</v>
      </c>
      <c r="I1448" s="50">
        <f t="shared" si="186"/>
        <v>-7.8709585608616357E-4</v>
      </c>
      <c r="J1448" s="50">
        <f t="shared" si="187"/>
        <v>-1.3638536539519084E-3</v>
      </c>
      <c r="K1448" s="50">
        <f t="shared" si="188"/>
        <v>-8.648796077452019E-3</v>
      </c>
      <c r="L1448" s="50">
        <f t="shared" si="189"/>
        <v>8.1000156241256317E-3</v>
      </c>
      <c r="P1448" s="50">
        <f t="shared" si="184"/>
        <v>8.1000156241256317E-3</v>
      </c>
      <c r="Q1448" s="51">
        <f t="shared" si="190"/>
        <v>104.48713039222675</v>
      </c>
      <c r="R1448" s="51">
        <f t="shared" si="191"/>
        <v>48.044356587598195</v>
      </c>
    </row>
    <row r="1449" spans="1:18" x14ac:dyDescent="0.15">
      <c r="A1449" s="59">
        <v>43011.75</v>
      </c>
      <c r="B1449">
        <v>18.525590999999999</v>
      </c>
      <c r="C1449">
        <v>149.002182</v>
      </c>
      <c r="D1449">
        <v>49.571300999999998</v>
      </c>
      <c r="E1449">
        <v>48.272499000000003</v>
      </c>
      <c r="F1449">
        <v>1137.030029</v>
      </c>
      <c r="H1449" s="50">
        <f t="shared" si="185"/>
        <v>-4.0293991464764008E-3</v>
      </c>
      <c r="I1449" s="50">
        <f t="shared" si="186"/>
        <v>-1.1132927219759003E-2</v>
      </c>
      <c r="J1449" s="50">
        <f t="shared" si="187"/>
        <v>4.7961184956158524E-3</v>
      </c>
      <c r="K1449" s="50">
        <f t="shared" si="188"/>
        <v>-1.5700688178620453E-2</v>
      </c>
      <c r="L1449" s="50">
        <f t="shared" si="189"/>
        <v>-2.0435038552659907E-2</v>
      </c>
      <c r="P1449" s="50">
        <f t="shared" si="184"/>
        <v>-2.0435038552659907E-2</v>
      </c>
      <c r="Q1449" s="51">
        <f t="shared" si="190"/>
        <v>102.35193185440478</v>
      </c>
      <c r="R1449" s="51">
        <f t="shared" si="191"/>
        <v>47.850766698171121</v>
      </c>
    </row>
    <row r="1450" spans="1:18" x14ac:dyDescent="0.15">
      <c r="A1450" s="59">
        <v>43012.75</v>
      </c>
      <c r="B1450">
        <v>18.600539999999999</v>
      </c>
      <c r="C1450">
        <v>150.679688</v>
      </c>
      <c r="D1450">
        <v>49.334685999999998</v>
      </c>
      <c r="E1450">
        <v>49.042499999999997</v>
      </c>
      <c r="F1450">
        <v>1160.75</v>
      </c>
      <c r="H1450" s="50">
        <f t="shared" si="185"/>
        <v>5.1897086477363857E-3</v>
      </c>
      <c r="I1450" s="50">
        <f t="shared" si="186"/>
        <v>6.3530681713214798E-2</v>
      </c>
      <c r="J1450" s="50">
        <f t="shared" si="187"/>
        <v>2.205873045596737E-2</v>
      </c>
      <c r="K1450" s="50">
        <f t="shared" si="188"/>
        <v>-8.8219244527982035E-3</v>
      </c>
      <c r="L1450" s="50">
        <f t="shared" si="189"/>
        <v>6.7245620102351184E-4</v>
      </c>
      <c r="P1450" s="50">
        <f t="shared" si="184"/>
        <v>6.7245620102351184E-4</v>
      </c>
      <c r="Q1450" s="51">
        <f t="shared" si="190"/>
        <v>102.420759045667</v>
      </c>
      <c r="R1450" s="51">
        <f t="shared" si="191"/>
        <v>48.099098235905437</v>
      </c>
    </row>
    <row r="1451" spans="1:18" x14ac:dyDescent="0.15">
      <c r="A1451" s="59">
        <v>43013.75</v>
      </c>
      <c r="B1451">
        <v>18.504507</v>
      </c>
      <c r="C1451">
        <v>141.678741</v>
      </c>
      <c r="D1451">
        <v>48.269913000000003</v>
      </c>
      <c r="E1451">
        <v>49.478999999999999</v>
      </c>
      <c r="F1451">
        <v>1159.969971</v>
      </c>
      <c r="H1451" s="50">
        <f t="shared" si="185"/>
        <v>-1.8999108566902588E-2</v>
      </c>
      <c r="I1451" s="50">
        <f t="shared" si="186"/>
        <v>1.6040312431730149E-2</v>
      </c>
      <c r="J1451" s="50">
        <f t="shared" si="187"/>
        <v>1.5466741290037696E-2</v>
      </c>
      <c r="K1451" s="50">
        <f t="shared" si="188"/>
        <v>-1.4228196046378403E-3</v>
      </c>
      <c r="L1451" s="50">
        <f t="shared" si="189"/>
        <v>1.6492339798415212E-3</v>
      </c>
      <c r="P1451" s="50">
        <f t="shared" si="184"/>
        <v>1.6492339798415212E-3</v>
      </c>
      <c r="Q1451" s="51">
        <f t="shared" si="190"/>
        <v>102.58967484172628</v>
      </c>
      <c r="R1451" s="51">
        <f t="shared" si="191"/>
        <v>47.185258246551356</v>
      </c>
    </row>
    <row r="1452" spans="1:18" x14ac:dyDescent="0.15">
      <c r="A1452" s="59">
        <v>43014.75</v>
      </c>
      <c r="B1452">
        <v>18.862884999999999</v>
      </c>
      <c r="C1452">
        <v>139.442047</v>
      </c>
      <c r="D1452">
        <v>47.534706</v>
      </c>
      <c r="E1452">
        <v>49.549500000000002</v>
      </c>
      <c r="F1452">
        <v>1158.0600589999999</v>
      </c>
      <c r="H1452" s="50">
        <f t="shared" si="185"/>
        <v>-4.2790853829369924E-2</v>
      </c>
      <c r="I1452" s="50">
        <f t="shared" si="186"/>
        <v>-1.4406836523445822E-2</v>
      </c>
      <c r="J1452" s="50">
        <f t="shared" si="187"/>
        <v>-2.3437300496518435E-2</v>
      </c>
      <c r="K1452" s="50">
        <f t="shared" si="188"/>
        <v>3.8391206677650795E-3</v>
      </c>
      <c r="L1452" s="50">
        <f t="shared" si="189"/>
        <v>-6.0850232622062066E-3</v>
      </c>
      <c r="P1452" s="50">
        <f t="shared" si="184"/>
        <v>-6.0850232622062066E-3</v>
      </c>
      <c r="Q1452" s="51">
        <f t="shared" si="190"/>
        <v>101.96541428385221</v>
      </c>
      <c r="R1452" s="51">
        <f t="shared" si="191"/>
        <v>45.166160758022102</v>
      </c>
    </row>
    <row r="1453" spans="1:18" x14ac:dyDescent="0.15">
      <c r="A1453" s="59">
        <v>43015.75</v>
      </c>
      <c r="B1453">
        <v>19.706126999999999</v>
      </c>
      <c r="C1453">
        <v>141.48033100000001</v>
      </c>
      <c r="D1453">
        <v>48.675528999999997</v>
      </c>
      <c r="E1453">
        <v>49.360000999999997</v>
      </c>
      <c r="F1453">
        <v>1165.150024</v>
      </c>
      <c r="H1453" s="50">
        <f t="shared" si="185"/>
        <v>-1.8663450742710523E-2</v>
      </c>
      <c r="I1453" s="50">
        <f t="shared" si="186"/>
        <v>-6.3341554445126491E-3</v>
      </c>
      <c r="J1453" s="50">
        <f t="shared" si="187"/>
        <v>-2.6204799138692277E-2</v>
      </c>
      <c r="K1453" s="50">
        <f t="shared" si="188"/>
        <v>-7.8391758793970468E-3</v>
      </c>
      <c r="L1453" s="50">
        <f t="shared" si="189"/>
        <v>-1.4581574835589598E-4</v>
      </c>
      <c r="P1453" s="50">
        <f t="shared" si="184"/>
        <v>-1.4581574835589598E-4</v>
      </c>
      <c r="Q1453" s="51">
        <f t="shared" si="190"/>
        <v>101.950546120662</v>
      </c>
      <c r="R1453" s="51">
        <f t="shared" si="191"/>
        <v>44.323204341477414</v>
      </c>
    </row>
    <row r="1454" spans="1:18" x14ac:dyDescent="0.15">
      <c r="A1454" s="59">
        <v>43018.75</v>
      </c>
      <c r="B1454">
        <v>20.080905999999999</v>
      </c>
      <c r="C1454">
        <v>142.38220200000001</v>
      </c>
      <c r="D1454">
        <v>49.985385999999998</v>
      </c>
      <c r="E1454">
        <v>49.75</v>
      </c>
      <c r="F1454">
        <v>1165.3199460000001</v>
      </c>
      <c r="H1454" s="50">
        <f t="shared" si="185"/>
        <v>-4.2971959437851223E-3</v>
      </c>
      <c r="I1454" s="50">
        <f t="shared" si="186"/>
        <v>4.1339735478191624E-3</v>
      </c>
      <c r="J1454" s="50">
        <f t="shared" si="187"/>
        <v>-1.7278406544134071E-2</v>
      </c>
      <c r="K1454" s="50">
        <f t="shared" si="188"/>
        <v>-5.924510087128753E-3</v>
      </c>
      <c r="L1454" s="50">
        <f t="shared" si="189"/>
        <v>-3.8042298263036857E-3</v>
      </c>
      <c r="P1454" s="50">
        <f t="shared" si="184"/>
        <v>-3.8042298263036857E-3</v>
      </c>
      <c r="Q1454" s="51">
        <f t="shared" si="190"/>
        <v>101.56270281230182</v>
      </c>
      <c r="R1454" s="51">
        <f t="shared" si="191"/>
        <v>44.132738847565662</v>
      </c>
    </row>
    <row r="1455" spans="1:18" x14ac:dyDescent="0.15">
      <c r="A1455" s="59">
        <v>43019.75</v>
      </c>
      <c r="B1455">
        <v>20.167570000000001</v>
      </c>
      <c r="C1455">
        <v>141.796021</v>
      </c>
      <c r="D1455">
        <v>50.864238999999998</v>
      </c>
      <c r="E1455">
        <v>50.046500999999999</v>
      </c>
      <c r="F1455">
        <v>1169.7700199999999</v>
      </c>
      <c r="H1455" s="50">
        <f t="shared" si="185"/>
        <v>-6.0031925090234606E-3</v>
      </c>
      <c r="I1455" s="50">
        <f t="shared" si="186"/>
        <v>-1.6452983694060022E-2</v>
      </c>
      <c r="J1455" s="50">
        <f t="shared" si="187"/>
        <v>-1.0846469445968095E-2</v>
      </c>
      <c r="K1455" s="50">
        <f t="shared" si="188"/>
        <v>-2.0040680799264131E-3</v>
      </c>
      <c r="L1455" s="50">
        <f t="shared" si="189"/>
        <v>-7.0706698664766282E-3</v>
      </c>
      <c r="P1455" s="50">
        <f t="shared" si="184"/>
        <v>-7.0706698664766282E-3</v>
      </c>
      <c r="Q1455" s="51">
        <f t="shared" si="190"/>
        <v>100.84458646996896</v>
      </c>
      <c r="R1455" s="51">
        <f t="shared" si="191"/>
        <v>43.867801520313265</v>
      </c>
    </row>
    <row r="1456" spans="1:18" x14ac:dyDescent="0.15">
      <c r="A1456" s="59">
        <v>43020.75</v>
      </c>
      <c r="B1456">
        <v>20.289370999999999</v>
      </c>
      <c r="C1456">
        <v>144.168015</v>
      </c>
      <c r="D1456">
        <v>51.421985999999997</v>
      </c>
      <c r="E1456">
        <v>50.146999000000001</v>
      </c>
      <c r="F1456">
        <v>1178.099976</v>
      </c>
      <c r="H1456" s="50">
        <f t="shared" si="185"/>
        <v>1.0263731323857009E-2</v>
      </c>
      <c r="I1456" s="50">
        <f t="shared" si="186"/>
        <v>6.5489347759667945E-3</v>
      </c>
      <c r="J1456" s="50">
        <f t="shared" si="187"/>
        <v>1.1637314447857773E-2</v>
      </c>
      <c r="K1456" s="50">
        <f t="shared" si="188"/>
        <v>-3.3786194848933197E-3</v>
      </c>
      <c r="L1456" s="50">
        <f t="shared" si="189"/>
        <v>3.6546943580077632E-3</v>
      </c>
      <c r="P1456" s="50">
        <f t="shared" si="184"/>
        <v>3.6546943580077632E-3</v>
      </c>
      <c r="Q1456" s="51">
        <f t="shared" si="190"/>
        <v>101.21314261117638</v>
      </c>
      <c r="R1456" s="51">
        <f t="shared" si="191"/>
        <v>44.318048848886043</v>
      </c>
    </row>
    <row r="1457" spans="1:18" x14ac:dyDescent="0.15">
      <c r="A1457" s="59">
        <v>43021.75</v>
      </c>
      <c r="B1457">
        <v>20.083241999999998</v>
      </c>
      <c r="C1457">
        <v>143.23001099999999</v>
      </c>
      <c r="D1457">
        <v>50.830455999999998</v>
      </c>
      <c r="E1457">
        <v>50.317000999999998</v>
      </c>
      <c r="F1457">
        <v>1173.8100589999999</v>
      </c>
      <c r="H1457" s="50">
        <f t="shared" si="185"/>
        <v>-2.7913362911753982E-3</v>
      </c>
      <c r="I1457" s="50">
        <f t="shared" si="186"/>
        <v>2.7145748994231154E-3</v>
      </c>
      <c r="J1457" s="50">
        <f t="shared" si="187"/>
        <v>-3.3219038940224553E-4</v>
      </c>
      <c r="K1457" s="50">
        <f t="shared" si="188"/>
        <v>-2.7647577068414886E-3</v>
      </c>
      <c r="L1457" s="50">
        <f t="shared" si="189"/>
        <v>-2.0233823781699726E-3</v>
      </c>
      <c r="P1457" s="50">
        <f t="shared" si="184"/>
        <v>-2.0233823781699726E-3</v>
      </c>
      <c r="Q1457" s="51">
        <f t="shared" si="190"/>
        <v>101.00834972197772</v>
      </c>
      <c r="R1457" s="51">
        <f t="shared" si="191"/>
        <v>44.194342270780062</v>
      </c>
    </row>
    <row r="1458" spans="1:18" x14ac:dyDescent="0.15">
      <c r="A1458" s="59">
        <v>43022.75</v>
      </c>
      <c r="B1458">
        <v>20.139458000000001</v>
      </c>
      <c r="C1458">
        <v>142.84225499999999</v>
      </c>
      <c r="D1458">
        <v>50.847346999999999</v>
      </c>
      <c r="E1458">
        <v>50.456501000000003</v>
      </c>
      <c r="F1458">
        <v>1176.1899410000001</v>
      </c>
      <c r="H1458" s="50">
        <f t="shared" si="185"/>
        <v>-2.7837145543572858E-3</v>
      </c>
      <c r="I1458" s="50">
        <f t="shared" si="186"/>
        <v>5.2684411786107039E-3</v>
      </c>
      <c r="J1458" s="50">
        <f t="shared" si="187"/>
        <v>2.3322541485808809E-3</v>
      </c>
      <c r="K1458" s="50">
        <f t="shared" si="188"/>
        <v>1.216656016716397E-2</v>
      </c>
      <c r="L1458" s="50">
        <f t="shared" si="189"/>
        <v>-7.1916505140281594E-3</v>
      </c>
      <c r="P1458" s="50">
        <f t="shared" si="184"/>
        <v>-7.1916505140281594E-3</v>
      </c>
      <c r="Q1458" s="51">
        <f t="shared" si="190"/>
        <v>100.28193297177853</v>
      </c>
      <c r="R1458" s="51">
        <f t="shared" si="191"/>
        <v>44.07131783698064</v>
      </c>
    </row>
    <row r="1459" spans="1:18" x14ac:dyDescent="0.15">
      <c r="A1459" s="59">
        <v>43025.75</v>
      </c>
      <c r="B1459">
        <v>20.195677</v>
      </c>
      <c r="C1459">
        <v>142.09364299999999</v>
      </c>
      <c r="D1459">
        <v>50.729033999999999</v>
      </c>
      <c r="E1459">
        <v>49.849997999999999</v>
      </c>
      <c r="F1459">
        <v>1184.709961</v>
      </c>
      <c r="H1459" s="50">
        <f t="shared" si="185"/>
        <v>-2.083522438631513E-3</v>
      </c>
      <c r="I1459" s="50">
        <f t="shared" si="186"/>
        <v>-5.7424545595927932E-3</v>
      </c>
      <c r="J1459" s="50">
        <f t="shared" si="187"/>
        <v>-6.6193738250009968E-3</v>
      </c>
      <c r="K1459" s="50">
        <f t="shared" si="188"/>
        <v>1.0530928714246544E-2</v>
      </c>
      <c r="L1459" s="50">
        <f t="shared" si="189"/>
        <v>1.6133404762671135E-2</v>
      </c>
      <c r="P1459" s="50">
        <f t="shared" si="184"/>
        <v>1.6133404762671135E-2</v>
      </c>
      <c r="Q1459" s="51">
        <f t="shared" si="190"/>
        <v>101.89982198679529</v>
      </c>
      <c r="R1459" s="51">
        <f t="shared" si="191"/>
        <v>43.979494257367229</v>
      </c>
    </row>
    <row r="1460" spans="1:18" x14ac:dyDescent="0.15">
      <c r="A1460" s="59">
        <v>43026.75</v>
      </c>
      <c r="B1460">
        <v>20.237843000000002</v>
      </c>
      <c r="C1460">
        <v>142.914322</v>
      </c>
      <c r="D1460">
        <v>51.067065999999997</v>
      </c>
      <c r="E1460">
        <v>49.330502000000003</v>
      </c>
      <c r="F1460">
        <v>1165.900024</v>
      </c>
      <c r="H1460" s="50">
        <f t="shared" si="185"/>
        <v>-1.1893548500495944E-2</v>
      </c>
      <c r="I1460" s="50">
        <f t="shared" si="186"/>
        <v>-1.4368528786444566E-2</v>
      </c>
      <c r="J1460" s="50">
        <f t="shared" si="187"/>
        <v>-2.1534696903486292E-2</v>
      </c>
      <c r="K1460" s="50">
        <f t="shared" si="188"/>
        <v>3.7643731369098763E-3</v>
      </c>
      <c r="L1460" s="50">
        <f t="shared" si="189"/>
        <v>-1.0414472904388267E-2</v>
      </c>
      <c r="P1460" s="50">
        <f t="shared" si="184"/>
        <v>-1.0414472904388267E-2</v>
      </c>
      <c r="Q1460" s="51">
        <f t="shared" si="190"/>
        <v>100.83858905175182</v>
      </c>
      <c r="R1460" s="51">
        <f t="shared" si="191"/>
        <v>43.456422009389946</v>
      </c>
    </row>
    <row r="1461" spans="1:18" x14ac:dyDescent="0.15">
      <c r="A1461" s="59">
        <v>43027.75</v>
      </c>
      <c r="B1461">
        <v>20.481439999999999</v>
      </c>
      <c r="C1461">
        <v>144.997726</v>
      </c>
      <c r="D1461">
        <v>52.190983000000003</v>
      </c>
      <c r="E1461">
        <v>49.145499999999998</v>
      </c>
      <c r="F1461">
        <v>1178.170044</v>
      </c>
      <c r="H1461" s="50">
        <f t="shared" si="185"/>
        <v>-1.3649115510616041E-2</v>
      </c>
      <c r="I1461" s="50">
        <f t="shared" si="186"/>
        <v>-7.8373253578991244E-3</v>
      </c>
      <c r="J1461" s="50">
        <f t="shared" si="187"/>
        <v>-1.3103447558611491E-2</v>
      </c>
      <c r="K1461" s="50">
        <f t="shared" si="188"/>
        <v>1.7189299745199171E-2</v>
      </c>
      <c r="L1461" s="50">
        <f t="shared" si="189"/>
        <v>-1.7707674430145304E-3</v>
      </c>
      <c r="P1461" s="50">
        <f t="shared" si="184"/>
        <v>-1.7707674430145304E-3</v>
      </c>
      <c r="Q1461" s="51">
        <f t="shared" si="190"/>
        <v>100.66002736125947</v>
      </c>
      <c r="R1461" s="51">
        <f t="shared" si="191"/>
        <v>42.863280285705706</v>
      </c>
    </row>
    <row r="1462" spans="1:18" x14ac:dyDescent="0.15">
      <c r="A1462" s="59">
        <v>43028.75</v>
      </c>
      <c r="B1462">
        <v>20.764862000000001</v>
      </c>
      <c r="C1462">
        <v>146.14309700000001</v>
      </c>
      <c r="D1462">
        <v>52.883944999999997</v>
      </c>
      <c r="E1462">
        <v>48.314999</v>
      </c>
      <c r="F1462">
        <v>1180.26001</v>
      </c>
      <c r="H1462" s="50">
        <f t="shared" si="185"/>
        <v>7.6151756928123258E-3</v>
      </c>
      <c r="I1462" s="50">
        <f t="shared" si="186"/>
        <v>-1.5409038754661299E-3</v>
      </c>
      <c r="J1462" s="50">
        <f t="shared" si="187"/>
        <v>-5.5617632271010549E-3</v>
      </c>
      <c r="K1462" s="50">
        <f t="shared" si="188"/>
        <v>-9.8370533799386449E-3</v>
      </c>
      <c r="L1462" s="50">
        <f t="shared" si="189"/>
        <v>-2.3835633303553936E-3</v>
      </c>
      <c r="P1462" s="50">
        <f t="shared" si="184"/>
        <v>-2.3835633303553936E-3</v>
      </c>
      <c r="Q1462" s="51">
        <f t="shared" si="190"/>
        <v>100.42009781120859</v>
      </c>
      <c r="R1462" s="51">
        <f t="shared" si="191"/>
        <v>43.189691695851607</v>
      </c>
    </row>
    <row r="1463" spans="1:18" x14ac:dyDescent="0.15">
      <c r="A1463" s="59">
        <v>43029.75</v>
      </c>
      <c r="B1463">
        <v>20.607928999999999</v>
      </c>
      <c r="C1463">
        <v>146.36863700000001</v>
      </c>
      <c r="D1463">
        <v>53.179718000000001</v>
      </c>
      <c r="E1463">
        <v>48.794998</v>
      </c>
      <c r="F1463">
        <v>1183.079956</v>
      </c>
      <c r="H1463" s="50">
        <f t="shared" si="185"/>
        <v>-5.6508927073931356E-3</v>
      </c>
      <c r="I1463" s="50">
        <f t="shared" si="186"/>
        <v>6.787067227469111E-4</v>
      </c>
      <c r="J1463" s="50">
        <f t="shared" si="187"/>
        <v>1.6311581608408614E-2</v>
      </c>
      <c r="K1463" s="50">
        <f t="shared" si="188"/>
        <v>3.073213349641822E-3</v>
      </c>
      <c r="L1463" s="50">
        <f t="shared" si="189"/>
        <v>-2.1423719325853463E-3</v>
      </c>
      <c r="P1463" s="50">
        <f t="shared" si="184"/>
        <v>-2.1423719325853463E-3</v>
      </c>
      <c r="Q1463" s="51">
        <f t="shared" si="190"/>
        <v>100.20496061219038</v>
      </c>
      <c r="R1463" s="51">
        <f t="shared" si="191"/>
        <v>42.945631382012962</v>
      </c>
    </row>
    <row r="1464" spans="1:18" x14ac:dyDescent="0.15">
      <c r="A1464" s="59">
        <v>43032.75</v>
      </c>
      <c r="B1464">
        <v>20.725044</v>
      </c>
      <c r="C1464">
        <v>146.269363</v>
      </c>
      <c r="D1464">
        <v>52.326194999999998</v>
      </c>
      <c r="E1464">
        <v>48.645499999999998</v>
      </c>
      <c r="F1464">
        <v>1185.619995</v>
      </c>
      <c r="H1464" s="50">
        <f t="shared" si="185"/>
        <v>-1.5796926798965099E-3</v>
      </c>
      <c r="I1464" s="50">
        <f t="shared" si="186"/>
        <v>-1.723626156338908E-3</v>
      </c>
      <c r="J1464" s="50">
        <f t="shared" si="187"/>
        <v>-1.4516929200792681E-3</v>
      </c>
      <c r="K1464" s="50">
        <f t="shared" si="188"/>
        <v>4.9364994883530446E-4</v>
      </c>
      <c r="L1464" s="50">
        <f t="shared" si="189"/>
        <v>-1.6885395015898916E-5</v>
      </c>
      <c r="P1464" s="50">
        <f t="shared" si="184"/>
        <v>-1.6885395015898916E-5</v>
      </c>
      <c r="Q1464" s="51">
        <f t="shared" si="190"/>
        <v>100.20326861184789</v>
      </c>
      <c r="R1464" s="51">
        <f t="shared" si="191"/>
        <v>42.87779048248526</v>
      </c>
    </row>
    <row r="1465" spans="1:18" x14ac:dyDescent="0.15">
      <c r="A1465" s="59">
        <v>43033.75</v>
      </c>
      <c r="B1465">
        <v>20.757835</v>
      </c>
      <c r="C1465">
        <v>146.52191199999999</v>
      </c>
      <c r="D1465">
        <v>52.402267000000002</v>
      </c>
      <c r="E1465">
        <v>48.621498000000003</v>
      </c>
      <c r="F1465">
        <v>1185.6400149999999</v>
      </c>
      <c r="H1465" s="50">
        <f t="shared" si="185"/>
        <v>5.1036117633211329E-3</v>
      </c>
      <c r="I1465" s="50">
        <f t="shared" si="186"/>
        <v>4.9230516605492357E-4</v>
      </c>
      <c r="J1465" s="50">
        <f t="shared" si="187"/>
        <v>2.9041071238825652E-2</v>
      </c>
      <c r="K1465" s="50">
        <f t="shared" si="188"/>
        <v>-0.11673559895116756</v>
      </c>
      <c r="L1465" s="50">
        <f t="shared" si="189"/>
        <v>2.6978427267065723E-3</v>
      </c>
      <c r="P1465" s="50">
        <f t="shared" si="184"/>
        <v>2.6978427267065723E-3</v>
      </c>
      <c r="Q1465" s="51">
        <f t="shared" si="190"/>
        <v>100.47360127126458</v>
      </c>
      <c r="R1465" s="51">
        <f t="shared" si="191"/>
        <v>43.096622078376896</v>
      </c>
    </row>
    <row r="1466" spans="1:18" x14ac:dyDescent="0.15">
      <c r="A1466" s="59">
        <v>43034.75</v>
      </c>
      <c r="B1466">
        <v>20.652432999999998</v>
      </c>
      <c r="C1466">
        <v>146.449814</v>
      </c>
      <c r="D1466">
        <v>50.923397000000001</v>
      </c>
      <c r="E1466">
        <v>55.047500999999997</v>
      </c>
      <c r="F1466">
        <v>1182.4499510000001</v>
      </c>
      <c r="H1466" s="50">
        <f t="shared" si="185"/>
        <v>1.4031063600146203E-2</v>
      </c>
      <c r="I1466" s="50">
        <f t="shared" si="186"/>
        <v>1.3418291086446479E-2</v>
      </c>
      <c r="J1466" s="50">
        <f t="shared" si="187"/>
        <v>1.1922782962884739E-2</v>
      </c>
      <c r="K1466" s="50">
        <f t="shared" si="188"/>
        <v>-8.9120763379394157E-3</v>
      </c>
      <c r="L1466" s="50">
        <f t="shared" si="189"/>
        <v>-1.1235854359897784E-3</v>
      </c>
      <c r="P1466" s="50">
        <f t="shared" si="184"/>
        <v>-1.1235854359897784E-3</v>
      </c>
      <c r="Q1466" s="51">
        <f t="shared" si="190"/>
        <v>100.36071059617474</v>
      </c>
      <c r="R1466" s="51">
        <f t="shared" si="191"/>
        <v>43.701313523710063</v>
      </c>
    </row>
    <row r="1467" spans="1:18" x14ac:dyDescent="0.15">
      <c r="A1467" s="59">
        <v>43035.75</v>
      </c>
      <c r="B1467">
        <v>20.366667</v>
      </c>
      <c r="C1467">
        <v>144.510727</v>
      </c>
      <c r="D1467">
        <v>50.323402000000002</v>
      </c>
      <c r="E1467">
        <v>55.542499999999997</v>
      </c>
      <c r="F1467">
        <v>1183.780029</v>
      </c>
      <c r="H1467" s="50">
        <f t="shared" si="185"/>
        <v>-4.1232231729014376E-3</v>
      </c>
      <c r="I1467" s="50">
        <f t="shared" si="186"/>
        <v>-5.2768109831976568E-3</v>
      </c>
      <c r="J1467" s="50">
        <f t="shared" si="187"/>
        <v>8.6381047095204621E-3</v>
      </c>
      <c r="K1467" s="50">
        <f t="shared" si="188"/>
        <v>5.0394470179500935E-3</v>
      </c>
      <c r="L1467" s="50">
        <f t="shared" si="189"/>
        <v>4.3947990771702622E-4</v>
      </c>
      <c r="P1467" s="50">
        <f t="shared" si="184"/>
        <v>4.3947990771702622E-4</v>
      </c>
      <c r="Q1467" s="51">
        <f t="shared" si="190"/>
        <v>100.40481711200596</v>
      </c>
      <c r="R1467" s="51">
        <f t="shared" si="191"/>
        <v>43.521123255102871</v>
      </c>
    </row>
    <row r="1468" spans="1:18" x14ac:dyDescent="0.15">
      <c r="A1468" s="59">
        <v>43036.75</v>
      </c>
      <c r="B1468">
        <v>20.450990999999998</v>
      </c>
      <c r="C1468">
        <v>145.27732800000001</v>
      </c>
      <c r="D1468">
        <v>49.892426</v>
      </c>
      <c r="E1468">
        <v>55.264000000000003</v>
      </c>
      <c r="F1468">
        <v>1183.26001</v>
      </c>
      <c r="H1468" s="50">
        <f t="shared" si="185"/>
        <v>-7.163948078307337E-3</v>
      </c>
      <c r="I1468" s="50">
        <f t="shared" si="186"/>
        <v>-9.896055574967557E-3</v>
      </c>
      <c r="J1468" s="50">
        <f t="shared" si="187"/>
        <v>3.0580423711806257E-3</v>
      </c>
      <c r="K1468" s="50">
        <f t="shared" si="188"/>
        <v>1.4497318588624251E-3</v>
      </c>
      <c r="L1468" s="50">
        <f t="shared" si="189"/>
        <v>-9.456382202264696E-4</v>
      </c>
      <c r="P1468" s="50">
        <f t="shared" si="184"/>
        <v>-9.456382202264696E-4</v>
      </c>
      <c r="Q1468" s="51">
        <f t="shared" si="190"/>
        <v>100.30987047945</v>
      </c>
      <c r="R1468" s="51">
        <f t="shared" si="191"/>
        <v>43.2093401877937</v>
      </c>
    </row>
    <row r="1469" spans="1:18" x14ac:dyDescent="0.15">
      <c r="A1469" s="59">
        <v>43039.75</v>
      </c>
      <c r="B1469">
        <v>20.598558000000001</v>
      </c>
      <c r="C1469">
        <v>146.72936999999999</v>
      </c>
      <c r="D1469">
        <v>49.740318000000002</v>
      </c>
      <c r="E1469">
        <v>55.183998000000003</v>
      </c>
      <c r="F1469">
        <v>1184.380005</v>
      </c>
      <c r="H1469" s="50">
        <f t="shared" si="185"/>
        <v>-9.6846639271472613E-3</v>
      </c>
      <c r="I1469" s="50">
        <f t="shared" si="186"/>
        <v>-1.3701123498257252E-2</v>
      </c>
      <c r="J1469" s="50">
        <f t="shared" si="187"/>
        <v>-1.5554378872815685E-2</v>
      </c>
      <c r="K1469" s="50">
        <f t="shared" si="188"/>
        <v>8.6454096734735458E-3</v>
      </c>
      <c r="L1469" s="50">
        <f t="shared" si="189"/>
        <v>-7.6995412215247663E-3</v>
      </c>
      <c r="P1469" s="50">
        <f t="shared" si="184"/>
        <v>-7.6995412215247663E-3</v>
      </c>
      <c r="Q1469" s="51">
        <f t="shared" si="190"/>
        <v>99.537530496767673</v>
      </c>
      <c r="R1469" s="51">
        <f t="shared" si="191"/>
        <v>42.79087224956114</v>
      </c>
    </row>
    <row r="1470" spans="1:18" x14ac:dyDescent="0.15">
      <c r="A1470" s="59">
        <v>43040.75</v>
      </c>
      <c r="B1470">
        <v>20.799999</v>
      </c>
      <c r="C1470">
        <v>148.76765399999999</v>
      </c>
      <c r="D1470">
        <v>50.526221999999997</v>
      </c>
      <c r="E1470">
        <v>54.710999000000001</v>
      </c>
      <c r="F1470">
        <v>1193.5699460000001</v>
      </c>
      <c r="H1470" s="50">
        <f t="shared" si="185"/>
        <v>-9.8128031972384757E-3</v>
      </c>
      <c r="I1470" s="50">
        <f t="shared" si="186"/>
        <v>-8.9521933368974255E-3</v>
      </c>
      <c r="J1470" s="50">
        <f t="shared" si="187"/>
        <v>7.2440074268519195E-3</v>
      </c>
      <c r="K1470" s="50">
        <f t="shared" si="188"/>
        <v>-1.5635173960591064E-2</v>
      </c>
      <c r="L1470" s="50">
        <f t="shared" si="189"/>
        <v>-3.6645757311749992E-3</v>
      </c>
      <c r="P1470" s="50">
        <f t="shared" si="184"/>
        <v>-3.6645757311749992E-3</v>
      </c>
      <c r="Q1470" s="51">
        <f t="shared" si="190"/>
        <v>99.172767678168128</v>
      </c>
      <c r="R1470" s="51">
        <f t="shared" si="191"/>
        <v>42.370973841538024</v>
      </c>
    </row>
    <row r="1471" spans="1:18" x14ac:dyDescent="0.15">
      <c r="A1471" s="59">
        <v>43041.75</v>
      </c>
      <c r="B1471">
        <v>21.006128</v>
      </c>
      <c r="C1471">
        <v>150.111481</v>
      </c>
      <c r="D1471">
        <v>50.162841999999998</v>
      </c>
      <c r="E1471">
        <v>55.580002</v>
      </c>
      <c r="F1471">
        <v>1197.959961</v>
      </c>
      <c r="H1471" s="50">
        <f t="shared" si="185"/>
        <v>1.1048547602427518E-2</v>
      </c>
      <c r="I1471" s="50">
        <f t="shared" si="186"/>
        <v>8.4219837639281023E-3</v>
      </c>
      <c r="J1471" s="50">
        <f t="shared" si="187"/>
        <v>1.1804118494324908E-3</v>
      </c>
      <c r="K1471" s="50">
        <f t="shared" si="188"/>
        <v>-8.0845036302802775E-3</v>
      </c>
      <c r="L1471" s="50">
        <f t="shared" si="189"/>
        <v>-1.8918068632035968E-2</v>
      </c>
      <c r="P1471" s="50">
        <f t="shared" si="184"/>
        <v>-1.8918068632035968E-2</v>
      </c>
      <c r="Q1471" s="51">
        <f t="shared" si="190"/>
        <v>97.296610452803591</v>
      </c>
      <c r="R1471" s="51">
        <f t="shared" si="191"/>
        <v>42.839111562987469</v>
      </c>
    </row>
    <row r="1472" spans="1:18" x14ac:dyDescent="0.15">
      <c r="A1472" s="59">
        <v>43042.75</v>
      </c>
      <c r="B1472">
        <v>20.776577</v>
      </c>
      <c r="C1472">
        <v>148.85780299999999</v>
      </c>
      <c r="D1472">
        <v>50.103698999999999</v>
      </c>
      <c r="E1472">
        <v>56.033000999999999</v>
      </c>
      <c r="F1472">
        <v>1221.0600589999999</v>
      </c>
      <c r="H1472" s="50">
        <f t="shared" si="185"/>
        <v>-2.8105409444191959E-3</v>
      </c>
      <c r="I1472" s="50">
        <f t="shared" si="186"/>
        <v>-7.3971541484359775E-3</v>
      </c>
      <c r="J1472" s="50">
        <f t="shared" si="187"/>
        <v>2.4184212157853491E-2</v>
      </c>
      <c r="K1472" s="50">
        <f t="shared" si="188"/>
        <v>-2.234746258629702E-3</v>
      </c>
      <c r="L1472" s="50">
        <f t="shared" si="189"/>
        <v>-3.9074251285053331E-3</v>
      </c>
      <c r="P1472" s="50">
        <f t="shared" si="184"/>
        <v>-3.9074251285053331E-3</v>
      </c>
      <c r="Q1472" s="51">
        <f t="shared" si="190"/>
        <v>96.916431232201916</v>
      </c>
      <c r="R1472" s="51">
        <f t="shared" si="191"/>
        <v>42.71871048591715</v>
      </c>
    </row>
    <row r="1473" spans="1:18" x14ac:dyDescent="0.15">
      <c r="A1473" s="59">
        <v>43043.75</v>
      </c>
      <c r="B1473">
        <v>20.835135000000001</v>
      </c>
      <c r="C1473">
        <v>149.96713299999999</v>
      </c>
      <c r="D1473">
        <v>48.920592999999997</v>
      </c>
      <c r="E1473">
        <v>56.158501000000001</v>
      </c>
      <c r="F1473">
        <v>1225.849976</v>
      </c>
      <c r="H1473" s="50">
        <f t="shared" si="185"/>
        <v>-1.4513587917802034E-2</v>
      </c>
      <c r="I1473" s="50">
        <f t="shared" si="186"/>
        <v>-1.6385847995107235E-2</v>
      </c>
      <c r="J1473" s="50">
        <f t="shared" si="187"/>
        <v>-8.2236160219249926E-3</v>
      </c>
      <c r="K1473" s="50">
        <f t="shared" si="188"/>
        <v>-8.5710753377043723E-3</v>
      </c>
      <c r="L1473" s="50">
        <f t="shared" si="189"/>
        <v>2.1254657674228241E-3</v>
      </c>
      <c r="P1473" s="50">
        <f t="shared" ref="P1473:P1536" si="192">(F1473-F1474)/F1474</f>
        <v>2.1254657674228241E-3</v>
      </c>
      <c r="Q1473" s="51">
        <f t="shared" si="190"/>
        <v>97.122423789086739</v>
      </c>
      <c r="R1473" s="51">
        <f t="shared" si="191"/>
        <v>42.098708725544661</v>
      </c>
    </row>
    <row r="1474" spans="1:18" x14ac:dyDescent="0.15">
      <c r="A1474" s="59">
        <v>43046.75</v>
      </c>
      <c r="B1474">
        <v>21.141981000000001</v>
      </c>
      <c r="C1474">
        <v>152.465408</v>
      </c>
      <c r="D1474">
        <v>49.326233000000002</v>
      </c>
      <c r="E1474">
        <v>56.644001000000003</v>
      </c>
      <c r="F1474">
        <v>1223.25</v>
      </c>
      <c r="H1474" s="50">
        <f t="shared" ref="H1474:H1537" si="193">(B1474-B1475)/B1475</f>
        <v>-4.4304496469057961E-4</v>
      </c>
      <c r="I1474" s="50">
        <f t="shared" ref="I1474:I1537" si="194">(C1474-C1475)/C1475</f>
        <v>-3.548594704241789E-4</v>
      </c>
      <c r="J1474" s="50">
        <f t="shared" ref="J1474:J1537" si="195">(D1474-D1475)/D1475</f>
        <v>-2.5542688035877576E-2</v>
      </c>
      <c r="K1474" s="50">
        <f t="shared" ref="K1474:K1537" si="196">(E1474-E1475)/E1475</f>
        <v>3.3211409966763614E-3</v>
      </c>
      <c r="L1474" s="50">
        <f t="shared" ref="L1474:L1537" si="197">(F1474-F1475)/F1475</f>
        <v>8.1176659017438493E-3</v>
      </c>
      <c r="P1474" s="50">
        <f t="shared" si="192"/>
        <v>8.1176659017438493E-3</v>
      </c>
      <c r="Q1474" s="51">
        <f t="shared" si="190"/>
        <v>97.910831176974128</v>
      </c>
      <c r="R1474" s="51">
        <f t="shared" si="191"/>
        <v>42.080057104623833</v>
      </c>
    </row>
    <row r="1475" spans="1:18" x14ac:dyDescent="0.15">
      <c r="A1475" s="59">
        <v>43047.75</v>
      </c>
      <c r="B1475">
        <v>21.151351999999999</v>
      </c>
      <c r="C1475">
        <v>152.519531</v>
      </c>
      <c r="D1475">
        <v>50.619183</v>
      </c>
      <c r="E1475">
        <v>56.456501000000003</v>
      </c>
      <c r="F1475">
        <v>1213.400024</v>
      </c>
      <c r="H1475" s="50">
        <f t="shared" si="193"/>
        <v>-6.8191243512573316E-3</v>
      </c>
      <c r="I1475" s="50">
        <f t="shared" si="194"/>
        <v>-1.3130069164511661E-2</v>
      </c>
      <c r="J1475" s="50">
        <f t="shared" si="195"/>
        <v>-2.4429981928343322E-2</v>
      </c>
      <c r="K1475" s="50">
        <f t="shared" si="196"/>
        <v>3.3589371001400167E-3</v>
      </c>
      <c r="L1475" s="50">
        <f t="shared" si="197"/>
        <v>-4.3570145234908689E-3</v>
      </c>
      <c r="P1475" s="50">
        <f t="shared" si="192"/>
        <v>-4.3570145234908689E-3</v>
      </c>
      <c r="Q1475" s="51">
        <f t="shared" ref="Q1475:Q1538" si="198">Q1474*(1+P1475)</f>
        <v>97.48423226352898</v>
      </c>
      <c r="R1475" s="51">
        <f t="shared" ref="R1475:R1538" si="199">R1474*(1+H1475)</f>
        <v>41.793107962519393</v>
      </c>
    </row>
    <row r="1476" spans="1:18" x14ac:dyDescent="0.15">
      <c r="A1476" s="59">
        <v>43048.75</v>
      </c>
      <c r="B1476">
        <v>21.296576000000002</v>
      </c>
      <c r="C1476">
        <v>154.548767</v>
      </c>
      <c r="D1476">
        <v>51.886775999999998</v>
      </c>
      <c r="E1476">
        <v>56.267502</v>
      </c>
      <c r="F1476">
        <v>1218.709961</v>
      </c>
      <c r="H1476" s="50">
        <f t="shared" si="193"/>
        <v>-7.6953116404143511E-4</v>
      </c>
      <c r="I1476" s="50">
        <f t="shared" si="194"/>
        <v>-5.8365604133447458E-4</v>
      </c>
      <c r="J1476" s="50">
        <f t="shared" si="195"/>
        <v>1.6556460710776395E-2</v>
      </c>
      <c r="K1476" s="50">
        <f t="shared" si="196"/>
        <v>-3.3829804192460028E-3</v>
      </c>
      <c r="L1476" s="50">
        <f t="shared" si="197"/>
        <v>4.2601989500570918E-3</v>
      </c>
      <c r="P1476" s="50">
        <f t="shared" si="192"/>
        <v>4.2601989500570918E-3</v>
      </c>
      <c r="Q1476" s="51">
        <f t="shared" si="198"/>
        <v>97.899534487465175</v>
      </c>
      <c r="R1476" s="51">
        <f t="shared" si="199"/>
        <v>41.760946863500088</v>
      </c>
    </row>
    <row r="1477" spans="1:18" x14ac:dyDescent="0.15">
      <c r="A1477" s="59">
        <v>43049.75</v>
      </c>
      <c r="B1477">
        <v>21.312977</v>
      </c>
      <c r="C1477">
        <v>154.63902300000001</v>
      </c>
      <c r="D1477">
        <v>51.041705999999998</v>
      </c>
      <c r="E1477">
        <v>56.458500000000001</v>
      </c>
      <c r="F1477">
        <v>1213.540039</v>
      </c>
      <c r="H1477" s="50">
        <f t="shared" si="193"/>
        <v>-1.0977485001100727E-3</v>
      </c>
      <c r="I1477" s="50">
        <f t="shared" si="194"/>
        <v>1.1654949694352974E-4</v>
      </c>
      <c r="J1477" s="50">
        <f t="shared" si="195"/>
        <v>-5.1589477358114436E-3</v>
      </c>
      <c r="K1477" s="50">
        <f t="shared" si="196"/>
        <v>-6.7467542793489804E-3</v>
      </c>
      <c r="L1477" s="50">
        <f t="shared" si="197"/>
        <v>1.1949598874287501E-2</v>
      </c>
      <c r="P1477" s="50">
        <f t="shared" si="192"/>
        <v>1.1949598874287501E-2</v>
      </c>
      <c r="Q1477" s="51">
        <f t="shared" si="198"/>
        <v>99.069394654569862</v>
      </c>
      <c r="R1477" s="51">
        <f t="shared" si="199"/>
        <v>41.715103846717504</v>
      </c>
    </row>
    <row r="1478" spans="1:18" x14ac:dyDescent="0.15">
      <c r="A1478" s="59">
        <v>43050.75</v>
      </c>
      <c r="B1478">
        <v>21.336399</v>
      </c>
      <c r="C1478">
        <v>154.621002</v>
      </c>
      <c r="D1478">
        <v>51.306393</v>
      </c>
      <c r="E1478">
        <v>56.841999000000001</v>
      </c>
      <c r="F1478">
        <v>1199.209961</v>
      </c>
      <c r="H1478" s="50">
        <f t="shared" si="193"/>
        <v>1.4026486241510887E-2</v>
      </c>
      <c r="I1478" s="50">
        <f t="shared" si="194"/>
        <v>1.4438052493896448E-2</v>
      </c>
      <c r="J1478" s="50">
        <f t="shared" si="195"/>
        <v>0.10949049332699763</v>
      </c>
      <c r="K1478" s="50">
        <f t="shared" si="196"/>
        <v>9.0086893290734736E-3</v>
      </c>
      <c r="L1478" s="50">
        <f t="shared" si="197"/>
        <v>1.2189196409935473E-3</v>
      </c>
      <c r="P1478" s="50">
        <f t="shared" si="192"/>
        <v>1.2189196409935473E-3</v>
      </c>
      <c r="Q1478" s="51">
        <f t="shared" si="198"/>
        <v>99.19015228553566</v>
      </c>
      <c r="R1478" s="51">
        <f t="shared" si="199"/>
        <v>42.30022017688669</v>
      </c>
    </row>
    <row r="1479" spans="1:18" x14ac:dyDescent="0.15">
      <c r="A1479" s="59">
        <v>43053.75</v>
      </c>
      <c r="B1479">
        <v>21.041264000000002</v>
      </c>
      <c r="C1479">
        <v>152.42034899999999</v>
      </c>
      <c r="D1479">
        <v>46.243201999999997</v>
      </c>
      <c r="E1479">
        <v>56.334499000000001</v>
      </c>
      <c r="F1479">
        <v>1197.75</v>
      </c>
      <c r="H1479" s="50">
        <f t="shared" si="193"/>
        <v>-9.8273305684899448E-2</v>
      </c>
      <c r="I1479" s="50">
        <f t="shared" si="194"/>
        <v>-1.450458171883294E-2</v>
      </c>
      <c r="J1479" s="50">
        <f t="shared" si="195"/>
        <v>-1.7059824369000495E-2</v>
      </c>
      <c r="K1479" s="50">
        <f t="shared" si="196"/>
        <v>-9.3203847504289335E-3</v>
      </c>
      <c r="L1479" s="50">
        <f t="shared" si="197"/>
        <v>1.6472354804267071E-2</v>
      </c>
      <c r="P1479" s="50">
        <f t="shared" si="192"/>
        <v>1.6472354804267071E-2</v>
      </c>
      <c r="Q1479" s="51">
        <f t="shared" si="198"/>
        <v>100.82404766707229</v>
      </c>
      <c r="R1479" s="51">
        <f t="shared" si="199"/>
        <v>38.143237708904955</v>
      </c>
    </row>
    <row r="1480" spans="1:18" x14ac:dyDescent="0.15">
      <c r="A1480" s="59">
        <v>43054.75</v>
      </c>
      <c r="B1480">
        <v>23.334413999999999</v>
      </c>
      <c r="C1480">
        <v>154.663681</v>
      </c>
      <c r="D1480">
        <v>47.045794999999998</v>
      </c>
      <c r="E1480">
        <v>56.864497999999998</v>
      </c>
      <c r="F1480">
        <v>1178.339966</v>
      </c>
      <c r="H1480" s="50">
        <f t="shared" si="193"/>
        <v>2.2058042528581144E-2</v>
      </c>
      <c r="I1480" s="50">
        <f t="shared" si="194"/>
        <v>0</v>
      </c>
      <c r="J1480" s="50">
        <f t="shared" si="195"/>
        <v>-5.2287523109229232E-2</v>
      </c>
      <c r="K1480" s="50">
        <f t="shared" si="196"/>
        <v>6.5582009869755414E-3</v>
      </c>
      <c r="L1480" s="50">
        <f t="shared" si="197"/>
        <v>-2.1211787577699436E-4</v>
      </c>
      <c r="P1480" s="50">
        <f t="shared" si="192"/>
        <v>-2.1211787577699436E-4</v>
      </c>
      <c r="Q1480" s="51">
        <f t="shared" si="198"/>
        <v>100.80266108425391</v>
      </c>
      <c r="R1480" s="51">
        <f t="shared" si="199"/>
        <v>38.984602868465764</v>
      </c>
    </row>
    <row r="1481" spans="1:18" x14ac:dyDescent="0.15">
      <c r="A1481" s="59">
        <v>43055.75</v>
      </c>
      <c r="B1481">
        <v>22.830811000000001</v>
      </c>
      <c r="C1481">
        <v>154.663681</v>
      </c>
      <c r="D1481">
        <v>49.641421999999999</v>
      </c>
      <c r="E1481">
        <v>56.493999000000002</v>
      </c>
      <c r="F1481">
        <v>1178.589966</v>
      </c>
      <c r="H1481" s="50">
        <f t="shared" si="193"/>
        <v>-1.0257015314524166E-4</v>
      </c>
      <c r="I1481" s="50">
        <f t="shared" si="194"/>
        <v>-7.5457008359877294E-3</v>
      </c>
      <c r="J1481" s="50">
        <f t="shared" si="195"/>
        <v>4.4919170867071456E-3</v>
      </c>
      <c r="K1481" s="50">
        <f t="shared" si="196"/>
        <v>3.1696603304476548E-3</v>
      </c>
      <c r="L1481" s="50">
        <f t="shared" si="197"/>
        <v>-1.5125033126688649E-2</v>
      </c>
      <c r="P1481" s="50">
        <f t="shared" si="192"/>
        <v>-1.5125033126688649E-2</v>
      </c>
      <c r="Q1481" s="51">
        <f t="shared" si="198"/>
        <v>99.278017496096197</v>
      </c>
      <c r="R1481" s="51">
        <f t="shared" si="199"/>
        <v>38.980604211779244</v>
      </c>
    </row>
    <row r="1482" spans="1:18" x14ac:dyDescent="0.15">
      <c r="A1482" s="59">
        <v>43056.75</v>
      </c>
      <c r="B1482">
        <v>22.833152999999999</v>
      </c>
      <c r="C1482">
        <v>155.83959999999999</v>
      </c>
      <c r="D1482">
        <v>49.419434000000003</v>
      </c>
      <c r="E1482">
        <v>56.315497999999998</v>
      </c>
      <c r="F1482">
        <v>1196.6899410000001</v>
      </c>
      <c r="H1482" s="50">
        <f t="shared" si="193"/>
        <v>9.9463099455048519E-3</v>
      </c>
      <c r="I1482" s="50">
        <f t="shared" si="194"/>
        <v>-6.573587778641094E-3</v>
      </c>
      <c r="J1482" s="50">
        <f t="shared" si="195"/>
        <v>1.1004134792411961E-2</v>
      </c>
      <c r="K1482" s="50">
        <f t="shared" si="196"/>
        <v>-1.1566595785247774E-2</v>
      </c>
      <c r="L1482" s="50">
        <f t="shared" si="197"/>
        <v>-2.5339360111680952E-3</v>
      </c>
      <c r="P1482" s="50">
        <f t="shared" si="192"/>
        <v>-2.5339360111680952E-3</v>
      </c>
      <c r="Q1482" s="51">
        <f t="shared" si="198"/>
        <v>99.026453352445458</v>
      </c>
      <c r="R1482" s="51">
        <f t="shared" si="199"/>
        <v>39.368317383132649</v>
      </c>
    </row>
    <row r="1483" spans="1:18" x14ac:dyDescent="0.15">
      <c r="A1483" s="59">
        <v>43057.75</v>
      </c>
      <c r="B1483">
        <v>22.608284000000001</v>
      </c>
      <c r="C1483">
        <v>156.87080399999999</v>
      </c>
      <c r="D1483">
        <v>48.881535</v>
      </c>
      <c r="E1483">
        <v>56.974499000000002</v>
      </c>
      <c r="F1483">
        <v>1199.7299800000001</v>
      </c>
      <c r="H1483" s="50">
        <f t="shared" si="193"/>
        <v>1.140749419363054E-3</v>
      </c>
      <c r="I1483" s="50">
        <f t="shared" si="194"/>
        <v>5.4498989325171658E-3</v>
      </c>
      <c r="J1483" s="50">
        <f t="shared" si="195"/>
        <v>-4.1743910502698928E-3</v>
      </c>
      <c r="K1483" s="50">
        <f t="shared" si="196"/>
        <v>-1.4418419845322803E-2</v>
      </c>
      <c r="L1483" s="50">
        <f t="shared" si="197"/>
        <v>1.5778518446929702E-3</v>
      </c>
      <c r="P1483" s="50">
        <f t="shared" si="192"/>
        <v>1.5778518446929702E-3</v>
      </c>
      <c r="Q1483" s="51">
        <f t="shared" si="198"/>
        <v>99.18270242454102</v>
      </c>
      <c r="R1483" s="51">
        <f t="shared" si="199"/>
        <v>39.413226768328762</v>
      </c>
    </row>
    <row r="1484" spans="1:18" x14ac:dyDescent="0.15">
      <c r="A1484" s="59">
        <v>43060.75</v>
      </c>
      <c r="B1484">
        <v>22.582522999999998</v>
      </c>
      <c r="C1484">
        <v>156.02050800000001</v>
      </c>
      <c r="D1484">
        <v>49.086441000000001</v>
      </c>
      <c r="E1484">
        <v>57.807999000000002</v>
      </c>
      <c r="F1484">
        <v>1197.839966</v>
      </c>
      <c r="H1484" s="50">
        <f t="shared" si="193"/>
        <v>-2.173542843462958E-3</v>
      </c>
      <c r="I1484" s="50">
        <f t="shared" si="194"/>
        <v>5.0111190829366103E-3</v>
      </c>
      <c r="J1484" s="50">
        <f t="shared" si="195"/>
        <v>2.8811514771861807E-2</v>
      </c>
      <c r="K1484" s="50">
        <f t="shared" si="196"/>
        <v>-2.5160202785163576E-2</v>
      </c>
      <c r="L1484" s="50">
        <f t="shared" si="197"/>
        <v>1.4491023595420127E-2</v>
      </c>
      <c r="P1484" s="50">
        <f t="shared" si="192"/>
        <v>1.4491023595420127E-2</v>
      </c>
      <c r="Q1484" s="51">
        <f t="shared" si="198"/>
        <v>100.61996130563257</v>
      </c>
      <c r="R1484" s="51">
        <f t="shared" si="199"/>
        <v>39.32756043134868</v>
      </c>
    </row>
    <row r="1485" spans="1:18" x14ac:dyDescent="0.15">
      <c r="A1485" s="59">
        <v>43061.75</v>
      </c>
      <c r="B1485">
        <v>22.631713999999999</v>
      </c>
      <c r="C1485">
        <v>155.242569</v>
      </c>
      <c r="D1485">
        <v>47.711792000000003</v>
      </c>
      <c r="E1485">
        <v>59.299999</v>
      </c>
      <c r="F1485">
        <v>1180.7299800000001</v>
      </c>
      <c r="H1485" s="50">
        <f t="shared" si="193"/>
        <v>0</v>
      </c>
      <c r="I1485" s="50">
        <f t="shared" si="194"/>
        <v>-5.7357479182952387E-3</v>
      </c>
      <c r="J1485" s="50">
        <f t="shared" si="195"/>
        <v>7.1649952574205189E-4</v>
      </c>
      <c r="K1485" s="50">
        <f t="shared" si="196"/>
        <v>-8.2202486975573377E-3</v>
      </c>
      <c r="L1485" s="50">
        <f t="shared" si="197"/>
        <v>-1.4703547672120036E-2</v>
      </c>
      <c r="P1485" s="50">
        <f t="shared" si="192"/>
        <v>-1.4703547672120036E-2</v>
      </c>
      <c r="Q1485" s="51">
        <f t="shared" si="198"/>
        <v>99.140490907808328</v>
      </c>
      <c r="R1485" s="51">
        <f t="shared" si="199"/>
        <v>39.32756043134868</v>
      </c>
    </row>
    <row r="1486" spans="1:18" x14ac:dyDescent="0.15">
      <c r="A1486" s="59">
        <v>43062.75</v>
      </c>
      <c r="B1486">
        <v>22.631713999999999</v>
      </c>
      <c r="C1486">
        <v>156.138138</v>
      </c>
      <c r="D1486">
        <v>47.677630999999998</v>
      </c>
      <c r="E1486">
        <v>59.791499999999999</v>
      </c>
      <c r="F1486">
        <v>1198.349976</v>
      </c>
      <c r="H1486" s="50">
        <f t="shared" si="193"/>
        <v>-1.5498848648764221E-3</v>
      </c>
      <c r="I1486" s="50">
        <f t="shared" si="194"/>
        <v>-5.9889339796828662E-3</v>
      </c>
      <c r="J1486" s="50">
        <f t="shared" si="195"/>
        <v>-1.3776069212530547E-2</v>
      </c>
      <c r="K1486" s="50">
        <f t="shared" si="196"/>
        <v>1.8682975871313588E-3</v>
      </c>
      <c r="L1486" s="50">
        <f t="shared" si="197"/>
        <v>7.5247619130701642E-3</v>
      </c>
      <c r="P1486" s="50">
        <f t="shared" si="192"/>
        <v>7.5247619130701642E-3</v>
      </c>
      <c r="Q1486" s="51">
        <f t="shared" si="198"/>
        <v>99.886499497834478</v>
      </c>
      <c r="R1486" s="51">
        <f t="shared" si="199"/>
        <v>39.266607240663618</v>
      </c>
    </row>
    <row r="1487" spans="1:18" x14ac:dyDescent="0.15">
      <c r="A1487" s="59">
        <v>43064.75</v>
      </c>
      <c r="B1487">
        <v>22.666844999999999</v>
      </c>
      <c r="C1487">
        <v>157.07887299999999</v>
      </c>
      <c r="D1487">
        <v>48.343615999999997</v>
      </c>
      <c r="E1487">
        <v>59.68</v>
      </c>
      <c r="F1487">
        <v>1189.400024</v>
      </c>
      <c r="H1487" s="50">
        <f t="shared" si="193"/>
        <v>-8.0976664864336328E-3</v>
      </c>
      <c r="I1487" s="50">
        <f t="shared" si="194"/>
        <v>-2.1855624679997694E-2</v>
      </c>
      <c r="J1487" s="50">
        <f t="shared" si="195"/>
        <v>-8.2036395313008922E-2</v>
      </c>
      <c r="K1487" s="50">
        <f t="shared" si="196"/>
        <v>2.7840227127889753E-2</v>
      </c>
      <c r="L1487" s="50">
        <f t="shared" si="197"/>
        <v>1.3807620951980567E-3</v>
      </c>
      <c r="P1487" s="50">
        <f t="shared" si="192"/>
        <v>1.3807620951980567E-3</v>
      </c>
      <c r="Q1487" s="51">
        <f t="shared" si="198"/>
        <v>100.0244189901631</v>
      </c>
      <c r="R1487" s="51">
        <f t="shared" si="199"/>
        <v>38.948639351174947</v>
      </c>
    </row>
    <row r="1488" spans="1:18" x14ac:dyDescent="0.15">
      <c r="A1488" s="59">
        <v>43067.75</v>
      </c>
      <c r="B1488">
        <v>22.851891999999999</v>
      </c>
      <c r="C1488">
        <v>160.588638</v>
      </c>
      <c r="D1488">
        <v>52.663978999999998</v>
      </c>
      <c r="E1488">
        <v>58.063499</v>
      </c>
      <c r="F1488">
        <v>1187.76001</v>
      </c>
      <c r="H1488" s="50">
        <f t="shared" si="193"/>
        <v>3.393912963641001E-3</v>
      </c>
      <c r="I1488" s="50">
        <f t="shared" si="194"/>
        <v>-3.7412310733613903E-2</v>
      </c>
      <c r="J1488" s="50">
        <f t="shared" si="195"/>
        <v>2.9716193062008685E-2</v>
      </c>
      <c r="K1488" s="50">
        <f t="shared" si="196"/>
        <v>-1.3154926257746299E-2</v>
      </c>
      <c r="L1488" s="50">
        <f t="shared" si="197"/>
        <v>6.1072895690507242E-3</v>
      </c>
      <c r="P1488" s="50">
        <f t="shared" si="192"/>
        <v>6.1072895690507242E-3</v>
      </c>
      <c r="Q1488" s="51">
        <f t="shared" si="198"/>
        <v>100.6352970809121</v>
      </c>
      <c r="R1488" s="51">
        <f t="shared" si="199"/>
        <v>39.080827643185081</v>
      </c>
    </row>
    <row r="1489" spans="1:18" x14ac:dyDescent="0.15">
      <c r="A1489" s="59">
        <v>43068.75</v>
      </c>
      <c r="B1489">
        <v>22.774597</v>
      </c>
      <c r="C1489">
        <v>166.830139</v>
      </c>
      <c r="D1489">
        <v>51.144168999999998</v>
      </c>
      <c r="E1489">
        <v>58.837502000000001</v>
      </c>
      <c r="F1489">
        <v>1180.5500489999999</v>
      </c>
      <c r="H1489" s="50">
        <f t="shared" si="193"/>
        <v>-1.2327045746237577E-3</v>
      </c>
      <c r="I1489" s="50">
        <f t="shared" si="194"/>
        <v>-3.7812748106505856E-3</v>
      </c>
      <c r="J1489" s="50">
        <f t="shared" si="195"/>
        <v>6.5537564430966184E-3</v>
      </c>
      <c r="K1489" s="50">
        <f t="shared" si="196"/>
        <v>1.2388729728567143E-2</v>
      </c>
      <c r="L1489" s="50">
        <f t="shared" si="197"/>
        <v>-2.1159549729796622E-2</v>
      </c>
      <c r="P1489" s="50">
        <f t="shared" si="192"/>
        <v>-2.1159549729796622E-2</v>
      </c>
      <c r="Q1489" s="51">
        <f t="shared" si="198"/>
        <v>98.505899507755686</v>
      </c>
      <c r="R1489" s="51">
        <f t="shared" si="199"/>
        <v>39.032652528169244</v>
      </c>
    </row>
    <row r="1490" spans="1:18" x14ac:dyDescent="0.15">
      <c r="A1490" s="59">
        <v>43069.75</v>
      </c>
      <c r="B1490">
        <v>22.802706000000001</v>
      </c>
      <c r="C1490">
        <v>167.46336400000001</v>
      </c>
      <c r="D1490">
        <v>50.811165000000003</v>
      </c>
      <c r="E1490">
        <v>58.1175</v>
      </c>
      <c r="F1490">
        <v>1206.0699460000001</v>
      </c>
      <c r="H1490" s="50">
        <f t="shared" si="193"/>
        <v>3.5048970508554551E-3</v>
      </c>
      <c r="I1490" s="50">
        <f t="shared" si="194"/>
        <v>-2.3369791051522256E-2</v>
      </c>
      <c r="J1490" s="50">
        <f t="shared" si="195"/>
        <v>-4.8753601866848927E-2</v>
      </c>
      <c r="K1490" s="50">
        <f t="shared" si="196"/>
        <v>2.5045232154688669E-2</v>
      </c>
      <c r="L1490" s="50">
        <f t="shared" si="197"/>
        <v>-1.2656326601038426E-2</v>
      </c>
      <c r="P1490" s="50">
        <f t="shared" si="192"/>
        <v>-1.2656326601038426E-2</v>
      </c>
      <c r="Q1490" s="51">
        <f t="shared" si="198"/>
        <v>97.259176671456459</v>
      </c>
      <c r="R1490" s="51">
        <f t="shared" si="199"/>
        <v>39.169457956902292</v>
      </c>
    </row>
    <row r="1491" spans="1:18" x14ac:dyDescent="0.15">
      <c r="A1491" s="59">
        <v>43070.75</v>
      </c>
      <c r="B1491">
        <v>22.723064000000001</v>
      </c>
      <c r="C1491">
        <v>171.470596</v>
      </c>
      <c r="D1491">
        <v>53.415356000000003</v>
      </c>
      <c r="E1491">
        <v>56.697498000000003</v>
      </c>
      <c r="F1491">
        <v>1221.530029</v>
      </c>
      <c r="H1491" s="50">
        <f t="shared" si="193"/>
        <v>-8.3819700322118103E-3</v>
      </c>
      <c r="I1491" s="50">
        <f t="shared" si="194"/>
        <v>9.2641260523486455E-3</v>
      </c>
      <c r="J1491" s="50">
        <f t="shared" si="195"/>
        <v>5.7877743756734263E-3</v>
      </c>
      <c r="K1491" s="50">
        <f t="shared" si="196"/>
        <v>-6.6750353754046286E-3</v>
      </c>
      <c r="L1491" s="50">
        <f t="shared" si="197"/>
        <v>-2.5964776161398495E-3</v>
      </c>
      <c r="P1491" s="50">
        <f t="shared" si="192"/>
        <v>-2.5964776161398495E-3</v>
      </c>
      <c r="Q1491" s="51">
        <f t="shared" si="198"/>
        <v>97.00664539626483</v>
      </c>
      <c r="R1491" s="51">
        <f t="shared" si="199"/>
        <v>38.841140734129553</v>
      </c>
    </row>
    <row r="1492" spans="1:18" x14ac:dyDescent="0.15">
      <c r="A1492" s="59">
        <v>43071.75</v>
      </c>
      <c r="B1492">
        <v>22.915137999999999</v>
      </c>
      <c r="C1492">
        <v>169.89665199999999</v>
      </c>
      <c r="D1492">
        <v>53.107979</v>
      </c>
      <c r="E1492">
        <v>57.078499000000001</v>
      </c>
      <c r="F1492">
        <v>1224.709961</v>
      </c>
      <c r="H1492" s="50">
        <f t="shared" si="193"/>
        <v>-1.0074029082437271E-2</v>
      </c>
      <c r="I1492" s="50">
        <f t="shared" si="194"/>
        <v>3.2044955217402308E-3</v>
      </c>
      <c r="J1492" s="50">
        <f t="shared" si="195"/>
        <v>2.4374442838975073E-2</v>
      </c>
      <c r="K1492" s="50">
        <f t="shared" si="196"/>
        <v>-9.3548140755846561E-3</v>
      </c>
      <c r="L1492" s="50">
        <f t="shared" si="197"/>
        <v>1.2999264229998986E-3</v>
      </c>
      <c r="P1492" s="50">
        <f t="shared" si="192"/>
        <v>1.2999264229998986E-3</v>
      </c>
      <c r="Q1492" s="51">
        <f t="shared" si="198"/>
        <v>97.132746897822003</v>
      </c>
      <c r="R1492" s="51">
        <f t="shared" si="199"/>
        <v>38.449853952778895</v>
      </c>
    </row>
    <row r="1493" spans="1:18" x14ac:dyDescent="0.15">
      <c r="A1493" s="59">
        <v>43074.75</v>
      </c>
      <c r="B1493">
        <v>23.148334999999999</v>
      </c>
      <c r="C1493">
        <v>169.35395800000001</v>
      </c>
      <c r="D1493">
        <v>51.844302999999996</v>
      </c>
      <c r="E1493">
        <v>57.6175</v>
      </c>
      <c r="F1493">
        <v>1223.119995</v>
      </c>
      <c r="H1493" s="50">
        <f t="shared" si="193"/>
        <v>-1.0642406813868849E-2</v>
      </c>
      <c r="I1493" s="50">
        <f t="shared" si="194"/>
        <v>5.4783724222543309E-3</v>
      </c>
      <c r="J1493" s="50">
        <f t="shared" si="195"/>
        <v>-6.0566844607503386E-3</v>
      </c>
      <c r="K1493" s="50">
        <f t="shared" si="196"/>
        <v>-6.4149201636475254E-3</v>
      </c>
      <c r="L1493" s="50">
        <f t="shared" si="197"/>
        <v>-5.1481511746678886E-4</v>
      </c>
      <c r="P1493" s="50">
        <f t="shared" si="192"/>
        <v>-5.1481511746678886E-4</v>
      </c>
      <c r="Q1493" s="51">
        <f t="shared" si="198"/>
        <v>97.082741491317933</v>
      </c>
      <c r="R1493" s="51">
        <f t="shared" si="199"/>
        <v>38.040654965079575</v>
      </c>
    </row>
    <row r="1494" spans="1:18" x14ac:dyDescent="0.15">
      <c r="A1494" s="59">
        <v>43075.75</v>
      </c>
      <c r="B1494">
        <v>23.397338999999999</v>
      </c>
      <c r="C1494">
        <v>168.431229</v>
      </c>
      <c r="D1494">
        <v>52.160221</v>
      </c>
      <c r="E1494">
        <v>57.989497999999998</v>
      </c>
      <c r="F1494">
        <v>1223.75</v>
      </c>
      <c r="H1494" s="50">
        <f t="shared" si="193"/>
        <v>2.3818272697115101E-3</v>
      </c>
      <c r="I1494" s="50">
        <f t="shared" si="194"/>
        <v>-9.9433398757831151E-3</v>
      </c>
      <c r="J1494" s="50">
        <f t="shared" si="195"/>
        <v>-4.5622003524971909E-3</v>
      </c>
      <c r="K1494" s="50">
        <f t="shared" si="196"/>
        <v>-1.901893352905138E-3</v>
      </c>
      <c r="L1494" s="50">
        <f t="shared" si="197"/>
        <v>-3.688107673368361E-3</v>
      </c>
      <c r="P1494" s="50">
        <f t="shared" si="192"/>
        <v>-3.688107673368361E-3</v>
      </c>
      <c r="Q1494" s="51">
        <f t="shared" si="198"/>
        <v>96.724689887472167</v>
      </c>
      <c r="R1494" s="51">
        <f t="shared" si="199"/>
        <v>38.13126123443309</v>
      </c>
    </row>
    <row r="1495" spans="1:18" x14ac:dyDescent="0.15">
      <c r="A1495" s="59">
        <v>43076.75</v>
      </c>
      <c r="B1495">
        <v>23.341743000000001</v>
      </c>
      <c r="C1495">
        <v>170.122818</v>
      </c>
      <c r="D1495">
        <v>52.399276999999998</v>
      </c>
      <c r="E1495">
        <v>58.099997999999999</v>
      </c>
      <c r="F1495">
        <v>1228.280029</v>
      </c>
      <c r="H1495" s="50">
        <f t="shared" si="193"/>
        <v>-3.9202668270175356E-3</v>
      </c>
      <c r="I1495" s="50">
        <f t="shared" si="194"/>
        <v>-4.1828311109531049E-3</v>
      </c>
      <c r="J1495" s="50">
        <f t="shared" si="195"/>
        <v>-6.3149932770782758E-3</v>
      </c>
      <c r="K1495" s="50">
        <f t="shared" si="196"/>
        <v>-5.92001173596162E-3</v>
      </c>
      <c r="L1495" s="50">
        <f t="shared" si="197"/>
        <v>-3.8280381184103707E-3</v>
      </c>
      <c r="P1495" s="50">
        <f t="shared" si="192"/>
        <v>-3.8280381184103707E-3</v>
      </c>
      <c r="Q1495" s="51">
        <f t="shared" si="198"/>
        <v>96.354424087591497</v>
      </c>
      <c r="R1495" s="51">
        <f t="shared" si="199"/>
        <v>37.981776515943402</v>
      </c>
    </row>
    <row r="1496" spans="1:18" x14ac:dyDescent="0.15">
      <c r="A1496" s="59">
        <v>43077.75</v>
      </c>
      <c r="B1496">
        <v>23.433609000000001</v>
      </c>
      <c r="C1496">
        <v>170.837402</v>
      </c>
      <c r="D1496">
        <v>52.732281</v>
      </c>
      <c r="E1496">
        <v>58.445999</v>
      </c>
      <c r="F1496">
        <v>1233</v>
      </c>
      <c r="H1496" s="50">
        <f t="shared" si="193"/>
        <v>2.3786893660706844E-3</v>
      </c>
      <c r="I1496" s="50">
        <f t="shared" si="194"/>
        <v>2.9738003102573085E-3</v>
      </c>
      <c r="J1496" s="50">
        <f t="shared" si="195"/>
        <v>1.2127053168210259E-2</v>
      </c>
      <c r="K1496" s="50">
        <f t="shared" si="196"/>
        <v>3.2958593986384082E-3</v>
      </c>
      <c r="L1496" s="50">
        <f t="shared" si="197"/>
        <v>-5.9658367113995074E-3</v>
      </c>
      <c r="P1496" s="50">
        <f t="shared" si="192"/>
        <v>-5.9658367113995074E-3</v>
      </c>
      <c r="Q1496" s="51">
        <f t="shared" si="198"/>
        <v>95.779589327063988</v>
      </c>
      <c r="R1496" s="51">
        <f t="shared" si="199"/>
        <v>38.072123363846352</v>
      </c>
    </row>
    <row r="1497" spans="1:18" x14ac:dyDescent="0.15">
      <c r="A1497" s="59">
        <v>43078.75</v>
      </c>
      <c r="B1497">
        <v>23.378</v>
      </c>
      <c r="C1497">
        <v>170.330872</v>
      </c>
      <c r="D1497">
        <v>52.100456000000001</v>
      </c>
      <c r="E1497">
        <v>58.254002</v>
      </c>
      <c r="F1497">
        <v>1240.400024</v>
      </c>
      <c r="H1497" s="50">
        <f t="shared" si="193"/>
        <v>-1.084281793948123E-2</v>
      </c>
      <c r="I1497" s="50">
        <f t="shared" si="194"/>
        <v>1.0652756318647871E-4</v>
      </c>
      <c r="J1497" s="50">
        <f t="shared" si="195"/>
        <v>-2.6328191656105591E-2</v>
      </c>
      <c r="K1497" s="50">
        <f t="shared" si="196"/>
        <v>8.1607722821196388E-4</v>
      </c>
      <c r="L1497" s="50">
        <f t="shared" si="197"/>
        <v>-4.8318367286657469E-5</v>
      </c>
      <c r="P1497" s="50">
        <f t="shared" si="192"/>
        <v>-4.8318367286657469E-5</v>
      </c>
      <c r="Q1497" s="51">
        <f t="shared" si="198"/>
        <v>95.774961413688317</v>
      </c>
      <c r="R1497" s="51">
        <f t="shared" si="199"/>
        <v>37.659314261642692</v>
      </c>
    </row>
    <row r="1498" spans="1:18" x14ac:dyDescent="0.15">
      <c r="A1498" s="59">
        <v>43081.75</v>
      </c>
      <c r="B1498">
        <v>23.634262</v>
      </c>
      <c r="C1498">
        <v>170.31272899999999</v>
      </c>
      <c r="D1498">
        <v>53.509258000000003</v>
      </c>
      <c r="E1498">
        <v>58.206501000000003</v>
      </c>
      <c r="F1498">
        <v>1240.459961</v>
      </c>
      <c r="H1498" s="50">
        <f t="shared" si="193"/>
        <v>6.4860865934677414E-3</v>
      </c>
      <c r="I1498" s="50">
        <f t="shared" si="194"/>
        <v>9.3818258567060619E-3</v>
      </c>
      <c r="J1498" s="50">
        <f t="shared" si="195"/>
        <v>1.1785641494322529E-2</v>
      </c>
      <c r="K1498" s="50">
        <f t="shared" si="196"/>
        <v>-8.6267094403843451E-3</v>
      </c>
      <c r="L1498" s="50">
        <f t="shared" si="197"/>
        <v>-9.1012736164459529E-4</v>
      </c>
      <c r="P1498" s="50">
        <f t="shared" si="192"/>
        <v>-9.1012736164459529E-4</v>
      </c>
      <c r="Q1498" s="51">
        <f t="shared" si="198"/>
        <v>95.687794000745257</v>
      </c>
      <c r="R1498" s="51">
        <f t="shared" si="199"/>
        <v>37.903575834994321</v>
      </c>
    </row>
    <row r="1499" spans="1:18" x14ac:dyDescent="0.15">
      <c r="A1499" s="59">
        <v>43082.75</v>
      </c>
      <c r="B1499">
        <v>23.481956</v>
      </c>
      <c r="C1499">
        <v>168.729736</v>
      </c>
      <c r="D1499">
        <v>52.885962999999997</v>
      </c>
      <c r="E1499">
        <v>58.713000999999998</v>
      </c>
      <c r="F1499">
        <v>1241.589966</v>
      </c>
      <c r="H1499" s="50">
        <f t="shared" si="193"/>
        <v>2.0585997696572189E-4</v>
      </c>
      <c r="I1499" s="50">
        <f t="shared" si="194"/>
        <v>-3.2169324068591028E-2</v>
      </c>
      <c r="J1499" s="50">
        <f t="shared" si="195"/>
        <v>-1.0701384139837029E-2</v>
      </c>
      <c r="K1499" s="50">
        <f t="shared" si="196"/>
        <v>-4.1386094248586315E-3</v>
      </c>
      <c r="L1499" s="50">
        <f t="shared" si="197"/>
        <v>5.1488274272617112E-3</v>
      </c>
      <c r="P1499" s="50">
        <f t="shared" si="192"/>
        <v>5.1488274272617112E-3</v>
      </c>
      <c r="Q1499" s="51">
        <f t="shared" si="198"/>
        <v>96.18047393895047</v>
      </c>
      <c r="R1499" s="51">
        <f t="shared" si="199"/>
        <v>37.911378664242626</v>
      </c>
    </row>
    <row r="1500" spans="1:18" x14ac:dyDescent="0.15">
      <c r="A1500" s="59">
        <v>43083.75</v>
      </c>
      <c r="B1500">
        <v>23.477122999999999</v>
      </c>
      <c r="C1500">
        <v>174.33807400000001</v>
      </c>
      <c r="D1500">
        <v>53.458038000000002</v>
      </c>
      <c r="E1500">
        <v>58.957000999999998</v>
      </c>
      <c r="F1500">
        <v>1235.2299800000001</v>
      </c>
      <c r="H1500" s="50">
        <f t="shared" si="193"/>
        <v>-8.0695487608349516E-3</v>
      </c>
      <c r="I1500" s="50">
        <f t="shared" si="194"/>
        <v>2.18384676555816E-3</v>
      </c>
      <c r="J1500" s="50">
        <f t="shared" si="195"/>
        <v>-2.2940002841729552E-2</v>
      </c>
      <c r="K1500" s="50">
        <f t="shared" si="196"/>
        <v>-9.6087286802857327E-3</v>
      </c>
      <c r="L1500" s="50">
        <f t="shared" si="197"/>
        <v>-6.1470749400462828E-3</v>
      </c>
      <c r="P1500" s="50">
        <f t="shared" si="192"/>
        <v>-6.1470749400462828E-3</v>
      </c>
      <c r="Q1500" s="51">
        <f t="shared" si="198"/>
        <v>95.589245357878568</v>
      </c>
      <c r="R1500" s="51">
        <f t="shared" si="199"/>
        <v>37.605450945521042</v>
      </c>
    </row>
    <row r="1501" spans="1:18" x14ac:dyDescent="0.15">
      <c r="A1501" s="59">
        <v>43084.75</v>
      </c>
      <c r="B1501">
        <v>23.668113999999999</v>
      </c>
      <c r="C1501">
        <v>173.95817600000001</v>
      </c>
      <c r="D1501">
        <v>54.713158</v>
      </c>
      <c r="E1501">
        <v>59.528998999999999</v>
      </c>
      <c r="F1501">
        <v>1242.869995</v>
      </c>
      <c r="H1501" s="50">
        <f t="shared" si="193"/>
        <v>-9.1093842013744881E-3</v>
      </c>
      <c r="I1501" s="50">
        <f t="shared" si="194"/>
        <v>2.1132990277732945E-2</v>
      </c>
      <c r="J1501" s="50">
        <f t="shared" si="195"/>
        <v>3.1225273021860504E-4</v>
      </c>
      <c r="K1501" s="50">
        <f t="shared" si="196"/>
        <v>2.6950092252691778E-3</v>
      </c>
      <c r="L1501" s="50">
        <f t="shared" si="197"/>
        <v>-8.3610467925526743E-4</v>
      </c>
      <c r="P1501" s="50">
        <f t="shared" si="192"/>
        <v>-8.3610467925526743E-4</v>
      </c>
      <c r="Q1501" s="51">
        <f t="shared" si="198"/>
        <v>95.509322742548363</v>
      </c>
      <c r="R1501" s="51">
        <f t="shared" si="199"/>
        <v>37.262888444792345</v>
      </c>
    </row>
    <row r="1502" spans="1:18" x14ac:dyDescent="0.15">
      <c r="A1502" s="59">
        <v>43085.75</v>
      </c>
      <c r="B1502">
        <v>23.885698000000001</v>
      </c>
      <c r="C1502">
        <v>170.358002</v>
      </c>
      <c r="D1502">
        <v>54.696078999999997</v>
      </c>
      <c r="E1502">
        <v>59.368999000000002</v>
      </c>
      <c r="F1502">
        <v>1243.910034</v>
      </c>
      <c r="H1502" s="50">
        <f t="shared" si="193"/>
        <v>5.0675222840299407E-4</v>
      </c>
      <c r="I1502" s="50">
        <f t="shared" si="194"/>
        <v>4.3731720242520689E-3</v>
      </c>
      <c r="J1502" s="50">
        <f t="shared" si="195"/>
        <v>-6.5138132179281879E-3</v>
      </c>
      <c r="K1502" s="50">
        <f t="shared" si="196"/>
        <v>8.2878686114729039E-3</v>
      </c>
      <c r="L1502" s="50">
        <f t="shared" si="197"/>
        <v>-2.5418755106669699E-3</v>
      </c>
      <c r="P1502" s="50">
        <f t="shared" si="192"/>
        <v>-2.5418755106669699E-3</v>
      </c>
      <c r="Q1502" s="51">
        <f t="shared" si="198"/>
        <v>95.266549934028689</v>
      </c>
      <c r="R1502" s="51">
        <f t="shared" si="199"/>
        <v>37.28177149654848</v>
      </c>
    </row>
    <row r="1503" spans="1:18" x14ac:dyDescent="0.15">
      <c r="A1503" s="59">
        <v>43088.75</v>
      </c>
      <c r="B1503">
        <v>23.8736</v>
      </c>
      <c r="C1503">
        <v>169.616241</v>
      </c>
      <c r="D1503">
        <v>55.054695000000002</v>
      </c>
      <c r="E1503">
        <v>58.881000999999998</v>
      </c>
      <c r="F1503">
        <v>1247.079956</v>
      </c>
      <c r="H1503" s="50">
        <f t="shared" si="193"/>
        <v>7.0360833646147146E-3</v>
      </c>
      <c r="I1503" s="50">
        <f t="shared" si="194"/>
        <v>3.8007441783325996E-3</v>
      </c>
      <c r="J1503" s="50">
        <f t="shared" si="195"/>
        <v>-1.1346103150277646E-2</v>
      </c>
      <c r="K1503" s="50">
        <f t="shared" si="196"/>
        <v>2.4345739118555201E-3</v>
      </c>
      <c r="L1503" s="50">
        <f t="shared" si="197"/>
        <v>-5.9939583483619736E-3</v>
      </c>
      <c r="P1503" s="50">
        <f t="shared" si="192"/>
        <v>-5.9939583483619736E-3</v>
      </c>
      <c r="Q1503" s="51">
        <f t="shared" si="198"/>
        <v>94.695526201731965</v>
      </c>
      <c r="R1503" s="51">
        <f t="shared" si="199"/>
        <v>37.544089148778717</v>
      </c>
    </row>
    <row r="1504" spans="1:18" x14ac:dyDescent="0.15">
      <c r="A1504" s="59">
        <v>43089.75</v>
      </c>
      <c r="B1504">
        <v>23.706797000000002</v>
      </c>
      <c r="C1504">
        <v>168.97401400000001</v>
      </c>
      <c r="D1504">
        <v>55.686520000000002</v>
      </c>
      <c r="E1504">
        <v>58.737999000000002</v>
      </c>
      <c r="F1504">
        <v>1254.599976</v>
      </c>
      <c r="H1504" s="50">
        <f t="shared" si="193"/>
        <v>-1.5270991875306937E-3</v>
      </c>
      <c r="I1504" s="50">
        <f t="shared" si="194"/>
        <v>9.1080897634726219E-4</v>
      </c>
      <c r="J1504" s="50">
        <f t="shared" si="195"/>
        <v>-2.5998861291572201E-3</v>
      </c>
      <c r="K1504" s="50">
        <f t="shared" si="196"/>
        <v>5.4777637967366923E-3</v>
      </c>
      <c r="L1504" s="50">
        <f t="shared" si="197"/>
        <v>-3.3681723765672327E-3</v>
      </c>
      <c r="P1504" s="50">
        <f t="shared" si="192"/>
        <v>-3.3681723765672327E-3</v>
      </c>
      <c r="Q1504" s="51">
        <f t="shared" si="198"/>
        <v>94.376575346194784</v>
      </c>
      <c r="R1504" s="51">
        <f t="shared" si="199"/>
        <v>37.486755600743038</v>
      </c>
    </row>
    <row r="1505" spans="1:18" x14ac:dyDescent="0.15">
      <c r="A1505" s="59">
        <v>43090.75</v>
      </c>
      <c r="B1505">
        <v>23.743054999999998</v>
      </c>
      <c r="C1505">
        <v>168.82025100000001</v>
      </c>
      <c r="D1505">
        <v>55.831676000000002</v>
      </c>
      <c r="E1505">
        <v>58.417999000000002</v>
      </c>
      <c r="F1505">
        <v>1258.839966</v>
      </c>
      <c r="H1505" s="50">
        <f t="shared" si="193"/>
        <v>-9.5805537684553275E-3</v>
      </c>
      <c r="I1505" s="50">
        <f t="shared" si="194"/>
        <v>4.2905435790183588E-4</v>
      </c>
      <c r="J1505" s="50">
        <f t="shared" si="195"/>
        <v>-6.5328424902347066E-3</v>
      </c>
      <c r="K1505" s="50">
        <f t="shared" si="196"/>
        <v>-7.1382778622950949E-3</v>
      </c>
      <c r="L1505" s="50">
        <f t="shared" si="197"/>
        <v>1.6470364243730709E-3</v>
      </c>
      <c r="P1505" s="50">
        <f t="shared" si="192"/>
        <v>1.6470364243730709E-3</v>
      </c>
      <c r="Q1505" s="51">
        <f t="shared" si="198"/>
        <v>94.532017003397556</v>
      </c>
      <c r="R1505" s="51">
        <f t="shared" si="199"/>
        <v>37.127611723105176</v>
      </c>
    </row>
    <row r="1506" spans="1:18" x14ac:dyDescent="0.15">
      <c r="A1506" s="59">
        <v>43091.75</v>
      </c>
      <c r="B1506">
        <v>23.972726999999999</v>
      </c>
      <c r="C1506">
        <v>168.747849</v>
      </c>
      <c r="D1506">
        <v>56.198813999999999</v>
      </c>
      <c r="E1506">
        <v>58.838000999999998</v>
      </c>
      <c r="F1506">
        <v>1256.7700199999999</v>
      </c>
      <c r="H1506" s="50">
        <f t="shared" si="193"/>
        <v>-1.0073800779526547E-3</v>
      </c>
      <c r="I1506" s="50">
        <f t="shared" si="194"/>
        <v>1.3421538252407291E-3</v>
      </c>
      <c r="J1506" s="50">
        <f t="shared" si="195"/>
        <v>1.0438899151412995E-2</v>
      </c>
      <c r="K1506" s="50">
        <f t="shared" si="196"/>
        <v>-4.6520732267365363E-3</v>
      </c>
      <c r="L1506" s="50">
        <f t="shared" si="197"/>
        <v>-6.1232165666261348E-4</v>
      </c>
      <c r="P1506" s="50">
        <f t="shared" si="192"/>
        <v>-6.1232165666261348E-4</v>
      </c>
      <c r="Q1506" s="51">
        <f t="shared" si="198"/>
        <v>94.474133002138373</v>
      </c>
      <c r="R1506" s="51">
        <f t="shared" si="199"/>
        <v>37.090210106713357</v>
      </c>
    </row>
    <row r="1507" spans="1:18" x14ac:dyDescent="0.15">
      <c r="A1507" s="59">
        <v>43095.75</v>
      </c>
      <c r="B1507">
        <v>23.996901000000001</v>
      </c>
      <c r="C1507">
        <v>168.52166700000001</v>
      </c>
      <c r="D1507">
        <v>55.618220999999998</v>
      </c>
      <c r="E1507">
        <v>59.112999000000002</v>
      </c>
      <c r="F1507">
        <v>1257.540039</v>
      </c>
      <c r="H1507" s="50">
        <f t="shared" si="193"/>
        <v>-1.4086533788038977E-3</v>
      </c>
      <c r="I1507" s="50">
        <f t="shared" si="194"/>
        <v>-1.7150581275453098E-3</v>
      </c>
      <c r="J1507" s="50">
        <f t="shared" si="195"/>
        <v>4.9369422552568657E-3</v>
      </c>
      <c r="K1507" s="50">
        <f t="shared" si="196"/>
        <v>-3.2375179158586568E-3</v>
      </c>
      <c r="L1507" s="50">
        <f t="shared" si="197"/>
        <v>-7.7072966626621174E-4</v>
      </c>
      <c r="P1507" s="50">
        <f t="shared" si="192"/>
        <v>-7.7072966626621174E-4</v>
      </c>
      <c r="Q1507" s="51">
        <f t="shared" si="198"/>
        <v>94.401318985138843</v>
      </c>
      <c r="R1507" s="51">
        <f t="shared" si="199"/>
        <v>37.037962856925986</v>
      </c>
    </row>
    <row r="1508" spans="1:18" x14ac:dyDescent="0.15">
      <c r="A1508" s="59">
        <v>43096.75</v>
      </c>
      <c r="B1508">
        <v>24.030752</v>
      </c>
      <c r="C1508">
        <v>168.81118799999999</v>
      </c>
      <c r="D1508">
        <v>55.344985999999999</v>
      </c>
      <c r="E1508">
        <v>59.305</v>
      </c>
      <c r="F1508">
        <v>1258.51001</v>
      </c>
      <c r="H1508" s="50">
        <f t="shared" si="193"/>
        <v>6.5826687219355251E-3</v>
      </c>
      <c r="I1508" s="50">
        <f t="shared" si="194"/>
        <v>2.6864394732153021E-3</v>
      </c>
      <c r="J1508" s="50">
        <f t="shared" si="195"/>
        <v>-6.5900547478599135E-3</v>
      </c>
      <c r="K1508" s="50">
        <f t="shared" si="196"/>
        <v>1.4220134150001918E-2</v>
      </c>
      <c r="L1508" s="50">
        <f t="shared" si="197"/>
        <v>-1.0081275863756747E-3</v>
      </c>
      <c r="P1508" s="50">
        <f t="shared" si="192"/>
        <v>-1.0081275863756747E-3</v>
      </c>
      <c r="Q1508" s="51">
        <f t="shared" si="198"/>
        <v>94.306150411279674</v>
      </c>
      <c r="R1508" s="51">
        <f t="shared" si="199"/>
        <v>37.28177149654848</v>
      </c>
    </row>
    <row r="1509" spans="1:18" x14ac:dyDescent="0.15">
      <c r="A1509" s="59">
        <v>43097.75</v>
      </c>
      <c r="B1509">
        <v>23.8736</v>
      </c>
      <c r="C1509">
        <v>168.358902</v>
      </c>
      <c r="D1509">
        <v>55.712131999999997</v>
      </c>
      <c r="E1509">
        <v>58.473498999999997</v>
      </c>
      <c r="F1509">
        <v>1259.780029</v>
      </c>
      <c r="H1509" s="50">
        <f t="shared" si="193"/>
        <v>1.6224508157754861E-3</v>
      </c>
      <c r="I1509" s="50">
        <f t="shared" si="194"/>
        <v>-1.1682115681871779E-2</v>
      </c>
      <c r="J1509" s="50">
        <f t="shared" si="195"/>
        <v>-3.5191393661621474E-2</v>
      </c>
      <c r="K1509" s="50">
        <f t="shared" si="196"/>
        <v>-1.6433856737958493E-2</v>
      </c>
      <c r="L1509" s="50">
        <f t="shared" si="197"/>
        <v>1.5104970207392957E-3</v>
      </c>
      <c r="P1509" s="50">
        <f t="shared" si="192"/>
        <v>1.5104970207392957E-3</v>
      </c>
      <c r="Q1509" s="51">
        <f t="shared" si="198"/>
        <v>94.448599570513309</v>
      </c>
      <c r="R1509" s="51">
        <f t="shared" si="199"/>
        <v>37.342259337126606</v>
      </c>
    </row>
    <row r="1510" spans="1:18" x14ac:dyDescent="0.15">
      <c r="A1510" s="59">
        <v>43098.75</v>
      </c>
      <c r="B1510">
        <v>23.834928999999999</v>
      </c>
      <c r="C1510">
        <v>170.348938</v>
      </c>
      <c r="D1510">
        <v>57.744231999999997</v>
      </c>
      <c r="E1510">
        <v>59.450499999999998</v>
      </c>
      <c r="F1510">
        <v>1257.880005</v>
      </c>
      <c r="H1510" s="50">
        <f t="shared" si="193"/>
        <v>-8.6474812729063245E-3</v>
      </c>
      <c r="I1510" s="50">
        <f t="shared" si="194"/>
        <v>-1.1858508509598733E-2</v>
      </c>
      <c r="J1510" s="50">
        <f t="shared" si="195"/>
        <v>6.8481229482439442E-3</v>
      </c>
      <c r="K1510" s="50">
        <f t="shared" si="196"/>
        <v>-1.2614167291383035E-2</v>
      </c>
      <c r="L1510" s="50">
        <f t="shared" si="197"/>
        <v>1.9082567120769797E-4</v>
      </c>
      <c r="P1510" s="50">
        <f t="shared" si="192"/>
        <v>1.9082567120769797E-4</v>
      </c>
      <c r="Q1510" s="51">
        <f t="shared" si="198"/>
        <v>94.466622787920983</v>
      </c>
      <c r="R1510" s="51">
        <f t="shared" si="199"/>
        <v>37.019342848820791</v>
      </c>
    </row>
    <row r="1511" spans="1:18" x14ac:dyDescent="0.15">
      <c r="A1511" s="59">
        <v>43099.75</v>
      </c>
      <c r="B1511">
        <v>24.042839000000001</v>
      </c>
      <c r="C1511">
        <v>172.39326500000001</v>
      </c>
      <c r="D1511">
        <v>57.351481999999997</v>
      </c>
      <c r="E1511">
        <v>60.209999000000003</v>
      </c>
      <c r="F1511">
        <v>1257.6400149999999</v>
      </c>
      <c r="H1511" s="50">
        <f t="shared" si="193"/>
        <v>-9.0427432826632986E-4</v>
      </c>
      <c r="I1511" s="50">
        <f t="shared" si="194"/>
        <v>7.82642282706132E-3</v>
      </c>
      <c r="J1511" s="50">
        <f t="shared" si="195"/>
        <v>2.0045592280793226E-2</v>
      </c>
      <c r="K1511" s="50">
        <f t="shared" si="196"/>
        <v>-4.4560718921287084E-3</v>
      </c>
      <c r="L1511" s="50">
        <f t="shared" si="197"/>
        <v>-1.1188234690606149E-2</v>
      </c>
      <c r="P1511" s="50">
        <f t="shared" si="192"/>
        <v>-1.1188234690606149E-2</v>
      </c>
      <c r="Q1511" s="51">
        <f t="shared" si="198"/>
        <v>93.409708041740757</v>
      </c>
      <c r="R1511" s="51">
        <f t="shared" si="199"/>
        <v>36.985867207433316</v>
      </c>
    </row>
    <row r="1512" spans="1:18" x14ac:dyDescent="0.15">
      <c r="A1512" s="59">
        <v>43102.75</v>
      </c>
      <c r="B1512">
        <v>24.064599999999999</v>
      </c>
      <c r="C1512">
        <v>171.05452</v>
      </c>
      <c r="D1512">
        <v>56.224429999999998</v>
      </c>
      <c r="E1512">
        <v>60.479500000000002</v>
      </c>
      <c r="F1512">
        <v>1271.869995</v>
      </c>
      <c r="H1512" s="50">
        <f t="shared" si="193"/>
        <v>-5.892123477810372E-3</v>
      </c>
      <c r="I1512" s="50">
        <f t="shared" si="194"/>
        <v>7.190437232396399E-3</v>
      </c>
      <c r="J1512" s="50">
        <f t="shared" si="195"/>
        <v>-1.0518353728711781E-2</v>
      </c>
      <c r="K1512" s="50">
        <f t="shared" si="196"/>
        <v>-1.5905445825447888E-2</v>
      </c>
      <c r="L1512" s="50">
        <f t="shared" si="197"/>
        <v>1.3147882730472264E-3</v>
      </c>
      <c r="P1512" s="50">
        <f t="shared" si="192"/>
        <v>1.3147882730472264E-3</v>
      </c>
      <c r="Q1512" s="51">
        <f t="shared" si="198"/>
        <v>93.532522030462815</v>
      </c>
      <c r="R1512" s="51">
        <f t="shared" si="199"/>
        <v>36.767941910913223</v>
      </c>
    </row>
    <row r="1513" spans="1:18" x14ac:dyDescent="0.15">
      <c r="A1513" s="59">
        <v>43103.75</v>
      </c>
      <c r="B1513">
        <v>24.207232000000001</v>
      </c>
      <c r="C1513">
        <v>169.83334400000001</v>
      </c>
      <c r="D1513">
        <v>56.822105000000001</v>
      </c>
      <c r="E1513">
        <v>61.457000999999998</v>
      </c>
      <c r="F1513">
        <v>1270.1999510000001</v>
      </c>
      <c r="H1513" s="50">
        <f t="shared" si="193"/>
        <v>-1.4565540004319168E-2</v>
      </c>
      <c r="I1513" s="50">
        <f t="shared" si="194"/>
        <v>-3.8730118704467238E-3</v>
      </c>
      <c r="J1513" s="50">
        <f t="shared" si="195"/>
        <v>-9.3775969750630236E-3</v>
      </c>
      <c r="K1513" s="50">
        <f t="shared" si="196"/>
        <v>-1.4219558228830833E-2</v>
      </c>
      <c r="L1513" s="50">
        <f t="shared" si="197"/>
        <v>-4.9822238720065226E-3</v>
      </c>
      <c r="P1513" s="50">
        <f t="shared" si="192"/>
        <v>-4.9822238720065226E-3</v>
      </c>
      <c r="Q1513" s="51">
        <f t="shared" si="198"/>
        <v>93.066522066393659</v>
      </c>
      <c r="R1513" s="51">
        <f t="shared" si="199"/>
        <v>36.232396982133331</v>
      </c>
    </row>
    <row r="1514" spans="1:18" x14ac:dyDescent="0.15">
      <c r="A1514" s="59">
        <v>43104.75</v>
      </c>
      <c r="B1514">
        <v>24.565035000000002</v>
      </c>
      <c r="C1514">
        <v>170.49366800000001</v>
      </c>
      <c r="D1514">
        <v>57.360004000000004</v>
      </c>
      <c r="E1514">
        <v>62.343497999999997</v>
      </c>
      <c r="F1514">
        <v>1276.5600589999999</v>
      </c>
      <c r="H1514" s="50">
        <f t="shared" si="193"/>
        <v>1.2152779351503022E-2</v>
      </c>
      <c r="I1514" s="50">
        <f t="shared" si="194"/>
        <v>1.1755534572107252E-2</v>
      </c>
      <c r="J1514" s="50">
        <f t="shared" si="195"/>
        <v>-2.8348506295982696E-2</v>
      </c>
      <c r="K1514" s="50">
        <f t="shared" si="196"/>
        <v>-4.6539476220627688E-3</v>
      </c>
      <c r="L1514" s="50">
        <f t="shared" si="197"/>
        <v>2.1274742324915194E-3</v>
      </c>
      <c r="P1514" s="50">
        <f t="shared" si="192"/>
        <v>2.1274742324915194E-3</v>
      </c>
      <c r="Q1514" s="51">
        <f t="shared" si="198"/>
        <v>93.264518693997516</v>
      </c>
      <c r="R1514" s="51">
        <f t="shared" si="199"/>
        <v>36.67272130803326</v>
      </c>
    </row>
    <row r="1515" spans="1:18" x14ac:dyDescent="0.15">
      <c r="A1515" s="59">
        <v>43105.75</v>
      </c>
      <c r="B1515">
        <v>24.270085999999999</v>
      </c>
      <c r="C1515">
        <v>168.512711</v>
      </c>
      <c r="D1515">
        <v>59.033515999999999</v>
      </c>
      <c r="E1515">
        <v>62.634998000000003</v>
      </c>
      <c r="F1515">
        <v>1273.849976</v>
      </c>
      <c r="H1515" s="50">
        <f t="shared" si="193"/>
        <v>7.2236813841154573E-3</v>
      </c>
      <c r="I1515" s="50">
        <f t="shared" si="194"/>
        <v>4.6922924325016151E-3</v>
      </c>
      <c r="J1515" s="50">
        <f t="shared" si="195"/>
        <v>-2.2480014400795344E-2</v>
      </c>
      <c r="K1515" s="50">
        <f t="shared" si="196"/>
        <v>-1.2995145025553136E-3</v>
      </c>
      <c r="L1515" s="50">
        <f t="shared" si="197"/>
        <v>1.8481918993314744E-3</v>
      </c>
      <c r="P1515" s="50">
        <f t="shared" si="192"/>
        <v>1.8481918993314744E-3</v>
      </c>
      <c r="Q1515" s="51">
        <f t="shared" si="198"/>
        <v>93.436889421942809</v>
      </c>
      <c r="R1515" s="51">
        <f t="shared" si="199"/>
        <v>36.937633362250956</v>
      </c>
    </row>
    <row r="1516" spans="1:18" x14ac:dyDescent="0.15">
      <c r="A1516" s="59">
        <v>43106.75</v>
      </c>
      <c r="B1516">
        <v>24.096024</v>
      </c>
      <c r="C1516">
        <v>167.72569300000001</v>
      </c>
      <c r="D1516">
        <v>60.391109</v>
      </c>
      <c r="E1516">
        <v>62.716498999999999</v>
      </c>
      <c r="F1516">
        <v>1271.5</v>
      </c>
      <c r="H1516" s="50">
        <f t="shared" si="193"/>
        <v>-3.4993695990111055E-3</v>
      </c>
      <c r="I1516" s="50">
        <f t="shared" si="194"/>
        <v>-2.0910269781376188E-2</v>
      </c>
      <c r="J1516" s="50">
        <f t="shared" si="195"/>
        <v>-4.4189206797809175E-2</v>
      </c>
      <c r="K1516" s="50">
        <f t="shared" si="196"/>
        <v>-1.7506360246890437E-2</v>
      </c>
      <c r="L1516" s="50">
        <f t="shared" si="197"/>
        <v>1.378224059854302E-3</v>
      </c>
      <c r="P1516" s="50">
        <f t="shared" si="192"/>
        <v>1.378224059854302E-3</v>
      </c>
      <c r="Q1516" s="51">
        <f t="shared" si="198"/>
        <v>93.565666391022077</v>
      </c>
      <c r="R1516" s="51">
        <f t="shared" si="199"/>
        <v>36.808374931003677</v>
      </c>
    </row>
    <row r="1517" spans="1:18" x14ac:dyDescent="0.15">
      <c r="A1517" s="59">
        <v>43109.75</v>
      </c>
      <c r="B1517">
        <v>24.180641000000001</v>
      </c>
      <c r="C1517">
        <v>171.307785</v>
      </c>
      <c r="D1517">
        <v>63.183121</v>
      </c>
      <c r="E1517">
        <v>63.834000000000003</v>
      </c>
      <c r="F1517">
        <v>1269.75</v>
      </c>
      <c r="H1517" s="50">
        <f t="shared" si="193"/>
        <v>-8.4263483086099312E-3</v>
      </c>
      <c r="I1517" s="50">
        <f t="shared" si="194"/>
        <v>-1.2822950840644286E-2</v>
      </c>
      <c r="J1517" s="50">
        <f t="shared" si="195"/>
        <v>-3.6458161612114161E-2</v>
      </c>
      <c r="K1517" s="50">
        <f t="shared" si="196"/>
        <v>-2.1851087286206286E-2</v>
      </c>
      <c r="L1517" s="50">
        <f t="shared" si="197"/>
        <v>-3.7113019225300569E-3</v>
      </c>
      <c r="P1517" s="50">
        <f t="shared" si="192"/>
        <v>-3.7113019225300569E-3</v>
      </c>
      <c r="Q1517" s="51">
        <f t="shared" si="198"/>
        <v>93.218415953462269</v>
      </c>
      <c r="R1517" s="51">
        <f t="shared" si="199"/>
        <v>36.498214743161135</v>
      </c>
    </row>
    <row r="1518" spans="1:18" x14ac:dyDescent="0.15">
      <c r="A1518" s="59">
        <v>43110.75</v>
      </c>
      <c r="B1518">
        <v>24.386126999999998</v>
      </c>
      <c r="C1518">
        <v>173.53299000000001</v>
      </c>
      <c r="D1518">
        <v>65.573822000000007</v>
      </c>
      <c r="E1518">
        <v>65.260002</v>
      </c>
      <c r="F1518">
        <v>1274.4799800000001</v>
      </c>
      <c r="H1518" s="50">
        <f t="shared" si="193"/>
        <v>1.7873179545717416E-3</v>
      </c>
      <c r="I1518" s="50">
        <f t="shared" si="194"/>
        <v>1.6182438794218415E-3</v>
      </c>
      <c r="J1518" s="50">
        <f t="shared" si="195"/>
        <v>2.4546513036457971E-2</v>
      </c>
      <c r="K1518" s="50">
        <f t="shared" si="196"/>
        <v>2.6065633160063601E-4</v>
      </c>
      <c r="L1518" s="50">
        <f t="shared" si="197"/>
        <v>-8.9271683008487947E-3</v>
      </c>
      <c r="P1518" s="50">
        <f t="shared" si="192"/>
        <v>-8.9271683008487947E-3</v>
      </c>
      <c r="Q1518" s="51">
        <f t="shared" si="198"/>
        <v>92.386239465507174</v>
      </c>
      <c r="R1518" s="51">
        <f t="shared" si="199"/>
        <v>36.563448657681406</v>
      </c>
    </row>
    <row r="1519" spans="1:18" x14ac:dyDescent="0.15">
      <c r="A1519" s="59">
        <v>43111.75</v>
      </c>
      <c r="B1519">
        <v>24.342618999999999</v>
      </c>
      <c r="C1519">
        <v>173.25262499999999</v>
      </c>
      <c r="D1519">
        <v>64.002776999999995</v>
      </c>
      <c r="E1519">
        <v>65.242996000000005</v>
      </c>
      <c r="F1519">
        <v>1285.959961</v>
      </c>
      <c r="H1519" s="50">
        <f t="shared" si="193"/>
        <v>-1.9571540055980684E-2</v>
      </c>
      <c r="I1519" s="50">
        <f t="shared" si="194"/>
        <v>-3.9523320023041554E-3</v>
      </c>
      <c r="J1519" s="50">
        <f t="shared" si="195"/>
        <v>-2.4212387180786794E-2</v>
      </c>
      <c r="K1519" s="50">
        <f t="shared" si="196"/>
        <v>7.6138378378379163E-3</v>
      </c>
      <c r="L1519" s="50">
        <f t="shared" si="197"/>
        <v>1.7136777768923146E-3</v>
      </c>
      <c r="P1519" s="50">
        <f t="shared" si="192"/>
        <v>1.7136777768923146E-3</v>
      </c>
      <c r="Q1519" s="51">
        <f t="shared" si="198"/>
        <v>92.544559710969864</v>
      </c>
      <c r="R1519" s="51">
        <f t="shared" si="199"/>
        <v>35.847845657692801</v>
      </c>
    </row>
    <row r="1520" spans="1:18" x14ac:dyDescent="0.15">
      <c r="A1520" s="59">
        <v>43112.75</v>
      </c>
      <c r="B1520">
        <v>24.828551999999998</v>
      </c>
      <c r="C1520">
        <v>173.94009399999999</v>
      </c>
      <c r="D1520">
        <v>65.590889000000004</v>
      </c>
      <c r="E1520">
        <v>64.75</v>
      </c>
      <c r="F1520">
        <v>1283.76001</v>
      </c>
      <c r="H1520" s="50">
        <f t="shared" si="193"/>
        <v>-1.5340212658466522E-2</v>
      </c>
      <c r="I1520" s="50">
        <f t="shared" si="194"/>
        <v>4.0729874887747118E-3</v>
      </c>
      <c r="J1520" s="50">
        <f t="shared" si="195"/>
        <v>-1.3864421260824869E-2</v>
      </c>
      <c r="K1520" s="50">
        <f t="shared" si="196"/>
        <v>1.2989824637367889E-3</v>
      </c>
      <c r="L1520" s="50">
        <f t="shared" si="197"/>
        <v>-7.3304104986732345E-3</v>
      </c>
      <c r="P1520" s="50">
        <f t="shared" si="192"/>
        <v>-7.3304104986732345E-3</v>
      </c>
      <c r="Q1520" s="51">
        <f t="shared" si="198"/>
        <v>91.866170098869475</v>
      </c>
      <c r="R1520" s="51">
        <f t="shared" si="199"/>
        <v>35.297932081955906</v>
      </c>
    </row>
    <row r="1521" spans="1:18" x14ac:dyDescent="0.15">
      <c r="A1521" s="59">
        <v>43113.75</v>
      </c>
      <c r="B1521">
        <v>25.215361000000001</v>
      </c>
      <c r="C1521">
        <v>173.234512</v>
      </c>
      <c r="D1521">
        <v>66.513053999999997</v>
      </c>
      <c r="E1521">
        <v>64.665999999999997</v>
      </c>
      <c r="F1521">
        <v>1293.23999</v>
      </c>
      <c r="H1521" s="50">
        <f t="shared" si="193"/>
        <v>-2.7728962971824821E-3</v>
      </c>
      <c r="I1521" s="50">
        <f t="shared" si="194"/>
        <v>-4.0564655553192502E-3</v>
      </c>
      <c r="J1521" s="50">
        <f t="shared" si="195"/>
        <v>-2.5607563094582823E-3</v>
      </c>
      <c r="K1521" s="50">
        <f t="shared" si="196"/>
        <v>-9.7322689818946486E-4</v>
      </c>
      <c r="L1521" s="50">
        <f t="shared" si="197"/>
        <v>-1.3745192912152022E-3</v>
      </c>
      <c r="P1521" s="50">
        <f t="shared" si="192"/>
        <v>-1.3745192912152022E-3</v>
      </c>
      <c r="Q1521" s="51">
        <f t="shared" si="198"/>
        <v>91.739898275858522</v>
      </c>
      <c r="R1521" s="51">
        <f t="shared" si="199"/>
        <v>35.20005457678765</v>
      </c>
    </row>
    <row r="1522" spans="1:18" x14ac:dyDescent="0.15">
      <c r="A1522" s="59">
        <v>43117.75</v>
      </c>
      <c r="B1522">
        <v>25.285475000000002</v>
      </c>
      <c r="C1522">
        <v>173.94009399999999</v>
      </c>
      <c r="D1522">
        <v>66.683814999999996</v>
      </c>
      <c r="E1522">
        <v>64.728995999999995</v>
      </c>
      <c r="F1522">
        <v>1295.0200199999999</v>
      </c>
      <c r="H1522" s="50">
        <f t="shared" si="193"/>
        <v>-8.155371140817198E-3</v>
      </c>
      <c r="I1522" s="50">
        <f t="shared" si="194"/>
        <v>-1.0752011934758129E-2</v>
      </c>
      <c r="J1522" s="50">
        <f t="shared" si="195"/>
        <v>-6.1078541112402039E-3</v>
      </c>
      <c r="K1522" s="50">
        <f t="shared" si="196"/>
        <v>-2.4658971534020361E-2</v>
      </c>
      <c r="L1522" s="50">
        <f t="shared" si="197"/>
        <v>1.0219027357684384E-2</v>
      </c>
      <c r="P1522" s="50">
        <f t="shared" si="192"/>
        <v>1.0219027357684384E-2</v>
      </c>
      <c r="Q1522" s="51">
        <f t="shared" si="198"/>
        <v>92.677390806130703</v>
      </c>
      <c r="R1522" s="51">
        <f t="shared" si="199"/>
        <v>34.912985067536923</v>
      </c>
    </row>
    <row r="1523" spans="1:18" x14ac:dyDescent="0.15">
      <c r="A1523" s="59">
        <v>43118.75</v>
      </c>
      <c r="B1523">
        <v>25.493383000000001</v>
      </c>
      <c r="C1523">
        <v>175.83062699999999</v>
      </c>
      <c r="D1523">
        <v>67.093613000000005</v>
      </c>
      <c r="E1523">
        <v>66.365500999999995</v>
      </c>
      <c r="F1523">
        <v>1281.920044</v>
      </c>
      <c r="H1523" s="50">
        <f t="shared" si="193"/>
        <v>-4.2494042596455612E-3</v>
      </c>
      <c r="I1523" s="50">
        <f t="shared" si="194"/>
        <v>4.96340298473231E-3</v>
      </c>
      <c r="J1523" s="50">
        <f t="shared" si="195"/>
        <v>5.8882899843915168E-3</v>
      </c>
      <c r="K1523" s="50">
        <f t="shared" si="196"/>
        <v>-2.5856092677735639E-2</v>
      </c>
      <c r="L1523" s="50">
        <f t="shared" si="197"/>
        <v>1.2966381727411731E-3</v>
      </c>
      <c r="P1523" s="50">
        <f t="shared" si="192"/>
        <v>1.2966381727411731E-3</v>
      </c>
      <c r="Q1523" s="51">
        <f t="shared" si="198"/>
        <v>92.797559848799992</v>
      </c>
      <c r="R1523" s="51">
        <f t="shared" si="199"/>
        <v>34.764625680073991</v>
      </c>
    </row>
    <row r="1524" spans="1:18" x14ac:dyDescent="0.15">
      <c r="A1524" s="59">
        <v>43119.75</v>
      </c>
      <c r="B1524">
        <v>25.602177000000001</v>
      </c>
      <c r="C1524">
        <v>174.962219</v>
      </c>
      <c r="D1524">
        <v>66.700858999999994</v>
      </c>
      <c r="E1524">
        <v>68.126998999999998</v>
      </c>
      <c r="F1524">
        <v>1280.26001</v>
      </c>
      <c r="H1524" s="50">
        <f t="shared" si="193"/>
        <v>1.0398981747472872E-3</v>
      </c>
      <c r="I1524" s="50">
        <f t="shared" si="194"/>
        <v>-4.2217366770743456E-3</v>
      </c>
      <c r="J1524" s="50">
        <f t="shared" si="195"/>
        <v>1.5996932246672278E-2</v>
      </c>
      <c r="K1524" s="50">
        <f t="shared" si="196"/>
        <v>3.705239522051893E-3</v>
      </c>
      <c r="L1524" s="50">
        <f t="shared" si="197"/>
        <v>-2.407734490034388E-3</v>
      </c>
      <c r="P1524" s="50">
        <f t="shared" si="192"/>
        <v>-2.407734490034388E-3</v>
      </c>
      <c r="Q1524" s="51">
        <f t="shared" si="198"/>
        <v>92.574127963361008</v>
      </c>
      <c r="R1524" s="51">
        <f t="shared" si="199"/>
        <v>34.800777350864472</v>
      </c>
    </row>
    <row r="1525" spans="1:18" x14ac:dyDescent="0.15">
      <c r="A1525" s="59">
        <v>43120.75</v>
      </c>
      <c r="B1525">
        <v>25.575581</v>
      </c>
      <c r="C1525">
        <v>175.70399499999999</v>
      </c>
      <c r="D1525">
        <v>65.650649999999999</v>
      </c>
      <c r="E1525">
        <v>67.875504000000006</v>
      </c>
      <c r="F1525">
        <v>1283.349976</v>
      </c>
      <c r="H1525" s="50">
        <f t="shared" si="193"/>
        <v>-7.5986917285472471E-3</v>
      </c>
      <c r="I1525" s="50">
        <f t="shared" si="194"/>
        <v>-1.8741916009222471E-2</v>
      </c>
      <c r="J1525" s="50">
        <f t="shared" si="195"/>
        <v>7.7324626201729007E-3</v>
      </c>
      <c r="K1525" s="50">
        <f t="shared" si="196"/>
        <v>-1.4833557310984392E-2</v>
      </c>
      <c r="L1525" s="50">
        <f t="shared" si="197"/>
        <v>-5.8024156342243545E-3</v>
      </c>
      <c r="P1525" s="50">
        <f t="shared" si="192"/>
        <v>-5.8024156342243545E-3</v>
      </c>
      <c r="Q1525" s="51">
        <f t="shared" si="198"/>
        <v>92.036974395941712</v>
      </c>
      <c r="R1525" s="51">
        <f t="shared" si="199"/>
        <v>34.536336971861445</v>
      </c>
    </row>
    <row r="1526" spans="1:18" x14ac:dyDescent="0.15">
      <c r="A1526" s="59">
        <v>43123.75</v>
      </c>
      <c r="B1526">
        <v>25.771409999999999</v>
      </c>
      <c r="C1526">
        <v>179.059921</v>
      </c>
      <c r="D1526">
        <v>65.146904000000006</v>
      </c>
      <c r="E1526">
        <v>68.897498999999996</v>
      </c>
      <c r="F1526">
        <v>1290.839966</v>
      </c>
      <c r="H1526" s="50">
        <f t="shared" si="193"/>
        <v>-1.6514365756117706E-2</v>
      </c>
      <c r="I1526" s="50">
        <f t="shared" si="194"/>
        <v>-4.8266650549141331E-3</v>
      </c>
      <c r="J1526" s="50">
        <f t="shared" si="195"/>
        <v>-8.4471381397099692E-3</v>
      </c>
      <c r="K1526" s="50">
        <f t="shared" si="196"/>
        <v>-1.7189144221830367E-2</v>
      </c>
      <c r="L1526" s="50">
        <f t="shared" si="197"/>
        <v>-2.6339316421931296E-4</v>
      </c>
      <c r="P1526" s="50">
        <f t="shared" si="192"/>
        <v>-2.6339316421931296E-4</v>
      </c>
      <c r="Q1526" s="51">
        <f t="shared" si="198"/>
        <v>92.012732486030387</v>
      </c>
      <c r="R1526" s="51">
        <f t="shared" si="199"/>
        <v>33.965991271231594</v>
      </c>
    </row>
    <row r="1527" spans="1:18" x14ac:dyDescent="0.15">
      <c r="A1527" s="59">
        <v>43124.75</v>
      </c>
      <c r="B1527">
        <v>26.204155</v>
      </c>
      <c r="C1527">
        <v>179.92837499999999</v>
      </c>
      <c r="D1527">
        <v>65.701897000000002</v>
      </c>
      <c r="E1527">
        <v>70.102501000000004</v>
      </c>
      <c r="F1527">
        <v>1291.1800539999999</v>
      </c>
      <c r="H1527" s="50">
        <f t="shared" si="193"/>
        <v>-1.0588572848912235E-2</v>
      </c>
      <c r="I1527" s="50">
        <f t="shared" si="194"/>
        <v>2.9750382381763816E-3</v>
      </c>
      <c r="J1527" s="50">
        <f t="shared" si="195"/>
        <v>1.9531422158067207E-3</v>
      </c>
      <c r="K1527" s="50">
        <f t="shared" si="196"/>
        <v>-1.1025082767969568E-2</v>
      </c>
      <c r="L1527" s="50">
        <f t="shared" si="197"/>
        <v>-4.2031658830847859E-3</v>
      </c>
      <c r="P1527" s="50">
        <f t="shared" si="192"/>
        <v>-4.2031658830847859E-3</v>
      </c>
      <c r="Q1527" s="51">
        <f t="shared" si="198"/>
        <v>91.625987708035694</v>
      </c>
      <c r="R1527" s="51">
        <f t="shared" si="199"/>
        <v>33.60633989827064</v>
      </c>
    </row>
    <row r="1528" spans="1:18" x14ac:dyDescent="0.15">
      <c r="A1528" s="59">
        <v>43125.75</v>
      </c>
      <c r="B1528">
        <v>26.484589</v>
      </c>
      <c r="C1528">
        <v>179.39466899999999</v>
      </c>
      <c r="D1528">
        <v>65.573822000000007</v>
      </c>
      <c r="E1528">
        <v>70.884003000000007</v>
      </c>
      <c r="F1528">
        <v>1296.630005</v>
      </c>
      <c r="H1528" s="50">
        <f t="shared" si="193"/>
        <v>1.6893987051131314E-2</v>
      </c>
      <c r="I1528" s="50">
        <f t="shared" si="194"/>
        <v>2.0715120595209183E-3</v>
      </c>
      <c r="J1528" s="50">
        <f t="shared" si="195"/>
        <v>2.2636422929288337E-2</v>
      </c>
      <c r="K1528" s="50">
        <f t="shared" si="196"/>
        <v>-1.4007261187175695E-2</v>
      </c>
      <c r="L1528" s="50">
        <f t="shared" si="197"/>
        <v>-2.2392799857396282E-3</v>
      </c>
      <c r="P1528" s="50">
        <f t="shared" si="192"/>
        <v>-2.2392799857396282E-3</v>
      </c>
      <c r="Q1528" s="51">
        <f t="shared" si="198"/>
        <v>91.42081146758747</v>
      </c>
      <c r="R1528" s="51">
        <f t="shared" si="199"/>
        <v>34.174084969347945</v>
      </c>
    </row>
    <row r="1529" spans="1:18" x14ac:dyDescent="0.15">
      <c r="A1529" s="59">
        <v>43126.75</v>
      </c>
      <c r="B1529">
        <v>26.044592000000002</v>
      </c>
      <c r="C1529">
        <v>179.023819</v>
      </c>
      <c r="D1529">
        <v>64.122321999999997</v>
      </c>
      <c r="E1529">
        <v>71.890998999999994</v>
      </c>
      <c r="F1529">
        <v>1299.540039</v>
      </c>
      <c r="H1529" s="50">
        <f t="shared" si="193"/>
        <v>1.0600196108788849E-2</v>
      </c>
      <c r="I1529" s="50">
        <f t="shared" si="194"/>
        <v>1.5600377095006997E-2</v>
      </c>
      <c r="J1529" s="50">
        <f t="shared" si="195"/>
        <v>-1.5951477911094057E-3</v>
      </c>
      <c r="K1529" s="50">
        <f t="shared" si="196"/>
        <v>-9.0083049987716591E-3</v>
      </c>
      <c r="L1529" s="50">
        <f t="shared" si="197"/>
        <v>1.817703246628569E-2</v>
      </c>
      <c r="P1529" s="50">
        <f t="shared" si="192"/>
        <v>1.817703246628569E-2</v>
      </c>
      <c r="Q1529" s="51">
        <f t="shared" si="198"/>
        <v>93.082570525728002</v>
      </c>
      <c r="R1529" s="51">
        <f t="shared" si="199"/>
        <v>34.536336971861452</v>
      </c>
    </row>
    <row r="1530" spans="1:18" x14ac:dyDescent="0.15">
      <c r="A1530" s="59">
        <v>43127.75</v>
      </c>
      <c r="B1530">
        <v>25.771409999999999</v>
      </c>
      <c r="C1530">
        <v>176.27387999999999</v>
      </c>
      <c r="D1530">
        <v>64.224770000000007</v>
      </c>
      <c r="E1530">
        <v>72.544501999999994</v>
      </c>
      <c r="F1530">
        <v>1276.339966</v>
      </c>
      <c r="H1530" s="50">
        <f t="shared" si="193"/>
        <v>1.0235275509250109E-2</v>
      </c>
      <c r="I1530" s="50">
        <f t="shared" si="194"/>
        <v>7.2361930653801823E-3</v>
      </c>
      <c r="J1530" s="50">
        <f t="shared" si="195"/>
        <v>3.3344097052819496E-3</v>
      </c>
      <c r="K1530" s="50">
        <f t="shared" si="196"/>
        <v>4.3805784172661788E-2</v>
      </c>
      <c r="L1530" s="50">
        <f t="shared" si="197"/>
        <v>-7.604289675941173E-3</v>
      </c>
      <c r="P1530" s="50">
        <f t="shared" si="192"/>
        <v>-7.604289675941173E-3</v>
      </c>
      <c r="Q1530" s="51">
        <f t="shared" si="198"/>
        <v>92.374743695669139</v>
      </c>
      <c r="R1530" s="51">
        <f t="shared" si="199"/>
        <v>34.889825895848752</v>
      </c>
    </row>
    <row r="1531" spans="1:18" x14ac:dyDescent="0.15">
      <c r="A1531" s="59">
        <v>43130.75</v>
      </c>
      <c r="B1531">
        <v>25.510304999999999</v>
      </c>
      <c r="C1531">
        <v>175.00749200000001</v>
      </c>
      <c r="D1531">
        <v>64.011330000000001</v>
      </c>
      <c r="E1531">
        <v>69.5</v>
      </c>
      <c r="F1531">
        <v>1286.119995</v>
      </c>
      <c r="H1531" s="50">
        <f t="shared" si="193"/>
        <v>9.9538851305408221E-3</v>
      </c>
      <c r="I1531" s="50">
        <f t="shared" si="194"/>
        <v>1.2984850591854584E-2</v>
      </c>
      <c r="J1531" s="50">
        <f t="shared" si="195"/>
        <v>2.7690439997940547E-2</v>
      </c>
      <c r="K1531" s="50">
        <f t="shared" si="196"/>
        <v>-2.7938012600105158E-2</v>
      </c>
      <c r="L1531" s="50">
        <f t="shared" si="197"/>
        <v>-1.6419498128819373E-2</v>
      </c>
      <c r="P1531" s="50">
        <f t="shared" si="192"/>
        <v>-1.6419498128819373E-2</v>
      </c>
      <c r="Q1531" s="51">
        <f t="shared" si="198"/>
        <v>90.857996764407929</v>
      </c>
      <c r="R1531" s="51">
        <f t="shared" si="199"/>
        <v>35.237115215040596</v>
      </c>
    </row>
    <row r="1532" spans="1:18" x14ac:dyDescent="0.15">
      <c r="A1532" s="59">
        <v>43131.75</v>
      </c>
      <c r="B1532">
        <v>25.258880999999999</v>
      </c>
      <c r="C1532">
        <v>172.76417499999999</v>
      </c>
      <c r="D1532">
        <v>62.286586999999997</v>
      </c>
      <c r="E1532">
        <v>71.497497999999993</v>
      </c>
      <c r="F1532">
        <v>1307.589966</v>
      </c>
      <c r="H1532" s="50">
        <f t="shared" si="193"/>
        <v>4.3860532566853946E-2</v>
      </c>
      <c r="I1532" s="50">
        <f t="shared" si="194"/>
        <v>4.4974630914244182E-2</v>
      </c>
      <c r="J1532" s="50">
        <f t="shared" si="195"/>
        <v>3.0804011442435619E-2</v>
      </c>
      <c r="K1532" s="50">
        <f t="shared" si="196"/>
        <v>2.8740978417266087E-2</v>
      </c>
      <c r="L1532" s="50">
        <f t="shared" si="197"/>
        <v>2.729950170495645E-3</v>
      </c>
      <c r="P1532" s="50">
        <f t="shared" si="192"/>
        <v>2.729950170495645E-3</v>
      </c>
      <c r="Q1532" s="51">
        <f t="shared" si="198"/>
        <v>91.106034568165811</v>
      </c>
      <c r="R1532" s="51">
        <f t="shared" si="199"/>
        <v>36.78263385449187</v>
      </c>
    </row>
    <row r="1533" spans="1:18" x14ac:dyDescent="0.15">
      <c r="A1533" s="59">
        <v>43132.75</v>
      </c>
      <c r="B1533">
        <v>24.197562999999999</v>
      </c>
      <c r="C1533">
        <v>165.32858300000001</v>
      </c>
      <c r="D1533">
        <v>60.425246999999999</v>
      </c>
      <c r="E1533">
        <v>69.5</v>
      </c>
      <c r="F1533">
        <v>1304.030029</v>
      </c>
      <c r="H1533" s="50">
        <f t="shared" si="193"/>
        <v>-8.0275054942159398E-3</v>
      </c>
      <c r="I1533" s="50">
        <f t="shared" si="194"/>
        <v>-1.2107295615792726E-2</v>
      </c>
      <c r="J1533" s="50">
        <f t="shared" si="195"/>
        <v>-2.6681635976135199E-2</v>
      </c>
      <c r="K1533" s="50">
        <f t="shared" si="196"/>
        <v>-3.6622190585849881E-2</v>
      </c>
      <c r="L1533" s="50">
        <f t="shared" si="197"/>
        <v>-2.3486703820427249E-3</v>
      </c>
      <c r="P1533" s="50">
        <f t="shared" si="192"/>
        <v>-2.3486703820427249E-3</v>
      </c>
      <c r="Q1533" s="51">
        <f t="shared" si="198"/>
        <v>90.892056523150202</v>
      </c>
      <c r="R1533" s="51">
        <f t="shared" si="199"/>
        <v>36.487361059133207</v>
      </c>
    </row>
    <row r="1534" spans="1:18" x14ac:dyDescent="0.15">
      <c r="A1534" s="59">
        <v>43133.75</v>
      </c>
      <c r="B1534">
        <v>24.393381000000002</v>
      </c>
      <c r="C1534">
        <v>167.35479699999999</v>
      </c>
      <c r="D1534">
        <v>62.081688</v>
      </c>
      <c r="E1534">
        <v>72.141998000000001</v>
      </c>
      <c r="F1534">
        <v>1307.099976</v>
      </c>
      <c r="H1534" s="50">
        <f t="shared" si="193"/>
        <v>-1.8959646945206757E-2</v>
      </c>
      <c r="I1534" s="50">
        <f t="shared" si="194"/>
        <v>9.935013525348679E-3</v>
      </c>
      <c r="J1534" s="50">
        <f t="shared" si="195"/>
        <v>-7.3717273897323287E-3</v>
      </c>
      <c r="K1534" s="50">
        <f t="shared" si="196"/>
        <v>1.8393837507326573E-2</v>
      </c>
      <c r="L1534" s="50">
        <f t="shared" si="197"/>
        <v>-2.8759671167849468E-3</v>
      </c>
      <c r="P1534" s="50">
        <f t="shared" si="192"/>
        <v>-2.8759671167849468E-3</v>
      </c>
      <c r="Q1534" s="51">
        <f t="shared" si="198"/>
        <v>90.630653957412662</v>
      </c>
      <c r="R1534" s="51">
        <f t="shared" si="199"/>
        <v>35.795573575489755</v>
      </c>
    </row>
    <row r="1535" spans="1:18" x14ac:dyDescent="0.15">
      <c r="A1535" s="59">
        <v>43134.75</v>
      </c>
      <c r="B1535">
        <v>24.864809000000001</v>
      </c>
      <c r="C1535">
        <v>165.70848100000001</v>
      </c>
      <c r="D1535">
        <v>62.542735999999998</v>
      </c>
      <c r="E1535">
        <v>70.838997000000006</v>
      </c>
      <c r="F1535">
        <v>1310.869995</v>
      </c>
      <c r="H1535" s="50">
        <f t="shared" si="193"/>
        <v>2.8294039020719079E-2</v>
      </c>
      <c r="I1535" s="50">
        <f t="shared" si="194"/>
        <v>2.5642403029081405E-2</v>
      </c>
      <c r="J1535" s="50">
        <f t="shared" si="195"/>
        <v>3.0094269431423615E-2</v>
      </c>
      <c r="K1535" s="50">
        <f t="shared" si="196"/>
        <v>4.9078043714830329E-2</v>
      </c>
      <c r="L1535" s="50">
        <f t="shared" si="197"/>
        <v>-6.2014735575813829E-3</v>
      </c>
      <c r="P1535" s="50">
        <f t="shared" si="192"/>
        <v>-6.2014735575813829E-3</v>
      </c>
      <c r="Q1535" s="51">
        <f t="shared" si="198"/>
        <v>90.06861035338946</v>
      </c>
      <c r="R1535" s="51">
        <f t="shared" si="199"/>
        <v>36.808374931003684</v>
      </c>
    </row>
    <row r="1536" spans="1:18" x14ac:dyDescent="0.15">
      <c r="A1536" s="59">
        <v>43137.75</v>
      </c>
      <c r="B1536">
        <v>24.180641000000001</v>
      </c>
      <c r="C1536">
        <v>161.565552</v>
      </c>
      <c r="D1536">
        <v>60.715546000000003</v>
      </c>
      <c r="E1536">
        <v>67.525002000000001</v>
      </c>
      <c r="F1536">
        <v>1319.0500489999999</v>
      </c>
      <c r="H1536" s="50">
        <f t="shared" si="193"/>
        <v>6.5413462945337845E-3</v>
      </c>
      <c r="I1536" s="50">
        <f t="shared" si="194"/>
        <v>-1.1675143522397884E-2</v>
      </c>
      <c r="J1536" s="50">
        <f t="shared" si="195"/>
        <v>-1.8495697456197772E-2</v>
      </c>
      <c r="K1536" s="50">
        <f t="shared" si="196"/>
        <v>8.1367419466971992E-3</v>
      </c>
      <c r="L1536" s="50">
        <f t="shared" si="197"/>
        <v>-4.1673125807129919E-3</v>
      </c>
      <c r="P1536" s="50">
        <f t="shared" si="192"/>
        <v>-4.1673125807129919E-3</v>
      </c>
      <c r="Q1536" s="51">
        <f t="shared" si="198"/>
        <v>89.693266300336447</v>
      </c>
      <c r="R1536" s="51">
        <f t="shared" si="199"/>
        <v>37.049151257966415</v>
      </c>
    </row>
    <row r="1537" spans="1:18" x14ac:dyDescent="0.15">
      <c r="A1537" s="59">
        <v>43138.75</v>
      </c>
      <c r="B1537">
        <v>24.023495</v>
      </c>
      <c r="C1537">
        <v>163.47413599999999</v>
      </c>
      <c r="D1537">
        <v>61.859684000000001</v>
      </c>
      <c r="E1537">
        <v>66.980002999999996</v>
      </c>
      <c r="F1537">
        <v>1324.5699460000001</v>
      </c>
      <c r="H1537" s="50">
        <f t="shared" si="193"/>
        <v>-1.8082011257482943E-3</v>
      </c>
      <c r="I1537" s="50">
        <f t="shared" si="194"/>
        <v>-1.8783103997369196E-3</v>
      </c>
      <c r="J1537" s="50">
        <f t="shared" si="195"/>
        <v>7.9301008472945494E-3</v>
      </c>
      <c r="K1537" s="50">
        <f t="shared" si="196"/>
        <v>-3.3637967240097863E-2</v>
      </c>
      <c r="L1537" s="50">
        <f t="shared" si="197"/>
        <v>2.7935474729213496E-3</v>
      </c>
      <c r="P1537" s="50">
        <f t="shared" ref="P1537:P1600" si="200">(F1537-F1538)/F1538</f>
        <v>2.7935474729213496E-3</v>
      </c>
      <c r="Q1537" s="51">
        <f t="shared" si="198"/>
        <v>89.943828697747804</v>
      </c>
      <c r="R1537" s="51">
        <f t="shared" si="199"/>
        <v>36.982158940953738</v>
      </c>
    </row>
    <row r="1538" spans="1:18" x14ac:dyDescent="0.15">
      <c r="A1538" s="59">
        <v>43139.75</v>
      </c>
      <c r="B1538">
        <v>24.067012999999999</v>
      </c>
      <c r="C1538">
        <v>163.781769</v>
      </c>
      <c r="D1538">
        <v>61.372990000000001</v>
      </c>
      <c r="E1538">
        <v>69.311501000000007</v>
      </c>
      <c r="F1538">
        <v>1320.880005</v>
      </c>
      <c r="H1538" s="50">
        <f t="shared" ref="H1538:H1601" si="201">(B1538-B1539)/B1539</f>
        <v>-1.4161098941683091E-2</v>
      </c>
      <c r="I1538" s="50">
        <f t="shared" ref="I1538:I1601" si="202">(C1538-C1539)/C1539</f>
        <v>-1.677958161043255E-2</v>
      </c>
      <c r="J1538" s="50">
        <f t="shared" ref="J1538:J1601" si="203">(D1538-D1539)/D1539</f>
        <v>-2.7071012762440397E-2</v>
      </c>
      <c r="K1538" s="50">
        <f t="shared" ref="K1538:K1601" si="204">(E1538-E1539)/E1539</f>
        <v>-1.9992802596155469E-2</v>
      </c>
      <c r="L1538" s="50">
        <f t="shared" ref="L1538:L1601" si="205">(F1538-F1539)/F1539</f>
        <v>-7.4893144087141066E-4</v>
      </c>
      <c r="P1538" s="50">
        <f t="shared" si="200"/>
        <v>-7.4893144087141066E-4</v>
      </c>
      <c r="Q1538" s="51">
        <f t="shared" si="198"/>
        <v>89.876466936523713</v>
      </c>
      <c r="R1538" s="51">
        <f t="shared" si="199"/>
        <v>36.458450929113845</v>
      </c>
    </row>
    <row r="1539" spans="1:18" x14ac:dyDescent="0.15">
      <c r="A1539" s="59">
        <v>43140.75</v>
      </c>
      <c r="B1539">
        <v>24.412724000000001</v>
      </c>
      <c r="C1539">
        <v>166.57685900000001</v>
      </c>
      <c r="D1539">
        <v>63.080646999999999</v>
      </c>
      <c r="E1539">
        <v>70.725502000000006</v>
      </c>
      <c r="F1539">
        <v>1321.869995</v>
      </c>
      <c r="H1539" s="50">
        <f t="shared" si="201"/>
        <v>-7.0798169130957206E-3</v>
      </c>
      <c r="I1539" s="50">
        <f t="shared" si="202"/>
        <v>-1.7080115753537677E-2</v>
      </c>
      <c r="J1539" s="50">
        <f t="shared" si="203"/>
        <v>-1.9509173627087976E-2</v>
      </c>
      <c r="K1539" s="50">
        <f t="shared" si="204"/>
        <v>-2.5181710490519486E-2</v>
      </c>
      <c r="L1539" s="50">
        <f t="shared" si="205"/>
        <v>-5.4772063864477749E-3</v>
      </c>
      <c r="P1539" s="50">
        <f t="shared" si="200"/>
        <v>-5.4772063864477749E-3</v>
      </c>
      <c r="Q1539" s="51">
        <f t="shared" ref="Q1539:Q1602" si="206">Q1538*(1+P1539)</f>
        <v>89.384194977827619</v>
      </c>
      <c r="R1539" s="51">
        <f t="shared" ref="R1539:R1602" si="207">R1538*(1+H1539)</f>
        <v>36.200331771600638</v>
      </c>
    </row>
    <row r="1540" spans="1:18" x14ac:dyDescent="0.15">
      <c r="A1540" s="59">
        <v>43141.75</v>
      </c>
      <c r="B1540">
        <v>24.586794000000001</v>
      </c>
      <c r="C1540">
        <v>169.471451</v>
      </c>
      <c r="D1540">
        <v>64.335785000000001</v>
      </c>
      <c r="E1540">
        <v>72.552498</v>
      </c>
      <c r="F1540">
        <v>1329.150024</v>
      </c>
      <c r="H1540" s="50">
        <f t="shared" si="201"/>
        <v>-1.482127994247946E-2</v>
      </c>
      <c r="I1540" s="50">
        <f t="shared" si="202"/>
        <v>-2.4180319061916651E-2</v>
      </c>
      <c r="J1540" s="50">
        <f t="shared" si="203"/>
        <v>-9.0740814016264139E-3</v>
      </c>
      <c r="K1540" s="50">
        <f t="shared" si="204"/>
        <v>-7.3267707692140135E-3</v>
      </c>
      <c r="L1540" s="50">
        <f t="shared" si="205"/>
        <v>-2.3792498262275824E-3</v>
      </c>
      <c r="P1540" s="50">
        <f t="shared" si="200"/>
        <v>-2.3792498262275824E-3</v>
      </c>
      <c r="Q1540" s="51">
        <f t="shared" si="206"/>
        <v>89.171527647459129</v>
      </c>
      <c r="R1540" s="51">
        <f t="shared" si="207"/>
        <v>35.66379652040311</v>
      </c>
    </row>
    <row r="1541" spans="1:18" x14ac:dyDescent="0.15">
      <c r="A1541" s="59">
        <v>43144.75</v>
      </c>
      <c r="B1541">
        <v>24.956683999999999</v>
      </c>
      <c r="C1541">
        <v>173.67086800000001</v>
      </c>
      <c r="D1541">
        <v>64.924919000000003</v>
      </c>
      <c r="E1541">
        <v>73.087997000000001</v>
      </c>
      <c r="F1541">
        <v>1332.3199460000001</v>
      </c>
      <c r="H1541" s="50">
        <f t="shared" si="201"/>
        <v>-1.4792783314120107E-2</v>
      </c>
      <c r="I1541" s="50">
        <f t="shared" si="202"/>
        <v>-4.1777689074836251E-4</v>
      </c>
      <c r="J1541" s="50">
        <f t="shared" si="203"/>
        <v>4.4916186924946677E-3</v>
      </c>
      <c r="K1541" s="50">
        <f t="shared" si="204"/>
        <v>9.0218746861820999E-3</v>
      </c>
      <c r="L1541" s="50">
        <f t="shared" si="205"/>
        <v>3.245409272178684E-3</v>
      </c>
      <c r="P1541" s="50">
        <f t="shared" si="200"/>
        <v>3.245409272178684E-3</v>
      </c>
      <c r="Q1541" s="51">
        <f t="shared" si="206"/>
        <v>89.460925750100543</v>
      </c>
      <c r="R1541" s="51">
        <f t="shared" si="207"/>
        <v>35.136229706317913</v>
      </c>
    </row>
    <row r="1542" spans="1:18" x14ac:dyDescent="0.15">
      <c r="A1542" s="59">
        <v>43145.75</v>
      </c>
      <c r="B1542">
        <v>25.331406000000001</v>
      </c>
      <c r="C1542">
        <v>173.74345400000001</v>
      </c>
      <c r="D1542">
        <v>64.634604999999993</v>
      </c>
      <c r="E1542">
        <v>72.434501999999995</v>
      </c>
      <c r="F1542">
        <v>1328.01001</v>
      </c>
      <c r="H1542" s="50">
        <f t="shared" si="201"/>
        <v>0.11337775931383527</v>
      </c>
      <c r="I1542" s="50">
        <f t="shared" si="202"/>
        <v>1.8286214180308406E-2</v>
      </c>
      <c r="J1542" s="50">
        <f t="shared" si="203"/>
        <v>3.0469364565198227E-2</v>
      </c>
      <c r="K1542" s="50">
        <f t="shared" si="204"/>
        <v>-1.3389191403036434E-2</v>
      </c>
      <c r="L1542" s="50">
        <f t="shared" si="205"/>
        <v>-6.2185227608659117E-3</v>
      </c>
      <c r="P1542" s="50">
        <f t="shared" si="200"/>
        <v>-6.2185227608659117E-3</v>
      </c>
      <c r="Q1542" s="51">
        <f t="shared" si="206"/>
        <v>88.904610947115415</v>
      </c>
      <c r="R1542" s="51">
        <f t="shared" si="207"/>
        <v>39.119896701156449</v>
      </c>
    </row>
    <row r="1543" spans="1:18" x14ac:dyDescent="0.15">
      <c r="A1543" s="59">
        <v>43146.75</v>
      </c>
      <c r="B1543">
        <v>22.751852</v>
      </c>
      <c r="C1543">
        <v>170.62339800000001</v>
      </c>
      <c r="D1543">
        <v>62.723461</v>
      </c>
      <c r="E1543">
        <v>73.417502999999996</v>
      </c>
      <c r="F1543">
        <v>1336.3199460000001</v>
      </c>
      <c r="H1543" s="50">
        <f t="shared" si="201"/>
        <v>2.8299852958311174E-2</v>
      </c>
      <c r="I1543" s="50">
        <f t="shared" si="202"/>
        <v>1.2758965566679114E-2</v>
      </c>
      <c r="J1543" s="50">
        <f t="shared" si="203"/>
        <v>-1.3709535027862862E-3</v>
      </c>
      <c r="K1543" s="50">
        <f t="shared" si="204"/>
        <v>-9.8252226782175409E-3</v>
      </c>
      <c r="L1543" s="50">
        <f t="shared" si="205"/>
        <v>-3.066260703223426E-3</v>
      </c>
      <c r="P1543" s="50">
        <f t="shared" si="200"/>
        <v>-3.066260703223426E-3</v>
      </c>
      <c r="Q1543" s="51">
        <f t="shared" si="206"/>
        <v>88.632006232232911</v>
      </c>
      <c r="R1543" s="51">
        <f t="shared" si="207"/>
        <v>40.226984025543501</v>
      </c>
    </row>
    <row r="1544" spans="1:18" x14ac:dyDescent="0.15">
      <c r="A1544" s="59">
        <v>43147.75</v>
      </c>
      <c r="B1544">
        <v>22.125698</v>
      </c>
      <c r="C1544">
        <v>168.47384600000001</v>
      </c>
      <c r="D1544">
        <v>62.809570000000001</v>
      </c>
      <c r="E1544">
        <v>74.146004000000005</v>
      </c>
      <c r="F1544">
        <v>1340.4300539999999</v>
      </c>
      <c r="H1544" s="50">
        <f t="shared" si="201"/>
        <v>-1.3474157962662105E-2</v>
      </c>
      <c r="I1544" s="50">
        <f t="shared" si="202"/>
        <v>-4.5018392630330117E-3</v>
      </c>
      <c r="J1544" s="50">
        <f t="shared" si="203"/>
        <v>-2.7588935233248568E-2</v>
      </c>
      <c r="K1544" s="50">
        <f t="shared" si="204"/>
        <v>-1.6291758554721177E-3</v>
      </c>
      <c r="L1544" s="50">
        <f t="shared" si="205"/>
        <v>-1.9210251455981616E-3</v>
      </c>
      <c r="P1544" s="50">
        <f t="shared" si="200"/>
        <v>-1.9210251455981616E-3</v>
      </c>
      <c r="Q1544" s="51">
        <f t="shared" si="206"/>
        <v>88.461741919555976</v>
      </c>
      <c r="R1544" s="51">
        <f t="shared" si="207"/>
        <v>39.684959288421844</v>
      </c>
    </row>
    <row r="1545" spans="1:18" x14ac:dyDescent="0.15">
      <c r="A1545" s="59">
        <v>43148.75</v>
      </c>
      <c r="B1545">
        <v>22.427894999999999</v>
      </c>
      <c r="C1545">
        <v>169.23571799999999</v>
      </c>
      <c r="D1545">
        <v>64.591583</v>
      </c>
      <c r="E1545">
        <v>74.266998000000001</v>
      </c>
      <c r="F1545">
        <v>1343.01001</v>
      </c>
      <c r="H1545" s="50">
        <f t="shared" si="201"/>
        <v>-1.2917186310151953E-3</v>
      </c>
      <c r="I1545" s="50">
        <f t="shared" si="202"/>
        <v>-1.6963992241137989E-2</v>
      </c>
      <c r="J1545" s="50">
        <f t="shared" si="203"/>
        <v>-5.03865712870396E-3</v>
      </c>
      <c r="K1545" s="50">
        <f t="shared" si="204"/>
        <v>-9.7733599999999879E-3</v>
      </c>
      <c r="L1545" s="50">
        <f t="shared" si="205"/>
        <v>2.0958820042396655E-2</v>
      </c>
      <c r="P1545" s="50">
        <f t="shared" si="200"/>
        <v>2.0958820042396655E-2</v>
      </c>
      <c r="Q1545" s="51">
        <f t="shared" si="206"/>
        <v>90.31579564908489</v>
      </c>
      <c r="R1545" s="51">
        <f t="shared" si="207"/>
        <v>39.633697487137908</v>
      </c>
    </row>
    <row r="1546" spans="1:18" x14ac:dyDescent="0.15">
      <c r="A1546" s="59">
        <v>43152.75</v>
      </c>
      <c r="B1546">
        <v>22.456903000000001</v>
      </c>
      <c r="C1546">
        <v>172.15617399999999</v>
      </c>
      <c r="D1546">
        <v>64.918685999999994</v>
      </c>
      <c r="E1546">
        <v>75</v>
      </c>
      <c r="F1546">
        <v>1315.4399410000001</v>
      </c>
      <c r="H1546" s="50">
        <f t="shared" si="201"/>
        <v>-2.4698273248579122E-3</v>
      </c>
      <c r="I1546" s="50">
        <f t="shared" si="202"/>
        <v>-1.5559452652843999E-2</v>
      </c>
      <c r="J1546" s="50">
        <f t="shared" si="203"/>
        <v>-1.9376171651675864E-2</v>
      </c>
      <c r="K1546" s="50">
        <f t="shared" si="204"/>
        <v>-1.4422339003392289E-2</v>
      </c>
      <c r="L1546" s="50">
        <f t="shared" si="205"/>
        <v>6.1495463151376379E-3</v>
      </c>
      <c r="P1546" s="50">
        <f t="shared" si="200"/>
        <v>6.1495463151376379E-3</v>
      </c>
      <c r="Q1546" s="51">
        <f t="shared" si="206"/>
        <v>90.871196817417442</v>
      </c>
      <c r="R1546" s="51">
        <f t="shared" si="207"/>
        <v>39.535809098099023</v>
      </c>
    </row>
    <row r="1547" spans="1:18" x14ac:dyDescent="0.15">
      <c r="A1547" s="59">
        <v>43153.75</v>
      </c>
      <c r="B1547">
        <v>22.512505000000001</v>
      </c>
      <c r="C1547">
        <v>174.87716699999999</v>
      </c>
      <c r="D1547">
        <v>66.201415999999995</v>
      </c>
      <c r="E1547">
        <v>76.097504000000001</v>
      </c>
      <c r="F1547">
        <v>1307.400024</v>
      </c>
      <c r="H1547" s="50">
        <f t="shared" si="201"/>
        <v>1.748225072944596E-2</v>
      </c>
      <c r="I1547" s="50">
        <f t="shared" si="202"/>
        <v>1.4255732126824159E-2</v>
      </c>
      <c r="J1547" s="50">
        <f t="shared" si="203"/>
        <v>1.7599702117124551E-2</v>
      </c>
      <c r="K1547" s="50">
        <f t="shared" si="204"/>
        <v>6.5940687918367063E-3</v>
      </c>
      <c r="L1547" s="50">
        <f t="shared" si="205"/>
        <v>9.9536637614949363E-4</v>
      </c>
      <c r="P1547" s="50">
        <f t="shared" si="200"/>
        <v>9.9536637614949363E-4</v>
      </c>
      <c r="Q1547" s="51">
        <f t="shared" si="206"/>
        <v>90.961646951289964</v>
      </c>
      <c r="R1547" s="51">
        <f t="shared" si="207"/>
        <v>40.226984025543494</v>
      </c>
    </row>
    <row r="1548" spans="1:18" x14ac:dyDescent="0.15">
      <c r="A1548" s="59">
        <v>43154.75</v>
      </c>
      <c r="B1548">
        <v>22.125698</v>
      </c>
      <c r="C1548">
        <v>172.41920500000001</v>
      </c>
      <c r="D1548">
        <v>65.056442000000004</v>
      </c>
      <c r="E1548">
        <v>75.598999000000006</v>
      </c>
      <c r="F1548">
        <v>1306.099976</v>
      </c>
      <c r="H1548" s="50">
        <f t="shared" si="201"/>
        <v>1.6776115811672564E-2</v>
      </c>
      <c r="I1548" s="50">
        <f t="shared" si="202"/>
        <v>-4.1907176817073183E-3</v>
      </c>
      <c r="J1548" s="50">
        <f t="shared" si="203"/>
        <v>2.1219776383029415E-3</v>
      </c>
      <c r="K1548" s="50">
        <f t="shared" si="204"/>
        <v>-3.1074085915525876E-4</v>
      </c>
      <c r="L1548" s="50">
        <f t="shared" si="205"/>
        <v>-1.0440364993634413E-2</v>
      </c>
      <c r="P1548" s="50">
        <f t="shared" si="200"/>
        <v>-1.0440364993634413E-2</v>
      </c>
      <c r="Q1548" s="51">
        <f t="shared" si="206"/>
        <v>90.011974156696382</v>
      </c>
      <c r="R1548" s="51">
        <f t="shared" si="207"/>
        <v>40.901836568310316</v>
      </c>
    </row>
    <row r="1549" spans="1:18" x14ac:dyDescent="0.15">
      <c r="A1549" s="59">
        <v>43155.75</v>
      </c>
      <c r="B1549">
        <v>21.760639000000001</v>
      </c>
      <c r="C1549">
        <v>173.14480599999999</v>
      </c>
      <c r="D1549">
        <v>64.918685999999994</v>
      </c>
      <c r="E1549">
        <v>75.622497999999993</v>
      </c>
      <c r="F1549">
        <v>1319.880005</v>
      </c>
      <c r="H1549" s="50">
        <f t="shared" si="201"/>
        <v>1.0439774496524612E-2</v>
      </c>
      <c r="I1549" s="50">
        <f t="shared" si="202"/>
        <v>9.8926133777717477E-3</v>
      </c>
      <c r="J1549" s="50">
        <f t="shared" si="203"/>
        <v>1.7266951717154533E-2</v>
      </c>
      <c r="K1549" s="50">
        <f t="shared" si="204"/>
        <v>1.2722180016442684E-2</v>
      </c>
      <c r="L1549" s="50">
        <f t="shared" si="205"/>
        <v>-5.5303311887852872E-3</v>
      </c>
      <c r="P1549" s="50">
        <f t="shared" si="200"/>
        <v>-5.5303311887852872E-3</v>
      </c>
      <c r="Q1549" s="51">
        <f t="shared" si="206"/>
        <v>89.514178128653469</v>
      </c>
      <c r="R1549" s="51">
        <f t="shared" si="207"/>
        <v>41.328842518577176</v>
      </c>
    </row>
    <row r="1550" spans="1:18" x14ac:dyDescent="0.15">
      <c r="A1550" s="59">
        <v>43158.75</v>
      </c>
      <c r="B1550">
        <v>21.535810000000001</v>
      </c>
      <c r="C1550">
        <v>171.44873000000001</v>
      </c>
      <c r="D1550">
        <v>63.816764999999997</v>
      </c>
      <c r="E1550">
        <v>74.672500999999997</v>
      </c>
      <c r="F1550">
        <v>1327.219971</v>
      </c>
      <c r="H1550" s="50">
        <f t="shared" si="201"/>
        <v>3.4923575526629685E-3</v>
      </c>
      <c r="I1550" s="50">
        <f t="shared" si="202"/>
        <v>-1.5846067373068862E-3</v>
      </c>
      <c r="J1550" s="50">
        <f t="shared" si="203"/>
        <v>-1.3573023641596281E-2</v>
      </c>
      <c r="K1550" s="50">
        <f t="shared" si="204"/>
        <v>-4.5325247605075636E-3</v>
      </c>
      <c r="L1550" s="50">
        <f t="shared" si="205"/>
        <v>1.5991377143310299E-2</v>
      </c>
      <c r="P1550" s="50">
        <f t="shared" si="200"/>
        <v>1.5991377143310299E-2</v>
      </c>
      <c r="Q1550" s="51">
        <f t="shared" si="206"/>
        <v>90.945633110782225</v>
      </c>
      <c r="R1550" s="51">
        <f t="shared" si="207"/>
        <v>41.473177613889746</v>
      </c>
    </row>
    <row r="1551" spans="1:18" x14ac:dyDescent="0.15">
      <c r="A1551" s="59">
        <v>43159.75</v>
      </c>
      <c r="B1551">
        <v>21.460861000000001</v>
      </c>
      <c r="C1551">
        <v>171.72084000000001</v>
      </c>
      <c r="D1551">
        <v>64.694869999999995</v>
      </c>
      <c r="E1551">
        <v>75.012496999999996</v>
      </c>
      <c r="F1551">
        <v>1306.329956</v>
      </c>
      <c r="H1551" s="50">
        <f t="shared" si="201"/>
        <v>-1.3447467886497927E-2</v>
      </c>
      <c r="I1551" s="50">
        <f t="shared" si="202"/>
        <v>-1.1228296503936417E-2</v>
      </c>
      <c r="J1551" s="50">
        <f t="shared" si="203"/>
        <v>1.3316584592551389E-4</v>
      </c>
      <c r="K1551" s="50">
        <f t="shared" si="204"/>
        <v>-1.5331995213053073E-2</v>
      </c>
      <c r="L1551" s="50">
        <f t="shared" si="205"/>
        <v>-1.6125959884619966E-3</v>
      </c>
      <c r="P1551" s="50">
        <f t="shared" si="200"/>
        <v>-1.6125959884619966E-3</v>
      </c>
      <c r="Q1551" s="51">
        <f t="shared" si="206"/>
        <v>90.79897454765964</v>
      </c>
      <c r="R1551" s="51">
        <f t="shared" si="207"/>
        <v>40.915468389775938</v>
      </c>
    </row>
    <row r="1552" spans="1:18" x14ac:dyDescent="0.15">
      <c r="A1552" s="59">
        <v>43160.75</v>
      </c>
      <c r="B1552">
        <v>21.753388999999999</v>
      </c>
      <c r="C1552">
        <v>173.67086800000001</v>
      </c>
      <c r="D1552">
        <v>64.686256</v>
      </c>
      <c r="E1552">
        <v>76.180496000000005</v>
      </c>
      <c r="F1552">
        <v>1308.4399410000001</v>
      </c>
      <c r="H1552" s="50">
        <f t="shared" si="201"/>
        <v>1.0330048716330613E-2</v>
      </c>
      <c r="I1552" s="50">
        <f t="shared" si="202"/>
        <v>1.0447863688870487E-4</v>
      </c>
      <c r="J1552" s="50">
        <f t="shared" si="203"/>
        <v>4.6663642185422939E-2</v>
      </c>
      <c r="K1552" s="50">
        <f t="shared" si="204"/>
        <v>-9.1244759957088244E-3</v>
      </c>
      <c r="L1552" s="50">
        <f t="shared" si="205"/>
        <v>-1.6927526909620936E-2</v>
      </c>
      <c r="P1552" s="50">
        <f t="shared" si="200"/>
        <v>-1.6927526909620936E-2</v>
      </c>
      <c r="Q1552" s="51">
        <f t="shared" si="206"/>
        <v>89.261972462638141</v>
      </c>
      <c r="R1552" s="51">
        <f t="shared" si="207"/>
        <v>41.338127171493809</v>
      </c>
    </row>
    <row r="1553" spans="1:18" x14ac:dyDescent="0.15">
      <c r="A1553" s="59">
        <v>43161.75</v>
      </c>
      <c r="B1553">
        <v>21.530972999999999</v>
      </c>
      <c r="C1553">
        <v>173.652725</v>
      </c>
      <c r="D1553">
        <v>61.802334000000002</v>
      </c>
      <c r="E1553">
        <v>76.882003999999995</v>
      </c>
      <c r="F1553">
        <v>1330.969971</v>
      </c>
      <c r="H1553" s="50">
        <f t="shared" si="201"/>
        <v>1.5044514502765465E-2</v>
      </c>
      <c r="I1553" s="50">
        <f t="shared" si="202"/>
        <v>2.1883036132157876E-2</v>
      </c>
      <c r="J1553" s="50">
        <f t="shared" si="203"/>
        <v>5.0399385836458798E-3</v>
      </c>
      <c r="K1553" s="50">
        <f t="shared" si="204"/>
        <v>-4.7637022653722345E-3</v>
      </c>
      <c r="L1553" s="50">
        <f t="shared" si="205"/>
        <v>7.4328780392921949E-3</v>
      </c>
      <c r="P1553" s="50">
        <f t="shared" si="200"/>
        <v>7.4328780392921949E-3</v>
      </c>
      <c r="Q1553" s="51">
        <f t="shared" si="206"/>
        <v>89.925445817499593</v>
      </c>
      <c r="R1553" s="51">
        <f t="shared" si="207"/>
        <v>41.960039225242518</v>
      </c>
    </row>
    <row r="1554" spans="1:18" x14ac:dyDescent="0.15">
      <c r="A1554" s="59">
        <v>43162.75</v>
      </c>
      <c r="B1554">
        <v>21.211850999999999</v>
      </c>
      <c r="C1554">
        <v>169.93405200000001</v>
      </c>
      <c r="D1554">
        <v>61.492415999999999</v>
      </c>
      <c r="E1554">
        <v>77.25</v>
      </c>
      <c r="F1554">
        <v>1321.150024</v>
      </c>
      <c r="H1554" s="50">
        <f t="shared" si="201"/>
        <v>-1.9790554775548679E-2</v>
      </c>
      <c r="I1554" s="50">
        <f t="shared" si="202"/>
        <v>8.9933165242250621E-3</v>
      </c>
      <c r="J1554" s="50">
        <f t="shared" si="203"/>
        <v>2.4086026641211542E-2</v>
      </c>
      <c r="K1554" s="50">
        <f t="shared" si="204"/>
        <v>-4.4205275109731991E-3</v>
      </c>
      <c r="L1554" s="50">
        <f t="shared" si="205"/>
        <v>8.4113934937319803E-3</v>
      </c>
      <c r="P1554" s="50">
        <f t="shared" si="200"/>
        <v>8.4113934937319803E-3</v>
      </c>
      <c r="Q1554" s="51">
        <f t="shared" si="206"/>
        <v>90.681844127369857</v>
      </c>
      <c r="R1554" s="51">
        <f t="shared" si="207"/>
        <v>41.129626770571186</v>
      </c>
    </row>
    <row r="1555" spans="1:18" x14ac:dyDescent="0.15">
      <c r="A1555" s="59">
        <v>43165.75</v>
      </c>
      <c r="B1555">
        <v>21.640121000000001</v>
      </c>
      <c r="C1555">
        <v>168.41940299999999</v>
      </c>
      <c r="D1555">
        <v>60.046143000000001</v>
      </c>
      <c r="E1555">
        <v>77.593001999999998</v>
      </c>
      <c r="F1555">
        <v>1310.130005</v>
      </c>
      <c r="H1555" s="50">
        <f t="shared" si="201"/>
        <v>-9.0172968560929007E-3</v>
      </c>
      <c r="I1555" s="50">
        <f t="shared" si="202"/>
        <v>-1.5324843421800315E-2</v>
      </c>
      <c r="J1555" s="50">
        <f t="shared" si="203"/>
        <v>-1.0497850261190942E-2</v>
      </c>
      <c r="K1555" s="50">
        <f t="shared" si="204"/>
        <v>-1.7119646479759967E-2</v>
      </c>
      <c r="L1555" s="50">
        <f t="shared" si="205"/>
        <v>-8.8438225155970593E-3</v>
      </c>
      <c r="P1555" s="50">
        <f t="shared" si="200"/>
        <v>-8.8438225155970593E-3</v>
      </c>
      <c r="Q1555" s="51">
        <f t="shared" si="206"/>
        <v>89.879869992520369</v>
      </c>
      <c r="R1555" s="51">
        <f t="shared" si="207"/>
        <v>40.758748716400639</v>
      </c>
    </row>
    <row r="1556" spans="1:18" x14ac:dyDescent="0.15">
      <c r="A1556" s="59">
        <v>43166.75</v>
      </c>
      <c r="B1556">
        <v>21.837032000000001</v>
      </c>
      <c r="C1556">
        <v>171.04057299999999</v>
      </c>
      <c r="D1556">
        <v>60.683185999999999</v>
      </c>
      <c r="E1556">
        <v>78.944503999999995</v>
      </c>
      <c r="F1556">
        <v>1321.8199460000001</v>
      </c>
      <c r="H1556" s="50">
        <f t="shared" si="201"/>
        <v>7.3805266068566371E-3</v>
      </c>
      <c r="I1556" s="50">
        <f t="shared" si="202"/>
        <v>-4.1718098064656784E-3</v>
      </c>
      <c r="J1556" s="50">
        <f t="shared" si="203"/>
        <v>-2.5470861653148118E-3</v>
      </c>
      <c r="K1556" s="50">
        <f t="shared" si="204"/>
        <v>-1.2199750694142206E-2</v>
      </c>
      <c r="L1556" s="50">
        <f t="shared" si="205"/>
        <v>1.3635596223761375E-3</v>
      </c>
      <c r="P1556" s="50">
        <f t="shared" si="200"/>
        <v>1.3635596223761375E-3</v>
      </c>
      <c r="Q1556" s="51">
        <f t="shared" si="206"/>
        <v>90.002426554106592</v>
      </c>
      <c r="R1556" s="51">
        <f t="shared" si="207"/>
        <v>41.059569745764222</v>
      </c>
    </row>
    <row r="1557" spans="1:18" x14ac:dyDescent="0.15">
      <c r="A1557" s="59">
        <v>43167.75</v>
      </c>
      <c r="B1557">
        <v>21.677043999999999</v>
      </c>
      <c r="C1557">
        <v>171.75711100000001</v>
      </c>
      <c r="D1557">
        <v>60.838146000000002</v>
      </c>
      <c r="E1557">
        <v>79.919501999999994</v>
      </c>
      <c r="F1557">
        <v>1320.0200199999999</v>
      </c>
      <c r="H1557" s="50">
        <f t="shared" si="201"/>
        <v>-2.6048079531580523E-3</v>
      </c>
      <c r="I1557" s="50">
        <f t="shared" si="202"/>
        <v>1.0188697200490518E-2</v>
      </c>
      <c r="J1557" s="50">
        <f t="shared" si="203"/>
        <v>-7.0253303414353138E-3</v>
      </c>
      <c r="K1557" s="50">
        <f t="shared" si="204"/>
        <v>6.4288055420218303E-3</v>
      </c>
      <c r="L1557" s="50">
        <f t="shared" si="205"/>
        <v>1.9233914716517208E-2</v>
      </c>
      <c r="P1557" s="50">
        <f t="shared" si="200"/>
        <v>1.9233914716517208E-2</v>
      </c>
      <c r="Q1557" s="51">
        <f t="shared" si="206"/>
        <v>91.73352555072789</v>
      </c>
      <c r="R1557" s="51">
        <f t="shared" si="207"/>
        <v>40.952617451937208</v>
      </c>
    </row>
    <row r="1558" spans="1:18" x14ac:dyDescent="0.15">
      <c r="A1558" s="59">
        <v>43168.75</v>
      </c>
      <c r="B1558">
        <v>21.733656</v>
      </c>
      <c r="C1558">
        <v>170.02477999999999</v>
      </c>
      <c r="D1558">
        <v>61.268577999999998</v>
      </c>
      <c r="E1558">
        <v>79.408996999999999</v>
      </c>
      <c r="F1558">
        <v>1295.1099850000001</v>
      </c>
      <c r="H1558" s="50">
        <f t="shared" si="201"/>
        <v>7.1860110242595726E-3</v>
      </c>
      <c r="I1558" s="50">
        <f t="shared" si="202"/>
        <v>1.5328042569151502E-2</v>
      </c>
      <c r="J1558" s="50">
        <f t="shared" si="203"/>
        <v>7.3598329101950948E-3</v>
      </c>
      <c r="K1558" s="50">
        <f t="shared" si="204"/>
        <v>-1.7725455019782263E-3</v>
      </c>
      <c r="L1558" s="50">
        <f t="shared" si="205"/>
        <v>-7.0307325084404569E-3</v>
      </c>
      <c r="P1558" s="50">
        <f t="shared" si="200"/>
        <v>-7.0307325084404569E-3</v>
      </c>
      <c r="Q1558" s="51">
        <f t="shared" si="206"/>
        <v>91.08857167052453</v>
      </c>
      <c r="R1558" s="51">
        <f t="shared" si="207"/>
        <v>41.246903412419115</v>
      </c>
    </row>
    <row r="1559" spans="1:18" x14ac:dyDescent="0.15">
      <c r="A1559" s="59">
        <v>43169.75</v>
      </c>
      <c r="B1559">
        <v>21.578592</v>
      </c>
      <c r="C1559">
        <v>167.457977</v>
      </c>
      <c r="D1559">
        <v>60.820945999999999</v>
      </c>
      <c r="E1559">
        <v>79.550003000000004</v>
      </c>
      <c r="F1559">
        <v>1304.280029</v>
      </c>
      <c r="H1559" s="50">
        <f t="shared" si="201"/>
        <v>1.8285259991233352E-3</v>
      </c>
      <c r="I1559" s="50">
        <f t="shared" si="202"/>
        <v>-4.7436135145849448E-3</v>
      </c>
      <c r="J1559" s="50">
        <f t="shared" si="203"/>
        <v>2.8369985929797918E-4</v>
      </c>
      <c r="K1559" s="50">
        <f t="shared" si="204"/>
        <v>5.4856921034567869E-3</v>
      </c>
      <c r="L1559" s="50">
        <f t="shared" si="205"/>
        <v>6.0861422170087175E-3</v>
      </c>
      <c r="P1559" s="50">
        <f t="shared" si="200"/>
        <v>6.0861422170087175E-3</v>
      </c>
      <c r="Q1559" s="51">
        <f t="shared" si="206"/>
        <v>91.642949672055522</v>
      </c>
      <c r="R1559" s="51">
        <f t="shared" si="207"/>
        <v>41.322324447692054</v>
      </c>
    </row>
    <row r="1560" spans="1:18" x14ac:dyDescent="0.15">
      <c r="A1560" s="59">
        <v>43172.75</v>
      </c>
      <c r="B1560">
        <v>21.539207000000001</v>
      </c>
      <c r="C1560">
        <v>168.25611900000001</v>
      </c>
      <c r="D1560">
        <v>60.803696000000002</v>
      </c>
      <c r="E1560">
        <v>79.115996999999993</v>
      </c>
      <c r="F1560">
        <v>1296.3900149999999</v>
      </c>
      <c r="H1560" s="50">
        <f t="shared" si="201"/>
        <v>-1.8616312874086442E-2</v>
      </c>
      <c r="I1560" s="50">
        <f t="shared" si="202"/>
        <v>-1.9370496156330343E-3</v>
      </c>
      <c r="J1560" s="50">
        <f t="shared" si="203"/>
        <v>-5.0713568373664105E-3</v>
      </c>
      <c r="K1560" s="50">
        <f t="shared" si="204"/>
        <v>6.7697877430518911E-3</v>
      </c>
      <c r="L1560" s="50">
        <f t="shared" si="205"/>
        <v>1.132721731270411E-2</v>
      </c>
      <c r="P1560" s="50">
        <f t="shared" si="200"/>
        <v>1.132721731270411E-2</v>
      </c>
      <c r="Q1560" s="51">
        <f t="shared" si="206"/>
        <v>92.681009278168105</v>
      </c>
      <c r="R1560" s="51">
        <f t="shared" si="207"/>
        <v>40.553055127089308</v>
      </c>
    </row>
    <row r="1561" spans="1:18" x14ac:dyDescent="0.15">
      <c r="A1561" s="59">
        <v>43173.75</v>
      </c>
      <c r="B1561">
        <v>21.947793999999998</v>
      </c>
      <c r="C1561">
        <v>168.582672</v>
      </c>
      <c r="D1561">
        <v>61.113624999999999</v>
      </c>
      <c r="E1561">
        <v>78.584000000000003</v>
      </c>
      <c r="F1561">
        <v>1281.869995</v>
      </c>
      <c r="H1561" s="50">
        <f t="shared" si="201"/>
        <v>1.9668288775854532E-2</v>
      </c>
      <c r="I1561" s="50">
        <f t="shared" si="202"/>
        <v>9.3404965476588647E-3</v>
      </c>
      <c r="J1561" s="50">
        <f t="shared" si="203"/>
        <v>9.2405344889021166E-3</v>
      </c>
      <c r="K1561" s="50">
        <f t="shared" si="204"/>
        <v>1.7314726681849066E-2</v>
      </c>
      <c r="L1561" s="50">
        <f t="shared" si="205"/>
        <v>1.9882558319479379E-2</v>
      </c>
      <c r="P1561" s="50">
        <f t="shared" si="200"/>
        <v>1.9882558319479379E-2</v>
      </c>
      <c r="Q1561" s="51">
        <f t="shared" si="206"/>
        <v>94.523744850249486</v>
      </c>
      <c r="R1561" s="51">
        <f t="shared" si="207"/>
        <v>41.350664326072049</v>
      </c>
    </row>
    <row r="1562" spans="1:18" x14ac:dyDescent="0.15">
      <c r="A1562" s="59">
        <v>43174.75</v>
      </c>
      <c r="B1562">
        <v>21.524445</v>
      </c>
      <c r="C1562">
        <v>167.02259799999999</v>
      </c>
      <c r="D1562">
        <v>60.554073000000002</v>
      </c>
      <c r="E1562">
        <v>77.246498000000003</v>
      </c>
      <c r="F1562">
        <v>1256.880005</v>
      </c>
      <c r="H1562" s="50">
        <f t="shared" si="201"/>
        <v>-5.6848116505979597E-3</v>
      </c>
      <c r="I1562" s="50">
        <f t="shared" si="202"/>
        <v>-1.7080152953649379E-2</v>
      </c>
      <c r="J1562" s="50">
        <f t="shared" si="203"/>
        <v>-1.7048157001604666E-2</v>
      </c>
      <c r="K1562" s="50">
        <f t="shared" si="204"/>
        <v>-2.6208495376644363E-2</v>
      </c>
      <c r="L1562" s="50">
        <f t="shared" si="205"/>
        <v>-1.3221089708422264E-2</v>
      </c>
      <c r="P1562" s="50">
        <f t="shared" si="200"/>
        <v>-1.3221089708422264E-2</v>
      </c>
      <c r="Q1562" s="51">
        <f t="shared" si="206"/>
        <v>93.274037940008313</v>
      </c>
      <c r="R1562" s="51">
        <f t="shared" si="207"/>
        <v>41.115593587751228</v>
      </c>
    </row>
    <row r="1563" spans="1:18" x14ac:dyDescent="0.15">
      <c r="A1563" s="59">
        <v>43175.75</v>
      </c>
      <c r="B1563">
        <v>21.647507000000001</v>
      </c>
      <c r="C1563">
        <v>169.92494199999999</v>
      </c>
      <c r="D1563">
        <v>61.604312999999998</v>
      </c>
      <c r="E1563">
        <v>79.325500000000005</v>
      </c>
      <c r="F1563">
        <v>1273.719971</v>
      </c>
      <c r="H1563" s="50">
        <f t="shared" si="201"/>
        <v>-2.6082609119734822E-3</v>
      </c>
      <c r="I1563" s="50">
        <f t="shared" si="202"/>
        <v>6.8788588715801404E-3</v>
      </c>
      <c r="J1563" s="50">
        <f t="shared" si="203"/>
        <v>2.0245199428238946E-2</v>
      </c>
      <c r="K1563" s="50">
        <f t="shared" si="204"/>
        <v>2.9395520984272002E-3</v>
      </c>
      <c r="L1563" s="50">
        <f t="shared" si="205"/>
        <v>-4.2917036040810144E-3</v>
      </c>
      <c r="P1563" s="50">
        <f t="shared" si="200"/>
        <v>-4.2917036040810144E-3</v>
      </c>
      <c r="Q1563" s="51">
        <f t="shared" si="206"/>
        <v>92.873733415213991</v>
      </c>
      <c r="R1563" s="51">
        <f t="shared" si="207"/>
        <v>41.008353392123709</v>
      </c>
    </row>
    <row r="1564" spans="1:18" x14ac:dyDescent="0.15">
      <c r="A1564" s="59">
        <v>43176.75</v>
      </c>
      <c r="B1564">
        <v>21.704117</v>
      </c>
      <c r="C1564">
        <v>168.764038</v>
      </c>
      <c r="D1564">
        <v>60.381869999999999</v>
      </c>
      <c r="E1564">
        <v>79.093001999999998</v>
      </c>
      <c r="F1564">
        <v>1279.209961</v>
      </c>
      <c r="H1564" s="50">
        <f t="shared" si="201"/>
        <v>1.1934741750787745E-2</v>
      </c>
      <c r="I1564" s="50">
        <f t="shared" si="202"/>
        <v>1.8780167797216422E-2</v>
      </c>
      <c r="J1564" s="50">
        <f t="shared" si="203"/>
        <v>1.8144671415365805E-2</v>
      </c>
      <c r="K1564" s="50">
        <f t="shared" si="204"/>
        <v>2.3910622584713111E-2</v>
      </c>
      <c r="L1564" s="50">
        <f t="shared" si="205"/>
        <v>-1.4764586581876668E-2</v>
      </c>
      <c r="P1564" s="50">
        <f t="shared" si="200"/>
        <v>-1.4764586581876668E-2</v>
      </c>
      <c r="Q1564" s="51">
        <f t="shared" si="206"/>
        <v>91.502491137022929</v>
      </c>
      <c r="R1564" s="51">
        <f t="shared" si="207"/>
        <v>41.497777499483746</v>
      </c>
    </row>
    <row r="1565" spans="1:18" x14ac:dyDescent="0.15">
      <c r="A1565" s="59">
        <v>43179.75</v>
      </c>
      <c r="B1565">
        <v>21.448139000000001</v>
      </c>
      <c r="C1565">
        <v>165.65304599999999</v>
      </c>
      <c r="D1565">
        <v>59.305785999999998</v>
      </c>
      <c r="E1565">
        <v>77.246002000000004</v>
      </c>
      <c r="F1565">
        <v>1298.380005</v>
      </c>
      <c r="H1565" s="50">
        <f t="shared" si="201"/>
        <v>2.0135512385995372E-2</v>
      </c>
      <c r="I1565" s="50">
        <f t="shared" si="202"/>
        <v>9.9532553575555471E-3</v>
      </c>
      <c r="J1565" s="50">
        <f t="shared" si="203"/>
        <v>1.487924508838662E-2</v>
      </c>
      <c r="K1565" s="50">
        <f t="shared" si="204"/>
        <v>3.3004386316831127E-2</v>
      </c>
      <c r="L1565" s="50">
        <f t="shared" si="205"/>
        <v>3.5632182913003748E-3</v>
      </c>
      <c r="P1565" s="50">
        <f t="shared" si="200"/>
        <v>3.5632182913003748E-3</v>
      </c>
      <c r="Q1565" s="51">
        <f t="shared" si="206"/>
        <v>91.828534487141923</v>
      </c>
      <c r="R1565" s="51">
        <f t="shared" si="207"/>
        <v>42.333356512315881</v>
      </c>
    </row>
    <row r="1566" spans="1:18" x14ac:dyDescent="0.15">
      <c r="A1566" s="59">
        <v>43180.75</v>
      </c>
      <c r="B1566">
        <v>21.024794</v>
      </c>
      <c r="C1566">
        <v>164.02050800000001</v>
      </c>
      <c r="D1566">
        <v>58.436298000000001</v>
      </c>
      <c r="E1566">
        <v>74.778000000000006</v>
      </c>
      <c r="F1566">
        <v>1293.7700199999999</v>
      </c>
      <c r="H1566" s="50">
        <f t="shared" si="201"/>
        <v>-2.3771138696108488E-2</v>
      </c>
      <c r="I1566" s="50">
        <f t="shared" si="202"/>
        <v>-3.4077609309324089E-2</v>
      </c>
      <c r="J1566" s="50">
        <f t="shared" si="203"/>
        <v>-3.4149075642438513E-2</v>
      </c>
      <c r="K1566" s="50">
        <f t="shared" si="204"/>
        <v>-3.8756688117911345E-2</v>
      </c>
      <c r="L1566" s="50">
        <f t="shared" si="205"/>
        <v>-2.9055126521610542E-3</v>
      </c>
      <c r="P1566" s="50">
        <f t="shared" si="200"/>
        <v>-2.9055126521610542E-3</v>
      </c>
      <c r="Q1566" s="51">
        <f t="shared" si="206"/>
        <v>91.56172551836012</v>
      </c>
      <c r="R1566" s="51">
        <f t="shared" si="207"/>
        <v>41.327044423189811</v>
      </c>
    </row>
    <row r="1567" spans="1:18" x14ac:dyDescent="0.15">
      <c r="A1567" s="59">
        <v>43181.75</v>
      </c>
      <c r="B1567">
        <v>21.536746999999998</v>
      </c>
      <c r="C1567">
        <v>169.807129</v>
      </c>
      <c r="D1567">
        <v>60.502398999999997</v>
      </c>
      <c r="E1567">
        <v>77.792998999999995</v>
      </c>
      <c r="F1567">
        <v>1297.540039</v>
      </c>
      <c r="H1567" s="50">
        <f t="shared" si="201"/>
        <v>1.6850636309893034E-2</v>
      </c>
      <c r="I1567" s="50">
        <f t="shared" si="202"/>
        <v>2.2222367903863824E-2</v>
      </c>
      <c r="J1567" s="50">
        <f t="shared" si="203"/>
        <v>2.5835290142530821E-2</v>
      </c>
      <c r="K1567" s="50">
        <f t="shared" si="204"/>
        <v>3.928389780857143E-2</v>
      </c>
      <c r="L1567" s="50">
        <f t="shared" si="205"/>
        <v>-9.2543062209685008E-3</v>
      </c>
      <c r="P1567" s="50">
        <f t="shared" si="200"/>
        <v>-9.2543062209685008E-3</v>
      </c>
      <c r="Q1567" s="51">
        <f t="shared" si="206"/>
        <v>90.714385272292958</v>
      </c>
      <c r="R1567" s="51">
        <f t="shared" si="207"/>
        <v>42.023431418527778</v>
      </c>
    </row>
    <row r="1568" spans="1:18" x14ac:dyDescent="0.15">
      <c r="A1568" s="59">
        <v>43182.75</v>
      </c>
      <c r="B1568">
        <v>21.179853000000001</v>
      </c>
      <c r="C1568">
        <v>166.115646</v>
      </c>
      <c r="D1568">
        <v>58.978667999999999</v>
      </c>
      <c r="E1568">
        <v>74.852501000000004</v>
      </c>
      <c r="F1568">
        <v>1309.660034</v>
      </c>
      <c r="H1568" s="50">
        <f t="shared" si="201"/>
        <v>-1.9596721875295715E-2</v>
      </c>
      <c r="I1568" s="50">
        <f t="shared" si="202"/>
        <v>-2.5051575864284501E-3</v>
      </c>
      <c r="J1568" s="50">
        <f t="shared" si="203"/>
        <v>-9.6844736124905174E-3</v>
      </c>
      <c r="K1568" s="50">
        <f t="shared" si="204"/>
        <v>4.5849604530460768E-2</v>
      </c>
      <c r="L1568" s="50">
        <f t="shared" si="205"/>
        <v>-3.1511758605513255E-3</v>
      </c>
      <c r="P1568" s="50">
        <f t="shared" si="200"/>
        <v>-3.1511758605513255E-3</v>
      </c>
      <c r="Q1568" s="51">
        <f t="shared" si="206"/>
        <v>90.428528291218157</v>
      </c>
      <c r="R1568" s="51">
        <f t="shared" si="207"/>
        <v>41.199909920773322</v>
      </c>
    </row>
    <row r="1569" spans="1:18" x14ac:dyDescent="0.15">
      <c r="A1569" s="59">
        <v>43183.75</v>
      </c>
      <c r="B1569">
        <v>21.603204999999999</v>
      </c>
      <c r="C1569">
        <v>166.532837</v>
      </c>
      <c r="D1569">
        <v>59.555430999999999</v>
      </c>
      <c r="E1569">
        <v>71.570999</v>
      </c>
      <c r="F1569">
        <v>1313.8000489999999</v>
      </c>
      <c r="H1569" s="50">
        <f t="shared" si="201"/>
        <v>-1.3487551671769524E-2</v>
      </c>
      <c r="I1569" s="50">
        <f t="shared" si="202"/>
        <v>-2.5579885652668104E-2</v>
      </c>
      <c r="J1569" s="50">
        <f t="shared" si="203"/>
        <v>-3.6007305190880585E-3</v>
      </c>
      <c r="K1569" s="50">
        <f t="shared" si="204"/>
        <v>-1.0999461536313263E-2</v>
      </c>
      <c r="L1569" s="50">
        <f t="shared" si="205"/>
        <v>2.7554081183408007E-3</v>
      </c>
      <c r="P1569" s="50">
        <f t="shared" si="200"/>
        <v>2.7554081183408007E-3</v>
      </c>
      <c r="Q1569" s="51">
        <f t="shared" si="206"/>
        <v>90.677695792201391</v>
      </c>
      <c r="R1569" s="51">
        <f t="shared" si="207"/>
        <v>40.644224006844645</v>
      </c>
    </row>
    <row r="1570" spans="1:18" x14ac:dyDescent="0.15">
      <c r="A1570" s="59">
        <v>43186.75</v>
      </c>
      <c r="B1570">
        <v>21.898562999999999</v>
      </c>
      <c r="C1570">
        <v>170.90455600000001</v>
      </c>
      <c r="D1570">
        <v>59.770648999999999</v>
      </c>
      <c r="E1570">
        <v>72.366996999999998</v>
      </c>
      <c r="F1570">
        <v>1310.1899410000001</v>
      </c>
      <c r="H1570" s="50">
        <f t="shared" si="201"/>
        <v>3.9976617511961889E-2</v>
      </c>
      <c r="I1570" s="50">
        <f t="shared" si="202"/>
        <v>3.1080722732482063E-2</v>
      </c>
      <c r="J1570" s="50">
        <f t="shared" si="203"/>
        <v>6.5234370908464319E-3</v>
      </c>
      <c r="K1570" s="50">
        <f t="shared" si="204"/>
        <v>5.4920135500107041E-2</v>
      </c>
      <c r="L1570" s="50">
        <f t="shared" si="205"/>
        <v>-7.0105502437567933E-3</v>
      </c>
      <c r="P1570" s="50">
        <f t="shared" si="200"/>
        <v>-7.0105502437567933E-3</v>
      </c>
      <c r="Q1570" s="51">
        <f t="shared" si="206"/>
        <v>90.041995249862069</v>
      </c>
      <c r="R1570" s="51">
        <f t="shared" si="207"/>
        <v>42.26904260403677</v>
      </c>
    </row>
    <row r="1571" spans="1:18" x14ac:dyDescent="0.15">
      <c r="A1571" s="59">
        <v>43187.75</v>
      </c>
      <c r="B1571">
        <v>21.056784</v>
      </c>
      <c r="C1571">
        <v>165.752838</v>
      </c>
      <c r="D1571">
        <v>59.383265999999999</v>
      </c>
      <c r="E1571">
        <v>68.599502999999999</v>
      </c>
      <c r="F1571">
        <v>1319.4399410000001</v>
      </c>
      <c r="H1571" s="50">
        <f t="shared" si="201"/>
        <v>-1.4401023307218529E-2</v>
      </c>
      <c r="I1571" s="50">
        <f t="shared" si="202"/>
        <v>7.6678253083435632E-4</v>
      </c>
      <c r="J1571" s="50">
        <f t="shared" si="203"/>
        <v>-7.9101697865519103E-3</v>
      </c>
      <c r="K1571" s="50">
        <f t="shared" si="204"/>
        <v>-1.4410372983580074E-2</v>
      </c>
      <c r="L1571" s="50">
        <f t="shared" si="205"/>
        <v>-6.6403181106083863E-3</v>
      </c>
      <c r="P1571" s="50">
        <f t="shared" si="200"/>
        <v>-6.6403181106083863E-3</v>
      </c>
      <c r="Q1571" s="51">
        <f t="shared" si="206"/>
        <v>89.444087758089097</v>
      </c>
      <c r="R1571" s="51">
        <f t="shared" si="207"/>
        <v>41.660325136322228</v>
      </c>
    </row>
    <row r="1572" spans="1:18" x14ac:dyDescent="0.15">
      <c r="A1572" s="59">
        <v>43188.75</v>
      </c>
      <c r="B1572">
        <v>21.364453999999999</v>
      </c>
      <c r="C1572">
        <v>165.62583900000001</v>
      </c>
      <c r="D1572">
        <v>59.856743000000002</v>
      </c>
      <c r="E1572">
        <v>69.602501000000004</v>
      </c>
      <c r="F1572">
        <v>1328.26001</v>
      </c>
      <c r="H1572" s="50">
        <f t="shared" si="201"/>
        <v>-4.8154375726174583E-3</v>
      </c>
      <c r="I1572" s="50">
        <f t="shared" si="202"/>
        <v>-1.5685797158798209E-2</v>
      </c>
      <c r="J1572" s="50">
        <f t="shared" si="203"/>
        <v>-3.2424420169070822E-2</v>
      </c>
      <c r="K1572" s="50">
        <f t="shared" si="204"/>
        <v>-1.3129471924279988E-2</v>
      </c>
      <c r="L1572" s="50">
        <f t="shared" si="205"/>
        <v>1.8328549517249912E-3</v>
      </c>
      <c r="P1572" s="50">
        <f t="shared" si="200"/>
        <v>1.8328549517249912E-3</v>
      </c>
      <c r="Q1572" s="51">
        <f t="shared" si="206"/>
        <v>89.608025797239037</v>
      </c>
      <c r="R1572" s="51">
        <f t="shared" si="207"/>
        <v>41.45971244137332</v>
      </c>
    </row>
    <row r="1573" spans="1:18" x14ac:dyDescent="0.15">
      <c r="A1573" s="59">
        <v>43189.75</v>
      </c>
      <c r="B1573">
        <v>21.467831</v>
      </c>
      <c r="C1573">
        <v>168.26521299999999</v>
      </c>
      <c r="D1573">
        <v>61.862602000000003</v>
      </c>
      <c r="E1573">
        <v>70.528503000000001</v>
      </c>
      <c r="F1573">
        <v>1325.829956</v>
      </c>
      <c r="H1573" s="50">
        <f t="shared" si="201"/>
        <v>-6.7189964729178122E-3</v>
      </c>
      <c r="I1573" s="50">
        <f t="shared" si="202"/>
        <v>-3.9192249573762744E-3</v>
      </c>
      <c r="J1573" s="50">
        <f t="shared" si="203"/>
        <v>-8.0065227001407807E-3</v>
      </c>
      <c r="K1573" s="50">
        <f t="shared" si="204"/>
        <v>-2.8365750897447882E-2</v>
      </c>
      <c r="L1573" s="50">
        <f t="shared" si="205"/>
        <v>-4.9384782702709346E-3</v>
      </c>
      <c r="P1573" s="50">
        <f t="shared" si="200"/>
        <v>-4.9384782702709346E-3</v>
      </c>
      <c r="Q1573" s="51">
        <f t="shared" si="206"/>
        <v>89.165498508997487</v>
      </c>
      <c r="R1573" s="51">
        <f t="shared" si="207"/>
        <v>41.181144779711545</v>
      </c>
    </row>
    <row r="1574" spans="1:18" x14ac:dyDescent="0.15">
      <c r="A1574" s="59">
        <v>43190.75</v>
      </c>
      <c r="B1574">
        <v>21.613049</v>
      </c>
      <c r="C1574">
        <v>168.927277</v>
      </c>
      <c r="D1574">
        <v>62.361904000000003</v>
      </c>
      <c r="E1574">
        <v>72.587502000000001</v>
      </c>
      <c r="F1574">
        <v>1332.410034</v>
      </c>
      <c r="H1574" s="50">
        <f t="shared" si="201"/>
        <v>1.2919581172551776E-2</v>
      </c>
      <c r="I1574" s="50">
        <f t="shared" si="202"/>
        <v>1.2448170904054123E-2</v>
      </c>
      <c r="J1574" s="50">
        <f t="shared" si="203"/>
        <v>2.0752737376848653E-3</v>
      </c>
      <c r="K1574" s="50">
        <f t="shared" si="204"/>
        <v>3.310497355329612E-2</v>
      </c>
      <c r="L1574" s="50">
        <f t="shared" si="205"/>
        <v>-3.4509067030203582E-4</v>
      </c>
      <c r="P1574" s="50">
        <f t="shared" si="200"/>
        <v>-3.4509067030203582E-4</v>
      </c>
      <c r="Q1574" s="51">
        <f t="shared" si="206"/>
        <v>89.134728327349194</v>
      </c>
      <c r="R1574" s="51">
        <f t="shared" si="207"/>
        <v>41.713187922471633</v>
      </c>
    </row>
    <row r="1575" spans="1:18" x14ac:dyDescent="0.15">
      <c r="A1575" s="59">
        <v>43193.75</v>
      </c>
      <c r="B1575">
        <v>21.337378999999999</v>
      </c>
      <c r="C1575">
        <v>166.85029599999999</v>
      </c>
      <c r="D1575">
        <v>62.232754</v>
      </c>
      <c r="E1575">
        <v>70.261497000000006</v>
      </c>
      <c r="F1575">
        <v>1332.869995</v>
      </c>
      <c r="H1575" s="50">
        <f t="shared" si="201"/>
        <v>4.7519208116793216E-3</v>
      </c>
      <c r="I1575" s="50">
        <f t="shared" si="202"/>
        <v>-2.4403726904854367E-3</v>
      </c>
      <c r="J1575" s="50">
        <f t="shared" si="203"/>
        <v>1.1331613067704827E-2</v>
      </c>
      <c r="K1575" s="50">
        <f t="shared" si="204"/>
        <v>-6.0457441106365878E-4</v>
      </c>
      <c r="L1575" s="50">
        <f t="shared" si="205"/>
        <v>1.8008749547856258E-4</v>
      </c>
      <c r="P1575" s="50">
        <f t="shared" si="200"/>
        <v>1.8008749547856258E-4</v>
      </c>
      <c r="Q1575" s="51">
        <f t="shared" si="206"/>
        <v>89.150780377333817</v>
      </c>
      <c r="R1575" s="51">
        <f t="shared" si="207"/>
        <v>41.911405688281917</v>
      </c>
    </row>
    <row r="1576" spans="1:18" x14ac:dyDescent="0.15">
      <c r="A1576" s="59">
        <v>43194.75</v>
      </c>
      <c r="B1576">
        <v>21.236464999999999</v>
      </c>
      <c r="C1576">
        <v>167.25846899999999</v>
      </c>
      <c r="D1576">
        <v>61.535457999999998</v>
      </c>
      <c r="E1576">
        <v>70.304001</v>
      </c>
      <c r="F1576">
        <v>1332.630005</v>
      </c>
      <c r="H1576" s="50">
        <f t="shared" si="201"/>
        <v>-1.9663220355193023E-3</v>
      </c>
      <c r="I1576" s="50">
        <f t="shared" si="202"/>
        <v>4.6854716123328269E-3</v>
      </c>
      <c r="J1576" s="50">
        <f t="shared" si="203"/>
        <v>-1.7997066604246253E-2</v>
      </c>
      <c r="K1576" s="50">
        <f t="shared" si="204"/>
        <v>-2.0985588043012423E-2</v>
      </c>
      <c r="L1576" s="50">
        <f t="shared" si="205"/>
        <v>-2.178919324784089E-3</v>
      </c>
      <c r="P1576" s="50">
        <f t="shared" si="200"/>
        <v>-2.178919324784089E-3</v>
      </c>
      <c r="Q1576" s="51">
        <f t="shared" si="206"/>
        <v>88.956528019150056</v>
      </c>
      <c r="R1576" s="51">
        <f t="shared" si="207"/>
        <v>41.828994367737458</v>
      </c>
    </row>
    <row r="1577" spans="1:18" x14ac:dyDescent="0.15">
      <c r="A1577" s="59">
        <v>43195.75</v>
      </c>
      <c r="B1577">
        <v>21.278305</v>
      </c>
      <c r="C1577">
        <v>166.47843900000001</v>
      </c>
      <c r="D1577">
        <v>62.663212000000001</v>
      </c>
      <c r="E1577">
        <v>71.810997</v>
      </c>
      <c r="F1577">
        <v>1335.540039</v>
      </c>
      <c r="H1577" s="50">
        <f t="shared" si="201"/>
        <v>6.2855293079178221E-3</v>
      </c>
      <c r="I1577" s="50">
        <f t="shared" si="202"/>
        <v>-5.9572428035790928E-3</v>
      </c>
      <c r="J1577" s="50">
        <f t="shared" si="203"/>
        <v>-4.1208156863768882E-4</v>
      </c>
      <c r="K1577" s="50">
        <f t="shared" si="204"/>
        <v>6.4257873735918056E-3</v>
      </c>
      <c r="L1577" s="50">
        <f t="shared" si="205"/>
        <v>1.5223200311784786E-3</v>
      </c>
      <c r="P1577" s="50">
        <f t="shared" si="200"/>
        <v>1.5223200311784786E-3</v>
      </c>
      <c r="Q1577" s="51">
        <f t="shared" si="206"/>
        <v>89.091948323657704</v>
      </c>
      <c r="R1577" s="51">
        <f t="shared" si="207"/>
        <v>42.091911737756604</v>
      </c>
    </row>
    <row r="1578" spans="1:18" x14ac:dyDescent="0.15">
      <c r="A1578" s="59">
        <v>43196.75</v>
      </c>
      <c r="B1578">
        <v>21.145395000000001</v>
      </c>
      <c r="C1578">
        <v>167.476135</v>
      </c>
      <c r="D1578">
        <v>62.689045</v>
      </c>
      <c r="E1578">
        <v>71.352501000000004</v>
      </c>
      <c r="F1578">
        <v>1333.51001</v>
      </c>
      <c r="H1578" s="50">
        <f t="shared" si="201"/>
        <v>5.618661498769547E-3</v>
      </c>
      <c r="I1578" s="50">
        <f t="shared" si="202"/>
        <v>-2.208457037069397E-2</v>
      </c>
      <c r="J1578" s="50">
        <f t="shared" si="203"/>
        <v>5.3847682480636259E-3</v>
      </c>
      <c r="K1578" s="50">
        <f t="shared" si="204"/>
        <v>-1.4808449507416659E-2</v>
      </c>
      <c r="L1578" s="50">
        <f t="shared" si="205"/>
        <v>4.020543923666452E-3</v>
      </c>
      <c r="P1578" s="50">
        <f t="shared" si="200"/>
        <v>4.020543923666452E-3</v>
      </c>
      <c r="Q1578" s="51">
        <f t="shared" si="206"/>
        <v>89.450146415137993</v>
      </c>
      <c r="R1578" s="51">
        <f t="shared" si="207"/>
        <v>42.32841194164714</v>
      </c>
    </row>
    <row r="1579" spans="1:18" x14ac:dyDescent="0.15">
      <c r="A1579" s="59">
        <v>43197.75</v>
      </c>
      <c r="B1579">
        <v>21.027249999999999</v>
      </c>
      <c r="C1579">
        <v>171.25830099999999</v>
      </c>
      <c r="D1579">
        <v>62.353287000000002</v>
      </c>
      <c r="E1579">
        <v>72.425003000000004</v>
      </c>
      <c r="F1579">
        <v>1328.170044</v>
      </c>
      <c r="H1579" s="50">
        <f t="shared" si="201"/>
        <v>-6.8589068729346123E-3</v>
      </c>
      <c r="I1579" s="50">
        <f t="shared" si="202"/>
        <v>-4.7618216633621121E-4</v>
      </c>
      <c r="J1579" s="50">
        <f t="shared" si="203"/>
        <v>1.2723653750705742E-2</v>
      </c>
      <c r="K1579" s="50">
        <f t="shared" si="204"/>
        <v>1.2377861700649176E-2</v>
      </c>
      <c r="L1579" s="50">
        <f t="shared" si="205"/>
        <v>2.8012043468635594E-3</v>
      </c>
      <c r="P1579" s="50">
        <f t="shared" si="200"/>
        <v>2.8012043468635594E-3</v>
      </c>
      <c r="Q1579" s="51">
        <f t="shared" si="206"/>
        <v>89.700714554103655</v>
      </c>
      <c r="R1579" s="51">
        <f t="shared" si="207"/>
        <v>42.038085306060168</v>
      </c>
    </row>
    <row r="1580" spans="1:18" x14ac:dyDescent="0.15">
      <c r="A1580" s="59">
        <v>43200.75</v>
      </c>
      <c r="B1580">
        <v>21.172470000000001</v>
      </c>
      <c r="C1580">
        <v>171.33989</v>
      </c>
      <c r="D1580">
        <v>61.569893</v>
      </c>
      <c r="E1580">
        <v>71.539496999999997</v>
      </c>
      <c r="F1580">
        <v>1324.459961</v>
      </c>
      <c r="H1580" s="50">
        <f t="shared" si="201"/>
        <v>-9.4426484142171221E-3</v>
      </c>
      <c r="I1580" s="50">
        <f t="shared" si="202"/>
        <v>-2.9139814320122203E-2</v>
      </c>
      <c r="J1580" s="50">
        <f t="shared" si="203"/>
        <v>-6.6667666938998735E-3</v>
      </c>
      <c r="K1580" s="50">
        <f t="shared" si="204"/>
        <v>-7.4297609752241684E-3</v>
      </c>
      <c r="L1580" s="50">
        <f t="shared" si="205"/>
        <v>7.8376504638095132E-3</v>
      </c>
      <c r="P1580" s="50">
        <f t="shared" si="200"/>
        <v>7.8376504638095132E-3</v>
      </c>
      <c r="Q1580" s="51">
        <f t="shared" si="206"/>
        <v>90.40375740113268</v>
      </c>
      <c r="R1580" s="51">
        <f t="shared" si="207"/>
        <v>41.641134446508175</v>
      </c>
    </row>
    <row r="1581" spans="1:18" x14ac:dyDescent="0.15">
      <c r="A1581" s="59">
        <v>43201.75</v>
      </c>
      <c r="B1581">
        <v>21.374300000000002</v>
      </c>
      <c r="C1581">
        <v>176.48255900000001</v>
      </c>
      <c r="D1581">
        <v>61.98312</v>
      </c>
      <c r="E1581">
        <v>72.074996999999996</v>
      </c>
      <c r="F1581">
        <v>1314.160034</v>
      </c>
      <c r="H1581" s="50">
        <f t="shared" si="201"/>
        <v>-1.2059097578986993E-2</v>
      </c>
      <c r="I1581" s="50">
        <f t="shared" si="202"/>
        <v>-7.2450093915465297E-3</v>
      </c>
      <c r="J1581" s="50">
        <f t="shared" si="203"/>
        <v>-6.2111721574075922E-3</v>
      </c>
      <c r="K1581" s="50">
        <f t="shared" si="204"/>
        <v>-4.1447518441513155E-2</v>
      </c>
      <c r="L1581" s="50">
        <f t="shared" si="205"/>
        <v>-1.9019940013635046E-4</v>
      </c>
      <c r="P1581" s="50">
        <f t="shared" si="200"/>
        <v>-1.9019940013635046E-4</v>
      </c>
      <c r="Q1581" s="51">
        <f t="shared" si="206"/>
        <v>90.386562660704911</v>
      </c>
      <c r="R1581" s="51">
        <f t="shared" si="207"/>
        <v>41.138979942918013</v>
      </c>
    </row>
    <row r="1582" spans="1:18" x14ac:dyDescent="0.15">
      <c r="A1582" s="59">
        <v>43202.75</v>
      </c>
      <c r="B1582">
        <v>21.635200999999999</v>
      </c>
      <c r="C1582">
        <v>177.77050800000001</v>
      </c>
      <c r="D1582">
        <v>62.370514</v>
      </c>
      <c r="E1582">
        <v>75.191497999999996</v>
      </c>
      <c r="F1582">
        <v>1314.410034</v>
      </c>
      <c r="H1582" s="50">
        <f t="shared" si="201"/>
        <v>3.7685393886064066E-3</v>
      </c>
      <c r="I1582" s="50">
        <f t="shared" si="202"/>
        <v>-2.5951360187428793E-3</v>
      </c>
      <c r="J1582" s="50">
        <f t="shared" si="203"/>
        <v>-1.1028137646417963E-3</v>
      </c>
      <c r="K1582" s="50">
        <f t="shared" si="204"/>
        <v>-1.5714996746125233E-2</v>
      </c>
      <c r="L1582" s="50">
        <f t="shared" si="205"/>
        <v>-8.367008362484681E-5</v>
      </c>
      <c r="P1582" s="50">
        <f t="shared" si="200"/>
        <v>-8.367008362484681E-5</v>
      </c>
      <c r="Q1582" s="51">
        <f t="shared" si="206"/>
        <v>90.379000009448532</v>
      </c>
      <c r="R1582" s="51">
        <f t="shared" si="207"/>
        <v>41.294013809239992</v>
      </c>
    </row>
    <row r="1583" spans="1:18" x14ac:dyDescent="0.15">
      <c r="A1583" s="59">
        <v>43203.75</v>
      </c>
      <c r="B1583">
        <v>21.553974</v>
      </c>
      <c r="C1583">
        <v>178.233047</v>
      </c>
      <c r="D1583">
        <v>62.439373000000003</v>
      </c>
      <c r="E1583">
        <v>76.391998000000001</v>
      </c>
      <c r="F1583">
        <v>1314.5200199999999</v>
      </c>
      <c r="H1583" s="50">
        <f t="shared" si="201"/>
        <v>-3.6411472942265094E-3</v>
      </c>
      <c r="I1583" s="50">
        <f t="shared" si="202"/>
        <v>7.3815677973668873E-3</v>
      </c>
      <c r="J1583" s="50">
        <f t="shared" si="203"/>
        <v>2.183687660410287E-2</v>
      </c>
      <c r="K1583" s="50">
        <f t="shared" si="204"/>
        <v>-1.8671587388028286E-2</v>
      </c>
      <c r="L1583" s="50">
        <f t="shared" si="205"/>
        <v>-3.9100644011097526E-3</v>
      </c>
      <c r="P1583" s="50">
        <f t="shared" si="200"/>
        <v>-3.9100644011097526E-3</v>
      </c>
      <c r="Q1583" s="51">
        <f t="shared" si="206"/>
        <v>90.025612298903695</v>
      </c>
      <c r="R1583" s="51">
        <f t="shared" si="207"/>
        <v>41.143656222590728</v>
      </c>
    </row>
    <row r="1584" spans="1:18" x14ac:dyDescent="0.15">
      <c r="A1584" s="59">
        <v>43204.75</v>
      </c>
      <c r="B1584">
        <v>21.632742</v>
      </c>
      <c r="C1584">
        <v>176.92704800000001</v>
      </c>
      <c r="D1584">
        <v>61.105029999999999</v>
      </c>
      <c r="E1584">
        <v>77.845496999999995</v>
      </c>
      <c r="F1584">
        <v>1319.6800539999999</v>
      </c>
      <c r="H1584" s="50">
        <f t="shared" si="201"/>
        <v>1.0462260351581419E-2</v>
      </c>
      <c r="I1584" s="50">
        <f t="shared" si="202"/>
        <v>7.8015152579640279E-3</v>
      </c>
      <c r="J1584" s="50">
        <f t="shared" si="203"/>
        <v>9.3859383299440043E-3</v>
      </c>
      <c r="K1584" s="50">
        <f t="shared" si="204"/>
        <v>1.9260369325383192E-2</v>
      </c>
      <c r="L1584" s="50">
        <f t="shared" si="205"/>
        <v>1.1140597049275192E-2</v>
      </c>
      <c r="P1584" s="50">
        <f t="shared" si="200"/>
        <v>1.1140597049275192E-2</v>
      </c>
      <c r="Q1584" s="51">
        <f t="shared" si="206"/>
        <v>91.028551369640056</v>
      </c>
      <c r="R1584" s="51">
        <f t="shared" si="207"/>
        <v>41.574111865807431</v>
      </c>
    </row>
    <row r="1585" spans="1:18" x14ac:dyDescent="0.15">
      <c r="A1585" s="59">
        <v>43207.75</v>
      </c>
      <c r="B1585">
        <v>21.408757999999999</v>
      </c>
      <c r="C1585">
        <v>175.557434</v>
      </c>
      <c r="D1585">
        <v>60.536835000000004</v>
      </c>
      <c r="E1585">
        <v>76.374495999999994</v>
      </c>
      <c r="F1585">
        <v>1305.1400149999999</v>
      </c>
      <c r="H1585" s="50">
        <f t="shared" si="201"/>
        <v>1.0220523502013367E-2</v>
      </c>
      <c r="I1585" s="50">
        <f t="shared" si="202"/>
        <v>1.0864136041442989E-3</v>
      </c>
      <c r="J1585" s="50">
        <f t="shared" si="203"/>
        <v>-8.8797166812970285E-3</v>
      </c>
      <c r="K1585" s="50">
        <f t="shared" si="204"/>
        <v>6.3444324600273102E-3</v>
      </c>
      <c r="L1585" s="50">
        <f t="shared" si="205"/>
        <v>-5.6985113959048513E-3</v>
      </c>
      <c r="P1585" s="50">
        <f t="shared" si="200"/>
        <v>-5.6985113959048513E-3</v>
      </c>
      <c r="Q1585" s="51">
        <f t="shared" si="206"/>
        <v>90.509824132307457</v>
      </c>
      <c r="R1585" s="51">
        <f t="shared" si="207"/>
        <v>41.999021053207251</v>
      </c>
    </row>
    <row r="1586" spans="1:18" x14ac:dyDescent="0.15">
      <c r="A1586" s="59">
        <v>43208.75</v>
      </c>
      <c r="B1586">
        <v>21.192163000000001</v>
      </c>
      <c r="C1586">
        <v>175.36691300000001</v>
      </c>
      <c r="D1586">
        <v>61.079200999999998</v>
      </c>
      <c r="E1586">
        <v>75.892998000000006</v>
      </c>
      <c r="F1586">
        <v>1312.619995</v>
      </c>
      <c r="H1586" s="50">
        <f t="shared" si="201"/>
        <v>-4.9691062468556072E-3</v>
      </c>
      <c r="I1586" s="50">
        <f t="shared" si="202"/>
        <v>4.3631374840757842E-3</v>
      </c>
      <c r="J1586" s="50">
        <f t="shared" si="203"/>
        <v>5.9549921811833609E-3</v>
      </c>
      <c r="K1586" s="50">
        <f t="shared" si="204"/>
        <v>3.9566012512023074E-2</v>
      </c>
      <c r="L1586" s="50">
        <f t="shared" si="205"/>
        <v>-1.3334729095899583E-2</v>
      </c>
      <c r="P1586" s="50">
        <f t="shared" si="200"/>
        <v>-1.3334729095899583E-2</v>
      </c>
      <c r="Q1586" s="51">
        <f t="shared" si="206"/>
        <v>89.302900146985621</v>
      </c>
      <c r="R1586" s="51">
        <f t="shared" si="207"/>
        <v>41.79032345532994</v>
      </c>
    </row>
    <row r="1587" spans="1:18" x14ac:dyDescent="0.15">
      <c r="A1587" s="59">
        <v>43209.75</v>
      </c>
      <c r="B1587">
        <v>21.297995</v>
      </c>
      <c r="C1587">
        <v>174.605087</v>
      </c>
      <c r="D1587">
        <v>60.717627999999998</v>
      </c>
      <c r="E1587">
        <v>73.004501000000005</v>
      </c>
      <c r="F1587">
        <v>1330.3599850000001</v>
      </c>
      <c r="H1587" s="50">
        <f t="shared" si="201"/>
        <v>-7.342118514560644E-3</v>
      </c>
      <c r="I1587" s="50">
        <f t="shared" si="202"/>
        <v>-7.526994962396995E-3</v>
      </c>
      <c r="J1587" s="50">
        <f t="shared" si="203"/>
        <v>-8.5746619796585825E-3</v>
      </c>
      <c r="K1587" s="50">
        <f t="shared" si="204"/>
        <v>-5.4760747786305362E-5</v>
      </c>
      <c r="L1587" s="50">
        <f t="shared" si="205"/>
        <v>-5.2490840103444876E-3</v>
      </c>
      <c r="P1587" s="50">
        <f t="shared" si="200"/>
        <v>-5.2490840103444876E-3</v>
      </c>
      <c r="Q1587" s="51">
        <f t="shared" si="206"/>
        <v>88.83414172174669</v>
      </c>
      <c r="R1587" s="51">
        <f t="shared" si="207"/>
        <v>41.483493947759079</v>
      </c>
    </row>
    <row r="1588" spans="1:18" x14ac:dyDescent="0.15">
      <c r="A1588" s="59">
        <v>43210.75</v>
      </c>
      <c r="B1588">
        <v>21.455524</v>
      </c>
      <c r="C1588">
        <v>175.929306</v>
      </c>
      <c r="D1588">
        <v>61.242764000000001</v>
      </c>
      <c r="E1588">
        <v>73.008499</v>
      </c>
      <c r="F1588">
        <v>1337.380005</v>
      </c>
      <c r="H1588" s="50">
        <f t="shared" si="201"/>
        <v>-8.7559065478539609E-3</v>
      </c>
      <c r="I1588" s="50">
        <f t="shared" si="202"/>
        <v>-6.6063675727122883E-3</v>
      </c>
      <c r="J1588" s="50">
        <f t="shared" si="203"/>
        <v>-1.0294844649402324E-2</v>
      </c>
      <c r="K1588" s="50">
        <f t="shared" si="204"/>
        <v>-3.807088310347246E-2</v>
      </c>
      <c r="L1588" s="50">
        <f t="shared" si="205"/>
        <v>1.5952106347125877E-3</v>
      </c>
      <c r="P1588" s="50">
        <f t="shared" si="200"/>
        <v>1.5952106347125877E-3</v>
      </c>
      <c r="Q1588" s="51">
        <f t="shared" si="206"/>
        <v>88.975850889346788</v>
      </c>
      <c r="R1588" s="51">
        <f t="shared" si="207"/>
        <v>41.120268351474039</v>
      </c>
    </row>
    <row r="1589" spans="1:18" x14ac:dyDescent="0.15">
      <c r="A1589" s="59">
        <v>43214.75</v>
      </c>
      <c r="B1589">
        <v>21.645046000000001</v>
      </c>
      <c r="C1589">
        <v>177.099289</v>
      </c>
      <c r="D1589">
        <v>61.879807</v>
      </c>
      <c r="E1589">
        <v>75.898003000000003</v>
      </c>
      <c r="F1589">
        <v>1335.25</v>
      </c>
      <c r="H1589" s="50">
        <f t="shared" si="201"/>
        <v>7.446477454238291E-3</v>
      </c>
      <c r="I1589" s="50">
        <f t="shared" si="202"/>
        <v>-6.715109550340782E-3</v>
      </c>
      <c r="J1589" s="50">
        <f t="shared" si="203"/>
        <v>-1.3315121169921101E-2</v>
      </c>
      <c r="K1589" s="50">
        <f t="shared" si="204"/>
        <v>-3.4757209043146067E-2</v>
      </c>
      <c r="L1589" s="50">
        <f t="shared" si="205"/>
        <v>-8.8996690188806182E-3</v>
      </c>
      <c r="P1589" s="50">
        <f t="shared" si="200"/>
        <v>-8.8996690188806182E-3</v>
      </c>
      <c r="Q1589" s="51">
        <f t="shared" si="206"/>
        <v>88.183995265758327</v>
      </c>
      <c r="R1589" s="51">
        <f t="shared" si="207"/>
        <v>41.426469502665512</v>
      </c>
    </row>
    <row r="1590" spans="1:18" x14ac:dyDescent="0.15">
      <c r="A1590" s="59">
        <v>43215.75</v>
      </c>
      <c r="B1590">
        <v>21.485057999999999</v>
      </c>
      <c r="C1590">
        <v>178.29657</v>
      </c>
      <c r="D1590">
        <v>62.714863000000001</v>
      </c>
      <c r="E1590">
        <v>78.630996999999994</v>
      </c>
      <c r="F1590">
        <v>1347.23999</v>
      </c>
      <c r="H1590" s="50">
        <f t="shared" si="201"/>
        <v>-1.3226404750058525E-2</v>
      </c>
      <c r="I1590" s="50">
        <f t="shared" si="202"/>
        <v>-2.9418088421827725E-3</v>
      </c>
      <c r="J1590" s="50">
        <f t="shared" si="203"/>
        <v>3.4435075591229378E-3</v>
      </c>
      <c r="K1590" s="50">
        <f t="shared" si="204"/>
        <v>4.1438959418221904E-3</v>
      </c>
      <c r="L1590" s="50">
        <f t="shared" si="205"/>
        <v>-6.2110291583619571E-3</v>
      </c>
      <c r="P1590" s="50">
        <f t="shared" si="200"/>
        <v>-6.2110291583619571E-3</v>
      </c>
      <c r="Q1590" s="51">
        <f t="shared" si="206"/>
        <v>87.636281899861856</v>
      </c>
      <c r="R1590" s="51">
        <f t="shared" si="207"/>
        <v>40.878546249657305</v>
      </c>
    </row>
    <row r="1591" spans="1:18" x14ac:dyDescent="0.15">
      <c r="A1591" s="59">
        <v>43216.75</v>
      </c>
      <c r="B1591">
        <v>21.773036999999999</v>
      </c>
      <c r="C1591">
        <v>178.822632</v>
      </c>
      <c r="D1591">
        <v>62.499645000000001</v>
      </c>
      <c r="E1591">
        <v>78.306503000000006</v>
      </c>
      <c r="F1591">
        <v>1355.660034</v>
      </c>
      <c r="H1591" s="50">
        <f t="shared" si="201"/>
        <v>1.2012403672948467E-2</v>
      </c>
      <c r="I1591" s="50">
        <f t="shared" si="202"/>
        <v>3.1038094844789855E-3</v>
      </c>
      <c r="J1591" s="50">
        <f t="shared" si="203"/>
        <v>2.1528149740990491E-2</v>
      </c>
      <c r="K1591" s="50">
        <f t="shared" si="204"/>
        <v>-1.019422863744548E-2</v>
      </c>
      <c r="L1591" s="50">
        <f t="shared" si="205"/>
        <v>-3.542827583541562E-3</v>
      </c>
      <c r="P1591" s="50">
        <f t="shared" si="200"/>
        <v>-3.542827583541562E-3</v>
      </c>
      <c r="Q1591" s="51">
        <f t="shared" si="206"/>
        <v>87.325801663028003</v>
      </c>
      <c r="R1591" s="51">
        <f t="shared" si="207"/>
        <v>41.369595848771482</v>
      </c>
    </row>
    <row r="1592" spans="1:18" x14ac:dyDescent="0.15">
      <c r="A1592" s="59">
        <v>43217.75</v>
      </c>
      <c r="B1592">
        <v>21.514595</v>
      </c>
      <c r="C1592">
        <v>178.269318</v>
      </c>
      <c r="D1592">
        <v>61.182499</v>
      </c>
      <c r="E1592">
        <v>79.112999000000002</v>
      </c>
      <c r="F1592">
        <v>1360.4799800000001</v>
      </c>
      <c r="H1592" s="50">
        <f t="shared" si="201"/>
        <v>1.2393025005425511E-2</v>
      </c>
      <c r="I1592" s="50">
        <f t="shared" si="202"/>
        <v>1.3144277360784155E-2</v>
      </c>
      <c r="J1592" s="50">
        <f t="shared" si="203"/>
        <v>-5.3184028153509914E-3</v>
      </c>
      <c r="K1592" s="50">
        <f t="shared" si="204"/>
        <v>8.0143467711335931E-3</v>
      </c>
      <c r="L1592" s="50">
        <f t="shared" si="205"/>
        <v>-2.2953814026229666E-3</v>
      </c>
      <c r="P1592" s="50">
        <f t="shared" si="200"/>
        <v>-2.2953814026229666E-3</v>
      </c>
      <c r="Q1592" s="51">
        <f t="shared" si="206"/>
        <v>87.125355641921544</v>
      </c>
      <c r="R1592" s="51">
        <f t="shared" si="207"/>
        <v>41.882290284589658</v>
      </c>
    </row>
    <row r="1593" spans="1:18" x14ac:dyDescent="0.15">
      <c r="A1593" s="59">
        <v>43218.75</v>
      </c>
      <c r="B1593">
        <v>21.251228000000001</v>
      </c>
      <c r="C1593">
        <v>175.95649700000001</v>
      </c>
      <c r="D1593">
        <v>61.509632000000003</v>
      </c>
      <c r="E1593">
        <v>78.484001000000006</v>
      </c>
      <c r="F1593">
        <v>1363.6099850000001</v>
      </c>
      <c r="H1593" s="50">
        <f t="shared" si="201"/>
        <v>1.275480576213199E-3</v>
      </c>
      <c r="I1593" s="50">
        <f t="shared" si="202"/>
        <v>5.1291569267374196E-3</v>
      </c>
      <c r="J1593" s="50">
        <f t="shared" si="203"/>
        <v>4.216624878749629E-3</v>
      </c>
      <c r="K1593" s="50">
        <f t="shared" si="204"/>
        <v>-1.526576333345556E-3</v>
      </c>
      <c r="L1593" s="50">
        <f t="shared" si="205"/>
        <v>1.7557882274121181E-3</v>
      </c>
      <c r="P1593" s="50">
        <f t="shared" si="200"/>
        <v>1.7557882274121181E-3</v>
      </c>
      <c r="Q1593" s="51">
        <f t="shared" si="206"/>
        <v>87.278329315666724</v>
      </c>
      <c r="R1593" s="51">
        <f t="shared" si="207"/>
        <v>41.935710332334978</v>
      </c>
    </row>
    <row r="1594" spans="1:18" x14ac:dyDescent="0.15">
      <c r="A1594" s="59">
        <v>43221.75</v>
      </c>
      <c r="B1594">
        <v>21.224157000000002</v>
      </c>
      <c r="C1594">
        <v>175.058594</v>
      </c>
      <c r="D1594">
        <v>61.251358000000003</v>
      </c>
      <c r="E1594">
        <v>78.603995999999995</v>
      </c>
      <c r="F1594">
        <v>1361.219971</v>
      </c>
      <c r="H1594" s="50">
        <f t="shared" si="201"/>
        <v>-1.4851980562686792E-2</v>
      </c>
      <c r="I1594" s="50">
        <f t="shared" si="202"/>
        <v>-1.1168552842309467E-2</v>
      </c>
      <c r="J1594" s="50">
        <f t="shared" si="203"/>
        <v>1.4074326359572416E-3</v>
      </c>
      <c r="K1594" s="50">
        <f t="shared" si="204"/>
        <v>-5.6106138004287046E-3</v>
      </c>
      <c r="L1594" s="50">
        <f t="shared" si="205"/>
        <v>3.3907623483022376E-3</v>
      </c>
      <c r="P1594" s="50">
        <f t="shared" si="200"/>
        <v>3.3907623483022376E-3</v>
      </c>
      <c r="Q1594" s="51">
        <f t="shared" si="206"/>
        <v>87.574269388533011</v>
      </c>
      <c r="R1594" s="51">
        <f t="shared" si="207"/>
        <v>41.312881977596675</v>
      </c>
    </row>
    <row r="1595" spans="1:18" x14ac:dyDescent="0.15">
      <c r="A1595" s="59">
        <v>43222.75</v>
      </c>
      <c r="B1595">
        <v>21.544129999999999</v>
      </c>
      <c r="C1595">
        <v>177.03582800000001</v>
      </c>
      <c r="D1595">
        <v>61.165272000000002</v>
      </c>
      <c r="E1595">
        <v>79.047500999999997</v>
      </c>
      <c r="F1595">
        <v>1356.619995</v>
      </c>
      <c r="H1595" s="50">
        <f t="shared" si="201"/>
        <v>2.410180339512602E-2</v>
      </c>
      <c r="I1595" s="50">
        <f t="shared" si="202"/>
        <v>1.1032876429819514E-2</v>
      </c>
      <c r="J1595" s="50">
        <f t="shared" si="203"/>
        <v>2.4808790613721449E-2</v>
      </c>
      <c r="K1595" s="50">
        <f t="shared" si="204"/>
        <v>-1.1992737535828715E-2</v>
      </c>
      <c r="L1595" s="50">
        <f t="shared" si="205"/>
        <v>6.9026284570420397E-3</v>
      </c>
      <c r="P1595" s="50">
        <f t="shared" si="200"/>
        <v>6.9026284570420397E-3</v>
      </c>
      <c r="Q1595" s="51">
        <f t="shared" si="206"/>
        <v>88.178762032518975</v>
      </c>
      <c r="R1595" s="51">
        <f t="shared" si="207"/>
        <v>42.308596936706749</v>
      </c>
    </row>
    <row r="1596" spans="1:18" x14ac:dyDescent="0.15">
      <c r="A1596" s="59">
        <v>43223.75</v>
      </c>
      <c r="B1596">
        <v>21.037098</v>
      </c>
      <c r="C1596">
        <v>175.103928</v>
      </c>
      <c r="D1596">
        <v>59.684570000000001</v>
      </c>
      <c r="E1596">
        <v>80.007003999999995</v>
      </c>
      <c r="F1596">
        <v>1347.3199460000001</v>
      </c>
      <c r="H1596" s="50">
        <f t="shared" si="201"/>
        <v>-3.1489485751024391E-3</v>
      </c>
      <c r="I1596" s="50">
        <f t="shared" si="202"/>
        <v>-7.3014599552407352E-3</v>
      </c>
      <c r="J1596" s="50">
        <f t="shared" si="203"/>
        <v>-1.2964916481865525E-3</v>
      </c>
      <c r="K1596" s="50">
        <f t="shared" si="204"/>
        <v>4.8669610443038604E-3</v>
      </c>
      <c r="L1596" s="50">
        <f t="shared" si="205"/>
        <v>9.1528501383181093E-3</v>
      </c>
      <c r="P1596" s="50">
        <f t="shared" si="200"/>
        <v>9.1528501383181093E-3</v>
      </c>
      <c r="Q1596" s="51">
        <f t="shared" si="206"/>
        <v>88.985849026785033</v>
      </c>
      <c r="R1596" s="51">
        <f t="shared" si="207"/>
        <v>42.175369340668325</v>
      </c>
    </row>
    <row r="1597" spans="1:18" x14ac:dyDescent="0.15">
      <c r="A1597" s="59">
        <v>43224.75</v>
      </c>
      <c r="B1597">
        <v>21.103552000000001</v>
      </c>
      <c r="C1597">
        <v>176.39184599999999</v>
      </c>
      <c r="D1597">
        <v>59.762051</v>
      </c>
      <c r="E1597">
        <v>79.619499000000005</v>
      </c>
      <c r="F1597">
        <v>1335.099976</v>
      </c>
      <c r="H1597" s="50">
        <f t="shared" si="201"/>
        <v>3.2265739329562872E-2</v>
      </c>
      <c r="I1597" s="50">
        <f t="shared" si="202"/>
        <v>-7.957951040169409E-3</v>
      </c>
      <c r="J1597" s="50">
        <f t="shared" si="203"/>
        <v>-7.2931549248753972E-3</v>
      </c>
      <c r="K1597" s="50">
        <f t="shared" si="204"/>
        <v>-9.707748514732573E-3</v>
      </c>
      <c r="L1597" s="50">
        <f t="shared" si="205"/>
        <v>-3.805383663978425E-3</v>
      </c>
      <c r="P1597" s="50">
        <f t="shared" si="200"/>
        <v>-3.805383663978425E-3</v>
      </c>
      <c r="Q1597" s="51">
        <f t="shared" si="206"/>
        <v>88.647223730573259</v>
      </c>
      <c r="R1597" s="51">
        <f t="shared" si="207"/>
        <v>43.536188813942367</v>
      </c>
    </row>
    <row r="1598" spans="1:18" x14ac:dyDescent="0.15">
      <c r="A1598" s="59">
        <v>43225.75</v>
      </c>
      <c r="B1598">
        <v>20.443913999999999</v>
      </c>
      <c r="C1598">
        <v>177.80682400000001</v>
      </c>
      <c r="D1598">
        <v>60.201107</v>
      </c>
      <c r="E1598">
        <v>80.400002000000001</v>
      </c>
      <c r="F1598">
        <v>1340.1999510000001</v>
      </c>
      <c r="H1598" s="50">
        <f t="shared" si="201"/>
        <v>-1.4390993374060884E-2</v>
      </c>
      <c r="I1598" s="50">
        <f t="shared" si="202"/>
        <v>1.0256563766307983E-4</v>
      </c>
      <c r="J1598" s="50">
        <f t="shared" si="203"/>
        <v>-4.4133281003702713E-3</v>
      </c>
      <c r="K1598" s="50">
        <f t="shared" si="204"/>
        <v>-6.7119097444030243E-4</v>
      </c>
      <c r="L1598" s="50">
        <f t="shared" si="205"/>
        <v>-4.523607709764778E-3</v>
      </c>
      <c r="P1598" s="50">
        <f t="shared" si="200"/>
        <v>-4.523607709764778E-3</v>
      </c>
      <c r="Q1598" s="51">
        <f t="shared" si="206"/>
        <v>88.246218465856387</v>
      </c>
      <c r="R1598" s="51">
        <f t="shared" si="207"/>
        <v>42.909659809189058</v>
      </c>
    </row>
    <row r="1599" spans="1:18" x14ac:dyDescent="0.15">
      <c r="A1599" s="59">
        <v>43228.75</v>
      </c>
      <c r="B1599">
        <v>20.742418000000001</v>
      </c>
      <c r="C1599">
        <v>177.788589</v>
      </c>
      <c r="D1599">
        <v>60.467972000000003</v>
      </c>
      <c r="E1599">
        <v>80.454002000000003</v>
      </c>
      <c r="F1599">
        <v>1346.290039</v>
      </c>
      <c r="H1599" s="50">
        <f t="shared" si="201"/>
        <v>-8.2755827183908382E-3</v>
      </c>
      <c r="I1599" s="50">
        <f t="shared" si="202"/>
        <v>-1.5833725130311688E-3</v>
      </c>
      <c r="J1599" s="50">
        <f t="shared" si="203"/>
        <v>-1.4236915703994883E-4</v>
      </c>
      <c r="K1599" s="50">
        <f t="shared" si="204"/>
        <v>3.8492741326712578E-3</v>
      </c>
      <c r="L1599" s="50">
        <f t="shared" si="205"/>
        <v>-8.0093686283721037E-3</v>
      </c>
      <c r="P1599" s="50">
        <f t="shared" si="200"/>
        <v>-8.0093686283721037E-3</v>
      </c>
      <c r="Q1599" s="51">
        <f t="shared" si="206"/>
        <v>87.539421972103483</v>
      </c>
      <c r="R1599" s="51">
        <f t="shared" si="207"/>
        <v>42.554557370020106</v>
      </c>
    </row>
    <row r="1600" spans="1:18" x14ac:dyDescent="0.15">
      <c r="A1600" s="59">
        <v>43229.75</v>
      </c>
      <c r="B1600">
        <v>20.915506000000001</v>
      </c>
      <c r="C1600">
        <v>178.07054099999999</v>
      </c>
      <c r="D1600">
        <v>60.476582000000001</v>
      </c>
      <c r="E1600">
        <v>80.145499999999998</v>
      </c>
      <c r="F1600">
        <v>1357.160034</v>
      </c>
      <c r="H1600" s="50">
        <f t="shared" si="201"/>
        <v>-1.1968146793747664E-2</v>
      </c>
      <c r="I1600" s="50">
        <f t="shared" si="202"/>
        <v>-6.1281941644848736E-4</v>
      </c>
      <c r="J1600" s="50">
        <f t="shared" si="203"/>
        <v>-3.6351150286982221E-2</v>
      </c>
      <c r="K1600" s="50">
        <f t="shared" si="204"/>
        <v>8.553891558603109E-4</v>
      </c>
      <c r="L1600" s="50">
        <f t="shared" si="205"/>
        <v>1.123634842513061E-2</v>
      </c>
      <c r="P1600" s="50">
        <f t="shared" si="200"/>
        <v>1.123634842513061E-2</v>
      </c>
      <c r="Q1600" s="51">
        <f t="shared" si="206"/>
        <v>88.52304541831657</v>
      </c>
      <c r="R1600" s="51">
        <f t="shared" si="207"/>
        <v>42.045258180672747</v>
      </c>
    </row>
    <row r="1601" spans="1:18" x14ac:dyDescent="0.15">
      <c r="A1601" s="59">
        <v>43230.75</v>
      </c>
      <c r="B1601">
        <v>21.168858</v>
      </c>
      <c r="C1601">
        <v>178.179733</v>
      </c>
      <c r="D1601">
        <v>62.757904000000003</v>
      </c>
      <c r="E1601">
        <v>80.077003000000005</v>
      </c>
      <c r="F1601">
        <v>1342.079956</v>
      </c>
      <c r="H1601" s="50">
        <f t="shared" si="201"/>
        <v>-1.5380068529223284E-3</v>
      </c>
      <c r="I1601" s="50">
        <f t="shared" si="202"/>
        <v>2.0464487073091906E-3</v>
      </c>
      <c r="J1601" s="50">
        <f t="shared" si="203"/>
        <v>-1.0946988738886521E-2</v>
      </c>
      <c r="K1601" s="50">
        <f t="shared" si="204"/>
        <v>1.6128251655965375E-2</v>
      </c>
      <c r="L1601" s="50">
        <f t="shared" si="205"/>
        <v>-4.8715885389699828E-3</v>
      </c>
      <c r="P1601" s="50">
        <f t="shared" ref="P1601:P1664" si="208">(F1601-F1602)/F1602</f>
        <v>-4.8715885389699828E-3</v>
      </c>
      <c r="Q1601" s="51">
        <f t="shared" si="206"/>
        <v>88.091797564821988</v>
      </c>
      <c r="R1601" s="51">
        <f t="shared" si="207"/>
        <v>41.98059228545798</v>
      </c>
    </row>
    <row r="1602" spans="1:18" x14ac:dyDescent="0.15">
      <c r="A1602" s="59">
        <v>43231.75</v>
      </c>
      <c r="B1602">
        <v>21.201466</v>
      </c>
      <c r="C1602">
        <v>177.815842</v>
      </c>
      <c r="D1602">
        <v>63.452517999999998</v>
      </c>
      <c r="E1602">
        <v>78.805999999999997</v>
      </c>
      <c r="F1602">
        <v>1348.650024</v>
      </c>
      <c r="H1602" s="50">
        <f t="shared" ref="H1602:H1665" si="209">(B1602-B1603)/B1603</f>
        <v>-1.8692613108453056E-2</v>
      </c>
      <c r="I1602" s="50">
        <f t="shared" ref="I1602:I1665" si="210">(C1602-C1603)/C1603</f>
        <v>-1.6254998686114772E-2</v>
      </c>
      <c r="J1602" s="50">
        <f t="shared" ref="J1602:J1665" si="211">(D1602-D1603)/D1603</f>
        <v>-2.8578841829318122E-2</v>
      </c>
      <c r="K1602" s="50">
        <f t="shared" ref="K1602:K1665" si="212">(E1602-E1603)/E1603</f>
        <v>-7.0308705970180312E-3</v>
      </c>
      <c r="L1602" s="50">
        <f t="shared" ref="L1602:L1665" si="213">(F1602-F1603)/F1603</f>
        <v>8.1329405184308885E-3</v>
      </c>
      <c r="P1602" s="50">
        <f t="shared" si="208"/>
        <v>8.1329405184308885E-3</v>
      </c>
      <c r="Q1602" s="51">
        <f t="shared" si="206"/>
        <v>88.808242914578344</v>
      </c>
      <c r="R1602" s="51">
        <f t="shared" si="207"/>
        <v>41.195865315802209</v>
      </c>
    </row>
    <row r="1603" spans="1:18" x14ac:dyDescent="0.15">
      <c r="A1603" s="59">
        <v>43232.75</v>
      </c>
      <c r="B1603">
        <v>21.605326000000002</v>
      </c>
      <c r="C1603">
        <v>180.753998</v>
      </c>
      <c r="D1603">
        <v>65.319266999999996</v>
      </c>
      <c r="E1603">
        <v>79.363997999999995</v>
      </c>
      <c r="F1603">
        <v>1337.7700199999999</v>
      </c>
      <c r="H1603" s="50">
        <f t="shared" si="209"/>
        <v>1.9410404189536639E-2</v>
      </c>
      <c r="I1603" s="50">
        <f t="shared" si="210"/>
        <v>-4.4587968599624026E-3</v>
      </c>
      <c r="J1603" s="50">
        <f t="shared" si="211"/>
        <v>-7.912578316665456E-3</v>
      </c>
      <c r="K1603" s="50">
        <f t="shared" si="212"/>
        <v>3.4897963087874603E-3</v>
      </c>
      <c r="L1603" s="50">
        <f t="shared" si="213"/>
        <v>6.2431263443707705E-3</v>
      </c>
      <c r="P1603" s="50">
        <f t="shared" si="208"/>
        <v>6.2431263443707705E-3</v>
      </c>
      <c r="Q1603" s="51">
        <f t="shared" ref="Q1603:Q1666" si="214">Q1602*(1+P1603)</f>
        <v>89.362683995515624</v>
      </c>
      <c r="R1603" s="51">
        <f t="shared" ref="R1603:R1666" si="215">R1602*(1+H1603)</f>
        <v>41.995493712519647</v>
      </c>
    </row>
    <row r="1604" spans="1:18" x14ac:dyDescent="0.15">
      <c r="A1604" s="59">
        <v>43235.75</v>
      </c>
      <c r="B1604">
        <v>21.193943000000001</v>
      </c>
      <c r="C1604">
        <v>181.56355300000001</v>
      </c>
      <c r="D1604">
        <v>65.840232999999998</v>
      </c>
      <c r="E1604">
        <v>79.087997000000001</v>
      </c>
      <c r="F1604">
        <v>1329.469971</v>
      </c>
      <c r="H1604" s="50">
        <f t="shared" si="209"/>
        <v>1.0162951056439223E-2</v>
      </c>
      <c r="I1604" s="50">
        <f t="shared" si="210"/>
        <v>3.2166454674348037E-3</v>
      </c>
      <c r="J1604" s="50">
        <f t="shared" si="211"/>
        <v>-1.4484557676445941E-3</v>
      </c>
      <c r="K1604" s="50">
        <f t="shared" si="212"/>
        <v>4.6939284842554378E-3</v>
      </c>
      <c r="L1604" s="50">
        <f t="shared" si="213"/>
        <v>3.6869705140322588E-4</v>
      </c>
      <c r="P1604" s="50">
        <f t="shared" si="208"/>
        <v>3.6869705140322588E-4</v>
      </c>
      <c r="Q1604" s="51">
        <f t="shared" si="214"/>
        <v>89.395631753610246</v>
      </c>
      <c r="R1604" s="51">
        <f t="shared" si="215"/>
        <v>42.422291859710981</v>
      </c>
    </row>
    <row r="1605" spans="1:18" x14ac:dyDescent="0.15">
      <c r="A1605" s="59">
        <v>43236.75</v>
      </c>
      <c r="B1605">
        <v>20.980716999999999</v>
      </c>
      <c r="C1605">
        <v>180.98140000000001</v>
      </c>
      <c r="D1605">
        <v>65.935738000000001</v>
      </c>
      <c r="E1605">
        <v>78.718497999999997</v>
      </c>
      <c r="F1605">
        <v>1328.9799800000001</v>
      </c>
      <c r="H1605" s="50">
        <f t="shared" si="209"/>
        <v>-1.0294939482641579E-2</v>
      </c>
      <c r="I1605" s="50">
        <f t="shared" si="210"/>
        <v>-3.306427422701725E-3</v>
      </c>
      <c r="J1605" s="50">
        <f t="shared" si="211"/>
        <v>-1.2098529898903802E-2</v>
      </c>
      <c r="K1605" s="50">
        <f t="shared" si="212"/>
        <v>-6.9948781932735156E-3</v>
      </c>
      <c r="L1605" s="50">
        <f t="shared" si="213"/>
        <v>-8.7269695443681593E-3</v>
      </c>
      <c r="P1605" s="50">
        <f t="shared" si="208"/>
        <v>-8.7269695443681593E-3</v>
      </c>
      <c r="Q1605" s="51">
        <f t="shared" si="214"/>
        <v>88.615478797896941</v>
      </c>
      <c r="R1605" s="51">
        <f t="shared" si="215"/>
        <v>41.985556932300298</v>
      </c>
    </row>
    <row r="1606" spans="1:18" x14ac:dyDescent="0.15">
      <c r="A1606" s="59">
        <v>43237.75</v>
      </c>
      <c r="B1606">
        <v>21.198958999999999</v>
      </c>
      <c r="C1606">
        <v>181.58178699999999</v>
      </c>
      <c r="D1606">
        <v>66.743233000000004</v>
      </c>
      <c r="E1606">
        <v>79.273003000000003</v>
      </c>
      <c r="F1606">
        <v>1340.6800539999999</v>
      </c>
      <c r="H1606" s="50">
        <f t="shared" si="209"/>
        <v>1.3674034430459711E-2</v>
      </c>
      <c r="I1606" s="50">
        <f t="shared" si="210"/>
        <v>3.2669005864831755E-3</v>
      </c>
      <c r="J1606" s="50">
        <f t="shared" si="211"/>
        <v>1.8550346180465686E-2</v>
      </c>
      <c r="K1606" s="50">
        <f t="shared" si="212"/>
        <v>2.567383331225618E-3</v>
      </c>
      <c r="L1606" s="50">
        <f t="shared" si="213"/>
        <v>-2.1732078387593262E-3</v>
      </c>
      <c r="P1606" s="50">
        <f t="shared" si="208"/>
        <v>-2.1732078387593262E-3</v>
      </c>
      <c r="Q1606" s="51">
        <f t="shared" si="214"/>
        <v>88.422898944737938</v>
      </c>
      <c r="R1606" s="51">
        <f t="shared" si="215"/>
        <v>42.559668883374599</v>
      </c>
    </row>
    <row r="1607" spans="1:18" x14ac:dyDescent="0.15">
      <c r="A1607" s="59">
        <v>43238.75</v>
      </c>
      <c r="B1607">
        <v>20.912994000000001</v>
      </c>
      <c r="C1607">
        <v>180.990509</v>
      </c>
      <c r="D1607">
        <v>65.527671999999995</v>
      </c>
      <c r="E1607">
        <v>79.069999999999993</v>
      </c>
      <c r="F1607">
        <v>1343.599976</v>
      </c>
      <c r="H1607" s="50">
        <f t="shared" si="209"/>
        <v>4.336952286705496E-3</v>
      </c>
      <c r="I1607" s="50">
        <f t="shared" si="210"/>
        <v>4.1890751049589448E-3</v>
      </c>
      <c r="J1607" s="50">
        <f t="shared" si="211"/>
        <v>6.0419194246650078E-2</v>
      </c>
      <c r="K1607" s="50">
        <f t="shared" si="212"/>
        <v>-1.2772676444316637E-2</v>
      </c>
      <c r="L1607" s="50">
        <f t="shared" si="213"/>
        <v>7.7478349059405373E-3</v>
      </c>
      <c r="P1607" s="50">
        <f t="shared" si="208"/>
        <v>7.7478349059405373E-3</v>
      </c>
      <c r="Q1607" s="51">
        <f t="shared" si="214"/>
        <v>89.10798496766644</v>
      </c>
      <c r="R1607" s="51">
        <f t="shared" si="215"/>
        <v>42.744248136659778</v>
      </c>
    </row>
    <row r="1608" spans="1:18" x14ac:dyDescent="0.15">
      <c r="A1608" s="59">
        <v>43239.75</v>
      </c>
      <c r="B1608">
        <v>20.822686999999998</v>
      </c>
      <c r="C1608">
        <v>180.235489</v>
      </c>
      <c r="D1608">
        <v>61.794120999999997</v>
      </c>
      <c r="E1608">
        <v>80.093001999999998</v>
      </c>
      <c r="F1608">
        <v>1333.2700199999999</v>
      </c>
      <c r="H1608" s="50">
        <f t="shared" si="209"/>
        <v>1.9311390665044058E-3</v>
      </c>
      <c r="I1608" s="50">
        <f t="shared" si="210"/>
        <v>-3.7710563928114948E-3</v>
      </c>
      <c r="J1608" s="50">
        <f t="shared" si="211"/>
        <v>3.2418021339715984E-3</v>
      </c>
      <c r="K1608" s="50">
        <f t="shared" si="212"/>
        <v>-7.5481417200196652E-4</v>
      </c>
      <c r="L1608" s="50">
        <f t="shared" si="213"/>
        <v>1.2069521137074261E-2</v>
      </c>
      <c r="P1608" s="50">
        <f t="shared" si="208"/>
        <v>1.2069521137074261E-2</v>
      </c>
      <c r="Q1608" s="51">
        <f t="shared" si="214"/>
        <v>90.183475675715783</v>
      </c>
      <c r="R1608" s="51">
        <f t="shared" si="215"/>
        <v>42.82679322410484</v>
      </c>
    </row>
    <row r="1609" spans="1:18" x14ac:dyDescent="0.15">
      <c r="A1609" s="59">
        <v>43242.75</v>
      </c>
      <c r="B1609">
        <v>20.782553</v>
      </c>
      <c r="C1609">
        <v>180.91774000000001</v>
      </c>
      <c r="D1609">
        <v>61.594444000000003</v>
      </c>
      <c r="E1609">
        <v>80.153503000000001</v>
      </c>
      <c r="F1609">
        <v>1317.369995</v>
      </c>
      <c r="H1609" s="50">
        <f t="shared" si="209"/>
        <v>4.729577476091814E-3</v>
      </c>
      <c r="I1609" s="50">
        <f t="shared" si="210"/>
        <v>2.6720446443143702E-3</v>
      </c>
      <c r="J1609" s="50">
        <f t="shared" si="211"/>
        <v>-3.7912719520888562E-3</v>
      </c>
      <c r="K1609" s="50">
        <f t="shared" si="212"/>
        <v>-4.3970685960934399E-3</v>
      </c>
      <c r="L1609" s="50">
        <f t="shared" si="213"/>
        <v>8.2806543895379877E-4</v>
      </c>
      <c r="P1609" s="50">
        <f t="shared" si="208"/>
        <v>8.2806543895379877E-4</v>
      </c>
      <c r="Q1609" s="51">
        <f t="shared" si="214"/>
        <v>90.258153495087583</v>
      </c>
      <c r="R1609" s="51">
        <f t="shared" si="215"/>
        <v>43.029345860710805</v>
      </c>
    </row>
    <row r="1610" spans="1:18" x14ac:dyDescent="0.15">
      <c r="A1610" s="59">
        <v>43243.75</v>
      </c>
      <c r="B1610">
        <v>20.684723000000002</v>
      </c>
      <c r="C1610">
        <v>180.435608</v>
      </c>
      <c r="D1610">
        <v>61.828854</v>
      </c>
      <c r="E1610">
        <v>80.507499999999993</v>
      </c>
      <c r="F1610">
        <v>1316.280029</v>
      </c>
      <c r="H1610" s="50">
        <f t="shared" si="209"/>
        <v>7.2816830378359448E-4</v>
      </c>
      <c r="I1610" s="50">
        <f t="shared" si="210"/>
        <v>8.2341611660298429E-3</v>
      </c>
      <c r="J1610" s="50">
        <f t="shared" si="211"/>
        <v>-6.8342251751420963E-3</v>
      </c>
      <c r="K1610" s="50">
        <f t="shared" si="212"/>
        <v>-1.686447119898817E-3</v>
      </c>
      <c r="L1610" s="50">
        <f t="shared" si="213"/>
        <v>-3.1730687497777059E-3</v>
      </c>
      <c r="P1610" s="50">
        <f t="shared" si="208"/>
        <v>-3.1730687497777059E-3</v>
      </c>
      <c r="Q1610" s="51">
        <f t="shared" si="214"/>
        <v>89.971758168819676</v>
      </c>
      <c r="R1610" s="51">
        <f t="shared" si="215"/>
        <v>43.06067846649912</v>
      </c>
    </row>
    <row r="1611" spans="1:18" x14ac:dyDescent="0.15">
      <c r="A1611" s="59">
        <v>43244.75</v>
      </c>
      <c r="B1611">
        <v>20.669671999999998</v>
      </c>
      <c r="C1611">
        <v>178.962006</v>
      </c>
      <c r="D1611">
        <v>62.254314000000001</v>
      </c>
      <c r="E1611">
        <v>80.643501000000001</v>
      </c>
      <c r="F1611">
        <v>1320.469971</v>
      </c>
      <c r="H1611" s="50">
        <f t="shared" si="209"/>
        <v>-2.0447151408479202E-2</v>
      </c>
      <c r="I1611" s="50">
        <f t="shared" si="210"/>
        <v>-1.4526100214402536E-2</v>
      </c>
      <c r="J1611" s="50">
        <f t="shared" si="211"/>
        <v>-2.4091374459113701E-2</v>
      </c>
      <c r="K1611" s="50">
        <f t="shared" si="212"/>
        <v>-7.3973992996129384E-3</v>
      </c>
      <c r="L1611" s="50">
        <f t="shared" si="213"/>
        <v>-3.9375496777644351E-3</v>
      </c>
      <c r="P1611" s="50">
        <f t="shared" si="208"/>
        <v>-3.9375496777644351E-3</v>
      </c>
      <c r="Q1611" s="51">
        <f t="shared" si="214"/>
        <v>89.617489901434141</v>
      </c>
      <c r="R1611" s="51">
        <f t="shared" si="215"/>
        <v>42.180210254142771</v>
      </c>
    </row>
    <row r="1612" spans="1:18" x14ac:dyDescent="0.15">
      <c r="A1612" s="59">
        <v>43245.75</v>
      </c>
      <c r="B1612">
        <v>21.101130000000001</v>
      </c>
      <c r="C1612">
        <v>181.59994499999999</v>
      </c>
      <c r="D1612">
        <v>63.791130000000003</v>
      </c>
      <c r="E1612">
        <v>81.244499000000005</v>
      </c>
      <c r="F1612">
        <v>1325.6899410000001</v>
      </c>
      <c r="H1612" s="50">
        <f t="shared" si="209"/>
        <v>1.914223343637235E-2</v>
      </c>
      <c r="I1612" s="50">
        <f t="shared" si="210"/>
        <v>7.0620134169203548E-3</v>
      </c>
      <c r="J1612" s="50">
        <f t="shared" si="211"/>
        <v>7.9571108020877798E-3</v>
      </c>
      <c r="K1612" s="50">
        <f t="shared" si="212"/>
        <v>-2.9025661355690049E-3</v>
      </c>
      <c r="L1612" s="50">
        <f t="shared" si="213"/>
        <v>-4.0643340827465242E-3</v>
      </c>
      <c r="P1612" s="50">
        <f t="shared" si="208"/>
        <v>-4.0643340827465242E-3</v>
      </c>
      <c r="Q1612" s="51">
        <f t="shared" si="214"/>
        <v>89.253254482817553</v>
      </c>
      <c r="R1612" s="51">
        <f t="shared" si="215"/>
        <v>42.987633685222846</v>
      </c>
    </row>
    <row r="1613" spans="1:18" x14ac:dyDescent="0.15">
      <c r="A1613" s="59">
        <v>43246.75</v>
      </c>
      <c r="B1613">
        <v>20.704794</v>
      </c>
      <c r="C1613">
        <v>180.32647700000001</v>
      </c>
      <c r="D1613">
        <v>63.287543999999997</v>
      </c>
      <c r="E1613">
        <v>81.481003000000001</v>
      </c>
      <c r="F1613">
        <v>1331.099976</v>
      </c>
      <c r="H1613" s="50">
        <f t="shared" si="209"/>
        <v>-5.4223634483678684E-3</v>
      </c>
      <c r="I1613" s="50">
        <f t="shared" si="210"/>
        <v>5.630929406112423E-3</v>
      </c>
      <c r="J1613" s="50">
        <f t="shared" si="211"/>
        <v>1.2360817404850489E-3</v>
      </c>
      <c r="K1613" s="50">
        <f t="shared" si="212"/>
        <v>-7.2614737163344475E-3</v>
      </c>
      <c r="L1613" s="50">
        <f t="shared" si="213"/>
        <v>-1.0481694553674635E-2</v>
      </c>
      <c r="P1613" s="50">
        <f t="shared" si="208"/>
        <v>-1.0481694553674635E-2</v>
      </c>
      <c r="Q1613" s="51">
        <f t="shared" si="214"/>
        <v>88.317729131407262</v>
      </c>
      <c r="R1613" s="51">
        <f t="shared" si="215"/>
        <v>42.754539111596266</v>
      </c>
    </row>
    <row r="1614" spans="1:18" x14ac:dyDescent="0.15">
      <c r="A1614" s="59">
        <v>43250.75</v>
      </c>
      <c r="B1614">
        <v>20.817675000000001</v>
      </c>
      <c r="C1614">
        <v>179.316757</v>
      </c>
      <c r="D1614">
        <v>63.209412</v>
      </c>
      <c r="E1614">
        <v>82.077003000000005</v>
      </c>
      <c r="F1614">
        <v>1345.1999510000001</v>
      </c>
      <c r="H1614" s="50">
        <f t="shared" si="209"/>
        <v>-2.844772616676405E-2</v>
      </c>
      <c r="I1614" s="50">
        <f t="shared" si="210"/>
        <v>-7.5019475884910451E-3</v>
      </c>
      <c r="J1614" s="50">
        <f t="shared" si="211"/>
        <v>-4.6496310482635798E-2</v>
      </c>
      <c r="K1614" s="50">
        <f t="shared" si="212"/>
        <v>-1.4249858065051683E-2</v>
      </c>
      <c r="L1614" s="50">
        <f t="shared" si="213"/>
        <v>2.3315888218418158E-2</v>
      </c>
      <c r="P1614" s="50">
        <f t="shared" si="208"/>
        <v>2.3315888218418158E-2</v>
      </c>
      <c r="Q1614" s="51">
        <f t="shared" si="214"/>
        <v>90.376935431539678</v>
      </c>
      <c r="R1614" s="51">
        <f t="shared" si="215"/>
        <v>41.538269690563375</v>
      </c>
    </row>
    <row r="1615" spans="1:18" x14ac:dyDescent="0.15">
      <c r="A1615" s="59">
        <v>43251.75</v>
      </c>
      <c r="B1615">
        <v>21.427230999999999</v>
      </c>
      <c r="C1615">
        <v>180.67214999999999</v>
      </c>
      <c r="D1615">
        <v>66.291732999999994</v>
      </c>
      <c r="E1615">
        <v>83.263496000000004</v>
      </c>
      <c r="F1615">
        <v>1314.5500489999999</v>
      </c>
      <c r="H1615" s="50">
        <f t="shared" si="209"/>
        <v>9.4541972457041368E-3</v>
      </c>
      <c r="I1615" s="50">
        <f t="shared" si="210"/>
        <v>3.9426744052219759E-3</v>
      </c>
      <c r="J1615" s="50">
        <f t="shared" si="211"/>
        <v>-2.7388516351146634E-2</v>
      </c>
      <c r="K1615" s="50">
        <f t="shared" si="212"/>
        <v>-1.8321703126891371E-2</v>
      </c>
      <c r="L1615" s="50">
        <f t="shared" si="213"/>
        <v>1.2263378923285072E-3</v>
      </c>
      <c r="P1615" s="50">
        <f t="shared" si="208"/>
        <v>1.2263378923285072E-3</v>
      </c>
      <c r="Q1615" s="51">
        <f t="shared" si="214"/>
        <v>90.487768092051908</v>
      </c>
      <c r="R1615" s="51">
        <f t="shared" si="215"/>
        <v>41.930980685463211</v>
      </c>
    </row>
    <row r="1616" spans="1:18" x14ac:dyDescent="0.15">
      <c r="A1616" s="59">
        <v>43252.75</v>
      </c>
      <c r="B1616">
        <v>21.226551000000001</v>
      </c>
      <c r="C1616">
        <v>179.962616</v>
      </c>
      <c r="D1616">
        <v>68.158493000000007</v>
      </c>
      <c r="E1616">
        <v>84.817497000000003</v>
      </c>
      <c r="F1616">
        <v>1312.9399410000001</v>
      </c>
      <c r="H1616" s="50">
        <f t="shared" si="209"/>
        <v>7.0956792306058991E-4</v>
      </c>
      <c r="I1616" s="50">
        <f t="shared" si="210"/>
        <v>9.1069535841467478E-4</v>
      </c>
      <c r="J1616" s="50">
        <f t="shared" si="211"/>
        <v>7.7019791521130282E-3</v>
      </c>
      <c r="K1616" s="50">
        <f t="shared" si="212"/>
        <v>3.5381395497722628E-4</v>
      </c>
      <c r="L1616" s="50">
        <f t="shared" si="213"/>
        <v>9.8294876521332099E-3</v>
      </c>
      <c r="P1616" s="50">
        <f t="shared" si="208"/>
        <v>9.8294876521332099E-3</v>
      </c>
      <c r="Q1616" s="51">
        <f t="shared" si="214"/>
        <v>91.377216491181827</v>
      </c>
      <c r="R1616" s="51">
        <f t="shared" si="215"/>
        <v>41.960733564340089</v>
      </c>
    </row>
    <row r="1617" spans="1:18" x14ac:dyDescent="0.15">
      <c r="A1617" s="59">
        <v>43253.75</v>
      </c>
      <c r="B1617">
        <v>21.211500000000001</v>
      </c>
      <c r="C1617">
        <v>179.79887400000001</v>
      </c>
      <c r="D1617">
        <v>67.637550000000005</v>
      </c>
      <c r="E1617">
        <v>84.787497999999999</v>
      </c>
      <c r="F1617">
        <v>1300.160034</v>
      </c>
      <c r="H1617" s="50">
        <f t="shared" si="209"/>
        <v>-4.5907599329982444E-3</v>
      </c>
      <c r="I1617" s="50">
        <f t="shared" si="210"/>
        <v>-2.4238723976723352E-2</v>
      </c>
      <c r="J1617" s="50">
        <f t="shared" si="211"/>
        <v>-5.7431145804674351E-3</v>
      </c>
      <c r="K1617" s="50">
        <f t="shared" si="212"/>
        <v>3.8181733886543967E-3</v>
      </c>
      <c r="L1617" s="50">
        <f t="shared" si="213"/>
        <v>1.0877247581113804E-2</v>
      </c>
      <c r="P1617" s="50">
        <f t="shared" si="208"/>
        <v>1.0877247581113804E-2</v>
      </c>
      <c r="Q1617" s="51">
        <f t="shared" si="214"/>
        <v>92.371149098229452</v>
      </c>
      <c r="R1617" s="51">
        <f t="shared" si="215"/>
        <v>41.768101909933698</v>
      </c>
    </row>
    <row r="1618" spans="1:18" x14ac:dyDescent="0.15">
      <c r="A1618" s="59">
        <v>43256.75</v>
      </c>
      <c r="B1618">
        <v>21.309325999999999</v>
      </c>
      <c r="C1618">
        <v>184.26522800000001</v>
      </c>
      <c r="D1618">
        <v>68.028244000000001</v>
      </c>
      <c r="E1618">
        <v>84.464995999999999</v>
      </c>
      <c r="F1618">
        <v>1286.170044</v>
      </c>
      <c r="H1618" s="50">
        <f t="shared" si="209"/>
        <v>6.9936527149449196E-3</v>
      </c>
      <c r="I1618" s="50">
        <f t="shared" si="210"/>
        <v>-5.8401538078001478E-3</v>
      </c>
      <c r="J1618" s="50">
        <f t="shared" si="211"/>
        <v>4.2296238055478585E-3</v>
      </c>
      <c r="K1618" s="50">
        <f t="shared" si="212"/>
        <v>3.1531659552234328E-3</v>
      </c>
      <c r="L1618" s="50">
        <f t="shared" si="213"/>
        <v>9.5732334309924893E-4</v>
      </c>
      <c r="P1618" s="50">
        <f t="shared" si="208"/>
        <v>9.5732334309924893E-4</v>
      </c>
      <c r="Q1618" s="51">
        <f t="shared" si="214"/>
        <v>92.459578155490092</v>
      </c>
      <c r="R1618" s="51">
        <f t="shared" si="215"/>
        <v>42.060213509254204</v>
      </c>
    </row>
    <row r="1619" spans="1:18" x14ac:dyDescent="0.15">
      <c r="A1619" s="59">
        <v>43257.75</v>
      </c>
      <c r="B1619">
        <v>21.161331000000001</v>
      </c>
      <c r="C1619">
        <v>185.34768700000001</v>
      </c>
      <c r="D1619">
        <v>67.741721999999996</v>
      </c>
      <c r="E1619">
        <v>84.199500999999998</v>
      </c>
      <c r="F1619">
        <v>1284.9399410000001</v>
      </c>
      <c r="H1619" s="50">
        <f t="shared" si="209"/>
        <v>7.1175639403241154E-4</v>
      </c>
      <c r="I1619" s="50">
        <f t="shared" si="210"/>
        <v>-3.618471736692613E-3</v>
      </c>
      <c r="J1619" s="50">
        <f t="shared" si="211"/>
        <v>-1.3154574436714786E-2</v>
      </c>
      <c r="K1619" s="50">
        <f t="shared" si="212"/>
        <v>-3.0370843630164613E-3</v>
      </c>
      <c r="L1619" s="50">
        <f t="shared" si="213"/>
        <v>4.2044779079808553E-3</v>
      </c>
      <c r="P1619" s="50">
        <f t="shared" si="208"/>
        <v>4.2044779079808553E-3</v>
      </c>
      <c r="Q1619" s="51">
        <f t="shared" si="214"/>
        <v>92.848322409226085</v>
      </c>
      <c r="R1619" s="51">
        <f t="shared" si="215"/>
        <v>42.090150135153785</v>
      </c>
    </row>
    <row r="1620" spans="1:18" x14ac:dyDescent="0.15">
      <c r="A1620" s="59">
        <v>43258.75</v>
      </c>
      <c r="B1620">
        <v>21.146280000000001</v>
      </c>
      <c r="C1620">
        <v>186.02079800000001</v>
      </c>
      <c r="D1620">
        <v>68.644713999999993</v>
      </c>
      <c r="E1620">
        <v>84.456001000000001</v>
      </c>
      <c r="F1620">
        <v>1279.5600589999999</v>
      </c>
      <c r="H1620" s="50">
        <f t="shared" si="209"/>
        <v>2.3784486462524283E-3</v>
      </c>
      <c r="I1620" s="50">
        <f t="shared" si="210"/>
        <v>-1.8546364892734872E-3</v>
      </c>
      <c r="J1620" s="50">
        <f t="shared" si="211"/>
        <v>-1.2647589747095663E-4</v>
      </c>
      <c r="K1620" s="50">
        <f t="shared" si="212"/>
        <v>-5.6688623988226574E-3</v>
      </c>
      <c r="L1620" s="50">
        <f t="shared" si="213"/>
        <v>-7.323460822342971E-3</v>
      </c>
      <c r="P1620" s="50">
        <f t="shared" si="208"/>
        <v>-7.323460822342971E-3</v>
      </c>
      <c r="Q1620" s="51">
        <f t="shared" si="214"/>
        <v>92.168351357641853</v>
      </c>
      <c r="R1620" s="51">
        <f t="shared" si="215"/>
        <v>42.190259395763299</v>
      </c>
    </row>
    <row r="1621" spans="1:18" x14ac:dyDescent="0.15">
      <c r="A1621" s="59">
        <v>43259.75</v>
      </c>
      <c r="B1621">
        <v>21.096104</v>
      </c>
      <c r="C1621">
        <v>186.36644000000001</v>
      </c>
      <c r="D1621">
        <v>68.653396999999998</v>
      </c>
      <c r="E1621">
        <v>84.9375</v>
      </c>
      <c r="F1621">
        <v>1289</v>
      </c>
      <c r="H1621" s="50">
        <f t="shared" si="209"/>
        <v>1.1866157893101373E-4</v>
      </c>
      <c r="I1621" s="50">
        <f t="shared" si="210"/>
        <v>3.7724132746717013E-3</v>
      </c>
      <c r="J1621" s="50">
        <f t="shared" si="211"/>
        <v>1.3458101936056519E-2</v>
      </c>
      <c r="K1621" s="50">
        <f t="shared" si="212"/>
        <v>-3.583825232984597E-3</v>
      </c>
      <c r="L1621" s="50">
        <f t="shared" si="213"/>
        <v>1.4178051805347815E-2</v>
      </c>
      <c r="P1621" s="50">
        <f t="shared" si="208"/>
        <v>1.4178051805347815E-2</v>
      </c>
      <c r="Q1621" s="51">
        <f t="shared" si="214"/>
        <v>93.475119018003994</v>
      </c>
      <c r="R1621" s="51">
        <f t="shared" si="215"/>
        <v>42.195265758558712</v>
      </c>
    </row>
    <row r="1622" spans="1:18" x14ac:dyDescent="0.15">
      <c r="A1622" s="59">
        <v>43260.75</v>
      </c>
      <c r="B1622">
        <v>21.093601</v>
      </c>
      <c r="C1622">
        <v>185.666031</v>
      </c>
      <c r="D1622">
        <v>67.741721999999996</v>
      </c>
      <c r="E1622">
        <v>85.242996000000005</v>
      </c>
      <c r="F1622">
        <v>1270.9799800000001</v>
      </c>
      <c r="H1622" s="50">
        <f t="shared" si="209"/>
        <v>3.5803002414699168E-3</v>
      </c>
      <c r="I1622" s="50">
        <f t="shared" si="210"/>
        <v>-4.9240990395181174E-3</v>
      </c>
      <c r="J1622" s="50">
        <f t="shared" si="211"/>
        <v>1.0360149187054989E-2</v>
      </c>
      <c r="K1622" s="50">
        <f t="shared" si="212"/>
        <v>-1.1021834591882817E-2</v>
      </c>
      <c r="L1622" s="50">
        <f t="shared" si="213"/>
        <v>-6.6830946699290481E-4</v>
      </c>
      <c r="P1622" s="50">
        <f t="shared" si="208"/>
        <v>-6.6830946699290481E-4</v>
      </c>
      <c r="Q1622" s="51">
        <f t="shared" si="214"/>
        <v>93.41264871103597</v>
      </c>
      <c r="R1622" s="51">
        <f t="shared" si="215"/>
        <v>42.34633747874296</v>
      </c>
    </row>
    <row r="1623" spans="1:18" x14ac:dyDescent="0.15">
      <c r="A1623" s="59">
        <v>43263.75</v>
      </c>
      <c r="B1623">
        <v>21.018349000000001</v>
      </c>
      <c r="C1623">
        <v>186.58479299999999</v>
      </c>
      <c r="D1623">
        <v>67.047104000000004</v>
      </c>
      <c r="E1623">
        <v>86.193000999999995</v>
      </c>
      <c r="F1623">
        <v>1271.829956</v>
      </c>
      <c r="H1623" s="50">
        <f t="shared" si="209"/>
        <v>1.0752640543408817E-3</v>
      </c>
      <c r="I1623" s="50">
        <f t="shared" si="210"/>
        <v>-1.0611473489904709E-2</v>
      </c>
      <c r="J1623" s="50">
        <f t="shared" si="211"/>
        <v>-3.8833720515070588E-4</v>
      </c>
      <c r="K1623" s="50">
        <f t="shared" si="212"/>
        <v>4.5979941374265408E-3</v>
      </c>
      <c r="L1623" s="50">
        <f t="shared" si="213"/>
        <v>-1.2454703551036592E-2</v>
      </c>
      <c r="P1623" s="50">
        <f t="shared" si="208"/>
        <v>-1.2454703551036592E-2</v>
      </c>
      <c r="Q1623" s="51">
        <f t="shared" si="214"/>
        <v>92.249221863422889</v>
      </c>
      <c r="R1623" s="51">
        <f t="shared" si="215"/>
        <v>42.391870973266833</v>
      </c>
    </row>
    <row r="1624" spans="1:18" x14ac:dyDescent="0.15">
      <c r="A1624" s="59">
        <v>43264.75</v>
      </c>
      <c r="B1624">
        <v>20.995773</v>
      </c>
      <c r="C1624">
        <v>188.58596800000001</v>
      </c>
      <c r="D1624">
        <v>67.073150999999996</v>
      </c>
      <c r="E1624">
        <v>85.798500000000004</v>
      </c>
      <c r="F1624">
        <v>1287.869995</v>
      </c>
      <c r="H1624" s="50">
        <f t="shared" si="209"/>
        <v>8.433643450684352E-3</v>
      </c>
      <c r="I1624" s="50">
        <f t="shared" si="210"/>
        <v>5.3830647084164773E-3</v>
      </c>
      <c r="J1624" s="50">
        <f t="shared" si="211"/>
        <v>1.6856261400695276E-3</v>
      </c>
      <c r="K1624" s="50">
        <f t="shared" si="212"/>
        <v>-4.536503919114249E-3</v>
      </c>
      <c r="L1624" s="50">
        <f t="shared" si="213"/>
        <v>1.7741105893214423E-2</v>
      </c>
      <c r="P1624" s="50">
        <f t="shared" si="208"/>
        <v>1.7741105893214423E-2</v>
      </c>
      <c r="Q1624" s="51">
        <f t="shared" si="214"/>
        <v>93.885825077068503</v>
      </c>
      <c r="R1624" s="51">
        <f t="shared" si="215"/>
        <v>42.749388898262787</v>
      </c>
    </row>
    <row r="1625" spans="1:18" x14ac:dyDescent="0.15">
      <c r="A1625" s="59">
        <v>43265.75</v>
      </c>
      <c r="B1625">
        <v>20.820183</v>
      </c>
      <c r="C1625">
        <v>187.576233</v>
      </c>
      <c r="D1625">
        <v>66.960280999999995</v>
      </c>
      <c r="E1625">
        <v>86.189498999999998</v>
      </c>
      <c r="F1625">
        <v>1265.420044</v>
      </c>
      <c r="H1625" s="50">
        <f t="shared" si="209"/>
        <v>-7.2958346842636511E-3</v>
      </c>
      <c r="I1625" s="50">
        <f t="shared" si="210"/>
        <v>-6.3606537869252888E-3</v>
      </c>
      <c r="J1625" s="50">
        <f t="shared" si="211"/>
        <v>7.1829016919908789E-3</v>
      </c>
      <c r="K1625" s="50">
        <f t="shared" si="212"/>
        <v>-6.3350858629932219E-3</v>
      </c>
      <c r="L1625" s="50">
        <f t="shared" si="213"/>
        <v>-1.7512629561476779E-3</v>
      </c>
      <c r="P1625" s="50">
        <f t="shared" si="208"/>
        <v>-1.7512629561476779E-3</v>
      </c>
      <c r="Q1625" s="51">
        <f t="shared" si="214"/>
        <v>93.721406309503678</v>
      </c>
      <c r="R1625" s="51">
        <f t="shared" si="215"/>
        <v>42.437496424007769</v>
      </c>
    </row>
    <row r="1626" spans="1:18" x14ac:dyDescent="0.15">
      <c r="A1626" s="59">
        <v>43266.75</v>
      </c>
      <c r="B1626">
        <v>20.973199999999999</v>
      </c>
      <c r="C1626">
        <v>188.77697800000001</v>
      </c>
      <c r="D1626">
        <v>66.482742000000002</v>
      </c>
      <c r="E1626">
        <v>86.738997999999995</v>
      </c>
      <c r="F1626">
        <v>1267.6400149999999</v>
      </c>
      <c r="H1626" s="50">
        <f t="shared" si="209"/>
        <v>0</v>
      </c>
      <c r="I1626" s="50">
        <f t="shared" si="210"/>
        <v>-2.1638031583040688E-3</v>
      </c>
      <c r="J1626" s="50">
        <f t="shared" si="211"/>
        <v>1.5652114877676888E-2</v>
      </c>
      <c r="K1626" s="50">
        <f t="shared" si="212"/>
        <v>-8.742457687476184E-3</v>
      </c>
      <c r="L1626" s="50">
        <f t="shared" si="213"/>
        <v>-3.0357727093983889E-3</v>
      </c>
      <c r="P1626" s="50">
        <f t="shared" si="208"/>
        <v>-3.0357727093983889E-3</v>
      </c>
      <c r="Q1626" s="51">
        <f t="shared" si="214"/>
        <v>93.436889421942851</v>
      </c>
      <c r="R1626" s="51">
        <f t="shared" si="215"/>
        <v>42.437496424007769</v>
      </c>
    </row>
    <row r="1627" spans="1:18" x14ac:dyDescent="0.15">
      <c r="A1627" s="59">
        <v>43267.75</v>
      </c>
      <c r="B1627">
        <v>20.973199999999999</v>
      </c>
      <c r="C1627">
        <v>189.18634</v>
      </c>
      <c r="D1627">
        <v>65.458183000000005</v>
      </c>
      <c r="E1627">
        <v>87.503997999999996</v>
      </c>
      <c r="F1627">
        <v>1271.5</v>
      </c>
      <c r="H1627" s="50">
        <f t="shared" si="209"/>
        <v>-7.1248398067327735E-3</v>
      </c>
      <c r="I1627" s="50">
        <f t="shared" si="210"/>
        <v>-9.4303126607648887E-3</v>
      </c>
      <c r="J1627" s="50">
        <f t="shared" si="211"/>
        <v>-9.8504463586791442E-3</v>
      </c>
      <c r="K1627" s="50">
        <f t="shared" si="212"/>
        <v>1.1478262614505273E-2</v>
      </c>
      <c r="L1627" s="50">
        <f t="shared" si="213"/>
        <v>-5.366238837646386E-3</v>
      </c>
      <c r="P1627" s="50">
        <f t="shared" si="208"/>
        <v>-5.366238837646386E-3</v>
      </c>
      <c r="Q1627" s="51">
        <f t="shared" si="214"/>
        <v>92.935484757057949</v>
      </c>
      <c r="R1627" s="51">
        <f t="shared" si="215"/>
        <v>42.135136060187918</v>
      </c>
    </row>
    <row r="1628" spans="1:18" x14ac:dyDescent="0.15">
      <c r="A1628" s="59">
        <v>43270.75</v>
      </c>
      <c r="B1628">
        <v>21.123702999999999</v>
      </c>
      <c r="C1628">
        <v>190.98741100000001</v>
      </c>
      <c r="D1628">
        <v>66.109390000000005</v>
      </c>
      <c r="E1628">
        <v>86.511002000000005</v>
      </c>
      <c r="F1628">
        <v>1278.3599850000001</v>
      </c>
      <c r="H1628" s="50">
        <f t="shared" si="209"/>
        <v>-7.1917570001392107E-3</v>
      </c>
      <c r="I1628" s="50">
        <f t="shared" si="210"/>
        <v>-5.4001323415369916E-3</v>
      </c>
      <c r="J1628" s="50">
        <f t="shared" si="211"/>
        <v>1.3151565161969815E-3</v>
      </c>
      <c r="K1628" s="50">
        <f t="shared" si="212"/>
        <v>8.4806634320042928E-3</v>
      </c>
      <c r="L1628" s="50">
        <f t="shared" si="213"/>
        <v>-1.3245673347448448E-2</v>
      </c>
      <c r="P1628" s="50">
        <f t="shared" si="208"/>
        <v>-1.3245673347448448E-2</v>
      </c>
      <c r="Q1628" s="51">
        <f t="shared" si="214"/>
        <v>91.704491683579192</v>
      </c>
      <c r="R1628" s="51">
        <f t="shared" si="215"/>
        <v>41.832110400475244</v>
      </c>
    </row>
    <row r="1629" spans="1:18" x14ac:dyDescent="0.15">
      <c r="A1629" s="59">
        <v>43271.75</v>
      </c>
      <c r="B1629">
        <v>21.276720000000001</v>
      </c>
      <c r="C1629">
        <v>192.02436800000001</v>
      </c>
      <c r="D1629">
        <v>66.022559999999999</v>
      </c>
      <c r="E1629">
        <v>85.783501000000001</v>
      </c>
      <c r="F1629">
        <v>1295.5200199999999</v>
      </c>
      <c r="H1629" s="50">
        <f t="shared" si="209"/>
        <v>-1.9081754943324571E-2</v>
      </c>
      <c r="I1629" s="50">
        <f t="shared" si="210"/>
        <v>-3.0698126718271563E-3</v>
      </c>
      <c r="J1629" s="50">
        <f t="shared" si="211"/>
        <v>-1.0411277780348253E-2</v>
      </c>
      <c r="K1629" s="50">
        <f t="shared" si="212"/>
        <v>3.1578630531477914E-2</v>
      </c>
      <c r="L1629" s="50">
        <f t="shared" si="213"/>
        <v>6.5105621007361687E-3</v>
      </c>
      <c r="P1629" s="50">
        <f t="shared" si="208"/>
        <v>6.5105621007361687E-3</v>
      </c>
      <c r="Q1629" s="51">
        <f t="shared" si="214"/>
        <v>92.301539471601586</v>
      </c>
      <c r="R1629" s="51">
        <f t="shared" si="215"/>
        <v>41.033880321051278</v>
      </c>
    </row>
    <row r="1630" spans="1:18" x14ac:dyDescent="0.15">
      <c r="A1630" s="59">
        <v>43272.75</v>
      </c>
      <c r="B1630">
        <v>21.690615000000001</v>
      </c>
      <c r="C1630">
        <v>192.61566199999999</v>
      </c>
      <c r="D1630">
        <v>66.717170999999993</v>
      </c>
      <c r="E1630">
        <v>83.157500999999996</v>
      </c>
      <c r="F1630">
        <v>1287.1400149999999</v>
      </c>
      <c r="H1630" s="50">
        <f t="shared" si="209"/>
        <v>5.6990780518589405E-3</v>
      </c>
      <c r="I1630" s="50">
        <f t="shared" si="210"/>
        <v>7.9013617110578679E-3</v>
      </c>
      <c r="J1630" s="50">
        <f t="shared" si="211"/>
        <v>6.681361337161267E-3</v>
      </c>
      <c r="K1630" s="50">
        <f t="shared" si="212"/>
        <v>-1.6521841529020052E-2</v>
      </c>
      <c r="L1630" s="50">
        <f t="shared" si="213"/>
        <v>2.8360070120763137E-3</v>
      </c>
      <c r="P1630" s="50">
        <f t="shared" si="208"/>
        <v>2.8360070120763137E-3</v>
      </c>
      <c r="Q1630" s="51">
        <f t="shared" si="214"/>
        <v>92.563307284768484</v>
      </c>
      <c r="R1630" s="51">
        <f t="shared" si="215"/>
        <v>41.267735607771584</v>
      </c>
    </row>
    <row r="1631" spans="1:18" x14ac:dyDescent="0.15">
      <c r="A1631" s="59">
        <v>43273.75</v>
      </c>
      <c r="B1631">
        <v>21.567699000000001</v>
      </c>
      <c r="C1631">
        <v>191.10566700000001</v>
      </c>
      <c r="D1631">
        <v>66.274367999999996</v>
      </c>
      <c r="E1631">
        <v>84.554496999999998</v>
      </c>
      <c r="F1631">
        <v>1283.5</v>
      </c>
      <c r="H1631" s="50">
        <f t="shared" si="209"/>
        <v>-1.0473219066659652E-2</v>
      </c>
      <c r="I1631" s="50">
        <f t="shared" si="210"/>
        <v>2.8584505704078714E-4</v>
      </c>
      <c r="J1631" s="50">
        <f t="shared" si="211"/>
        <v>-7.0249069295161065E-3</v>
      </c>
      <c r="K1631" s="50">
        <f t="shared" si="212"/>
        <v>1.8416029475860848E-2</v>
      </c>
      <c r="L1631" s="50">
        <f t="shared" si="213"/>
        <v>1.1864913541235924E-2</v>
      </c>
      <c r="P1631" s="50">
        <f t="shared" si="208"/>
        <v>1.1864913541235924E-2</v>
      </c>
      <c r="Q1631" s="51">
        <f t="shared" si="214"/>
        <v>93.661562922793109</v>
      </c>
      <c r="R1631" s="51">
        <f t="shared" si="215"/>
        <v>40.835529572366404</v>
      </c>
    </row>
    <row r="1632" spans="1:18" x14ac:dyDescent="0.15">
      <c r="A1632" s="59">
        <v>43274.75</v>
      </c>
      <c r="B1632">
        <v>21.795973</v>
      </c>
      <c r="C1632">
        <v>191.05105599999999</v>
      </c>
      <c r="D1632">
        <v>66.743233000000004</v>
      </c>
      <c r="E1632">
        <v>83.025497000000001</v>
      </c>
      <c r="F1632">
        <v>1268.4499510000001</v>
      </c>
      <c r="H1632" s="50">
        <f t="shared" si="209"/>
        <v>1.1996134203408448E-2</v>
      </c>
      <c r="I1632" s="50">
        <f t="shared" si="210"/>
        <v>6.3244495242112501E-3</v>
      </c>
      <c r="J1632" s="50">
        <f t="shared" si="211"/>
        <v>1.6798947467541511E-2</v>
      </c>
      <c r="K1632" s="50">
        <f t="shared" si="212"/>
        <v>-2.4061887823635403E-2</v>
      </c>
      <c r="L1632" s="50">
        <f t="shared" si="213"/>
        <v>-9.1008711963290554E-3</v>
      </c>
      <c r="P1632" s="50">
        <f t="shared" si="208"/>
        <v>-9.1008711963290554E-3</v>
      </c>
      <c r="Q1632" s="51">
        <f t="shared" si="214"/>
        <v>92.809161102585904</v>
      </c>
      <c r="R1632" s="51">
        <f t="shared" si="215"/>
        <v>41.325398065383766</v>
      </c>
    </row>
    <row r="1633" spans="1:18" x14ac:dyDescent="0.15">
      <c r="A1633" s="59">
        <v>43277.75</v>
      </c>
      <c r="B1633">
        <v>21.537604999999999</v>
      </c>
      <c r="C1633">
        <v>189.850357</v>
      </c>
      <c r="D1633">
        <v>65.640540999999999</v>
      </c>
      <c r="E1633">
        <v>85.072502</v>
      </c>
      <c r="F1633">
        <v>1280.099976</v>
      </c>
      <c r="H1633" s="50">
        <f t="shared" si="209"/>
        <v>2.4522317258909745E-3</v>
      </c>
      <c r="I1633" s="50">
        <f t="shared" si="210"/>
        <v>-1.2920894096980836E-3</v>
      </c>
      <c r="J1633" s="50">
        <f t="shared" si="211"/>
        <v>-6.8310366919042634E-3</v>
      </c>
      <c r="K1633" s="50">
        <f t="shared" si="212"/>
        <v>9.7074952278502385E-4</v>
      </c>
      <c r="L1633" s="50">
        <f t="shared" si="213"/>
        <v>-1.2778939466268716E-2</v>
      </c>
      <c r="P1633" s="50">
        <f t="shared" si="208"/>
        <v>-1.2778939466268716E-2</v>
      </c>
      <c r="Q1633" s="51">
        <f t="shared" si="214"/>
        <v>91.623158450940778</v>
      </c>
      <c r="R1633" s="51">
        <f t="shared" si="215"/>
        <v>41.426737517604778</v>
      </c>
    </row>
    <row r="1634" spans="1:18" x14ac:dyDescent="0.15">
      <c r="A1634" s="59">
        <v>43278.75</v>
      </c>
      <c r="B1634">
        <v>21.484919000000001</v>
      </c>
      <c r="C1634">
        <v>190.095978</v>
      </c>
      <c r="D1634">
        <v>66.092017999999996</v>
      </c>
      <c r="E1634">
        <v>84.989998</v>
      </c>
      <c r="F1634">
        <v>1296.670044</v>
      </c>
      <c r="H1634" s="50">
        <f t="shared" si="209"/>
        <v>1.9642464593096463E-2</v>
      </c>
      <c r="I1634" s="50">
        <f t="shared" si="210"/>
        <v>4.7598558601585654E-3</v>
      </c>
      <c r="J1634" s="50">
        <f t="shared" si="211"/>
        <v>4.6190545076825306E-3</v>
      </c>
      <c r="K1634" s="50">
        <f t="shared" si="212"/>
        <v>-8.1574644998495278E-3</v>
      </c>
      <c r="L1634" s="50">
        <f t="shared" si="213"/>
        <v>-8.2147067260461559E-3</v>
      </c>
      <c r="P1634" s="50">
        <f t="shared" si="208"/>
        <v>-8.2147067260461559E-3</v>
      </c>
      <c r="Q1634" s="51">
        <f t="shared" si="214"/>
        <v>90.870501074952244</v>
      </c>
      <c r="R1634" s="51">
        <f t="shared" si="215"/>
        <v>42.240460742501824</v>
      </c>
    </row>
    <row r="1635" spans="1:18" x14ac:dyDescent="0.15">
      <c r="A1635" s="59">
        <v>43279.75</v>
      </c>
      <c r="B1635">
        <v>21.071031999999999</v>
      </c>
      <c r="C1635">
        <v>189.195435</v>
      </c>
      <c r="D1635">
        <v>65.788139000000001</v>
      </c>
      <c r="E1635">
        <v>85.689003</v>
      </c>
      <c r="F1635">
        <v>1307.410034</v>
      </c>
      <c r="H1635" s="50">
        <f t="shared" si="209"/>
        <v>-5.2104214471983138E-3</v>
      </c>
      <c r="I1635" s="50">
        <f t="shared" si="210"/>
        <v>4.2003710875287903E-3</v>
      </c>
      <c r="J1635" s="50">
        <f t="shared" si="211"/>
        <v>-1.122275136352233E-2</v>
      </c>
      <c r="K1635" s="50">
        <f t="shared" si="212"/>
        <v>1.1700453651808881E-2</v>
      </c>
      <c r="L1635" s="50">
        <f t="shared" si="213"/>
        <v>-1.0017855622828415E-2</v>
      </c>
      <c r="P1635" s="50">
        <f t="shared" si="208"/>
        <v>-1.0017855622828415E-2</v>
      </c>
      <c r="Q1635" s="51">
        <f t="shared" si="214"/>
        <v>89.960173514809298</v>
      </c>
      <c r="R1635" s="51">
        <f t="shared" si="215"/>
        <v>42.020370139909552</v>
      </c>
    </row>
    <row r="1636" spans="1:18" x14ac:dyDescent="0.15">
      <c r="A1636" s="59">
        <v>43280.75</v>
      </c>
      <c r="B1636">
        <v>21.181395999999999</v>
      </c>
      <c r="C1636">
        <v>188.404068</v>
      </c>
      <c r="D1636">
        <v>66.534842999999995</v>
      </c>
      <c r="E1636">
        <v>84.697997999999998</v>
      </c>
      <c r="F1636">
        <v>1320.6400149999999</v>
      </c>
      <c r="H1636" s="50">
        <f t="shared" si="209"/>
        <v>-1.5372861177388219E-3</v>
      </c>
      <c r="I1636" s="50">
        <f t="shared" si="210"/>
        <v>-9.6584235844522914E-3</v>
      </c>
      <c r="J1636" s="50">
        <f t="shared" si="211"/>
        <v>1.0450251661071001E-3</v>
      </c>
      <c r="K1636" s="50">
        <f t="shared" si="212"/>
        <v>-3.3947272381035717E-3</v>
      </c>
      <c r="L1636" s="50">
        <f t="shared" si="213"/>
        <v>-1.4205011961885753E-2</v>
      </c>
      <c r="P1636" s="50">
        <f t="shared" si="208"/>
        <v>-1.4205011961885753E-2</v>
      </c>
      <c r="Q1636" s="51">
        <f t="shared" si="214"/>
        <v>88.682288173938119</v>
      </c>
      <c r="R1636" s="51">
        <f t="shared" si="215"/>
        <v>41.955772808231224</v>
      </c>
    </row>
    <row r="1637" spans="1:18" x14ac:dyDescent="0.15">
      <c r="A1637" s="59">
        <v>43281.75</v>
      </c>
      <c r="B1637">
        <v>21.214008</v>
      </c>
      <c r="C1637">
        <v>190.241501</v>
      </c>
      <c r="D1637">
        <v>66.465384999999998</v>
      </c>
      <c r="E1637">
        <v>84.986503999999996</v>
      </c>
      <c r="F1637">
        <v>1339.670044</v>
      </c>
      <c r="H1637" s="50">
        <f t="shared" si="209"/>
        <v>7.0989334900837349E-4</v>
      </c>
      <c r="I1637" s="50">
        <f t="shared" si="210"/>
        <v>-2.2898797974897711E-3</v>
      </c>
      <c r="J1637" s="50">
        <f t="shared" si="211"/>
        <v>-3.1252775173514105E-3</v>
      </c>
      <c r="K1637" s="50">
        <f t="shared" si="212"/>
        <v>-6.3718979236446326E-3</v>
      </c>
      <c r="L1637" s="50">
        <f t="shared" si="213"/>
        <v>1.3379667782687124E-3</v>
      </c>
      <c r="P1637" s="50">
        <f t="shared" si="208"/>
        <v>1.3379667782687124E-3</v>
      </c>
      <c r="Q1637" s="51">
        <f t="shared" si="214"/>
        <v>88.800942129335695</v>
      </c>
      <c r="R1637" s="51">
        <f t="shared" si="215"/>
        <v>41.985556932300291</v>
      </c>
    </row>
    <row r="1638" spans="1:18" x14ac:dyDescent="0.15">
      <c r="A1638" s="59">
        <v>43285.75</v>
      </c>
      <c r="B1638">
        <v>21.198958999999999</v>
      </c>
      <c r="C1638">
        <v>190.67813100000001</v>
      </c>
      <c r="D1638">
        <v>66.673759000000004</v>
      </c>
      <c r="E1638">
        <v>85.531502000000003</v>
      </c>
      <c r="F1638">
        <v>1337.880005</v>
      </c>
      <c r="H1638" s="50">
        <f t="shared" si="209"/>
        <v>-1.6525046277784412E-2</v>
      </c>
      <c r="I1638" s="50">
        <f t="shared" si="210"/>
        <v>-6.2576674359281501E-3</v>
      </c>
      <c r="J1638" s="50">
        <f t="shared" si="211"/>
        <v>-1.2474117046190015E-2</v>
      </c>
      <c r="K1638" s="50">
        <f t="shared" si="212"/>
        <v>-1.6325218402328597E-2</v>
      </c>
      <c r="L1638" s="50">
        <f t="shared" si="213"/>
        <v>-1.0005570623319237E-3</v>
      </c>
      <c r="P1638" s="50">
        <f t="shared" si="208"/>
        <v>-1.0005570623319237E-3</v>
      </c>
      <c r="Q1638" s="51">
        <f t="shared" si="214"/>
        <v>88.712091719546464</v>
      </c>
      <c r="R1638" s="51">
        <f t="shared" si="215"/>
        <v>41.291743660995479</v>
      </c>
    </row>
    <row r="1639" spans="1:18" x14ac:dyDescent="0.15">
      <c r="A1639" s="59">
        <v>43286.75</v>
      </c>
      <c r="B1639">
        <v>21.555159</v>
      </c>
      <c r="C1639">
        <v>191.87884500000001</v>
      </c>
      <c r="D1639">
        <v>67.515961000000004</v>
      </c>
      <c r="E1639">
        <v>86.950996000000004</v>
      </c>
      <c r="F1639">
        <v>1339.219971</v>
      </c>
      <c r="H1639" s="50">
        <f t="shared" si="209"/>
        <v>-1.4677336749398117E-2</v>
      </c>
      <c r="I1639" s="50">
        <f t="shared" si="210"/>
        <v>-3.5900159513278396E-3</v>
      </c>
      <c r="J1639" s="50">
        <f t="shared" si="211"/>
        <v>-6.8969338579678106E-3</v>
      </c>
      <c r="K1639" s="50">
        <f t="shared" si="212"/>
        <v>-2.3235669597812623E-3</v>
      </c>
      <c r="L1639" s="50">
        <f t="shared" si="213"/>
        <v>-1.0345694196084252E-2</v>
      </c>
      <c r="P1639" s="50">
        <f t="shared" si="208"/>
        <v>-1.0345694196084252E-2</v>
      </c>
      <c r="Q1639" s="51">
        <f t="shared" si="214"/>
        <v>87.794303547121061</v>
      </c>
      <c r="R1639" s="51">
        <f t="shared" si="215"/>
        <v>40.685690834313228</v>
      </c>
    </row>
    <row r="1640" spans="1:18" x14ac:dyDescent="0.15">
      <c r="A1640" s="59">
        <v>43287.75</v>
      </c>
      <c r="B1640">
        <v>21.876244</v>
      </c>
      <c r="C1640">
        <v>192.57017500000001</v>
      </c>
      <c r="D1640">
        <v>67.984848</v>
      </c>
      <c r="E1640">
        <v>87.153503000000001</v>
      </c>
      <c r="F1640">
        <v>1353.219971</v>
      </c>
      <c r="H1640" s="50">
        <f t="shared" si="209"/>
        <v>7.858871109298558E-3</v>
      </c>
      <c r="I1640" s="50">
        <f t="shared" si="210"/>
        <v>3.5552254786999434E-3</v>
      </c>
      <c r="J1640" s="50">
        <f t="shared" si="211"/>
        <v>9.2810417151625753E-3</v>
      </c>
      <c r="K1640" s="50">
        <f t="shared" si="212"/>
        <v>-6.7976866096866031E-3</v>
      </c>
      <c r="L1640" s="50">
        <f t="shared" si="213"/>
        <v>7.0099134220228346E-3</v>
      </c>
      <c r="P1640" s="50">
        <f t="shared" si="208"/>
        <v>7.0099134220228346E-3</v>
      </c>
      <c r="Q1640" s="51">
        <f t="shared" si="214"/>
        <v>88.409734013933161</v>
      </c>
      <c r="R1640" s="51">
        <f t="shared" si="215"/>
        <v>41.005434434572869</v>
      </c>
    </row>
    <row r="1641" spans="1:18" x14ac:dyDescent="0.15">
      <c r="A1641" s="59">
        <v>43288.75</v>
      </c>
      <c r="B1641">
        <v>21.705662</v>
      </c>
      <c r="C1641">
        <v>191.88797</v>
      </c>
      <c r="D1641">
        <v>67.359679999999997</v>
      </c>
      <c r="E1641">
        <v>87.75</v>
      </c>
      <c r="F1641">
        <v>1343.8000489999999</v>
      </c>
      <c r="H1641" s="50">
        <f t="shared" si="209"/>
        <v>1.1565140399887078E-4</v>
      </c>
      <c r="I1641" s="50">
        <f t="shared" si="210"/>
        <v>-1.4344457623469803E-2</v>
      </c>
      <c r="J1641" s="50">
        <f t="shared" si="211"/>
        <v>1.4117635404279422E-2</v>
      </c>
      <c r="K1641" s="50">
        <f t="shared" si="212"/>
        <v>-2.3165733174898059E-2</v>
      </c>
      <c r="L1641" s="50">
        <f t="shared" si="213"/>
        <v>1.8423829801088455E-2</v>
      </c>
      <c r="P1641" s="50">
        <f t="shared" si="208"/>
        <v>1.8423829801088455E-2</v>
      </c>
      <c r="Q1641" s="51">
        <f t="shared" si="214"/>
        <v>90.038579906165353</v>
      </c>
      <c r="R1641" s="51">
        <f t="shared" si="215"/>
        <v>41.010176770636811</v>
      </c>
    </row>
    <row r="1642" spans="1:18" x14ac:dyDescent="0.15">
      <c r="A1642" s="59">
        <v>43291.75</v>
      </c>
      <c r="B1642">
        <v>21.703151999999999</v>
      </c>
      <c r="C1642">
        <v>194.68055699999999</v>
      </c>
      <c r="D1642">
        <v>66.421959000000001</v>
      </c>
      <c r="E1642">
        <v>89.831001000000001</v>
      </c>
      <c r="F1642">
        <v>1319.48999</v>
      </c>
      <c r="H1642" s="50">
        <f t="shared" si="209"/>
        <v>-1.3455198620128769E-2</v>
      </c>
      <c r="I1642" s="50">
        <f t="shared" si="210"/>
        <v>-1.163747847774173E-2</v>
      </c>
      <c r="J1642" s="50">
        <f t="shared" si="211"/>
        <v>-1.5697516674521371E-2</v>
      </c>
      <c r="K1642" s="50">
        <f t="shared" si="212"/>
        <v>-9.0511025978975909E-3</v>
      </c>
      <c r="L1642" s="50">
        <f t="shared" si="213"/>
        <v>4.4532557878880436E-3</v>
      </c>
      <c r="P1642" s="50">
        <f t="shared" si="208"/>
        <v>4.4532557878880436E-3</v>
      </c>
      <c r="Q1642" s="51">
        <f t="shared" si="214"/>
        <v>90.439544733265706</v>
      </c>
      <c r="R1642" s="51">
        <f t="shared" si="215"/>
        <v>40.458376696741304</v>
      </c>
    </row>
    <row r="1643" spans="1:18" x14ac:dyDescent="0.15">
      <c r="A1643" s="59">
        <v>43292.75</v>
      </c>
      <c r="B1643">
        <v>21.999154999999998</v>
      </c>
      <c r="C1643">
        <v>196.972824</v>
      </c>
      <c r="D1643">
        <v>67.481246999999996</v>
      </c>
      <c r="E1643">
        <v>90.651497000000006</v>
      </c>
      <c r="F1643">
        <v>1313.6400149999999</v>
      </c>
      <c r="H1643" s="50">
        <f t="shared" si="209"/>
        <v>6.8481311493291555E-4</v>
      </c>
      <c r="I1643" s="50">
        <f t="shared" si="210"/>
        <v>7.8658253608931122E-3</v>
      </c>
      <c r="J1643" s="50">
        <f t="shared" si="211"/>
        <v>6.605435219849836E-3</v>
      </c>
      <c r="K1643" s="50">
        <f t="shared" si="212"/>
        <v>-5.1906898886989435E-3</v>
      </c>
      <c r="L1643" s="50">
        <f t="shared" si="213"/>
        <v>-3.0962238486101222E-3</v>
      </c>
      <c r="P1643" s="50">
        <f t="shared" si="208"/>
        <v>-3.0962238486101222E-3</v>
      </c>
      <c r="Q1643" s="51">
        <f t="shared" si="214"/>
        <v>90.159523658005128</v>
      </c>
      <c r="R1643" s="51">
        <f t="shared" si="215"/>
        <v>40.486083123712127</v>
      </c>
    </row>
    <row r="1644" spans="1:18" x14ac:dyDescent="0.15">
      <c r="A1644" s="59">
        <v>43293.75</v>
      </c>
      <c r="B1644">
        <v>21.984100000000002</v>
      </c>
      <c r="C1644">
        <v>195.435562</v>
      </c>
      <c r="D1644">
        <v>67.038428999999994</v>
      </c>
      <c r="E1644">
        <v>91.124495999999994</v>
      </c>
      <c r="F1644">
        <v>1317.719971</v>
      </c>
      <c r="H1644" s="50">
        <f t="shared" si="209"/>
        <v>-6.2366682897818234E-3</v>
      </c>
      <c r="I1644" s="50">
        <f t="shared" si="210"/>
        <v>-6.9735462312856293E-4</v>
      </c>
      <c r="J1644" s="50">
        <f t="shared" si="211"/>
        <v>-7.763541537876516E-4</v>
      </c>
      <c r="K1644" s="50">
        <f t="shared" si="212"/>
        <v>-1.1627414979069363E-2</v>
      </c>
      <c r="L1644" s="50">
        <f t="shared" si="213"/>
        <v>6.7615393689271401E-3</v>
      </c>
      <c r="P1644" s="50">
        <f t="shared" si="208"/>
        <v>6.7615393689271401E-3</v>
      </c>
      <c r="Q1644" s="51">
        <f t="shared" si="214"/>
        <v>90.76914082670244</v>
      </c>
      <c r="R1644" s="51">
        <f t="shared" si="215"/>
        <v>40.233584852916998</v>
      </c>
    </row>
    <row r="1645" spans="1:18" x14ac:dyDescent="0.15">
      <c r="A1645" s="59">
        <v>43294.75</v>
      </c>
      <c r="B1645">
        <v>22.122067999999999</v>
      </c>
      <c r="C1645">
        <v>195.571945</v>
      </c>
      <c r="D1645">
        <v>67.090514999999996</v>
      </c>
      <c r="E1645">
        <v>92.196503000000007</v>
      </c>
      <c r="F1645">
        <v>1308.869995</v>
      </c>
      <c r="H1645" s="50">
        <f t="shared" si="209"/>
        <v>1.3625314577012711E-3</v>
      </c>
      <c r="I1645" s="50">
        <f t="shared" si="210"/>
        <v>1.3928783999608569E-4</v>
      </c>
      <c r="J1645" s="50">
        <f t="shared" si="211"/>
        <v>5.4650781309606581E-3</v>
      </c>
      <c r="K1645" s="50">
        <f t="shared" si="212"/>
        <v>5.4803244642059651E-4</v>
      </c>
      <c r="L1645" s="50">
        <f t="shared" si="213"/>
        <v>-5.5237436117311061E-3</v>
      </c>
      <c r="P1645" s="50">
        <f t="shared" si="208"/>
        <v>-5.5237436117311061E-3</v>
      </c>
      <c r="Q1645" s="51">
        <f t="shared" si="214"/>
        <v>90.267755364918614</v>
      </c>
      <c r="R1645" s="51">
        <f t="shared" si="215"/>
        <v>40.288404377935187</v>
      </c>
    </row>
    <row r="1646" spans="1:18" x14ac:dyDescent="0.15">
      <c r="A1646" s="59">
        <v>43295.75</v>
      </c>
      <c r="B1646">
        <v>22.091967</v>
      </c>
      <c r="C1646">
        <v>195.54470800000001</v>
      </c>
      <c r="D1646">
        <v>66.725853000000001</v>
      </c>
      <c r="E1646">
        <v>92.146004000000005</v>
      </c>
      <c r="F1646">
        <v>1316.1400149999999</v>
      </c>
      <c r="H1646" s="50">
        <f t="shared" si="209"/>
        <v>3.9898795560277958E-3</v>
      </c>
      <c r="I1646" s="50">
        <f t="shared" si="210"/>
        <v>-1.1813621681271529E-2</v>
      </c>
      <c r="J1646" s="50">
        <f t="shared" si="211"/>
        <v>-2.0519951126001638E-2</v>
      </c>
      <c r="K1646" s="50">
        <f t="shared" si="212"/>
        <v>1.651990950230741E-2</v>
      </c>
      <c r="L1646" s="50">
        <f t="shared" si="213"/>
        <v>8.196527211970648E-3</v>
      </c>
      <c r="P1646" s="50">
        <f t="shared" si="208"/>
        <v>8.196527211970648E-3</v>
      </c>
      <c r="Q1646" s="51">
        <f t="shared" si="214"/>
        <v>91.007637478130675</v>
      </c>
      <c r="R1646" s="51">
        <f t="shared" si="215"/>
        <v>40.449150258907693</v>
      </c>
    </row>
    <row r="1647" spans="1:18" x14ac:dyDescent="0.15">
      <c r="A1647" s="59">
        <v>43298.75</v>
      </c>
      <c r="B1647">
        <v>22.004173000000002</v>
      </c>
      <c r="C1647">
        <v>197.88241600000001</v>
      </c>
      <c r="D1647">
        <v>68.123749000000004</v>
      </c>
      <c r="E1647">
        <v>90.648499000000001</v>
      </c>
      <c r="F1647">
        <v>1305.4399410000001</v>
      </c>
      <c r="H1647" s="50">
        <f t="shared" si="209"/>
        <v>-3.8608914713977563E-3</v>
      </c>
      <c r="I1647" s="50">
        <f t="shared" si="210"/>
        <v>-5.2587329254253252E-3</v>
      </c>
      <c r="J1647" s="50">
        <f t="shared" si="211"/>
        <v>9.0021380277768587E-3</v>
      </c>
      <c r="K1647" s="50">
        <f t="shared" si="212"/>
        <v>-4.0248112482719654E-4</v>
      </c>
      <c r="L1647" s="50">
        <f t="shared" si="213"/>
        <v>-1.604700226944444E-2</v>
      </c>
      <c r="P1647" s="50">
        <f t="shared" si="208"/>
        <v>-1.604700226944444E-2</v>
      </c>
      <c r="Q1647" s="51">
        <f t="shared" si="214"/>
        <v>89.547237712982337</v>
      </c>
      <c r="R1647" s="51">
        <f t="shared" si="215"/>
        <v>40.292980479647788</v>
      </c>
    </row>
    <row r="1648" spans="1:18" x14ac:dyDescent="0.15">
      <c r="A1648" s="59">
        <v>43299.75</v>
      </c>
      <c r="B1648">
        <v>22.089458</v>
      </c>
      <c r="C1648">
        <v>198.928528</v>
      </c>
      <c r="D1648">
        <v>67.515961000000004</v>
      </c>
      <c r="E1648">
        <v>90.684997999999993</v>
      </c>
      <c r="F1648">
        <v>1326.7299800000001</v>
      </c>
      <c r="H1648" s="50">
        <f t="shared" si="209"/>
        <v>4.9068316143348056E-3</v>
      </c>
      <c r="I1648" s="50">
        <f t="shared" si="210"/>
        <v>-6.8526883395305933E-4</v>
      </c>
      <c r="J1648" s="50">
        <f t="shared" si="211"/>
        <v>-1.1818592644797357E-2</v>
      </c>
      <c r="K1648" s="50">
        <f t="shared" si="212"/>
        <v>6.4927859376866333E-3</v>
      </c>
      <c r="L1648" s="50">
        <f t="shared" si="213"/>
        <v>6.7128312829880762E-4</v>
      </c>
      <c r="P1648" s="50">
        <f t="shared" si="208"/>
        <v>6.7128312829880762E-4</v>
      </c>
      <c r="Q1648" s="51">
        <f t="shared" si="214"/>
        <v>89.607349262844835</v>
      </c>
      <c r="R1648" s="51">
        <f t="shared" si="215"/>
        <v>40.490691350101102</v>
      </c>
    </row>
    <row r="1649" spans="1:18" x14ac:dyDescent="0.15">
      <c r="A1649" s="59">
        <v>43300.75</v>
      </c>
      <c r="B1649">
        <v>21.981598000000002</v>
      </c>
      <c r="C1649">
        <v>199.064941</v>
      </c>
      <c r="D1649">
        <v>68.323447999999999</v>
      </c>
      <c r="E1649">
        <v>90.099997999999999</v>
      </c>
      <c r="F1649">
        <v>1325.839966</v>
      </c>
      <c r="H1649" s="50">
        <f t="shared" si="209"/>
        <v>-3.7516131773502105E-3</v>
      </c>
      <c r="I1649" s="50">
        <f t="shared" si="210"/>
        <v>1.1889842553133767E-3</v>
      </c>
      <c r="J1649" s="50">
        <f t="shared" si="211"/>
        <v>-8.4426441607664895E-3</v>
      </c>
      <c r="K1649" s="50">
        <f t="shared" si="212"/>
        <v>-1.4891430646419892E-2</v>
      </c>
      <c r="L1649" s="50">
        <f t="shared" si="213"/>
        <v>-1.3365145367694462E-2</v>
      </c>
      <c r="P1649" s="50">
        <f t="shared" si="208"/>
        <v>-1.3365145367694462E-2</v>
      </c>
      <c r="Q1649" s="51">
        <f t="shared" si="214"/>
        <v>88.409734013933146</v>
      </c>
      <c r="R1649" s="51">
        <f t="shared" si="215"/>
        <v>40.338785938872043</v>
      </c>
    </row>
    <row r="1650" spans="1:18" x14ac:dyDescent="0.15">
      <c r="A1650" s="59">
        <v>43301.75</v>
      </c>
      <c r="B1650">
        <v>22.064374999999998</v>
      </c>
      <c r="C1650">
        <v>198.82853700000001</v>
      </c>
      <c r="D1650">
        <v>68.905190000000005</v>
      </c>
      <c r="E1650">
        <v>91.461997999999994</v>
      </c>
      <c r="F1650">
        <v>1343.8000489999999</v>
      </c>
      <c r="H1650" s="50">
        <f t="shared" si="209"/>
        <v>6.8269672872472932E-4</v>
      </c>
      <c r="I1650" s="50">
        <f t="shared" si="210"/>
        <v>-9.6055223244317905E-3</v>
      </c>
      <c r="J1650" s="50">
        <f t="shared" si="211"/>
        <v>-7.8760929711054403E-3</v>
      </c>
      <c r="K1650" s="50">
        <f t="shared" si="212"/>
        <v>-1.8442679249099626E-2</v>
      </c>
      <c r="L1650" s="50">
        <f t="shared" si="213"/>
        <v>-9.0702813479310652E-4</v>
      </c>
      <c r="P1650" s="50">
        <f t="shared" si="208"/>
        <v>-9.0702813479310652E-4</v>
      </c>
      <c r="Q1650" s="51">
        <f t="shared" si="214"/>
        <v>88.329543897792931</v>
      </c>
      <c r="R1650" s="51">
        <f t="shared" si="215"/>
        <v>40.36632509607324</v>
      </c>
    </row>
    <row r="1651" spans="1:18" x14ac:dyDescent="0.15">
      <c r="A1651" s="59">
        <v>43302.75</v>
      </c>
      <c r="B1651">
        <v>22.049322</v>
      </c>
      <c r="C1651">
        <v>200.756912</v>
      </c>
      <c r="D1651">
        <v>69.452202</v>
      </c>
      <c r="E1651">
        <v>93.180496000000005</v>
      </c>
      <c r="F1651">
        <v>1345.0200199999999</v>
      </c>
      <c r="H1651" s="50">
        <f t="shared" si="209"/>
        <v>-3.7403133357910298E-3</v>
      </c>
      <c r="I1651" s="50">
        <f t="shared" si="210"/>
        <v>-4.6003778431663494E-3</v>
      </c>
      <c r="J1651" s="50">
        <f t="shared" si="211"/>
        <v>1.6281096538168928E-3</v>
      </c>
      <c r="K1651" s="50">
        <f t="shared" si="212"/>
        <v>3.0757676310670928E-2</v>
      </c>
      <c r="L1651" s="50">
        <f t="shared" si="213"/>
        <v>5.6750377167761809E-3</v>
      </c>
      <c r="P1651" s="50">
        <f t="shared" si="208"/>
        <v>5.6750377167761809E-3</v>
      </c>
      <c r="Q1651" s="51">
        <f t="shared" si="214"/>
        <v>88.830817390918554</v>
      </c>
      <c r="R1651" s="51">
        <f t="shared" si="215"/>
        <v>40.215342391999521</v>
      </c>
    </row>
    <row r="1652" spans="1:18" x14ac:dyDescent="0.15">
      <c r="A1652" s="59">
        <v>43305.75</v>
      </c>
      <c r="B1652">
        <v>22.132103000000001</v>
      </c>
      <c r="C1652">
        <v>201.68473800000001</v>
      </c>
      <c r="D1652">
        <v>69.339309999999998</v>
      </c>
      <c r="E1652">
        <v>90.400002000000001</v>
      </c>
      <c r="F1652">
        <v>1337.4300539999999</v>
      </c>
      <c r="H1652" s="50">
        <f t="shared" si="209"/>
        <v>1.1350698262678584E-3</v>
      </c>
      <c r="I1652" s="50">
        <f t="shared" si="210"/>
        <v>9.4241656203922324E-3</v>
      </c>
      <c r="J1652" s="50">
        <f t="shared" si="211"/>
        <v>-3.369604390713737E-3</v>
      </c>
      <c r="K1652" s="50">
        <f t="shared" si="212"/>
        <v>-5.1010690177770686E-3</v>
      </c>
      <c r="L1652" s="50">
        <f t="shared" si="213"/>
        <v>4.1218923098574134E-3</v>
      </c>
      <c r="P1652" s="50">
        <f t="shared" si="208"/>
        <v>4.1218923098574134E-3</v>
      </c>
      <c r="Q1652" s="51">
        <f t="shared" si="214"/>
        <v>89.196968454000526</v>
      </c>
      <c r="R1652" s="51">
        <f t="shared" si="215"/>
        <v>40.260989613701703</v>
      </c>
    </row>
    <row r="1653" spans="1:18" x14ac:dyDescent="0.15">
      <c r="A1653" s="59">
        <v>43306.75</v>
      </c>
      <c r="B1653">
        <v>22.107009999999999</v>
      </c>
      <c r="C1653">
        <v>199.801773</v>
      </c>
      <c r="D1653">
        <v>69.573746</v>
      </c>
      <c r="E1653">
        <v>90.863502999999994</v>
      </c>
      <c r="F1653">
        <v>1331.9399410000001</v>
      </c>
      <c r="H1653" s="50">
        <f t="shared" si="209"/>
        <v>-8.4386510770885406E-3</v>
      </c>
      <c r="I1653" s="50">
        <f t="shared" si="210"/>
        <v>2.464319410434969E-3</v>
      </c>
      <c r="J1653" s="50">
        <f t="shared" si="211"/>
        <v>-1.3298955950077691E-2</v>
      </c>
      <c r="K1653" s="50">
        <f t="shared" si="212"/>
        <v>2.1385820993309587E-2</v>
      </c>
      <c r="L1653" s="50">
        <f t="shared" si="213"/>
        <v>2.0729659733046652E-2</v>
      </c>
      <c r="P1653" s="50">
        <f t="shared" si="208"/>
        <v>2.0729659733046652E-2</v>
      </c>
      <c r="Q1653" s="51">
        <f t="shared" si="214"/>
        <v>91.045991259271247</v>
      </c>
      <c r="R1653" s="51">
        <f t="shared" si="215"/>
        <v>39.921241170333388</v>
      </c>
    </row>
    <row r="1654" spans="1:18" x14ac:dyDescent="0.15">
      <c r="A1654" s="59">
        <v>43307.75</v>
      </c>
      <c r="B1654">
        <v>22.295151000000001</v>
      </c>
      <c r="C1654">
        <v>199.310608</v>
      </c>
      <c r="D1654">
        <v>70.511475000000004</v>
      </c>
      <c r="E1654">
        <v>88.960999000000001</v>
      </c>
      <c r="F1654">
        <v>1304.8900149999999</v>
      </c>
      <c r="H1654" s="50">
        <f t="shared" si="209"/>
        <v>-3.9224949278351693E-3</v>
      </c>
      <c r="I1654" s="50">
        <f t="shared" si="210"/>
        <v>1.8290122001099508E-3</v>
      </c>
      <c r="J1654" s="50">
        <f t="shared" si="211"/>
        <v>6.5691143490557158E-3</v>
      </c>
      <c r="K1654" s="50">
        <f t="shared" si="212"/>
        <v>1.0014064947024173E-3</v>
      </c>
      <c r="L1654" s="50">
        <f t="shared" si="213"/>
        <v>3.2444592842487169E-3</v>
      </c>
      <c r="P1654" s="50">
        <f t="shared" si="208"/>
        <v>3.2444592842487169E-3</v>
      </c>
      <c r="Q1654" s="51">
        <f t="shared" si="214"/>
        <v>91.341386270906014</v>
      </c>
      <c r="R1654" s="51">
        <f t="shared" si="215"/>
        <v>39.764650304329869</v>
      </c>
    </row>
    <row r="1655" spans="1:18" x14ac:dyDescent="0.15">
      <c r="A1655" s="59">
        <v>43308.75</v>
      </c>
      <c r="B1655">
        <v>22.382947999999999</v>
      </c>
      <c r="C1655">
        <v>198.946732</v>
      </c>
      <c r="D1655">
        <v>70.051299999999998</v>
      </c>
      <c r="E1655">
        <v>88.872001999999995</v>
      </c>
      <c r="F1655">
        <v>1300.670044</v>
      </c>
      <c r="H1655" s="50">
        <f t="shared" si="209"/>
        <v>1.1219214790950682E-2</v>
      </c>
      <c r="I1655" s="50">
        <f t="shared" si="210"/>
        <v>7.2768964259719406E-3</v>
      </c>
      <c r="J1655" s="50">
        <f t="shared" si="211"/>
        <v>2.1912474944826853E-2</v>
      </c>
      <c r="K1655" s="50">
        <f t="shared" si="212"/>
        <v>-1.0978327280743137E-2</v>
      </c>
      <c r="L1655" s="50">
        <f t="shared" si="213"/>
        <v>6.4924124893366653E-3</v>
      </c>
      <c r="P1655" s="50">
        <f t="shared" si="208"/>
        <v>6.4924124893366653E-3</v>
      </c>
      <c r="Q1655" s="51">
        <f t="shared" si="214"/>
        <v>91.934412227924568</v>
      </c>
      <c r="R1655" s="51">
        <f t="shared" si="215"/>
        <v>40.210778457181185</v>
      </c>
    </row>
    <row r="1656" spans="1:18" x14ac:dyDescent="0.15">
      <c r="A1656" s="59">
        <v>43309.75</v>
      </c>
      <c r="B1656">
        <v>22.134615</v>
      </c>
      <c r="C1656">
        <v>197.50947600000001</v>
      </c>
      <c r="D1656">
        <v>68.549216999999999</v>
      </c>
      <c r="E1656">
        <v>89.858497999999997</v>
      </c>
      <c r="F1656">
        <v>1292.280029</v>
      </c>
      <c r="H1656" s="50">
        <f t="shared" si="209"/>
        <v>-5.8583292712870751E-3</v>
      </c>
      <c r="I1656" s="50">
        <f t="shared" si="210"/>
        <v>-1.8044815497534138E-2</v>
      </c>
      <c r="J1656" s="50">
        <f t="shared" si="211"/>
        <v>-2.2412034118395176E-2</v>
      </c>
      <c r="K1656" s="50">
        <f t="shared" si="212"/>
        <v>-2.0258089005338088E-2</v>
      </c>
      <c r="L1656" s="50">
        <f t="shared" si="213"/>
        <v>4.1494461628492751E-3</v>
      </c>
      <c r="P1656" s="50">
        <f t="shared" si="208"/>
        <v>4.1494461628492751E-3</v>
      </c>
      <c r="Q1656" s="51">
        <f t="shared" si="214"/>
        <v>92.315889121977534</v>
      </c>
      <c r="R1656" s="51">
        <f t="shared" si="215"/>
        <v>39.975210476724243</v>
      </c>
    </row>
    <row r="1657" spans="1:18" x14ac:dyDescent="0.15">
      <c r="A1657" s="59">
        <v>43312.75</v>
      </c>
      <c r="B1657">
        <v>22.265051</v>
      </c>
      <c r="C1657">
        <v>201.138992</v>
      </c>
      <c r="D1657">
        <v>70.120766000000003</v>
      </c>
      <c r="E1657">
        <v>91.716498999999999</v>
      </c>
      <c r="F1657">
        <v>1286.9399410000001</v>
      </c>
      <c r="H1657" s="50">
        <f t="shared" si="209"/>
        <v>-9.3749884597900315E-3</v>
      </c>
      <c r="I1657" s="50">
        <f t="shared" si="210"/>
        <v>-4.0984174740537251E-3</v>
      </c>
      <c r="J1657" s="50">
        <f t="shared" si="211"/>
        <v>-8.4713124981474763E-3</v>
      </c>
      <c r="K1657" s="50">
        <f t="shared" si="212"/>
        <v>6.0550106474014957E-3</v>
      </c>
      <c r="L1657" s="50">
        <f t="shared" si="213"/>
        <v>2.6226937295068156E-2</v>
      </c>
      <c r="P1657" s="50">
        <f t="shared" si="208"/>
        <v>2.6226937295068156E-2</v>
      </c>
      <c r="Q1657" s="51">
        <f t="shared" si="214"/>
        <v>94.737052157318104</v>
      </c>
      <c r="R1657" s="51">
        <f t="shared" si="215"/>
        <v>39.600443339827279</v>
      </c>
    </row>
    <row r="1658" spans="1:18" x14ac:dyDescent="0.15">
      <c r="A1658" s="59">
        <v>43313.75</v>
      </c>
      <c r="B1658">
        <v>22.475760999999999</v>
      </c>
      <c r="C1658">
        <v>201.966736</v>
      </c>
      <c r="D1658">
        <v>70.719855999999993</v>
      </c>
      <c r="E1658">
        <v>91.164496999999997</v>
      </c>
      <c r="F1658">
        <v>1254.0500489999999</v>
      </c>
      <c r="H1658" s="50">
        <f t="shared" si="209"/>
        <v>-7.8058733795582024E-4</v>
      </c>
      <c r="I1658" s="50">
        <f t="shared" si="210"/>
        <v>-3.0980867579892884E-3</v>
      </c>
      <c r="J1658" s="50">
        <f t="shared" si="211"/>
        <v>-1.9602517159594567E-3</v>
      </c>
      <c r="K1658" s="50">
        <f t="shared" si="212"/>
        <v>-1.3237721983094737E-2</v>
      </c>
      <c r="L1658" s="50">
        <f t="shared" si="213"/>
        <v>-4.9906510700939398E-3</v>
      </c>
      <c r="P1658" s="50">
        <f t="shared" si="208"/>
        <v>-4.9906510700939398E-3</v>
      </c>
      <c r="Q1658" s="51">
        <f t="shared" si="214"/>
        <v>94.264252586591638</v>
      </c>
      <c r="R1658" s="51">
        <f t="shared" si="215"/>
        <v>39.569531735178771</v>
      </c>
    </row>
    <row r="1659" spans="1:18" x14ac:dyDescent="0.15">
      <c r="A1659" s="59">
        <v>43314.75</v>
      </c>
      <c r="B1659">
        <v>22.493319</v>
      </c>
      <c r="C1659">
        <v>202.594391</v>
      </c>
      <c r="D1659">
        <v>70.858756999999997</v>
      </c>
      <c r="E1659">
        <v>92.387496999999996</v>
      </c>
      <c r="F1659">
        <v>1260.339966</v>
      </c>
      <c r="H1659" s="50">
        <f t="shared" si="209"/>
        <v>-1.1138889873268376E-3</v>
      </c>
      <c r="I1659" s="50">
        <f t="shared" si="210"/>
        <v>-5.092398266764003E-3</v>
      </c>
      <c r="J1659" s="50">
        <f t="shared" si="211"/>
        <v>-7.660724705789608E-3</v>
      </c>
      <c r="K1659" s="50">
        <f t="shared" si="212"/>
        <v>-7.9088526275842754E-3</v>
      </c>
      <c r="L1659" s="50">
        <f t="shared" si="213"/>
        <v>5.0222089304784515E-2</v>
      </c>
      <c r="P1659" s="50">
        <f t="shared" si="208"/>
        <v>5.0222089304784515E-2</v>
      </c>
      <c r="Q1659" s="51">
        <f t="shared" si="214"/>
        <v>98.998400298244206</v>
      </c>
      <c r="R1659" s="51">
        <f t="shared" si="215"/>
        <v>39.525455669545281</v>
      </c>
    </row>
    <row r="1660" spans="1:18" x14ac:dyDescent="0.15">
      <c r="A1660" s="59">
        <v>43315.75</v>
      </c>
      <c r="B1660">
        <v>22.518401999999998</v>
      </c>
      <c r="C1660">
        <v>203.63136299999999</v>
      </c>
      <c r="D1660">
        <v>71.405777</v>
      </c>
      <c r="E1660">
        <v>93.124001000000007</v>
      </c>
      <c r="F1660">
        <v>1200.0699460000001</v>
      </c>
      <c r="H1660" s="50">
        <f t="shared" si="209"/>
        <v>-3.1093508161050393E-3</v>
      </c>
      <c r="I1660" s="50">
        <f t="shared" si="210"/>
        <v>-3.2061273840196225E-3</v>
      </c>
      <c r="J1660" s="50">
        <f t="shared" si="211"/>
        <v>-1.8208585619940894E-3</v>
      </c>
      <c r="K1660" s="50">
        <f t="shared" si="212"/>
        <v>-1.2742987627716081E-2</v>
      </c>
      <c r="L1660" s="50">
        <f t="shared" si="213"/>
        <v>5.7524804242512764E-4</v>
      </c>
      <c r="P1660" s="50">
        <f t="shared" si="208"/>
        <v>5.7524804242512764E-4</v>
      </c>
      <c r="Q1660" s="51">
        <f t="shared" si="214"/>
        <v>99.055348934218983</v>
      </c>
      <c r="R1660" s="51">
        <f t="shared" si="215"/>
        <v>39.402557161702255</v>
      </c>
    </row>
    <row r="1661" spans="1:18" x14ac:dyDescent="0.15">
      <c r="A1661" s="59">
        <v>43316.75</v>
      </c>
      <c r="B1661">
        <v>22.588638</v>
      </c>
      <c r="C1661">
        <v>204.28633099999999</v>
      </c>
      <c r="D1661">
        <v>71.536034000000001</v>
      </c>
      <c r="E1661">
        <v>94.325996000000004</v>
      </c>
      <c r="F1661">
        <v>1199.380005</v>
      </c>
      <c r="H1661" s="50">
        <f t="shared" si="209"/>
        <v>-5.8421627559593807E-3</v>
      </c>
      <c r="I1661" s="50">
        <f t="shared" si="210"/>
        <v>2.9050767463313705E-2</v>
      </c>
      <c r="J1661" s="50">
        <f t="shared" si="211"/>
        <v>-2.7839260766819654E-3</v>
      </c>
      <c r="K1661" s="50">
        <f t="shared" si="212"/>
        <v>-6.3207865183156492E-3</v>
      </c>
      <c r="L1661" s="50">
        <f t="shared" si="213"/>
        <v>7.1391605581505882E-2</v>
      </c>
      <c r="P1661" s="50">
        <f t="shared" si="208"/>
        <v>7.1391605581505882E-2</v>
      </c>
      <c r="Q1661" s="51">
        <f t="shared" si="214"/>
        <v>106.12706933606918</v>
      </c>
      <c r="R1661" s="51">
        <f t="shared" si="215"/>
        <v>39.172361009762596</v>
      </c>
    </row>
    <row r="1662" spans="1:18" x14ac:dyDescent="0.15">
      <c r="A1662" s="59">
        <v>43319.75</v>
      </c>
      <c r="B1662">
        <v>22.72138</v>
      </c>
      <c r="C1662">
        <v>198.51919599999999</v>
      </c>
      <c r="D1662">
        <v>71.735741000000004</v>
      </c>
      <c r="E1662">
        <v>94.926002999999994</v>
      </c>
      <c r="F1662">
        <v>1119.459961</v>
      </c>
      <c r="H1662" s="50">
        <f t="shared" si="209"/>
        <v>-1.2973998917986344E-2</v>
      </c>
      <c r="I1662" s="50">
        <f t="shared" si="210"/>
        <v>-9.3960057599374747E-3</v>
      </c>
      <c r="J1662" s="50">
        <f t="shared" si="211"/>
        <v>-1.0877705525859894E-3</v>
      </c>
      <c r="K1662" s="50">
        <f t="shared" si="212"/>
        <v>6.4783012992989959E-3</v>
      </c>
      <c r="L1662" s="50">
        <f t="shared" si="213"/>
        <v>-4.5261158936169124E-2</v>
      </c>
      <c r="P1662" s="50">
        <f t="shared" si="208"/>
        <v>-4.5261158936169124E-2</v>
      </c>
      <c r="Q1662" s="51">
        <f t="shared" si="214"/>
        <v>101.32363518341951</v>
      </c>
      <c r="R1662" s="51">
        <f t="shared" si="215"/>
        <v>38.664138840406963</v>
      </c>
    </row>
    <row r="1663" spans="1:18" x14ac:dyDescent="0.15">
      <c r="A1663" s="59">
        <v>43320.75</v>
      </c>
      <c r="B1663">
        <v>23.020042</v>
      </c>
      <c r="C1663">
        <v>200.402176</v>
      </c>
      <c r="D1663">
        <v>71.813857999999996</v>
      </c>
      <c r="E1663">
        <v>94.315002000000007</v>
      </c>
      <c r="F1663">
        <v>1172.530029</v>
      </c>
      <c r="H1663" s="50">
        <f t="shared" si="209"/>
        <v>6.0239837078602202E-3</v>
      </c>
      <c r="I1663" s="50">
        <f t="shared" si="210"/>
        <v>3.4160387352439071E-3</v>
      </c>
      <c r="J1663" s="50">
        <f t="shared" si="211"/>
        <v>7.9206998638811799E-3</v>
      </c>
      <c r="K1663" s="50">
        <f t="shared" si="212"/>
        <v>-5.2209261727859781E-3</v>
      </c>
      <c r="L1663" s="50">
        <f t="shared" si="213"/>
        <v>4.6191886343268124E-2</v>
      </c>
      <c r="P1663" s="50">
        <f t="shared" si="208"/>
        <v>4.6191886343268124E-2</v>
      </c>
      <c r="Q1663" s="51">
        <f t="shared" si="214"/>
        <v>106.0039650236988</v>
      </c>
      <c r="R1663" s="51">
        <f t="shared" si="215"/>
        <v>38.897050982860016</v>
      </c>
    </row>
    <row r="1664" spans="1:18" x14ac:dyDescent="0.15">
      <c r="A1664" s="59">
        <v>43321.75</v>
      </c>
      <c r="B1664">
        <v>22.882200000000001</v>
      </c>
      <c r="C1664">
        <v>199.71992499999999</v>
      </c>
      <c r="D1664">
        <v>71.249511999999996</v>
      </c>
      <c r="E1664">
        <v>94.809997999999993</v>
      </c>
      <c r="F1664">
        <v>1120.76001</v>
      </c>
      <c r="H1664" s="50">
        <f t="shared" si="209"/>
        <v>-1.331836090163507E-2</v>
      </c>
      <c r="I1664" s="50">
        <f t="shared" si="210"/>
        <v>-1.0990983346205045E-2</v>
      </c>
      <c r="J1664" s="50">
        <f t="shared" si="211"/>
        <v>-1.5239157477356942E-2</v>
      </c>
      <c r="K1664" s="50">
        <f t="shared" si="212"/>
        <v>-1.2215768754007773E-2</v>
      </c>
      <c r="L1664" s="50">
        <f t="shared" si="213"/>
        <v>-4.4242055819662597E-2</v>
      </c>
      <c r="P1664" s="50">
        <f t="shared" si="208"/>
        <v>-4.4242055819662597E-2</v>
      </c>
      <c r="Q1664" s="51">
        <f t="shared" si="214"/>
        <v>101.31413168601476</v>
      </c>
      <c r="R1664" s="51">
        <f t="shared" si="215"/>
        <v>38.379006019860988</v>
      </c>
    </row>
    <row r="1665" spans="1:18" x14ac:dyDescent="0.15">
      <c r="A1665" s="59">
        <v>43322.75</v>
      </c>
      <c r="B1665">
        <v>23.191067</v>
      </c>
      <c r="C1665">
        <v>201.939438</v>
      </c>
      <c r="D1665">
        <v>72.352097000000001</v>
      </c>
      <c r="E1665">
        <v>95.982498000000007</v>
      </c>
      <c r="F1665">
        <v>1172.6400149999999</v>
      </c>
      <c r="H1665" s="50">
        <f t="shared" si="209"/>
        <v>6.9825971539351937E-3</v>
      </c>
      <c r="I1665" s="50">
        <f t="shared" si="210"/>
        <v>1.4888074660230537E-3</v>
      </c>
      <c r="J1665" s="50">
        <f t="shared" si="211"/>
        <v>2.4662464581837112E-2</v>
      </c>
      <c r="K1665" s="50">
        <f t="shared" si="212"/>
        <v>1.966940815468058E-2</v>
      </c>
      <c r="L1665" s="50">
        <f t="shared" si="213"/>
        <v>-5.234129071849023E-3</v>
      </c>
      <c r="P1665" s="50">
        <f t="shared" ref="P1665:P1728" si="216">(F1665-F1666)/F1666</f>
        <v>-5.234129071849023E-3</v>
      </c>
      <c r="Q1665" s="51">
        <f t="shared" si="214"/>
        <v>100.78384044396785</v>
      </c>
      <c r="R1665" s="51">
        <f t="shared" si="215"/>
        <v>38.646991158066129</v>
      </c>
    </row>
    <row r="1666" spans="1:18" x14ac:dyDescent="0.15">
      <c r="A1666" s="59">
        <v>43323.75</v>
      </c>
      <c r="B1666">
        <v>23.030256000000001</v>
      </c>
      <c r="C1666">
        <v>201.63923600000001</v>
      </c>
      <c r="D1666">
        <v>70.610664</v>
      </c>
      <c r="E1666">
        <v>94.130996999999994</v>
      </c>
      <c r="F1666">
        <v>1178.8100589999999</v>
      </c>
      <c r="H1666" s="50">
        <f t="shared" ref="H1666:H1729" si="217">(B1666-B1667)/B1667</f>
        <v>-8.5360856874306418E-2</v>
      </c>
      <c r="I1666" s="50">
        <f t="shared" ref="I1666:I1729" si="218">(C1666-C1667)/C1667</f>
        <v>-6.8105500742291448E-3</v>
      </c>
      <c r="J1666" s="50">
        <f t="shared" ref="J1666:J1729" si="219">(D1666-D1667)/D1667</f>
        <v>-1.681503393056237E-2</v>
      </c>
      <c r="K1666" s="50">
        <f t="shared" ref="K1666:K1729" si="220">(E1666-E1667)/E1667</f>
        <v>-2.0672880040409E-3</v>
      </c>
      <c r="L1666" s="50">
        <f t="shared" ref="L1666:L1729" si="221">(F1666-F1667)/F1667</f>
        <v>-2.1320169709339074E-2</v>
      </c>
      <c r="P1666" s="50">
        <f t="shared" si="216"/>
        <v>-2.1320169709339074E-2</v>
      </c>
      <c r="Q1666" s="51">
        <f t="shared" si="214"/>
        <v>98.635111861743511</v>
      </c>
      <c r="R1666" s="51">
        <f t="shared" si="215"/>
        <v>35.34805087719986</v>
      </c>
    </row>
    <row r="1667" spans="1:18" x14ac:dyDescent="0.15">
      <c r="A1667" s="59">
        <v>43326.75</v>
      </c>
      <c r="B1667">
        <v>25.179608999999999</v>
      </c>
      <c r="C1667">
        <v>203.02192700000001</v>
      </c>
      <c r="D1667">
        <v>71.818291000000002</v>
      </c>
      <c r="E1667">
        <v>94.325996000000004</v>
      </c>
      <c r="F1667">
        <v>1204.48999</v>
      </c>
      <c r="H1667" s="50">
        <f t="shared" si="217"/>
        <v>8.0737633199018614E-3</v>
      </c>
      <c r="I1667" s="50">
        <f t="shared" si="218"/>
        <v>-1.1033332926423133E-2</v>
      </c>
      <c r="J1667" s="50">
        <f t="shared" si="219"/>
        <v>-1.1681291365586547E-2</v>
      </c>
      <c r="K1667" s="50">
        <f t="shared" si="220"/>
        <v>2.2844938423776102E-3</v>
      </c>
      <c r="L1667" s="50">
        <f t="shared" si="221"/>
        <v>9.8343169637285788E-3</v>
      </c>
      <c r="P1667" s="50">
        <f t="shared" si="216"/>
        <v>9.8343169637285788E-3</v>
      </c>
      <c r="Q1667" s="51">
        <f t="shared" ref="Q1667:Q1730" si="222">Q1666*(1+P1667)</f>
        <v>99.605120815544709</v>
      </c>
      <c r="R1667" s="51">
        <f t="shared" ref="R1667:R1730" si="223">R1666*(1+H1667)</f>
        <v>35.633442673802222</v>
      </c>
    </row>
    <row r="1668" spans="1:18" x14ac:dyDescent="0.15">
      <c r="A1668" s="59">
        <v>43327.75</v>
      </c>
      <c r="B1668">
        <v>24.977943</v>
      </c>
      <c r="C1668">
        <v>205.28692599999999</v>
      </c>
      <c r="D1668">
        <v>72.667136999999997</v>
      </c>
      <c r="E1668">
        <v>94.111000000000004</v>
      </c>
      <c r="F1668">
        <v>1192.76001</v>
      </c>
      <c r="H1668" s="50">
        <f t="shared" si="217"/>
        <v>1.9270533126878042E-2</v>
      </c>
      <c r="I1668" s="50">
        <f t="shared" si="218"/>
        <v>-7.3452570413961825E-3</v>
      </c>
      <c r="J1668" s="50">
        <f t="shared" si="219"/>
        <v>-3.3603590995564306E-3</v>
      </c>
      <c r="K1668" s="50">
        <f t="shared" si="220"/>
        <v>2.9359569799503439E-3</v>
      </c>
      <c r="L1668" s="50">
        <f t="shared" si="221"/>
        <v>-9.4649003325484964E-4</v>
      </c>
      <c r="P1668" s="50">
        <f t="shared" si="216"/>
        <v>-9.4649003325484964E-4</v>
      </c>
      <c r="Q1668" s="51">
        <f t="shared" si="222"/>
        <v>99.510845561431651</v>
      </c>
      <c r="R1668" s="51">
        <f t="shared" si="223"/>
        <v>36.320118111272436</v>
      </c>
    </row>
    <row r="1669" spans="1:18" x14ac:dyDescent="0.15">
      <c r="A1669" s="59">
        <v>43328.75</v>
      </c>
      <c r="B1669">
        <v>24.505704999999999</v>
      </c>
      <c r="C1669">
        <v>206.805969</v>
      </c>
      <c r="D1669">
        <v>72.912148000000002</v>
      </c>
      <c r="E1669">
        <v>93.835503000000003</v>
      </c>
      <c r="F1669">
        <v>1193.8900149999999</v>
      </c>
      <c r="H1669" s="50">
        <f t="shared" si="217"/>
        <v>-8.3241862828618016E-4</v>
      </c>
      <c r="I1669" s="50">
        <f t="shared" si="218"/>
        <v>-5.2069945995025357E-3</v>
      </c>
      <c r="J1669" s="50">
        <f t="shared" si="219"/>
        <v>6.0057595622571352E-4</v>
      </c>
      <c r="K1669" s="50">
        <f t="shared" si="220"/>
        <v>-3.5626148933878194E-3</v>
      </c>
      <c r="L1669" s="50">
        <f t="shared" si="221"/>
        <v>4.6675132494452057E-2</v>
      </c>
      <c r="P1669" s="50">
        <f t="shared" si="216"/>
        <v>4.6675132494452057E-2</v>
      </c>
      <c r="Q1669" s="51">
        <f t="shared" si="222"/>
        <v>104.15552746264643</v>
      </c>
      <c r="R1669" s="51">
        <f t="shared" si="223"/>
        <v>36.289884568375058</v>
      </c>
    </row>
    <row r="1670" spans="1:18" x14ac:dyDescent="0.15">
      <c r="A1670" s="59">
        <v>43329.75</v>
      </c>
      <c r="B1670">
        <v>24.526121</v>
      </c>
      <c r="C1670">
        <v>207.888443</v>
      </c>
      <c r="D1670">
        <v>72.868385000000004</v>
      </c>
      <c r="E1670">
        <v>94.170997999999997</v>
      </c>
      <c r="F1670">
        <v>1140.650024</v>
      </c>
      <c r="H1670" s="50">
        <f t="shared" si="217"/>
        <v>4.2854103961412031E-3</v>
      </c>
      <c r="I1670" s="50">
        <f t="shared" si="218"/>
        <v>-2.923275884644254E-3</v>
      </c>
      <c r="J1670" s="50">
        <f t="shared" si="219"/>
        <v>-3.1068486280685401E-2</v>
      </c>
      <c r="K1670" s="50">
        <f t="shared" si="220"/>
        <v>-1.1276234617788816E-2</v>
      </c>
      <c r="L1670" s="50">
        <f t="shared" si="221"/>
        <v>1.523768351366425E-2</v>
      </c>
      <c r="P1670" s="50">
        <f t="shared" si="216"/>
        <v>1.523768351366425E-2</v>
      </c>
      <c r="Q1670" s="51">
        <f t="shared" si="222"/>
        <v>105.74261642632101</v>
      </c>
      <c r="R1670" s="51">
        <f t="shared" si="223"/>
        <v>36.445401616979133</v>
      </c>
    </row>
    <row r="1671" spans="1:18" x14ac:dyDescent="0.15">
      <c r="A1671" s="59">
        <v>43330.75</v>
      </c>
      <c r="B1671">
        <v>24.421465000000001</v>
      </c>
      <c r="C1671">
        <v>208.49794</v>
      </c>
      <c r="D1671">
        <v>75.204886999999999</v>
      </c>
      <c r="E1671">
        <v>95.245002999999997</v>
      </c>
      <c r="F1671">
        <v>1123.530029</v>
      </c>
      <c r="H1671" s="50">
        <f t="shared" si="217"/>
        <v>5.1481737014107236E-3</v>
      </c>
      <c r="I1671" s="50">
        <f t="shared" si="218"/>
        <v>-1.3067539269101625E-3</v>
      </c>
      <c r="J1671" s="50">
        <f t="shared" si="219"/>
        <v>-8.8801336870557301E-3</v>
      </c>
      <c r="K1671" s="50">
        <f t="shared" si="220"/>
        <v>1.051090474047662E-3</v>
      </c>
      <c r="L1671" s="50">
        <f t="shared" si="221"/>
        <v>-2.5797459907341729E-4</v>
      </c>
      <c r="P1671" s="50">
        <f t="shared" si="216"/>
        <v>-2.5797459907341729E-4</v>
      </c>
      <c r="Q1671" s="51">
        <f t="shared" si="222"/>
        <v>105.71533751724346</v>
      </c>
      <c r="R1671" s="51">
        <f t="shared" si="223"/>
        <v>36.63302887512102</v>
      </c>
    </row>
    <row r="1672" spans="1:18" x14ac:dyDescent="0.15">
      <c r="A1672" s="59">
        <v>43333.75</v>
      </c>
      <c r="B1672">
        <v>24.296382999999999</v>
      </c>
      <c r="C1672">
        <v>208.77075199999999</v>
      </c>
      <c r="D1672">
        <v>75.878699999999995</v>
      </c>
      <c r="E1672">
        <v>95.144997000000004</v>
      </c>
      <c r="F1672">
        <v>1123.8199460000001</v>
      </c>
      <c r="H1672" s="50">
        <f t="shared" si="217"/>
        <v>2.4224276682711684E-3</v>
      </c>
      <c r="I1672" s="50">
        <f t="shared" si="218"/>
        <v>-7.6531545562072969E-3</v>
      </c>
      <c r="J1672" s="50">
        <f t="shared" si="219"/>
        <v>-6.8720188962457475E-3</v>
      </c>
      <c r="K1672" s="50">
        <f t="shared" si="220"/>
        <v>-1.3068610488471196E-3</v>
      </c>
      <c r="L1672" s="50">
        <f t="shared" si="221"/>
        <v>-3.3148389723888033E-2</v>
      </c>
      <c r="P1672" s="50">
        <f t="shared" si="216"/>
        <v>-3.3148389723888033E-2</v>
      </c>
      <c r="Q1672" s="51">
        <f t="shared" si="222"/>
        <v>102.21104430942951</v>
      </c>
      <c r="R1672" s="51">
        <f t="shared" si="223"/>
        <v>36.721769737840688</v>
      </c>
    </row>
    <row r="1673" spans="1:18" x14ac:dyDescent="0.15">
      <c r="A1673" s="59">
        <v>43334.75</v>
      </c>
      <c r="B1673">
        <v>24.237669</v>
      </c>
      <c r="C1673">
        <v>210.38082900000001</v>
      </c>
      <c r="D1673">
        <v>76.403747999999993</v>
      </c>
      <c r="E1673">
        <v>95.269501000000005</v>
      </c>
      <c r="F1673">
        <v>1162.349976</v>
      </c>
      <c r="H1673" s="50">
        <f t="shared" si="217"/>
        <v>4.3366321478384021E-3</v>
      </c>
      <c r="I1673" s="50">
        <f t="shared" si="218"/>
        <v>5.4338231757223125E-3</v>
      </c>
      <c r="J1673" s="50">
        <f t="shared" si="219"/>
        <v>8.1986678891662872E-3</v>
      </c>
      <c r="K1673" s="50">
        <f t="shared" si="220"/>
        <v>-1.1563142900383599E-2</v>
      </c>
      <c r="L1673" s="50">
        <f t="shared" si="221"/>
        <v>-1.295006819871063E-2</v>
      </c>
      <c r="P1673" s="50">
        <f t="shared" si="216"/>
        <v>-1.295006819871063E-2</v>
      </c>
      <c r="Q1673" s="51">
        <f t="shared" si="222"/>
        <v>100.88740431496097</v>
      </c>
      <c r="R1673" s="51">
        <f t="shared" si="223"/>
        <v>36.881018545011329</v>
      </c>
    </row>
    <row r="1674" spans="1:18" x14ac:dyDescent="0.15">
      <c r="A1674" s="59">
        <v>43335.75</v>
      </c>
      <c r="B1674">
        <v>24.133012999999998</v>
      </c>
      <c r="C1674">
        <v>209.24383499999999</v>
      </c>
      <c r="D1674">
        <v>75.782432999999997</v>
      </c>
      <c r="E1674">
        <v>96.384003000000007</v>
      </c>
      <c r="F1674">
        <v>1177.599976</v>
      </c>
      <c r="H1674" s="50">
        <f t="shared" si="217"/>
        <v>-1.592590117272066E-2</v>
      </c>
      <c r="I1674" s="50">
        <f t="shared" si="218"/>
        <v>-9.9878238573902572E-4</v>
      </c>
      <c r="J1674" s="50">
        <f t="shared" si="219"/>
        <v>-1.1536055042182499E-3</v>
      </c>
      <c r="K1674" s="50">
        <f t="shared" si="220"/>
        <v>-2.6592854239843558E-3</v>
      </c>
      <c r="L1674" s="50">
        <f t="shared" si="221"/>
        <v>1.5811636360612551E-2</v>
      </c>
      <c r="P1674" s="50">
        <f t="shared" si="216"/>
        <v>1.5811636360612551E-2</v>
      </c>
      <c r="Q1674" s="51">
        <f t="shared" si="222"/>
        <v>102.48259926535522</v>
      </c>
      <c r="R1674" s="51">
        <f t="shared" si="223"/>
        <v>36.2936550885142</v>
      </c>
    </row>
    <row r="1675" spans="1:18" x14ac:dyDescent="0.15">
      <c r="A1675" s="59">
        <v>43336.75</v>
      </c>
      <c r="B1675">
        <v>24.523572999999999</v>
      </c>
      <c r="C1675">
        <v>209.453033</v>
      </c>
      <c r="D1675">
        <v>75.869956999999999</v>
      </c>
      <c r="E1675">
        <v>96.640998999999994</v>
      </c>
      <c r="F1675">
        <v>1159.2700199999999</v>
      </c>
      <c r="H1675" s="50">
        <f t="shared" si="217"/>
        <v>4.4961447017373563E-3</v>
      </c>
      <c r="I1675" s="50">
        <f t="shared" si="218"/>
        <v>3.0402211336665654E-4</v>
      </c>
      <c r="J1675" s="50">
        <f t="shared" si="219"/>
        <v>-1.0612481427293591E-2</v>
      </c>
      <c r="K1675" s="50">
        <f t="shared" si="220"/>
        <v>-3.2671037812632475E-2</v>
      </c>
      <c r="L1675" s="50">
        <f t="shared" si="221"/>
        <v>-1.4896353050712708E-2</v>
      </c>
      <c r="P1675" s="50">
        <f t="shared" si="216"/>
        <v>-1.4896353050712708E-2</v>
      </c>
      <c r="Q1675" s="51">
        <f t="shared" si="222"/>
        <v>100.95598228514378</v>
      </c>
      <c r="R1675" s="51">
        <f t="shared" si="223"/>
        <v>36.456836613547104</v>
      </c>
    </row>
    <row r="1676" spans="1:18" x14ac:dyDescent="0.15">
      <c r="A1676" s="59">
        <v>43337.75</v>
      </c>
      <c r="B1676">
        <v>24.413805</v>
      </c>
      <c r="C1676">
        <v>209.389374</v>
      </c>
      <c r="D1676">
        <v>76.683762000000002</v>
      </c>
      <c r="E1676">
        <v>99.904999000000004</v>
      </c>
      <c r="F1676">
        <v>1176.8000489999999</v>
      </c>
      <c r="H1676" s="50">
        <f t="shared" si="217"/>
        <v>-4.786714925697353E-3</v>
      </c>
      <c r="I1676" s="50">
        <f t="shared" si="218"/>
        <v>-5.242027704104227E-3</v>
      </c>
      <c r="J1676" s="50">
        <f t="shared" si="219"/>
        <v>3.6649249196519578E-3</v>
      </c>
      <c r="K1676" s="50">
        <f t="shared" si="220"/>
        <v>-2.1374963152599783E-3</v>
      </c>
      <c r="L1676" s="50">
        <f t="shared" si="221"/>
        <v>-2.7502238042194371E-2</v>
      </c>
      <c r="P1676" s="50">
        <f t="shared" si="216"/>
        <v>-2.7502238042194371E-2</v>
      </c>
      <c r="Q1676" s="51">
        <f t="shared" si="222"/>
        <v>98.179466828554197</v>
      </c>
      <c r="R1676" s="51">
        <f t="shared" si="223"/>
        <v>36.282328129585331</v>
      </c>
    </row>
    <row r="1677" spans="1:18" x14ac:dyDescent="0.15">
      <c r="A1677" s="59">
        <v>43340.75</v>
      </c>
      <c r="B1677">
        <v>24.531229</v>
      </c>
      <c r="C1677">
        <v>210.492783</v>
      </c>
      <c r="D1677">
        <v>76.403747999999993</v>
      </c>
      <c r="E1677">
        <v>100.11900300000001</v>
      </c>
      <c r="F1677">
        <v>1210.079956</v>
      </c>
      <c r="H1677" s="50">
        <f t="shared" si="217"/>
        <v>2.503804562663517E-3</v>
      </c>
      <c r="I1677" s="50">
        <f t="shared" si="218"/>
        <v>-9.8654881783576173E-3</v>
      </c>
      <c r="J1677" s="50">
        <f t="shared" si="219"/>
        <v>-2.1713332218973262E-3</v>
      </c>
      <c r="K1677" s="50">
        <f t="shared" si="220"/>
        <v>-5.1323341193183335E-3</v>
      </c>
      <c r="L1677" s="50">
        <f t="shared" si="221"/>
        <v>-2.3415294470967812E-3</v>
      </c>
      <c r="P1677" s="50">
        <f t="shared" si="216"/>
        <v>-2.3415294470967812E-3</v>
      </c>
      <c r="Q1677" s="51">
        <f t="shared" si="222"/>
        <v>97.949576715874883</v>
      </c>
      <c r="R1677" s="51">
        <f t="shared" si="223"/>
        <v>36.373171988300243</v>
      </c>
    </row>
    <row r="1678" spans="1:18" x14ac:dyDescent="0.15">
      <c r="A1678" s="59">
        <v>43341.75</v>
      </c>
      <c r="B1678">
        <v>24.469961000000001</v>
      </c>
      <c r="C1678">
        <v>212.59008800000001</v>
      </c>
      <c r="D1678">
        <v>76.570007000000004</v>
      </c>
      <c r="E1678">
        <v>100.635498</v>
      </c>
      <c r="F1678">
        <v>1212.920044</v>
      </c>
      <c r="H1678" s="50">
        <f t="shared" si="217"/>
        <v>5.2431297561437275E-3</v>
      </c>
      <c r="I1678" s="50">
        <f t="shared" si="218"/>
        <v>-6.60487626011632E-3</v>
      </c>
      <c r="J1678" s="50">
        <f t="shared" si="219"/>
        <v>-1.6301401523069026E-2</v>
      </c>
      <c r="K1678" s="50">
        <f t="shared" si="220"/>
        <v>-1.3140450144584799E-2</v>
      </c>
      <c r="L1678" s="50">
        <f t="shared" si="221"/>
        <v>-4.8978750556094982E-3</v>
      </c>
      <c r="P1678" s="50">
        <f t="shared" si="216"/>
        <v>-4.8978750556094982E-3</v>
      </c>
      <c r="Q1678" s="51">
        <f t="shared" si="222"/>
        <v>97.469831927370691</v>
      </c>
      <c r="R1678" s="51">
        <f t="shared" si="223"/>
        <v>36.563881248677433</v>
      </c>
    </row>
    <row r="1679" spans="1:18" x14ac:dyDescent="0.15">
      <c r="A1679" s="59">
        <v>43342.75</v>
      </c>
      <c r="B1679">
        <v>24.342331000000001</v>
      </c>
      <c r="C1679">
        <v>214.00355500000001</v>
      </c>
      <c r="D1679">
        <v>77.838890000000006</v>
      </c>
      <c r="E1679">
        <v>101.97550200000001</v>
      </c>
      <c r="F1679">
        <v>1218.8900149999999</v>
      </c>
      <c r="H1679" s="50">
        <f t="shared" si="217"/>
        <v>-1.3040724551731603E-2</v>
      </c>
      <c r="I1679" s="50">
        <f t="shared" si="218"/>
        <v>-3.9473701235736847E-3</v>
      </c>
      <c r="J1679" s="50">
        <f t="shared" si="219"/>
        <v>3.9503636972976607E-3</v>
      </c>
      <c r="K1679" s="50">
        <f t="shared" si="220"/>
        <v>2.2403074635398049E-2</v>
      </c>
      <c r="L1679" s="50">
        <f t="shared" si="221"/>
        <v>1.2014056949719767E-2</v>
      </c>
      <c r="P1679" s="50">
        <f t="shared" si="216"/>
        <v>1.2014056949719767E-2</v>
      </c>
      <c r="Q1679" s="51">
        <f t="shared" si="222"/>
        <v>98.640840039025747</v>
      </c>
      <c r="R1679" s="51">
        <f t="shared" si="223"/>
        <v>36.087061744771205</v>
      </c>
    </row>
    <row r="1680" spans="1:18" x14ac:dyDescent="0.15">
      <c r="A1680" s="59">
        <v>43343.75</v>
      </c>
      <c r="B1680">
        <v>24.663967</v>
      </c>
      <c r="C1680">
        <v>214.851654</v>
      </c>
      <c r="D1680">
        <v>77.532607999999996</v>
      </c>
      <c r="E1680">
        <v>99.740996999999993</v>
      </c>
      <c r="F1680">
        <v>1204.420044</v>
      </c>
      <c r="H1680" s="50">
        <f t="shared" si="217"/>
        <v>1.7624283754543006E-3</v>
      </c>
      <c r="I1680" s="50">
        <f t="shared" si="218"/>
        <v>-4.5207107141988214E-3</v>
      </c>
      <c r="J1680" s="50">
        <f t="shared" si="219"/>
        <v>-3.150135042706087E-3</v>
      </c>
      <c r="K1680" s="50">
        <f t="shared" si="220"/>
        <v>1.8643626963359958E-2</v>
      </c>
      <c r="L1680" s="50">
        <f t="shared" si="221"/>
        <v>2.5937693256380553E-2</v>
      </c>
      <c r="P1680" s="50">
        <f t="shared" si="216"/>
        <v>2.5937693256380553E-2</v>
      </c>
      <c r="Q1680" s="51">
        <f t="shared" si="222"/>
        <v>101.19935589050971</v>
      </c>
      <c r="R1680" s="51">
        <f t="shared" si="223"/>
        <v>36.150662606376962</v>
      </c>
    </row>
    <row r="1681" spans="1:18" x14ac:dyDescent="0.15">
      <c r="A1681" s="59">
        <v>43344.75</v>
      </c>
      <c r="B1681">
        <v>24.620574999999999</v>
      </c>
      <c r="C1681">
        <v>215.827347</v>
      </c>
      <c r="D1681">
        <v>77.777618000000004</v>
      </c>
      <c r="E1681">
        <v>97.915497000000002</v>
      </c>
      <c r="F1681">
        <v>1173.969971</v>
      </c>
      <c r="H1681" s="50">
        <f t="shared" si="217"/>
        <v>6.4699544871179605E-3</v>
      </c>
      <c r="I1681" s="50">
        <f t="shared" si="218"/>
        <v>-1.9796226741781831E-2</v>
      </c>
      <c r="J1681" s="50">
        <f t="shared" si="219"/>
        <v>1.5773588062336218E-3</v>
      </c>
      <c r="K1681" s="50">
        <f t="shared" si="220"/>
        <v>3.1965759424611331E-3</v>
      </c>
      <c r="L1681" s="50">
        <f t="shared" si="221"/>
        <v>7.4920025702172755E-3</v>
      </c>
      <c r="P1681" s="50">
        <f t="shared" si="216"/>
        <v>7.4920025702172755E-3</v>
      </c>
      <c r="Q1681" s="51">
        <f t="shared" si="222"/>
        <v>101.95754172494573</v>
      </c>
      <c r="R1681" s="51">
        <f t="shared" si="223"/>
        <v>36.384555748119382</v>
      </c>
    </row>
    <row r="1682" spans="1:18" x14ac:dyDescent="0.15">
      <c r="A1682" s="59">
        <v>43348.75</v>
      </c>
      <c r="B1682">
        <v>24.462305000000001</v>
      </c>
      <c r="C1682">
        <v>220.18620300000001</v>
      </c>
      <c r="D1682">
        <v>77.655128000000005</v>
      </c>
      <c r="E1682">
        <v>97.603499999999997</v>
      </c>
      <c r="F1682">
        <v>1165.23999</v>
      </c>
      <c r="H1682" s="50">
        <f t="shared" si="217"/>
        <v>-1.1042373488115795E-2</v>
      </c>
      <c r="I1682" s="50">
        <f t="shared" si="218"/>
        <v>-7.0729113085490503E-3</v>
      </c>
      <c r="J1682" s="50">
        <f t="shared" si="219"/>
        <v>-5.8257198140225777E-3</v>
      </c>
      <c r="K1682" s="50">
        <f t="shared" si="220"/>
        <v>6.7353958979065763E-3</v>
      </c>
      <c r="L1682" s="50">
        <f t="shared" si="221"/>
        <v>-2.7848696950863047E-2</v>
      </c>
      <c r="P1682" s="50">
        <f t="shared" si="216"/>
        <v>-2.7848696950863047E-2</v>
      </c>
      <c r="Q1682" s="51">
        <f t="shared" si="222"/>
        <v>99.118157043592745</v>
      </c>
      <c r="R1682" s="51">
        <f t="shared" si="223"/>
        <v>35.982783894349481</v>
      </c>
    </row>
    <row r="1683" spans="1:18" x14ac:dyDescent="0.15">
      <c r="A1683" s="59">
        <v>43349.75</v>
      </c>
      <c r="B1683">
        <v>24.735443</v>
      </c>
      <c r="C1683">
        <v>221.75465399999999</v>
      </c>
      <c r="D1683">
        <v>78.110175999999996</v>
      </c>
      <c r="E1683">
        <v>96.950500000000005</v>
      </c>
      <c r="F1683">
        <v>1198.619995</v>
      </c>
      <c r="H1683" s="50">
        <f t="shared" si="217"/>
        <v>2.6904132149594413E-3</v>
      </c>
      <c r="I1683" s="50">
        <f t="shared" si="218"/>
        <v>-4.217762133465401E-3</v>
      </c>
      <c r="J1683" s="50">
        <f t="shared" si="219"/>
        <v>5.1803152498828215E-3</v>
      </c>
      <c r="K1683" s="50">
        <f t="shared" si="220"/>
        <v>-2.4225630158279565E-2</v>
      </c>
      <c r="L1683" s="50">
        <f t="shared" si="221"/>
        <v>1.0726006191564077E-2</v>
      </c>
      <c r="P1683" s="50">
        <f t="shared" si="216"/>
        <v>1.0726006191564077E-2</v>
      </c>
      <c r="Q1683" s="51">
        <f t="shared" si="222"/>
        <v>100.18129900973875</v>
      </c>
      <c r="R1683" s="51">
        <f t="shared" si="223"/>
        <v>36.079592451649866</v>
      </c>
    </row>
    <row r="1684" spans="1:18" x14ac:dyDescent="0.15">
      <c r="A1684" s="59">
        <v>43350.75</v>
      </c>
      <c r="B1684">
        <v>24.669073000000001</v>
      </c>
      <c r="C1684">
        <v>222.69392400000001</v>
      </c>
      <c r="D1684">
        <v>77.707626000000005</v>
      </c>
      <c r="E1684">
        <v>99.357498000000007</v>
      </c>
      <c r="F1684">
        <v>1185.900024</v>
      </c>
      <c r="H1684" s="50">
        <f t="shared" si="217"/>
        <v>6.9812095633583048E-3</v>
      </c>
      <c r="I1684" s="50">
        <f t="shared" si="218"/>
        <v>7.3010785159782843E-3</v>
      </c>
      <c r="J1684" s="50">
        <f t="shared" si="219"/>
        <v>1.6919585177807056E-3</v>
      </c>
      <c r="K1684" s="50">
        <f t="shared" si="220"/>
        <v>-1.4321809045225451E-3</v>
      </c>
      <c r="L1684" s="50">
        <f t="shared" si="221"/>
        <v>2.7438244153041285E-2</v>
      </c>
      <c r="P1684" s="50">
        <f t="shared" si="216"/>
        <v>2.7438244153041285E-2</v>
      </c>
      <c r="Q1684" s="51">
        <f t="shared" si="222"/>
        <v>102.93009795153678</v>
      </c>
      <c r="R1684" s="51">
        <f t="shared" si="223"/>
        <v>36.331471647515393</v>
      </c>
    </row>
    <row r="1685" spans="1:18" x14ac:dyDescent="0.15">
      <c r="A1685" s="59">
        <v>43351.75</v>
      </c>
      <c r="B1685">
        <v>24.498047</v>
      </c>
      <c r="C1685">
        <v>221.079803</v>
      </c>
      <c r="D1685">
        <v>77.576369999999997</v>
      </c>
      <c r="E1685">
        <v>99.5</v>
      </c>
      <c r="F1685">
        <v>1154.2299800000001</v>
      </c>
      <c r="H1685" s="50">
        <f t="shared" si="217"/>
        <v>8.9360975004848849E-3</v>
      </c>
      <c r="I1685" s="50">
        <f t="shared" si="218"/>
        <v>4.8491651335900617E-3</v>
      </c>
      <c r="J1685" s="50">
        <f t="shared" si="219"/>
        <v>6.4712330172573386E-3</v>
      </c>
      <c r="K1685" s="50">
        <f t="shared" si="220"/>
        <v>6.5330901013660342E-5</v>
      </c>
      <c r="L1685" s="50">
        <f t="shared" si="221"/>
        <v>-6.9175319518263601E-3</v>
      </c>
      <c r="P1685" s="50">
        <f t="shared" si="216"/>
        <v>-6.9175319518263601E-3</v>
      </c>
      <c r="Q1685" s="51">
        <f t="shared" si="222"/>
        <v>102.21807571015241</v>
      </c>
      <c r="R1685" s="51">
        <f t="shared" si="223"/>
        <v>36.656133220493693</v>
      </c>
    </row>
    <row r="1686" spans="1:18" x14ac:dyDescent="0.15">
      <c r="A1686" s="59">
        <v>43354.75</v>
      </c>
      <c r="B1686">
        <v>24.281068999999999</v>
      </c>
      <c r="C1686">
        <v>220.012924</v>
      </c>
      <c r="D1686">
        <v>77.077583000000004</v>
      </c>
      <c r="E1686">
        <v>99.493499999999997</v>
      </c>
      <c r="F1686">
        <v>1162.2700199999999</v>
      </c>
      <c r="H1686" s="50">
        <f t="shared" si="217"/>
        <v>5.6032162976751938E-3</v>
      </c>
      <c r="I1686" s="50">
        <f t="shared" si="218"/>
        <v>2.5023299740447674E-2</v>
      </c>
      <c r="J1686" s="50">
        <f t="shared" si="219"/>
        <v>1.5920979754120742E-3</v>
      </c>
      <c r="K1686" s="50">
        <f t="shared" si="220"/>
        <v>9.9888945735069883E-3</v>
      </c>
      <c r="L1686" s="50">
        <f t="shared" si="221"/>
        <v>-9.0376384809810785E-3</v>
      </c>
      <c r="P1686" s="50">
        <f t="shared" si="216"/>
        <v>-9.0376384809810785E-3</v>
      </c>
      <c r="Q1686" s="51">
        <f t="shared" si="222"/>
        <v>101.2942656956625</v>
      </c>
      <c r="R1686" s="51">
        <f t="shared" si="223"/>
        <v>36.861525463564512</v>
      </c>
    </row>
    <row r="1687" spans="1:18" x14ac:dyDescent="0.15">
      <c r="A1687" s="59">
        <v>43355.75</v>
      </c>
      <c r="B1687">
        <v>24.145775</v>
      </c>
      <c r="C1687">
        <v>214.641876</v>
      </c>
      <c r="D1687">
        <v>76.955062999999996</v>
      </c>
      <c r="E1687">
        <v>98.509499000000005</v>
      </c>
      <c r="F1687">
        <v>1172.869995</v>
      </c>
      <c r="H1687" s="50">
        <f t="shared" si="217"/>
        <v>-2.425583523053592E-3</v>
      </c>
      <c r="I1687" s="50">
        <f t="shared" si="218"/>
        <v>1.4569006070731921E-2</v>
      </c>
      <c r="J1687" s="50">
        <f t="shared" si="219"/>
        <v>7.5620181049404602E-3</v>
      </c>
      <c r="K1687" s="50">
        <f t="shared" si="220"/>
        <v>3.2578126106344002E-2</v>
      </c>
      <c r="L1687" s="50">
        <f t="shared" si="221"/>
        <v>-1.3300516776400718E-2</v>
      </c>
      <c r="P1687" s="50">
        <f t="shared" si="216"/>
        <v>-1.3300516776400718E-2</v>
      </c>
      <c r="Q1687" s="51">
        <f t="shared" si="222"/>
        <v>99.946999615424147</v>
      </c>
      <c r="R1687" s="51">
        <f t="shared" si="223"/>
        <v>36.772114754765468</v>
      </c>
    </row>
    <row r="1688" spans="1:18" x14ac:dyDescent="0.15">
      <c r="A1688" s="59">
        <v>43356.75</v>
      </c>
      <c r="B1688">
        <v>24.204484999999998</v>
      </c>
      <c r="C1688">
        <v>211.559662</v>
      </c>
      <c r="D1688">
        <v>76.377494999999996</v>
      </c>
      <c r="E1688">
        <v>95.401497000000006</v>
      </c>
      <c r="F1688">
        <v>1188.6800539999999</v>
      </c>
      <c r="H1688" s="50">
        <f t="shared" si="217"/>
        <v>-6.3922296864464189E-3</v>
      </c>
      <c r="I1688" s="50">
        <f t="shared" si="218"/>
        <v>-1.0027761896284794E-2</v>
      </c>
      <c r="J1688" s="50">
        <f t="shared" si="219"/>
        <v>-4.5620652122900047E-3</v>
      </c>
      <c r="K1688" s="50">
        <f t="shared" si="220"/>
        <v>-1.7011422003790092E-2</v>
      </c>
      <c r="L1688" s="50">
        <f t="shared" si="221"/>
        <v>-1.6896668833646364E-2</v>
      </c>
      <c r="P1688" s="50">
        <f t="shared" si="216"/>
        <v>-1.6896668833646364E-2</v>
      </c>
      <c r="Q1688" s="51">
        <f t="shared" si="222"/>
        <v>98.258228262005744</v>
      </c>
      <c r="R1688" s="51">
        <f t="shared" si="223"/>
        <v>36.537058951196641</v>
      </c>
    </row>
    <row r="1689" spans="1:18" x14ac:dyDescent="0.15">
      <c r="A1689" s="59">
        <v>43357.75</v>
      </c>
      <c r="B1689">
        <v>24.360201</v>
      </c>
      <c r="C1689">
        <v>213.70262099999999</v>
      </c>
      <c r="D1689">
        <v>76.727530999999999</v>
      </c>
      <c r="E1689">
        <v>97.052498</v>
      </c>
      <c r="F1689">
        <v>1209.1099850000001</v>
      </c>
      <c r="H1689" s="50">
        <f t="shared" si="217"/>
        <v>1.9951714596616859E-3</v>
      </c>
      <c r="I1689" s="50">
        <f t="shared" si="218"/>
        <v>2.1380496088264705E-3</v>
      </c>
      <c r="J1689" s="50">
        <f t="shared" si="219"/>
        <v>5.9658724437493885E-3</v>
      </c>
      <c r="K1689" s="50">
        <f t="shared" si="220"/>
        <v>7.5943875955854596E-3</v>
      </c>
      <c r="L1689" s="50">
        <f t="shared" si="221"/>
        <v>-5.6743159540273147E-3</v>
      </c>
      <c r="P1689" s="50">
        <f t="shared" si="216"/>
        <v>-5.6743159540273147E-3</v>
      </c>
      <c r="Q1689" s="51">
        <f t="shared" si="222"/>
        <v>97.700680029764186</v>
      </c>
      <c r="R1689" s="51">
        <f t="shared" si="223"/>
        <v>36.609956648436047</v>
      </c>
    </row>
    <row r="1690" spans="1:18" x14ac:dyDescent="0.15">
      <c r="A1690" s="59">
        <v>43358.75</v>
      </c>
      <c r="B1690">
        <v>24.311695</v>
      </c>
      <c r="C1690">
        <v>213.246689</v>
      </c>
      <c r="D1690">
        <v>76.272498999999996</v>
      </c>
      <c r="E1690">
        <v>96.320999</v>
      </c>
      <c r="F1690">
        <v>1216.01001</v>
      </c>
      <c r="H1690" s="50">
        <f t="shared" si="217"/>
        <v>-5.3265122554990718E-3</v>
      </c>
      <c r="I1690" s="50">
        <f t="shared" si="218"/>
        <v>-2.9929605163607877E-4</v>
      </c>
      <c r="J1690" s="50">
        <f t="shared" si="219"/>
        <v>-2.5174525609077784E-3</v>
      </c>
      <c r="K1690" s="50">
        <f t="shared" si="220"/>
        <v>-9.1960812301015663E-3</v>
      </c>
      <c r="L1690" s="50">
        <f t="shared" si="221"/>
        <v>9.8996290448283338E-3</v>
      </c>
      <c r="P1690" s="50">
        <f t="shared" si="216"/>
        <v>9.8996290448283338E-3</v>
      </c>
      <c r="Q1690" s="51">
        <f t="shared" si="222"/>
        <v>98.667880519486317</v>
      </c>
      <c r="R1690" s="51">
        <f t="shared" si="223"/>
        <v>36.41495326567486</v>
      </c>
    </row>
    <row r="1691" spans="1:18" x14ac:dyDescent="0.15">
      <c r="A1691" s="59">
        <v>43361.75</v>
      </c>
      <c r="B1691">
        <v>24.441884999999999</v>
      </c>
      <c r="C1691">
        <v>213.31053199999999</v>
      </c>
      <c r="D1691">
        <v>76.464995999999999</v>
      </c>
      <c r="E1691">
        <v>97.214995999999999</v>
      </c>
      <c r="F1691">
        <v>1204.089966</v>
      </c>
      <c r="H1691" s="50">
        <f t="shared" si="217"/>
        <v>-1.563959663517031E-3</v>
      </c>
      <c r="I1691" s="50">
        <f t="shared" si="218"/>
        <v>-3.5781875358989802E-3</v>
      </c>
      <c r="J1691" s="50">
        <f t="shared" si="219"/>
        <v>8.0163606633546554E-4</v>
      </c>
      <c r="K1691" s="50">
        <f t="shared" si="220"/>
        <v>1.5294875105827043E-2</v>
      </c>
      <c r="L1691" s="50">
        <f t="shared" si="221"/>
        <v>1.6637689828283618E-3</v>
      </c>
      <c r="P1691" s="50">
        <f t="shared" si="216"/>
        <v>1.6637689828283618E-3</v>
      </c>
      <c r="Q1691" s="51">
        <f t="shared" si="222"/>
        <v>98.832041078696051</v>
      </c>
      <c r="R1691" s="51">
        <f t="shared" si="223"/>
        <v>36.358001747618488</v>
      </c>
    </row>
    <row r="1692" spans="1:18" x14ac:dyDescent="0.15">
      <c r="A1692" s="59">
        <v>43362.75</v>
      </c>
      <c r="B1692">
        <v>24.480170999999999</v>
      </c>
      <c r="C1692">
        <v>214.076538</v>
      </c>
      <c r="D1692">
        <v>76.403747999999993</v>
      </c>
      <c r="E1692">
        <v>95.750504000000006</v>
      </c>
      <c r="F1692">
        <v>1202.089966</v>
      </c>
      <c r="H1692" s="50">
        <f t="shared" si="217"/>
        <v>1.0324386563423247E-2</v>
      </c>
      <c r="I1692" s="50">
        <f t="shared" si="218"/>
        <v>6.0856855227567471E-3</v>
      </c>
      <c r="J1692" s="50">
        <f t="shared" si="219"/>
        <v>8.0220054604957446E-4</v>
      </c>
      <c r="K1692" s="50">
        <f t="shared" si="220"/>
        <v>-1.0003287702324455E-2</v>
      </c>
      <c r="L1692" s="50">
        <f t="shared" si="221"/>
        <v>3.0280396737286223E-2</v>
      </c>
      <c r="P1692" s="50">
        <f t="shared" si="216"/>
        <v>3.0280396737286223E-2</v>
      </c>
      <c r="Q1692" s="51">
        <f t="shared" si="222"/>
        <v>101.82471449291474</v>
      </c>
      <c r="R1692" s="51">
        <f t="shared" si="223"/>
        <v>36.733375812334522</v>
      </c>
    </row>
    <row r="1693" spans="1:18" x14ac:dyDescent="0.15">
      <c r="A1693" s="59">
        <v>43363.75</v>
      </c>
      <c r="B1693">
        <v>24.230011000000001</v>
      </c>
      <c r="C1693">
        <v>212.78161600000001</v>
      </c>
      <c r="D1693">
        <v>76.342506</v>
      </c>
      <c r="E1693">
        <v>96.718001999999998</v>
      </c>
      <c r="F1693">
        <v>1166.76001</v>
      </c>
      <c r="H1693" s="50">
        <f t="shared" si="217"/>
        <v>-1.8928189907702405E-3</v>
      </c>
      <c r="I1693" s="50">
        <f t="shared" si="218"/>
        <v>1.7601570978497431E-3</v>
      </c>
      <c r="J1693" s="50">
        <f t="shared" si="219"/>
        <v>-8.0155753615637965E-4</v>
      </c>
      <c r="K1693" s="50">
        <f t="shared" si="220"/>
        <v>-2.035399437488046E-2</v>
      </c>
      <c r="L1693" s="50">
        <f t="shared" si="221"/>
        <v>3.2933132420540072E-2</v>
      </c>
      <c r="P1693" s="50">
        <f t="shared" si="216"/>
        <v>3.2933132420540072E-2</v>
      </c>
      <c r="Q1693" s="51">
        <f t="shared" si="222"/>
        <v>105.17812129899357</v>
      </c>
      <c r="R1693" s="51">
        <f t="shared" si="223"/>
        <v>36.663846181001837</v>
      </c>
    </row>
    <row r="1694" spans="1:18" x14ac:dyDescent="0.15">
      <c r="A1694" s="59">
        <v>43364.75</v>
      </c>
      <c r="B1694">
        <v>24.275960999999999</v>
      </c>
      <c r="C1694">
        <v>212.40774500000001</v>
      </c>
      <c r="D1694">
        <v>76.403747999999993</v>
      </c>
      <c r="E1694">
        <v>98.727501000000004</v>
      </c>
      <c r="F1694">
        <v>1129.5600589999999</v>
      </c>
      <c r="H1694" s="50">
        <f t="shared" si="217"/>
        <v>5.3916679004918401E-3</v>
      </c>
      <c r="I1694" s="50">
        <f t="shared" si="218"/>
        <v>-3.7637035244161808E-3</v>
      </c>
      <c r="J1694" s="50">
        <f t="shared" si="219"/>
        <v>-6.5991992516158515E-3</v>
      </c>
      <c r="K1694" s="50">
        <f t="shared" si="220"/>
        <v>-1.519001443147894E-4</v>
      </c>
      <c r="L1694" s="50">
        <f t="shared" si="221"/>
        <v>-6.0452422705815009E-3</v>
      </c>
      <c r="P1694" s="50">
        <f t="shared" si="216"/>
        <v>-6.0452422705815009E-3</v>
      </c>
      <c r="Q1694" s="51">
        <f t="shared" si="222"/>
        <v>104.54229407417655</v>
      </c>
      <c r="R1694" s="51">
        <f t="shared" si="223"/>
        <v>36.861525463564519</v>
      </c>
    </row>
    <row r="1695" spans="1:18" x14ac:dyDescent="0.15">
      <c r="A1695" s="59">
        <v>43365.75</v>
      </c>
      <c r="B1695">
        <v>24.145775</v>
      </c>
      <c r="C1695">
        <v>213.210205</v>
      </c>
      <c r="D1695">
        <v>76.911300999999995</v>
      </c>
      <c r="E1695">
        <v>98.742500000000007</v>
      </c>
      <c r="F1695">
        <v>1136.4300539999999</v>
      </c>
      <c r="H1695" s="50">
        <f t="shared" si="217"/>
        <v>4.8870611032877254E-3</v>
      </c>
      <c r="I1695" s="50">
        <f t="shared" si="218"/>
        <v>-8.1183901442252705E-4</v>
      </c>
      <c r="J1695" s="50">
        <f t="shared" si="219"/>
        <v>4.342299921676682E-3</v>
      </c>
      <c r="K1695" s="50">
        <f t="shared" si="220"/>
        <v>-1.8942085486351758E-2</v>
      </c>
      <c r="L1695" s="50">
        <f t="shared" si="221"/>
        <v>-2.2803988234572036E-2</v>
      </c>
      <c r="P1695" s="50">
        <f t="shared" si="216"/>
        <v>-2.2803988234572036E-2</v>
      </c>
      <c r="Q1695" s="51">
        <f t="shared" si="222"/>
        <v>102.15831283009386</v>
      </c>
      <c r="R1695" s="51">
        <f t="shared" si="223"/>
        <v>37.041669990865351</v>
      </c>
    </row>
    <row r="1696" spans="1:18" x14ac:dyDescent="0.15">
      <c r="A1696" s="59">
        <v>43368.75</v>
      </c>
      <c r="B1696">
        <v>24.028347</v>
      </c>
      <c r="C1696">
        <v>213.38343800000001</v>
      </c>
      <c r="D1696">
        <v>76.578772999999998</v>
      </c>
      <c r="E1696">
        <v>100.649002</v>
      </c>
      <c r="F1696">
        <v>1162.9499510000001</v>
      </c>
      <c r="H1696" s="50">
        <f t="shared" si="217"/>
        <v>2.3425476628315465E-3</v>
      </c>
      <c r="I1696" s="50">
        <f t="shared" si="218"/>
        <v>-3.7467724772826077E-3</v>
      </c>
      <c r="J1696" s="50">
        <f t="shared" si="219"/>
        <v>-7.9354645590860758E-3</v>
      </c>
      <c r="K1696" s="50">
        <f t="shared" si="220"/>
        <v>4.9825261111826561E-3</v>
      </c>
      <c r="L1696" s="50">
        <f t="shared" si="221"/>
        <v>-1.0575349203766595E-2</v>
      </c>
      <c r="P1696" s="50">
        <f t="shared" si="216"/>
        <v>-1.0575349203766595E-2</v>
      </c>
      <c r="Q1696" s="51">
        <f t="shared" si="222"/>
        <v>101.07795299784799</v>
      </c>
      <c r="R1696" s="51">
        <f t="shared" si="223"/>
        <v>37.12844186832983</v>
      </c>
    </row>
    <row r="1697" spans="1:18" x14ac:dyDescent="0.15">
      <c r="A1697" s="59">
        <v>43369.75</v>
      </c>
      <c r="B1697">
        <v>23.972190999999999</v>
      </c>
      <c r="C1697">
        <v>214.18594400000001</v>
      </c>
      <c r="D1697">
        <v>77.191322</v>
      </c>
      <c r="E1697">
        <v>100.150002</v>
      </c>
      <c r="F1697">
        <v>1175.380005</v>
      </c>
      <c r="H1697" s="50">
        <f t="shared" si="217"/>
        <v>-5.1907943948019467E-3</v>
      </c>
      <c r="I1697" s="50">
        <f t="shared" si="218"/>
        <v>9.8031004675239761E-4</v>
      </c>
      <c r="J1697" s="50">
        <f t="shared" si="219"/>
        <v>-2.9389740127126725E-3</v>
      </c>
      <c r="K1697" s="50">
        <f t="shared" si="220"/>
        <v>-6.785208110614482E-4</v>
      </c>
      <c r="L1697" s="50">
        <f t="shared" si="221"/>
        <v>2.1128303262584212E-2</v>
      </c>
      <c r="P1697" s="50">
        <f t="shared" si="216"/>
        <v>2.1128303262584212E-2</v>
      </c>
      <c r="Q1697" s="51">
        <f t="shared" si="222"/>
        <v>103.21355864194776</v>
      </c>
      <c r="R1697" s="51">
        <f t="shared" si="223"/>
        <v>36.935715760391972</v>
      </c>
    </row>
    <row r="1698" spans="1:18" x14ac:dyDescent="0.15">
      <c r="A1698" s="59">
        <v>43370.75</v>
      </c>
      <c r="B1698">
        <v>24.097275</v>
      </c>
      <c r="C1698">
        <v>213.976181</v>
      </c>
      <c r="D1698">
        <v>77.418853999999996</v>
      </c>
      <c r="E1698">
        <v>100.218002</v>
      </c>
      <c r="F1698">
        <v>1151.0600589999999</v>
      </c>
      <c r="H1698" s="50">
        <f t="shared" si="217"/>
        <v>-7.882176432248051E-3</v>
      </c>
      <c r="I1698" s="50">
        <f t="shared" si="218"/>
        <v>-7.1929822778742528E-3</v>
      </c>
      <c r="J1698" s="50">
        <f t="shared" si="219"/>
        <v>2.1357802237664255E-2</v>
      </c>
      <c r="K1698" s="50">
        <f t="shared" si="220"/>
        <v>1.6765542035814533E-2</v>
      </c>
      <c r="L1698" s="50">
        <f t="shared" si="221"/>
        <v>-8.0489183099156161E-3</v>
      </c>
      <c r="P1698" s="50">
        <f t="shared" si="216"/>
        <v>-8.0489183099156161E-3</v>
      </c>
      <c r="Q1698" s="51">
        <f t="shared" si="222"/>
        <v>102.38280113996304</v>
      </c>
      <c r="R1698" s="51">
        <f t="shared" si="223"/>
        <v>36.644581932117198</v>
      </c>
    </row>
    <row r="1699" spans="1:18" x14ac:dyDescent="0.15">
      <c r="A1699" s="59">
        <v>43371.75</v>
      </c>
      <c r="B1699">
        <v>24.288723000000001</v>
      </c>
      <c r="C1699">
        <v>215.52645899999999</v>
      </c>
      <c r="D1699">
        <v>75.799933999999993</v>
      </c>
      <c r="E1699">
        <v>98.565498000000005</v>
      </c>
      <c r="F1699">
        <v>1160.400024</v>
      </c>
      <c r="H1699" s="50">
        <f t="shared" si="217"/>
        <v>1.1480764509775728E-2</v>
      </c>
      <c r="I1699" s="50">
        <f t="shared" si="218"/>
        <v>1.3507779417206798E-2</v>
      </c>
      <c r="J1699" s="50">
        <f t="shared" si="219"/>
        <v>7.5606191797704643E-3</v>
      </c>
      <c r="K1699" s="50">
        <f t="shared" si="220"/>
        <v>9.4993547594174384E-3</v>
      </c>
      <c r="L1699" s="50">
        <f t="shared" si="221"/>
        <v>2.5613811734804363E-2</v>
      </c>
      <c r="P1699" s="50">
        <f t="shared" si="216"/>
        <v>2.5613811734804363E-2</v>
      </c>
      <c r="Q1699" s="51">
        <f t="shared" si="222"/>
        <v>105.00521493324396</v>
      </c>
      <c r="R1699" s="51">
        <f t="shared" si="223"/>
        <v>37.065289747839017</v>
      </c>
    </row>
    <row r="1700" spans="1:18" x14ac:dyDescent="0.15">
      <c r="A1700" s="59">
        <v>43372.75</v>
      </c>
      <c r="B1700">
        <v>24.013034999999999</v>
      </c>
      <c r="C1700">
        <v>212.653976</v>
      </c>
      <c r="D1700">
        <v>75.231139999999996</v>
      </c>
      <c r="E1700">
        <v>97.638000000000005</v>
      </c>
      <c r="F1700">
        <v>1131.420044</v>
      </c>
      <c r="H1700" s="50">
        <f t="shared" si="217"/>
        <v>-1.4858972615189362E-3</v>
      </c>
      <c r="I1700" s="50">
        <f t="shared" si="218"/>
        <v>6.5608315865028485E-3</v>
      </c>
      <c r="J1700" s="50">
        <f t="shared" si="219"/>
        <v>1.3319173569717487E-2</v>
      </c>
      <c r="K1700" s="50">
        <f t="shared" si="220"/>
        <v>2.2697981348284012E-2</v>
      </c>
      <c r="L1700" s="50">
        <f t="shared" si="221"/>
        <v>2.928419401370393E-2</v>
      </c>
      <c r="P1700" s="50">
        <f t="shared" si="216"/>
        <v>2.928419401370393E-2</v>
      </c>
      <c r="Q1700" s="51">
        <f t="shared" si="222"/>
        <v>108.08020801979976</v>
      </c>
      <c r="R1700" s="51">
        <f t="shared" si="223"/>
        <v>37.010214535305295</v>
      </c>
    </row>
    <row r="1701" spans="1:18" x14ac:dyDescent="0.15">
      <c r="A1701" s="59">
        <v>43375.75</v>
      </c>
      <c r="B1701">
        <v>24.048769</v>
      </c>
      <c r="C1701">
        <v>211.26788300000001</v>
      </c>
      <c r="D1701">
        <v>74.242294000000001</v>
      </c>
      <c r="E1701">
        <v>95.471001000000001</v>
      </c>
      <c r="F1701">
        <v>1099.2299800000001</v>
      </c>
      <c r="H1701" s="50">
        <f t="shared" si="217"/>
        <v>9.6450598981074939E-3</v>
      </c>
      <c r="I1701" s="50">
        <f t="shared" si="218"/>
        <v>5.8769693779708178E-2</v>
      </c>
      <c r="J1701" s="50">
        <f t="shared" si="219"/>
        <v>3.7863099080950586E-3</v>
      </c>
      <c r="K1701" s="50">
        <f t="shared" si="220"/>
        <v>1.0462286888308079E-2</v>
      </c>
      <c r="L1701" s="50">
        <f t="shared" si="221"/>
        <v>-2.1993836093863565E-2</v>
      </c>
      <c r="P1701" s="50">
        <f t="shared" si="216"/>
        <v>-2.1993836093863565E-2</v>
      </c>
      <c r="Q1701" s="51">
        <f t="shared" si="222"/>
        <v>105.7031096396216</v>
      </c>
      <c r="R1701" s="51">
        <f t="shared" si="223"/>
        <v>37.367180271340125</v>
      </c>
    </row>
    <row r="1702" spans="1:18" x14ac:dyDescent="0.15">
      <c r="A1702" s="59">
        <v>43376.75</v>
      </c>
      <c r="B1702">
        <v>23.819033000000001</v>
      </c>
      <c r="C1702">
        <v>199.54092399999999</v>
      </c>
      <c r="D1702">
        <v>73.962249999999997</v>
      </c>
      <c r="E1702">
        <v>94.482498000000007</v>
      </c>
      <c r="F1702">
        <v>1123.9499510000001</v>
      </c>
      <c r="H1702" s="50">
        <f t="shared" si="217"/>
        <v>-1.4574138289324745E-2</v>
      </c>
      <c r="I1702" s="50">
        <f t="shared" si="218"/>
        <v>-2.2819655762809993E-2</v>
      </c>
      <c r="J1702" s="50">
        <f t="shared" si="219"/>
        <v>-1.0304814034157414E-2</v>
      </c>
      <c r="K1702" s="50">
        <f t="shared" si="220"/>
        <v>1.3532326261976157E-2</v>
      </c>
      <c r="L1702" s="50">
        <f t="shared" si="221"/>
        <v>-1.7552055008164438E-2</v>
      </c>
      <c r="P1702" s="50">
        <f t="shared" si="216"/>
        <v>-1.7552055008164438E-2</v>
      </c>
      <c r="Q1702" s="51">
        <f t="shared" si="222"/>
        <v>103.84780284469292</v>
      </c>
      <c r="R1702" s="51">
        <f t="shared" si="223"/>
        <v>36.822585818583484</v>
      </c>
    </row>
    <row r="1703" spans="1:18" x14ac:dyDescent="0.15">
      <c r="A1703" s="59">
        <v>43377.75</v>
      </c>
      <c r="B1703">
        <v>24.171309000000001</v>
      </c>
      <c r="C1703">
        <v>204.200714</v>
      </c>
      <c r="D1703">
        <v>74.732353000000003</v>
      </c>
      <c r="E1703">
        <v>93.221001000000001</v>
      </c>
      <c r="F1703">
        <v>1144.030029</v>
      </c>
      <c r="H1703" s="50">
        <f t="shared" si="217"/>
        <v>-2.4618396056685525E-2</v>
      </c>
      <c r="I1703" s="50">
        <f t="shared" si="218"/>
        <v>-1.0704749653580429E-3</v>
      </c>
      <c r="J1703" s="50">
        <f t="shared" si="219"/>
        <v>-3.0352771256548683E-3</v>
      </c>
      <c r="K1703" s="50">
        <f t="shared" si="220"/>
        <v>-3.1545190465215749E-3</v>
      </c>
      <c r="L1703" s="50">
        <f t="shared" si="221"/>
        <v>-1.7974662455913188E-2</v>
      </c>
      <c r="P1703" s="50">
        <f t="shared" si="216"/>
        <v>-1.7974662455913188E-2</v>
      </c>
      <c r="Q1703" s="51">
        <f t="shared" si="222"/>
        <v>101.98117364177135</v>
      </c>
      <c r="R1703" s="51">
        <f t="shared" si="223"/>
        <v>35.916072817070308</v>
      </c>
    </row>
    <row r="1704" spans="1:18" x14ac:dyDescent="0.15">
      <c r="A1704" s="59">
        <v>43378.75</v>
      </c>
      <c r="B1704">
        <v>24.781386999999999</v>
      </c>
      <c r="C1704">
        <v>204.41954000000001</v>
      </c>
      <c r="D1704">
        <v>74.959877000000006</v>
      </c>
      <c r="E1704">
        <v>93.515998999999994</v>
      </c>
      <c r="F1704">
        <v>1164.969971</v>
      </c>
      <c r="H1704" s="50">
        <f t="shared" si="217"/>
        <v>1.3784239433762403E-2</v>
      </c>
      <c r="I1704" s="50">
        <f t="shared" si="218"/>
        <v>1.4114504421461385E-2</v>
      </c>
      <c r="J1704" s="50">
        <f t="shared" si="219"/>
        <v>5.3990931945195079E-3</v>
      </c>
      <c r="K1704" s="50">
        <f t="shared" si="220"/>
        <v>6.5557637905402782E-2</v>
      </c>
      <c r="L1704" s="50">
        <f t="shared" si="221"/>
        <v>8.2304972227419011E-3</v>
      </c>
      <c r="P1704" s="50">
        <f t="shared" si="216"/>
        <v>8.2304972227419011E-3</v>
      </c>
      <c r="Q1704" s="51">
        <f t="shared" si="222"/>
        <v>102.82052940820191</v>
      </c>
      <c r="R1704" s="51">
        <f t="shared" si="223"/>
        <v>36.41114856430125</v>
      </c>
    </row>
    <row r="1705" spans="1:18" x14ac:dyDescent="0.15">
      <c r="A1705" s="59">
        <v>43379.75</v>
      </c>
      <c r="B1705">
        <v>24.444438999999999</v>
      </c>
      <c r="C1705">
        <v>201.57441700000001</v>
      </c>
      <c r="D1705">
        <v>74.557334999999995</v>
      </c>
      <c r="E1705">
        <v>87.762496999999996</v>
      </c>
      <c r="F1705">
        <v>1155.459961</v>
      </c>
      <c r="H1705" s="50">
        <f t="shared" si="217"/>
        <v>1.9591113933339878E-2</v>
      </c>
      <c r="I1705" s="50">
        <f t="shared" si="218"/>
        <v>-3.4713803469384116E-3</v>
      </c>
      <c r="J1705" s="50">
        <f t="shared" si="219"/>
        <v>2.8985697263822788E-2</v>
      </c>
      <c r="K1705" s="50">
        <f t="shared" si="220"/>
        <v>2.087398750991093E-2</v>
      </c>
      <c r="L1705" s="50">
        <f t="shared" si="221"/>
        <v>-3.2998898229139463E-2</v>
      </c>
      <c r="P1705" s="50">
        <f t="shared" si="216"/>
        <v>-3.2998898229139463E-2</v>
      </c>
      <c r="Q1705" s="51">
        <f t="shared" si="222"/>
        <v>99.427565222394406</v>
      </c>
      <c r="R1705" s="51">
        <f t="shared" si="223"/>
        <v>37.124483524268236</v>
      </c>
    </row>
    <row r="1706" spans="1:18" x14ac:dyDescent="0.15">
      <c r="A1706" s="59">
        <v>43382.75</v>
      </c>
      <c r="B1706">
        <v>23.974747000000001</v>
      </c>
      <c r="C1706">
        <v>202.27659600000001</v>
      </c>
      <c r="D1706">
        <v>72.457115000000002</v>
      </c>
      <c r="E1706">
        <v>85.968001999999998</v>
      </c>
      <c r="F1706">
        <v>1194.8900149999999</v>
      </c>
      <c r="H1706" s="50">
        <f t="shared" si="217"/>
        <v>-9.387101435244849E-3</v>
      </c>
      <c r="I1706" s="50">
        <f t="shared" si="218"/>
        <v>-2.26039635071635E-2</v>
      </c>
      <c r="J1706" s="50">
        <f t="shared" si="219"/>
        <v>-2.1392210501271314E-2</v>
      </c>
      <c r="K1706" s="50">
        <f t="shared" si="220"/>
        <v>-3.8717150802786628E-2</v>
      </c>
      <c r="L1706" s="50">
        <f t="shared" si="221"/>
        <v>-5.4370742827127548E-4</v>
      </c>
      <c r="P1706" s="50">
        <f t="shared" si="216"/>
        <v>-5.4370742827127548E-4</v>
      </c>
      <c r="Q1706" s="51">
        <f t="shared" si="222"/>
        <v>99.373505716608065</v>
      </c>
      <c r="R1706" s="51">
        <f t="shared" si="223"/>
        <v>36.77599223169485</v>
      </c>
    </row>
    <row r="1707" spans="1:18" x14ac:dyDescent="0.15">
      <c r="A1707" s="59">
        <v>43383.75</v>
      </c>
      <c r="B1707">
        <v>24.201933</v>
      </c>
      <c r="C1707">
        <v>206.95459</v>
      </c>
      <c r="D1707">
        <v>74.041015999999999</v>
      </c>
      <c r="E1707">
        <v>89.430496000000005</v>
      </c>
      <c r="F1707">
        <v>1195.540039</v>
      </c>
      <c r="H1707" s="50">
        <f t="shared" si="217"/>
        <v>1.0552330049425844E-2</v>
      </c>
      <c r="I1707" s="50">
        <f t="shared" si="218"/>
        <v>1.0867949777989789E-2</v>
      </c>
      <c r="J1707" s="50">
        <f t="shared" si="219"/>
        <v>1.1820521768452889E-4</v>
      </c>
      <c r="K1707" s="50">
        <f t="shared" si="220"/>
        <v>1.5707373682303696E-2</v>
      </c>
      <c r="L1707" s="50">
        <f t="shared" si="221"/>
        <v>-9.6996984882998724E-3</v>
      </c>
      <c r="P1707" s="50">
        <f t="shared" si="216"/>
        <v>-9.6996984882998724E-3</v>
      </c>
      <c r="Q1707" s="51">
        <f t="shared" si="222"/>
        <v>98.409612673431624</v>
      </c>
      <c r="R1707" s="51">
        <f t="shared" si="223"/>
        <v>37.164064639618815</v>
      </c>
    </row>
    <row r="1708" spans="1:18" x14ac:dyDescent="0.15">
      <c r="A1708" s="59">
        <v>43384.75</v>
      </c>
      <c r="B1708">
        <v>23.949213</v>
      </c>
      <c r="C1708">
        <v>204.72959900000001</v>
      </c>
      <c r="D1708">
        <v>74.032264999999995</v>
      </c>
      <c r="E1708">
        <v>88.047500999999997</v>
      </c>
      <c r="F1708">
        <v>1207.25</v>
      </c>
      <c r="H1708" s="50">
        <f t="shared" si="217"/>
        <v>-2.0770568081722163E-2</v>
      </c>
      <c r="I1708" s="50">
        <f t="shared" si="218"/>
        <v>-1.3922945920240829E-2</v>
      </c>
      <c r="J1708" s="50">
        <f t="shared" si="219"/>
        <v>-1.4101105652514311E-2</v>
      </c>
      <c r="K1708" s="50">
        <f t="shared" si="220"/>
        <v>-3.2423789177522762E-2</v>
      </c>
      <c r="L1708" s="50">
        <f t="shared" si="221"/>
        <v>2.9825414972613471E-3</v>
      </c>
      <c r="P1708" s="50">
        <f t="shared" si="216"/>
        <v>2.9825414972613471E-3</v>
      </c>
      <c r="Q1708" s="51">
        <f t="shared" si="222"/>
        <v>98.70312342695955</v>
      </c>
      <c r="R1708" s="51">
        <f t="shared" si="223"/>
        <v>36.392145904828091</v>
      </c>
    </row>
    <row r="1709" spans="1:18" x14ac:dyDescent="0.15">
      <c r="A1709" s="59">
        <v>43385.75</v>
      </c>
      <c r="B1709">
        <v>24.457203</v>
      </c>
      <c r="C1709">
        <v>207.620285</v>
      </c>
      <c r="D1709">
        <v>75.091132999999999</v>
      </c>
      <c r="E1709">
        <v>90.998001000000002</v>
      </c>
      <c r="F1709">
        <v>1203.660034</v>
      </c>
      <c r="H1709" s="50">
        <f t="shared" si="217"/>
        <v>-7.7669171861644414E-3</v>
      </c>
      <c r="I1709" s="50">
        <f t="shared" si="218"/>
        <v>-3.5451465228169732E-3</v>
      </c>
      <c r="J1709" s="50">
        <f t="shared" si="219"/>
        <v>1.6465600874323187E-2</v>
      </c>
      <c r="K1709" s="50">
        <f t="shared" si="220"/>
        <v>-6.4256302746445509E-3</v>
      </c>
      <c r="L1709" s="50">
        <f t="shared" si="221"/>
        <v>-1.7083345107438655E-2</v>
      </c>
      <c r="P1709" s="50">
        <f t="shared" si="216"/>
        <v>-1.7083345107438655E-2</v>
      </c>
      <c r="Q1709" s="51">
        <f t="shared" si="222"/>
        <v>97.016943906274676</v>
      </c>
      <c r="R1709" s="51">
        <f t="shared" si="223"/>
        <v>36.109491121358481</v>
      </c>
    </row>
    <row r="1710" spans="1:18" x14ac:dyDescent="0.15">
      <c r="A1710" s="59">
        <v>43386.75</v>
      </c>
      <c r="B1710">
        <v>24.648647</v>
      </c>
      <c r="C1710">
        <v>208.358948</v>
      </c>
      <c r="D1710">
        <v>73.874741</v>
      </c>
      <c r="E1710">
        <v>91.586501999999996</v>
      </c>
      <c r="F1710">
        <v>1224.579956</v>
      </c>
      <c r="H1710" s="50">
        <f t="shared" si="217"/>
        <v>4.0548935739119114E-3</v>
      </c>
      <c r="I1710" s="50">
        <f t="shared" si="218"/>
        <v>-3.9361738986905422E-4</v>
      </c>
      <c r="J1710" s="50">
        <f t="shared" si="219"/>
        <v>1.271580706796273E-2</v>
      </c>
      <c r="K1710" s="50">
        <f t="shared" si="220"/>
        <v>3.4454898534328482E-2</v>
      </c>
      <c r="L1710" s="50">
        <f t="shared" si="221"/>
        <v>1.9752486798034149E-2</v>
      </c>
      <c r="P1710" s="50">
        <f t="shared" si="216"/>
        <v>1.9752486798034149E-2</v>
      </c>
      <c r="Q1710" s="51">
        <f t="shared" si="222"/>
        <v>98.933269809968976</v>
      </c>
      <c r="R1710" s="51">
        <f t="shared" si="223"/>
        <v>36.255911264863705</v>
      </c>
    </row>
    <row r="1711" spans="1:18" x14ac:dyDescent="0.15">
      <c r="A1711" s="59">
        <v>43389.75</v>
      </c>
      <c r="B1711">
        <v>24.549102999999999</v>
      </c>
      <c r="C1711">
        <v>208.44099399999999</v>
      </c>
      <c r="D1711">
        <v>72.947158999999999</v>
      </c>
      <c r="E1711">
        <v>88.536002999999994</v>
      </c>
      <c r="F1711">
        <v>1200.8599850000001</v>
      </c>
      <c r="H1711" s="50">
        <f t="shared" si="217"/>
        <v>-1.0087157046680954E-2</v>
      </c>
      <c r="I1711" s="50">
        <f t="shared" si="218"/>
        <v>-4.7458318761783363E-3</v>
      </c>
      <c r="J1711" s="50">
        <f t="shared" si="219"/>
        <v>1.6337477532424215E-2</v>
      </c>
      <c r="K1711" s="50">
        <f t="shared" si="220"/>
        <v>3.7924865223380329E-3</v>
      </c>
      <c r="L1711" s="50">
        <f t="shared" si="221"/>
        <v>-2.0010135549747225E-2</v>
      </c>
      <c r="P1711" s="50">
        <f t="shared" si="216"/>
        <v>-2.0010135549747225E-2</v>
      </c>
      <c r="Q1711" s="51">
        <f t="shared" si="222"/>
        <v>96.953601670691782</v>
      </c>
      <c r="R1711" s="51">
        <f t="shared" si="223"/>
        <v>35.890192194064497</v>
      </c>
    </row>
    <row r="1712" spans="1:18" x14ac:dyDescent="0.15">
      <c r="A1712" s="59">
        <v>43390.75</v>
      </c>
      <c r="B1712">
        <v>24.799257000000001</v>
      </c>
      <c r="C1712">
        <v>209.43493699999999</v>
      </c>
      <c r="D1712">
        <v>71.774544000000006</v>
      </c>
      <c r="E1712">
        <v>88.201499999999996</v>
      </c>
      <c r="F1712">
        <v>1225.380005</v>
      </c>
      <c r="H1712" s="50">
        <f t="shared" si="217"/>
        <v>1.0283623547269344E-4</v>
      </c>
      <c r="I1712" s="50">
        <f t="shared" si="218"/>
        <v>2.6630001940886926E-3</v>
      </c>
      <c r="J1712" s="50">
        <f t="shared" si="219"/>
        <v>-1.4538014751666726E-2</v>
      </c>
      <c r="K1712" s="50">
        <f t="shared" si="220"/>
        <v>-1.4122797255811687E-2</v>
      </c>
      <c r="L1712" s="50">
        <f t="shared" si="221"/>
        <v>1.2811187833457914E-2</v>
      </c>
      <c r="P1712" s="50">
        <f t="shared" si="216"/>
        <v>1.2811187833457914E-2</v>
      </c>
      <c r="Q1712" s="51">
        <f t="shared" si="222"/>
        <v>98.195692472825257</v>
      </c>
      <c r="R1712" s="51">
        <f t="shared" si="223"/>
        <v>35.893883006320124</v>
      </c>
    </row>
    <row r="1713" spans="1:18" x14ac:dyDescent="0.15">
      <c r="A1713" s="59">
        <v>43391.75</v>
      </c>
      <c r="B1713">
        <v>24.796707000000001</v>
      </c>
      <c r="C1713">
        <v>208.878693</v>
      </c>
      <c r="D1713">
        <v>72.833397000000005</v>
      </c>
      <c r="E1713">
        <v>89.464995999999999</v>
      </c>
      <c r="F1713">
        <v>1209.880005</v>
      </c>
      <c r="H1713" s="50">
        <f t="shared" si="217"/>
        <v>-6.7484384152120295E-3</v>
      </c>
      <c r="I1713" s="50">
        <f t="shared" si="218"/>
        <v>1.3550305238538493E-3</v>
      </c>
      <c r="J1713" s="50">
        <f t="shared" si="219"/>
        <v>6.7740722718656167E-3</v>
      </c>
      <c r="K1713" s="50">
        <f t="shared" si="220"/>
        <v>1.1646950000496481E-2</v>
      </c>
      <c r="L1713" s="50">
        <f t="shared" si="221"/>
        <v>-4.5335323904236334E-3</v>
      </c>
      <c r="P1713" s="50">
        <f t="shared" si="216"/>
        <v>-4.5335323904236334E-3</v>
      </c>
      <c r="Q1713" s="51">
        <f t="shared" si="222"/>
        <v>97.75051912039963</v>
      </c>
      <c r="R1713" s="51">
        <f t="shared" si="223"/>
        <v>35.65165534736915</v>
      </c>
    </row>
    <row r="1714" spans="1:18" x14ac:dyDescent="0.15">
      <c r="A1714" s="59">
        <v>43392.75</v>
      </c>
      <c r="B1714">
        <v>24.965183</v>
      </c>
      <c r="C1714">
        <v>208.59603899999999</v>
      </c>
      <c r="D1714">
        <v>72.343338000000003</v>
      </c>
      <c r="E1714">
        <v>88.434997999999993</v>
      </c>
      <c r="F1714">
        <v>1215.3900149999999</v>
      </c>
      <c r="H1714" s="50">
        <f t="shared" si="217"/>
        <v>2.4598534134562156E-3</v>
      </c>
      <c r="I1714" s="50">
        <f t="shared" si="218"/>
        <v>2.2300818031635101E-2</v>
      </c>
      <c r="J1714" s="50">
        <f t="shared" si="219"/>
        <v>4.8620773757825104E-3</v>
      </c>
      <c r="K1714" s="50">
        <f t="shared" si="220"/>
        <v>6.2792922278487193E-2</v>
      </c>
      <c r="L1714" s="50">
        <f t="shared" si="221"/>
        <v>-1.8461526347668122E-2</v>
      </c>
      <c r="P1714" s="50">
        <f t="shared" si="216"/>
        <v>-1.8461526347668122E-2</v>
      </c>
      <c r="Q1714" s="51">
        <f t="shared" si="222"/>
        <v>95.945895336160135</v>
      </c>
      <c r="R1714" s="51">
        <f t="shared" si="223"/>
        <v>35.739353193470734</v>
      </c>
    </row>
    <row r="1715" spans="1:18" x14ac:dyDescent="0.15">
      <c r="A1715" s="59">
        <v>43393.75</v>
      </c>
      <c r="B1715">
        <v>24.903922999999999</v>
      </c>
      <c r="C1715">
        <v>204.04565400000001</v>
      </c>
      <c r="D1715">
        <v>71.993301000000002</v>
      </c>
      <c r="E1715">
        <v>83.209998999999996</v>
      </c>
      <c r="F1715">
        <v>1238.25</v>
      </c>
      <c r="H1715" s="50">
        <f t="shared" si="217"/>
        <v>-1.6333869261345581E-2</v>
      </c>
      <c r="I1715" s="50">
        <f t="shared" si="218"/>
        <v>-1.1660661822294428E-2</v>
      </c>
      <c r="J1715" s="50">
        <f t="shared" si="219"/>
        <v>-1.8609321254488814E-2</v>
      </c>
      <c r="K1715" s="50">
        <f t="shared" si="220"/>
        <v>-6.6194573271788307E-2</v>
      </c>
      <c r="L1715" s="50">
        <f t="shared" si="221"/>
        <v>-1.2709351653140143E-2</v>
      </c>
      <c r="P1715" s="50">
        <f t="shared" si="216"/>
        <v>-1.2709351653140143E-2</v>
      </c>
      <c r="Q1715" s="51">
        <f t="shared" si="222"/>
        <v>94.726485212657494</v>
      </c>
      <c r="R1715" s="51">
        <f t="shared" si="223"/>
        <v>35.15559127092353</v>
      </c>
    </row>
    <row r="1716" spans="1:18" x14ac:dyDescent="0.15">
      <c r="A1716" s="59">
        <v>43396.75</v>
      </c>
      <c r="B1716">
        <v>25.317454999999999</v>
      </c>
      <c r="C1716">
        <v>206.453033</v>
      </c>
      <c r="D1716">
        <v>73.358452</v>
      </c>
      <c r="E1716">
        <v>89.108497999999997</v>
      </c>
      <c r="F1716">
        <v>1254.1899410000001</v>
      </c>
      <c r="H1716" s="50">
        <f t="shared" si="217"/>
        <v>2.4257816569237672E-3</v>
      </c>
      <c r="I1716" s="50">
        <f t="shared" si="218"/>
        <v>3.76276245637455E-2</v>
      </c>
      <c r="J1716" s="50">
        <f t="shared" si="219"/>
        <v>2.3065481254244402E-2</v>
      </c>
      <c r="K1716" s="50">
        <f t="shared" si="220"/>
        <v>8.4830196377054107E-2</v>
      </c>
      <c r="L1716" s="50">
        <f t="shared" si="221"/>
        <v>2.0454734142401183E-2</v>
      </c>
      <c r="P1716" s="50">
        <f t="shared" si="216"/>
        <v>2.0454734142401183E-2</v>
      </c>
      <c r="Q1716" s="51">
        <f t="shared" si="222"/>
        <v>96.664090283926512</v>
      </c>
      <c r="R1716" s="51">
        <f t="shared" si="223"/>
        <v>35.240871059366846</v>
      </c>
    </row>
    <row r="1717" spans="1:18" x14ac:dyDescent="0.15">
      <c r="A1717" s="59">
        <v>43397.75</v>
      </c>
      <c r="B1717">
        <v>25.256188999999999</v>
      </c>
      <c r="C1717">
        <v>198.96639999999999</v>
      </c>
      <c r="D1717">
        <v>71.704552000000007</v>
      </c>
      <c r="E1717">
        <v>82.140502999999995</v>
      </c>
      <c r="F1717">
        <v>1229.0500489999999</v>
      </c>
      <c r="H1717" s="50">
        <f t="shared" si="217"/>
        <v>-8.6171859807837956E-3</v>
      </c>
      <c r="I1717" s="50">
        <f t="shared" si="218"/>
        <v>-1.9018216930082765E-2</v>
      </c>
      <c r="J1717" s="50">
        <f t="shared" si="219"/>
        <v>-2.5683565617411683E-2</v>
      </c>
      <c r="K1717" s="50">
        <f t="shared" si="220"/>
        <v>6.7536169161987847E-2</v>
      </c>
      <c r="L1717" s="50">
        <f t="shared" si="221"/>
        <v>-1.0426691626409062E-2</v>
      </c>
      <c r="P1717" s="50">
        <f t="shared" si="216"/>
        <v>-1.0426691626409062E-2</v>
      </c>
      <c r="Q1717" s="51">
        <f t="shared" si="222"/>
        <v>95.656203623188645</v>
      </c>
      <c r="R1717" s="51">
        <f t="shared" si="223"/>
        <v>34.937193919323462</v>
      </c>
    </row>
    <row r="1718" spans="1:18" x14ac:dyDescent="0.15">
      <c r="A1718" s="59">
        <v>43398.75</v>
      </c>
      <c r="B1718">
        <v>25.475718000000001</v>
      </c>
      <c r="C1718">
        <v>202.823746</v>
      </c>
      <c r="D1718">
        <v>73.594727000000006</v>
      </c>
      <c r="E1718">
        <v>76.944000000000003</v>
      </c>
      <c r="F1718">
        <v>1242</v>
      </c>
      <c r="H1718" s="50">
        <f t="shared" si="217"/>
        <v>-2.5580888505957574E-2</v>
      </c>
      <c r="I1718" s="50">
        <f t="shared" si="218"/>
        <v>-2.4131142727677395E-2</v>
      </c>
      <c r="J1718" s="50">
        <f t="shared" si="219"/>
        <v>-1.9470592362402186E-2</v>
      </c>
      <c r="K1718" s="50">
        <f t="shared" si="220"/>
        <v>5.5278417413341533E-3</v>
      </c>
      <c r="L1718" s="50">
        <f t="shared" si="221"/>
        <v>-3.3154521775238595E-2</v>
      </c>
      <c r="P1718" s="50">
        <f t="shared" si="216"/>
        <v>-3.3154521775238595E-2</v>
      </c>
      <c r="Q1718" s="51">
        <f t="shared" si="222"/>
        <v>92.484767937226977</v>
      </c>
      <c r="R1718" s="51">
        <f t="shared" si="223"/>
        <v>34.043469456962235</v>
      </c>
    </row>
    <row r="1719" spans="1:18" x14ac:dyDescent="0.15">
      <c r="A1719" s="59">
        <v>43399.75</v>
      </c>
      <c r="B1719">
        <v>26.144518000000001</v>
      </c>
      <c r="C1719">
        <v>207.83914200000001</v>
      </c>
      <c r="D1719">
        <v>75.056113999999994</v>
      </c>
      <c r="E1719">
        <v>76.521004000000005</v>
      </c>
      <c r="F1719">
        <v>1284.589966</v>
      </c>
      <c r="H1719" s="50">
        <f t="shared" si="217"/>
        <v>2.1340212137972339E-2</v>
      </c>
      <c r="I1719" s="50">
        <f t="shared" si="218"/>
        <v>-3.1053798515138218E-3</v>
      </c>
      <c r="J1719" s="50">
        <f t="shared" si="219"/>
        <v>2.558875306232173E-2</v>
      </c>
      <c r="K1719" s="50">
        <f t="shared" si="220"/>
        <v>-4.229627007201215E-2</v>
      </c>
      <c r="L1719" s="50">
        <f t="shared" si="221"/>
        <v>-3.8907781807394489E-4</v>
      </c>
      <c r="P1719" s="50">
        <f t="shared" si="216"/>
        <v>-3.8907781807394489E-4</v>
      </c>
      <c r="Q1719" s="51">
        <f t="shared" si="222"/>
        <v>92.44878416551289</v>
      </c>
      <c r="R1719" s="51">
        <f t="shared" si="223"/>
        <v>34.769964317086398</v>
      </c>
    </row>
    <row r="1720" spans="1:18" x14ac:dyDescent="0.15">
      <c r="A1720" s="59">
        <v>43400.75</v>
      </c>
      <c r="B1720">
        <v>25.598246</v>
      </c>
      <c r="C1720">
        <v>208.486572</v>
      </c>
      <c r="D1720">
        <v>73.183441000000002</v>
      </c>
      <c r="E1720">
        <v>79.900497000000001</v>
      </c>
      <c r="F1720">
        <v>1285.089966</v>
      </c>
      <c r="H1720" s="50">
        <f t="shared" si="217"/>
        <v>-2.9827658436505171E-3</v>
      </c>
      <c r="I1720" s="50">
        <f t="shared" si="218"/>
        <v>-4.2248041807332205E-3</v>
      </c>
      <c r="J1720" s="50">
        <f t="shared" si="219"/>
        <v>-7.1233986377906115E-3</v>
      </c>
      <c r="K1720" s="50">
        <f t="shared" si="220"/>
        <v>-4.0539649500386701E-2</v>
      </c>
      <c r="L1720" s="50">
        <f t="shared" si="221"/>
        <v>2.5364969087302781E-2</v>
      </c>
      <c r="P1720" s="50">
        <f t="shared" si="216"/>
        <v>2.5364969087302781E-2</v>
      </c>
      <c r="Q1720" s="51">
        <f t="shared" si="222"/>
        <v>94.793744718029856</v>
      </c>
      <c r="R1720" s="51">
        <f t="shared" si="223"/>
        <v>34.666253655136444</v>
      </c>
    </row>
    <row r="1721" spans="1:18" x14ac:dyDescent="0.15">
      <c r="A1721" s="59">
        <v>43403.75</v>
      </c>
      <c r="B1721">
        <v>25.674828000000002</v>
      </c>
      <c r="C1721">
        <v>209.37112400000001</v>
      </c>
      <c r="D1721">
        <v>73.708495999999997</v>
      </c>
      <c r="E1721">
        <v>83.276497000000006</v>
      </c>
      <c r="F1721">
        <v>1253.3000489999999</v>
      </c>
      <c r="H1721" s="50">
        <f t="shared" si="217"/>
        <v>-7.4994501104223722E-3</v>
      </c>
      <c r="I1721" s="50">
        <f t="shared" si="218"/>
        <v>-2.433112467737131E-3</v>
      </c>
      <c r="J1721" s="50">
        <f t="shared" si="219"/>
        <v>-2.1321585211272441E-3</v>
      </c>
      <c r="K1721" s="50">
        <f t="shared" si="220"/>
        <v>0</v>
      </c>
      <c r="L1721" s="50">
        <f t="shared" si="221"/>
        <v>2.8745460129347596E-2</v>
      </c>
      <c r="P1721" s="50">
        <f t="shared" si="216"/>
        <v>2.8745460129347596E-2</v>
      </c>
      <c r="Q1721" s="51">
        <f t="shared" si="222"/>
        <v>97.518634527333532</v>
      </c>
      <c r="R1721" s="51">
        <f t="shared" si="223"/>
        <v>34.406275815334503</v>
      </c>
    </row>
    <row r="1722" spans="1:18" x14ac:dyDescent="0.15">
      <c r="A1722" s="59">
        <v>43404.75</v>
      </c>
      <c r="B1722">
        <v>25.868829999999999</v>
      </c>
      <c r="C1722">
        <v>209.88179</v>
      </c>
      <c r="D1722">
        <v>73.865989999999996</v>
      </c>
      <c r="E1722">
        <v>83.276497000000006</v>
      </c>
      <c r="F1722">
        <v>1218.280029</v>
      </c>
      <c r="H1722" s="50">
        <f t="shared" si="217"/>
        <v>-1.5255887452551643E-2</v>
      </c>
      <c r="I1722" s="50">
        <f t="shared" si="218"/>
        <v>-1.8298437386543742E-2</v>
      </c>
      <c r="J1722" s="50">
        <f t="shared" si="219"/>
        <v>-1.1013439165147833E-2</v>
      </c>
      <c r="K1722" s="50">
        <f t="shared" si="220"/>
        <v>2.3178498871833174E-2</v>
      </c>
      <c r="L1722" s="50">
        <f t="shared" si="221"/>
        <v>-1.5849418062536539E-2</v>
      </c>
      <c r="P1722" s="50">
        <f t="shared" si="216"/>
        <v>-1.5849418062536539E-2</v>
      </c>
      <c r="Q1722" s="51">
        <f t="shared" si="222"/>
        <v>95.973020919822105</v>
      </c>
      <c r="R1722" s="51">
        <f t="shared" si="223"/>
        <v>33.881377543834311</v>
      </c>
    </row>
    <row r="1723" spans="1:18" x14ac:dyDescent="0.15">
      <c r="A1723" s="59">
        <v>43405.75</v>
      </c>
      <c r="B1723">
        <v>26.269596</v>
      </c>
      <c r="C1723">
        <v>213.79388399999999</v>
      </c>
      <c r="D1723">
        <v>74.688568000000004</v>
      </c>
      <c r="E1723">
        <v>81.389999000000003</v>
      </c>
      <c r="F1723">
        <v>1237.900024</v>
      </c>
      <c r="H1723" s="50">
        <f t="shared" si="217"/>
        <v>-4.0649333869562437E-3</v>
      </c>
      <c r="I1723" s="50">
        <f t="shared" si="218"/>
        <v>-9.5471223868558545E-3</v>
      </c>
      <c r="J1723" s="50">
        <f t="shared" si="219"/>
        <v>-2.8040848299012711E-3</v>
      </c>
      <c r="K1723" s="50">
        <f t="shared" si="220"/>
        <v>-9.1368322884508302E-3</v>
      </c>
      <c r="L1723" s="50">
        <f t="shared" si="221"/>
        <v>-1.8435554499898262E-2</v>
      </c>
      <c r="P1723" s="50">
        <f t="shared" si="216"/>
        <v>-1.8435554499898262E-2</v>
      </c>
      <c r="Q1723" s="51">
        <f t="shared" si="222"/>
        <v>94.203705062134844</v>
      </c>
      <c r="R1723" s="51">
        <f t="shared" si="223"/>
        <v>33.743652001060312</v>
      </c>
    </row>
    <row r="1724" spans="1:18" x14ac:dyDescent="0.15">
      <c r="A1724" s="59">
        <v>43406.75</v>
      </c>
      <c r="B1724">
        <v>26.376816000000002</v>
      </c>
      <c r="C1724">
        <v>215.85467499999999</v>
      </c>
      <c r="D1724">
        <v>74.898589999999999</v>
      </c>
      <c r="E1724">
        <v>82.140502999999995</v>
      </c>
      <c r="F1724">
        <v>1261.150024</v>
      </c>
      <c r="H1724" s="50">
        <f t="shared" si="217"/>
        <v>-9.4901397823934138E-3</v>
      </c>
      <c r="I1724" s="50">
        <f t="shared" si="218"/>
        <v>-1.5226679210297918E-2</v>
      </c>
      <c r="J1724" s="50">
        <f t="shared" si="219"/>
        <v>-1.3485862617483406E-2</v>
      </c>
      <c r="K1724" s="50">
        <f t="shared" si="220"/>
        <v>-6.4187151489034991E-2</v>
      </c>
      <c r="L1724" s="50">
        <f t="shared" si="221"/>
        <v>6.31970518292258E-3</v>
      </c>
      <c r="P1724" s="50">
        <f t="shared" si="216"/>
        <v>6.31970518292258E-3</v>
      </c>
      <c r="Q1724" s="51">
        <f t="shared" si="222"/>
        <v>94.799044705266539</v>
      </c>
      <c r="R1724" s="51">
        <f t="shared" si="223"/>
        <v>33.423420026801807</v>
      </c>
    </row>
    <row r="1725" spans="1:18" x14ac:dyDescent="0.15">
      <c r="A1725" s="59">
        <v>43407.75</v>
      </c>
      <c r="B1725">
        <v>26.629534</v>
      </c>
      <c r="C1725">
        <v>219.19224500000001</v>
      </c>
      <c r="D1725">
        <v>75.922470000000004</v>
      </c>
      <c r="E1725">
        <v>87.774497999999994</v>
      </c>
      <c r="F1725">
        <v>1253.2299800000001</v>
      </c>
      <c r="H1725" s="50">
        <f t="shared" si="217"/>
        <v>-5.3392143977109615E-3</v>
      </c>
      <c r="I1725" s="50">
        <f t="shared" si="218"/>
        <v>4.6083317023148411E-3</v>
      </c>
      <c r="J1725" s="50">
        <f t="shared" si="219"/>
        <v>-9.588610556077428E-3</v>
      </c>
      <c r="K1725" s="50">
        <f t="shared" si="220"/>
        <v>3.3048988643849287E-4</v>
      </c>
      <c r="L1725" s="50">
        <f t="shared" si="221"/>
        <v>-6.2563554866164406E-3</v>
      </c>
      <c r="P1725" s="50">
        <f t="shared" si="216"/>
        <v>-6.2563554866164406E-3</v>
      </c>
      <c r="Q1725" s="51">
        <f t="shared" si="222"/>
        <v>94.205948181798746</v>
      </c>
      <c r="R1725" s="51">
        <f t="shared" si="223"/>
        <v>33.244965221373967</v>
      </c>
    </row>
    <row r="1726" spans="1:18" x14ac:dyDescent="0.15">
      <c r="A1726" s="59">
        <v>43410.75</v>
      </c>
      <c r="B1726">
        <v>26.772478</v>
      </c>
      <c r="C1726">
        <v>218.186768</v>
      </c>
      <c r="D1726">
        <v>76.657509000000005</v>
      </c>
      <c r="E1726">
        <v>87.745498999999995</v>
      </c>
      <c r="F1726">
        <v>1261.119995</v>
      </c>
      <c r="H1726" s="50">
        <f t="shared" si="217"/>
        <v>-6.4418323124048448E-3</v>
      </c>
      <c r="I1726" s="50">
        <f t="shared" si="218"/>
        <v>4.0379683739231002E-3</v>
      </c>
      <c r="J1726" s="50">
        <f t="shared" si="219"/>
        <v>7.5911963741416792E-3</v>
      </c>
      <c r="K1726" s="50">
        <f t="shared" si="220"/>
        <v>2.4806865677589437E-2</v>
      </c>
      <c r="L1726" s="50">
        <f t="shared" si="221"/>
        <v>-1.1599511324864762E-2</v>
      </c>
      <c r="P1726" s="50">
        <f t="shared" si="216"/>
        <v>-1.1599511324864762E-2</v>
      </c>
      <c r="Q1726" s="51">
        <f t="shared" si="222"/>
        <v>93.113205218994338</v>
      </c>
      <c r="R1726" s="51">
        <f t="shared" si="223"/>
        <v>33.030806730186143</v>
      </c>
    </row>
    <row r="1727" spans="1:18" x14ac:dyDescent="0.15">
      <c r="A1727" s="59">
        <v>43411.75</v>
      </c>
      <c r="B1727">
        <v>26.946059999999999</v>
      </c>
      <c r="C1727">
        <v>217.30928</v>
      </c>
      <c r="D1727">
        <v>76.079971</v>
      </c>
      <c r="E1727">
        <v>85.621498000000003</v>
      </c>
      <c r="F1727">
        <v>1275.920044</v>
      </c>
      <c r="H1727" s="50">
        <f t="shared" si="217"/>
        <v>1.6270397775479364E-2</v>
      </c>
      <c r="I1727" s="50">
        <f t="shared" si="218"/>
        <v>1.3903021531996353E-2</v>
      </c>
      <c r="J1727" s="50">
        <f t="shared" si="219"/>
        <v>1.7199026429990806E-2</v>
      </c>
      <c r="K1727" s="50">
        <f t="shared" si="220"/>
        <v>4.6174042168482643E-2</v>
      </c>
      <c r="L1727" s="50">
        <f t="shared" si="221"/>
        <v>3.809296958280959E-2</v>
      </c>
      <c r="P1727" s="50">
        <f t="shared" si="216"/>
        <v>3.809296958280959E-2</v>
      </c>
      <c r="Q1727" s="51">
        <f t="shared" si="222"/>
        <v>96.660163713159392</v>
      </c>
      <c r="R1727" s="51">
        <f t="shared" si="223"/>
        <v>33.568231094531257</v>
      </c>
    </row>
    <row r="1728" spans="1:18" x14ac:dyDescent="0.15">
      <c r="A1728" s="59">
        <v>43412.75</v>
      </c>
      <c r="B1728">
        <v>26.514655999999999</v>
      </c>
      <c r="C1728">
        <v>214.329453</v>
      </c>
      <c r="D1728">
        <v>74.793593999999999</v>
      </c>
      <c r="E1728">
        <v>81.842499000000004</v>
      </c>
      <c r="F1728">
        <v>1229.099976</v>
      </c>
      <c r="H1728" s="50">
        <f t="shared" si="217"/>
        <v>9.0342752630982234E-3</v>
      </c>
      <c r="I1728" s="50">
        <f t="shared" si="218"/>
        <v>1.4522426237572365E-3</v>
      </c>
      <c r="J1728" s="50">
        <f t="shared" si="219"/>
        <v>1.3638495009849131E-2</v>
      </c>
      <c r="K1728" s="50">
        <f t="shared" si="220"/>
        <v>3.4821262411121696E-3</v>
      </c>
      <c r="L1728" s="50">
        <f t="shared" si="221"/>
        <v>-8.5504359272174282E-3</v>
      </c>
      <c r="P1728" s="50">
        <f t="shared" si="216"/>
        <v>-8.5504359272174282E-3</v>
      </c>
      <c r="Q1728" s="51">
        <f t="shared" si="222"/>
        <v>95.83367717661568</v>
      </c>
      <c r="R1728" s="51">
        <f t="shared" si="223"/>
        <v>33.871495734334545</v>
      </c>
    </row>
    <row r="1729" spans="1:18" x14ac:dyDescent="0.15">
      <c r="A1729" s="59">
        <v>43413.75</v>
      </c>
      <c r="B1729">
        <v>26.277259999999998</v>
      </c>
      <c r="C1729">
        <v>214.01864599999999</v>
      </c>
      <c r="D1729">
        <v>73.787246999999994</v>
      </c>
      <c r="E1729">
        <v>81.558502000000004</v>
      </c>
      <c r="F1729">
        <v>1239.6999510000001</v>
      </c>
      <c r="H1729" s="50">
        <f t="shared" si="217"/>
        <v>1.3887618824932913E-2</v>
      </c>
      <c r="I1729" s="50">
        <f t="shared" si="218"/>
        <v>3.557399501955283E-3</v>
      </c>
      <c r="J1729" s="50">
        <f t="shared" si="219"/>
        <v>1.4314813028027094E-2</v>
      </c>
      <c r="K1729" s="50">
        <f t="shared" si="220"/>
        <v>2.0112469590559144E-2</v>
      </c>
      <c r="L1729" s="50">
        <f t="shared" si="221"/>
        <v>-1.9108300398464315E-2</v>
      </c>
      <c r="P1729" s="50">
        <f t="shared" ref="P1729:P1792" si="224">(F1729-F1730)/F1730</f>
        <v>-1.9108300398464315E-2</v>
      </c>
      <c r="Q1729" s="51">
        <f t="shared" si="222"/>
        <v>94.002458484835458</v>
      </c>
      <c r="R1729" s="51">
        <f t="shared" si="223"/>
        <v>34.34189015612332</v>
      </c>
    </row>
    <row r="1730" spans="1:18" x14ac:dyDescent="0.15">
      <c r="A1730" s="59">
        <v>43414.75</v>
      </c>
      <c r="B1730">
        <v>25.91733</v>
      </c>
      <c r="C1730">
        <v>213.259995</v>
      </c>
      <c r="D1730">
        <v>72.745902999999998</v>
      </c>
      <c r="E1730">
        <v>79.950500000000005</v>
      </c>
      <c r="F1730">
        <v>1263.849976</v>
      </c>
      <c r="H1730" s="50">
        <f t="shared" ref="H1730:H1793" si="225">(B1730-B1731)/B1731</f>
        <v>1.9991652680676004E-2</v>
      </c>
      <c r="I1730" s="50">
        <f t="shared" ref="I1730:I1793" si="226">(C1730-C1731)/C1731</f>
        <v>1.4655960134972414E-2</v>
      </c>
      <c r="J1730" s="50">
        <f t="shared" ref="J1730:J1793" si="227">(D1730-D1731)/D1731</f>
        <v>2.9346401377768908E-2</v>
      </c>
      <c r="K1730" s="50">
        <f t="shared" ref="K1730:K1793" si="228">(E1730-E1731)/E1731</f>
        <v>-1.2615472015017401E-2</v>
      </c>
      <c r="L1730" s="50">
        <f t="shared" ref="L1730:L1793" si="229">(F1730-F1731)/F1731</f>
        <v>9.6422268452726334E-3</v>
      </c>
      <c r="P1730" s="50">
        <f t="shared" si="224"/>
        <v>9.6422268452726334E-3</v>
      </c>
      <c r="Q1730" s="51">
        <f t="shared" si="222"/>
        <v>94.908851513559569</v>
      </c>
      <c r="R1730" s="51">
        <f t="shared" si="223"/>
        <v>35.028441296522466</v>
      </c>
    </row>
    <row r="1731" spans="1:18" x14ac:dyDescent="0.15">
      <c r="A1731" s="59">
        <v>43417.75</v>
      </c>
      <c r="B1731">
        <v>25.409355000000001</v>
      </c>
      <c r="C1731">
        <v>210.17961099999999</v>
      </c>
      <c r="D1731">
        <v>70.671936000000002</v>
      </c>
      <c r="E1731">
        <v>80.971999999999994</v>
      </c>
      <c r="F1731">
        <v>1251.780029</v>
      </c>
      <c r="H1731" s="50">
        <f t="shared" si="225"/>
        <v>1.8937479881890155E-2</v>
      </c>
      <c r="I1731" s="50">
        <f t="shared" si="226"/>
        <v>-4.6748262424365387E-3</v>
      </c>
      <c r="J1731" s="50">
        <f t="shared" si="227"/>
        <v>1.3554191359153065E-2</v>
      </c>
      <c r="K1731" s="50">
        <f t="shared" si="228"/>
        <v>1.633600852671915E-2</v>
      </c>
      <c r="L1731" s="50">
        <f t="shared" si="229"/>
        <v>-4.7940704217248574E-3</v>
      </c>
      <c r="P1731" s="50">
        <f t="shared" si="224"/>
        <v>-4.7940704217248574E-3</v>
      </c>
      <c r="Q1731" s="51">
        <f t="shared" ref="Q1731:Q1794" si="230">Q1730*(1+P1731)</f>
        <v>94.453851795758538</v>
      </c>
      <c r="R1731" s="51">
        <f t="shared" ref="R1731:R1794" si="231">R1730*(1+H1731)</f>
        <v>35.691791698869331</v>
      </c>
    </row>
    <row r="1732" spans="1:18" x14ac:dyDescent="0.15">
      <c r="A1732" s="59">
        <v>43418.75</v>
      </c>
      <c r="B1732">
        <v>24.937109</v>
      </c>
      <c r="C1732">
        <v>211.16677899999999</v>
      </c>
      <c r="D1732">
        <v>69.726844999999997</v>
      </c>
      <c r="E1732">
        <v>79.670501999999999</v>
      </c>
      <c r="F1732">
        <v>1257.8100589999999</v>
      </c>
      <c r="H1732" s="50">
        <f t="shared" si="225"/>
        <v>9.4031909986741109E-3</v>
      </c>
      <c r="I1732" s="50">
        <f t="shared" si="226"/>
        <v>9.9677111979941339E-3</v>
      </c>
      <c r="J1732" s="50">
        <f t="shared" si="227"/>
        <v>2.4296342090324722E-2</v>
      </c>
      <c r="K1732" s="50">
        <f t="shared" si="228"/>
        <v>5.3640504039820264E-2</v>
      </c>
      <c r="L1732" s="50">
        <f t="shared" si="229"/>
        <v>1.6896964553203643E-2</v>
      </c>
      <c r="P1732" s="50">
        <f t="shared" si="224"/>
        <v>1.6896964553203643E-2</v>
      </c>
      <c r="Q1732" s="51">
        <f t="shared" si="230"/>
        <v>96.049835181465014</v>
      </c>
      <c r="R1732" s="51">
        <f t="shared" si="231"/>
        <v>36.027408433298689</v>
      </c>
    </row>
    <row r="1733" spans="1:18" x14ac:dyDescent="0.15">
      <c r="A1733" s="59">
        <v>43419.75</v>
      </c>
      <c r="B1733">
        <v>24.704805</v>
      </c>
      <c r="C1733">
        <v>209.08270300000001</v>
      </c>
      <c r="D1733">
        <v>68.072922000000005</v>
      </c>
      <c r="E1733">
        <v>75.614502000000002</v>
      </c>
      <c r="F1733">
        <v>1236.910034</v>
      </c>
      <c r="H1733" s="50">
        <f t="shared" si="225"/>
        <v>2.7824581389600672E-2</v>
      </c>
      <c r="I1733" s="50">
        <f t="shared" si="226"/>
        <v>4.2998587360782478E-2</v>
      </c>
      <c r="J1733" s="50">
        <f t="shared" si="227"/>
        <v>0.11762974156475736</v>
      </c>
      <c r="K1733" s="50">
        <f t="shared" si="228"/>
        <v>1.125404846987353E-2</v>
      </c>
      <c r="L1733" s="50">
        <f t="shared" si="229"/>
        <v>1.7087012831329667E-2</v>
      </c>
      <c r="P1733" s="50">
        <f t="shared" si="224"/>
        <v>1.7087012831329667E-2</v>
      </c>
      <c r="Q1733" s="51">
        <f t="shared" si="230"/>
        <v>97.691039947657799</v>
      </c>
      <c r="R1733" s="51">
        <f t="shared" si="231"/>
        <v>37.029855991507397</v>
      </c>
    </row>
    <row r="1734" spans="1:18" x14ac:dyDescent="0.15">
      <c r="A1734" s="59">
        <v>43420.75</v>
      </c>
      <c r="B1734">
        <v>24.036013000000001</v>
      </c>
      <c r="C1734">
        <v>200.46307400000001</v>
      </c>
      <c r="D1734">
        <v>60.908295000000003</v>
      </c>
      <c r="E1734">
        <v>74.773003000000003</v>
      </c>
      <c r="F1734">
        <v>1216.130005</v>
      </c>
      <c r="H1734" s="50">
        <f t="shared" si="225"/>
        <v>-1.0607955225940029E-4</v>
      </c>
      <c r="I1734" s="50">
        <f t="shared" si="226"/>
        <v>3.3854153253926062E-3</v>
      </c>
      <c r="J1734" s="50">
        <f t="shared" si="227"/>
        <v>-3.3207317758246861E-3</v>
      </c>
      <c r="K1734" s="50">
        <f t="shared" si="228"/>
        <v>-1.4023576667605174E-2</v>
      </c>
      <c r="L1734" s="50">
        <f t="shared" si="229"/>
        <v>3.9483485421290337E-4</v>
      </c>
      <c r="P1734" s="50">
        <f t="shared" si="224"/>
        <v>3.9483485421290337E-4</v>
      </c>
      <c r="Q1734" s="51">
        <f t="shared" si="230"/>
        <v>97.729611775173439</v>
      </c>
      <c r="R1734" s="51">
        <f t="shared" si="231"/>
        <v>37.025927880963586</v>
      </c>
    </row>
    <row r="1735" spans="1:18" x14ac:dyDescent="0.15">
      <c r="A1735" s="59">
        <v>43421.75</v>
      </c>
      <c r="B1735">
        <v>24.038563</v>
      </c>
      <c r="C1735">
        <v>199.78671299999999</v>
      </c>
      <c r="D1735">
        <v>61.111229000000002</v>
      </c>
      <c r="E1735">
        <v>75.836501999999996</v>
      </c>
      <c r="F1735">
        <v>1215.650024</v>
      </c>
      <c r="H1735" s="50">
        <f t="shared" si="225"/>
        <v>-9.7791391245025845E-3</v>
      </c>
      <c r="I1735" s="50">
        <f t="shared" si="226"/>
        <v>-6.770729481854496E-3</v>
      </c>
      <c r="J1735" s="50">
        <f t="shared" si="227"/>
        <v>2.8359328346611659E-2</v>
      </c>
      <c r="K1735" s="50">
        <f t="shared" si="228"/>
        <v>9.7666541855845491E-3</v>
      </c>
      <c r="L1735" s="50">
        <f t="shared" si="229"/>
        <v>1.9002870442134293E-2</v>
      </c>
      <c r="P1735" s="50">
        <f t="shared" si="224"/>
        <v>1.9002870442134293E-2</v>
      </c>
      <c r="Q1735" s="51">
        <f t="shared" si="230"/>
        <v>99.586754926097143</v>
      </c>
      <c r="R1735" s="51">
        <f t="shared" si="231"/>
        <v>36.663846181001844</v>
      </c>
    </row>
    <row r="1736" spans="1:18" x14ac:dyDescent="0.15">
      <c r="A1736" s="59">
        <v>43424.75</v>
      </c>
      <c r="B1736">
        <v>24.275960999999999</v>
      </c>
      <c r="C1736">
        <v>201.14863600000001</v>
      </c>
      <c r="D1736">
        <v>59.425949000000003</v>
      </c>
      <c r="E1736">
        <v>75.102997000000002</v>
      </c>
      <c r="F1736">
        <v>1192.9799800000001</v>
      </c>
      <c r="H1736" s="50">
        <f t="shared" si="225"/>
        <v>-5.2542902317269456E-4</v>
      </c>
      <c r="I1736" s="50">
        <f t="shared" si="226"/>
        <v>2.7796452587739487E-3</v>
      </c>
      <c r="J1736" s="50">
        <f t="shared" si="227"/>
        <v>-2.7436841030449754E-2</v>
      </c>
      <c r="K1736" s="50">
        <f t="shared" si="228"/>
        <v>-5.0128703057014036E-2</v>
      </c>
      <c r="L1736" s="50">
        <f t="shared" si="229"/>
        <v>4.1580593564490885E-3</v>
      </c>
      <c r="P1736" s="50">
        <f t="shared" si="224"/>
        <v>4.1580593564490885E-3</v>
      </c>
      <c r="Q1736" s="51">
        <f t="shared" si="230"/>
        <v>100.00084256419602</v>
      </c>
      <c r="R1736" s="51">
        <f t="shared" si="231"/>
        <v>36.644581932117205</v>
      </c>
    </row>
    <row r="1737" spans="1:18" x14ac:dyDescent="0.15">
      <c r="A1737" s="59">
        <v>43425.75</v>
      </c>
      <c r="B1737">
        <v>24.288723000000001</v>
      </c>
      <c r="C1737">
        <v>200.59106399999999</v>
      </c>
      <c r="D1737">
        <v>61.102406000000002</v>
      </c>
      <c r="E1737">
        <v>79.066497999999996</v>
      </c>
      <c r="F1737">
        <v>1188.040039</v>
      </c>
      <c r="H1737" s="50">
        <f t="shared" si="225"/>
        <v>1.1573476302876825E-3</v>
      </c>
      <c r="I1737" s="50">
        <f t="shared" si="226"/>
        <v>-1.5963244207207888E-2</v>
      </c>
      <c r="J1737" s="50">
        <f t="shared" si="227"/>
        <v>-2.9840040259259088E-2</v>
      </c>
      <c r="K1737" s="50">
        <f t="shared" si="228"/>
        <v>-5.6923525147377376E-5</v>
      </c>
      <c r="L1737" s="50">
        <f t="shared" si="229"/>
        <v>2.2594444020706567E-2</v>
      </c>
      <c r="P1737" s="50">
        <f t="shared" si="224"/>
        <v>2.2594444020706567E-2</v>
      </c>
      <c r="Q1737" s="51">
        <f t="shared" si="230"/>
        <v>102.26030600353624</v>
      </c>
      <c r="R1737" s="51">
        <f t="shared" si="231"/>
        <v>36.686992452179226</v>
      </c>
    </row>
    <row r="1738" spans="1:18" x14ac:dyDescent="0.15">
      <c r="A1738" s="59">
        <v>43426.75</v>
      </c>
      <c r="B1738">
        <v>24.260645</v>
      </c>
      <c r="C1738">
        <v>203.84509299999999</v>
      </c>
      <c r="D1738">
        <v>62.981785000000002</v>
      </c>
      <c r="E1738">
        <v>79.070999</v>
      </c>
      <c r="F1738">
        <v>1161.790039</v>
      </c>
      <c r="H1738" s="50">
        <f t="shared" si="225"/>
        <v>-2.4830781889265803E-2</v>
      </c>
      <c r="I1738" s="50">
        <f t="shared" si="226"/>
        <v>-3.1822708939113757E-2</v>
      </c>
      <c r="J1738" s="50">
        <f t="shared" si="227"/>
        <v>-6.9562336800057974E-3</v>
      </c>
      <c r="K1738" s="50">
        <f t="shared" si="228"/>
        <v>-5.7416160598998393E-2</v>
      </c>
      <c r="L1738" s="50">
        <f t="shared" si="229"/>
        <v>2.6927381234687527E-3</v>
      </c>
      <c r="P1738" s="50">
        <f t="shared" si="224"/>
        <v>2.6927381234687527E-3</v>
      </c>
      <c r="Q1738" s="51">
        <f t="shared" si="230"/>
        <v>102.53566622802954</v>
      </c>
      <c r="R1738" s="51">
        <f t="shared" si="231"/>
        <v>35.776025744426022</v>
      </c>
    </row>
    <row r="1739" spans="1:18" x14ac:dyDescent="0.15">
      <c r="A1739" s="59">
        <v>43428.75</v>
      </c>
      <c r="B1739">
        <v>24.878395000000001</v>
      </c>
      <c r="C1739">
        <v>210.54521199999999</v>
      </c>
      <c r="D1739">
        <v>63.422969999999999</v>
      </c>
      <c r="E1739">
        <v>83.887496999999996</v>
      </c>
      <c r="F1739">
        <v>1158.670044</v>
      </c>
      <c r="H1739" s="50">
        <f t="shared" si="225"/>
        <v>1.7472920576891791E-3</v>
      </c>
      <c r="I1739" s="50">
        <f t="shared" si="226"/>
        <v>-2.8570228603316977E-3</v>
      </c>
      <c r="J1739" s="50">
        <f t="shared" si="227"/>
        <v>9.9761768573698104E-3</v>
      </c>
      <c r="K1739" s="50">
        <f t="shared" si="228"/>
        <v>2.4976548037186088E-3</v>
      </c>
      <c r="L1739" s="50">
        <f t="shared" si="229"/>
        <v>-2.8409713310070046E-2</v>
      </c>
      <c r="P1739" s="50">
        <f t="shared" si="224"/>
        <v>-2.8409713310070046E-2</v>
      </c>
      <c r="Q1739" s="51">
        <f t="shared" si="230"/>
        <v>99.622657346434195</v>
      </c>
      <c r="R1739" s="51">
        <f t="shared" si="231"/>
        <v>35.838536910064938</v>
      </c>
    </row>
    <row r="1740" spans="1:18" x14ac:dyDescent="0.15">
      <c r="A1740" s="59">
        <v>43431.75</v>
      </c>
      <c r="B1740">
        <v>24.835000999999998</v>
      </c>
      <c r="C1740">
        <v>211.14846800000001</v>
      </c>
      <c r="D1740">
        <v>62.796500999999999</v>
      </c>
      <c r="E1740">
        <v>83.678496999999993</v>
      </c>
      <c r="F1740">
        <v>1192.5500489999999</v>
      </c>
      <c r="H1740" s="50">
        <f t="shared" si="225"/>
        <v>-3.6865401807966826E-3</v>
      </c>
      <c r="I1740" s="50">
        <f t="shared" si="226"/>
        <v>-1.2106464915460856E-3</v>
      </c>
      <c r="J1740" s="50">
        <f t="shared" si="227"/>
        <v>2.9593901794902132E-3</v>
      </c>
      <c r="K1740" s="50">
        <f t="shared" si="228"/>
        <v>-9.8215210283170151E-3</v>
      </c>
      <c r="L1740" s="50">
        <f t="shared" si="229"/>
        <v>-2.2087635692376907E-3</v>
      </c>
      <c r="P1740" s="50">
        <f t="shared" si="224"/>
        <v>-2.2087635692376907E-3</v>
      </c>
      <c r="Q1740" s="51">
        <f t="shared" si="230"/>
        <v>99.402614450216745</v>
      </c>
      <c r="R1740" s="51">
        <f t="shared" si="231"/>
        <v>35.706416703725019</v>
      </c>
    </row>
    <row r="1741" spans="1:18" x14ac:dyDescent="0.15">
      <c r="A1741" s="59">
        <v>43432.75</v>
      </c>
      <c r="B1741">
        <v>24.926894999999998</v>
      </c>
      <c r="C1741">
        <v>211.404404</v>
      </c>
      <c r="D1741">
        <v>62.61121</v>
      </c>
      <c r="E1741">
        <v>84.508499</v>
      </c>
      <c r="F1741">
        <v>1195.1899410000001</v>
      </c>
      <c r="H1741" s="50">
        <f t="shared" si="225"/>
        <v>-1.113894565950174E-2</v>
      </c>
      <c r="I1741" s="50">
        <f t="shared" si="226"/>
        <v>-3.4472135783701835E-3</v>
      </c>
      <c r="J1741" s="50">
        <f t="shared" si="227"/>
        <v>-1.907634811610448E-2</v>
      </c>
      <c r="K1741" s="50">
        <f t="shared" si="228"/>
        <v>-4.6373165558833043E-2</v>
      </c>
      <c r="L1741" s="50">
        <f t="shared" si="229"/>
        <v>-4.151698660675756E-2</v>
      </c>
      <c r="P1741" s="50">
        <f t="shared" si="224"/>
        <v>-4.151698660675756E-2</v>
      </c>
      <c r="Q1741" s="51">
        <f t="shared" si="230"/>
        <v>95.275717437410421</v>
      </c>
      <c r="R1741" s="51">
        <f t="shared" si="231"/>
        <v>35.308684868366704</v>
      </c>
    </row>
    <row r="1742" spans="1:18" x14ac:dyDescent="0.15">
      <c r="A1742" s="59">
        <v>43433.75</v>
      </c>
      <c r="B1742">
        <v>25.207681999999998</v>
      </c>
      <c r="C1742">
        <v>212.13568100000001</v>
      </c>
      <c r="D1742">
        <v>63.828831000000001</v>
      </c>
      <c r="E1742">
        <v>88.617996000000005</v>
      </c>
      <c r="F1742">
        <v>1246.959961</v>
      </c>
      <c r="H1742" s="50">
        <f t="shared" si="225"/>
        <v>3.0685397672006835E-2</v>
      </c>
      <c r="I1742" s="50">
        <f t="shared" si="226"/>
        <v>2.5314849817823601E-2</v>
      </c>
      <c r="J1742" s="50">
        <f t="shared" si="227"/>
        <v>4.3716292603429949E-2</v>
      </c>
      <c r="K1742" s="50">
        <f t="shared" si="228"/>
        <v>6.2311173874638526E-2</v>
      </c>
      <c r="L1742" s="50">
        <f t="shared" si="229"/>
        <v>1.9122957818227813E-3</v>
      </c>
      <c r="P1742" s="50">
        <f t="shared" si="224"/>
        <v>1.9122957818227813E-3</v>
      </c>
      <c r="Q1742" s="51">
        <f t="shared" si="230"/>
        <v>95.45791278997612</v>
      </c>
      <c r="R1742" s="51">
        <f t="shared" si="231"/>
        <v>36.392145904828105</v>
      </c>
    </row>
    <row r="1743" spans="1:18" x14ac:dyDescent="0.15">
      <c r="A1743" s="59">
        <v>43434.75</v>
      </c>
      <c r="B1743">
        <v>24.457203</v>
      </c>
      <c r="C1743">
        <v>206.898087</v>
      </c>
      <c r="D1743">
        <v>61.155346000000002</v>
      </c>
      <c r="E1743">
        <v>83.419998000000007</v>
      </c>
      <c r="F1743">
        <v>1244.579956</v>
      </c>
      <c r="H1743" s="50">
        <f t="shared" si="225"/>
        <v>-5.4867544231827006E-3</v>
      </c>
      <c r="I1743" s="50">
        <f t="shared" si="226"/>
        <v>-2.9374031144827645E-2</v>
      </c>
      <c r="J1743" s="50">
        <f t="shared" si="227"/>
        <v>-3.3075562142439881E-3</v>
      </c>
      <c r="K1743" s="50">
        <f t="shared" si="228"/>
        <v>-1.8120456754555064E-2</v>
      </c>
      <c r="L1743" s="50">
        <f t="shared" si="229"/>
        <v>2.4104461456403006E-4</v>
      </c>
      <c r="P1743" s="50">
        <f t="shared" si="224"/>
        <v>2.4104461456403006E-4</v>
      </c>
      <c r="Q1743" s="51">
        <f t="shared" si="230"/>
        <v>95.480922405771665</v>
      </c>
      <c r="R1743" s="51">
        <f t="shared" si="231"/>
        <v>36.192471137315678</v>
      </c>
    </row>
    <row r="1744" spans="1:18" x14ac:dyDescent="0.15">
      <c r="A1744" s="59">
        <v>43435.75</v>
      </c>
      <c r="B1744">
        <v>24.592134000000001</v>
      </c>
      <c r="C1744">
        <v>213.15943899999999</v>
      </c>
      <c r="D1744">
        <v>61.358291999999999</v>
      </c>
      <c r="E1744">
        <v>84.959502999999998</v>
      </c>
      <c r="F1744">
        <v>1244.280029</v>
      </c>
      <c r="H1744" s="50">
        <f t="shared" si="225"/>
        <v>1.6954329355935573E-2</v>
      </c>
      <c r="I1744" s="50">
        <f t="shared" si="226"/>
        <v>3.708962595826007E-2</v>
      </c>
      <c r="J1744" s="50">
        <f t="shared" si="227"/>
        <v>2.5512489313172061E-2</v>
      </c>
      <c r="K1744" s="50">
        <f t="shared" si="228"/>
        <v>4.3004623682749321E-2</v>
      </c>
      <c r="L1744" s="50">
        <f t="shared" si="229"/>
        <v>-1.0182269583494993E-2</v>
      </c>
      <c r="P1744" s="50">
        <f t="shared" si="224"/>
        <v>-1.0182269583494993E-2</v>
      </c>
      <c r="Q1744" s="51">
        <f t="shared" si="230"/>
        <v>94.508709913755325</v>
      </c>
      <c r="R1744" s="51">
        <f t="shared" si="231"/>
        <v>36.80609021318292</v>
      </c>
    </row>
    <row r="1745" spans="1:18" x14ac:dyDescent="0.15">
      <c r="A1745" s="59">
        <v>43438.75</v>
      </c>
      <c r="B1745">
        <v>24.182141999999999</v>
      </c>
      <c r="C1745">
        <v>205.536179</v>
      </c>
      <c r="D1745">
        <v>59.831833000000003</v>
      </c>
      <c r="E1745">
        <v>81.456496999999999</v>
      </c>
      <c r="F1745">
        <v>1257.079956</v>
      </c>
      <c r="H1745" s="50">
        <f t="shared" si="225"/>
        <v>-7.9837110421447297E-3</v>
      </c>
      <c r="I1745" s="50">
        <f t="shared" si="226"/>
        <v>9.8807768229497613E-3</v>
      </c>
      <c r="J1745" s="50">
        <f t="shared" si="227"/>
        <v>-7.4646392116760009E-3</v>
      </c>
      <c r="K1745" s="50">
        <f t="shared" si="228"/>
        <v>-7.2515556023120551E-3</v>
      </c>
      <c r="L1745" s="50">
        <f t="shared" si="229"/>
        <v>-1.1045277456206769E-3</v>
      </c>
      <c r="P1745" s="50">
        <f t="shared" si="224"/>
        <v>-1.1045277456206769E-3</v>
      </c>
      <c r="Q1745" s="51">
        <f t="shared" si="230"/>
        <v>94.404322421452775</v>
      </c>
      <c r="R1745" s="51">
        <f t="shared" si="231"/>
        <v>36.512241024329761</v>
      </c>
    </row>
    <row r="1746" spans="1:18" x14ac:dyDescent="0.15">
      <c r="A1746" s="59">
        <v>43439.75</v>
      </c>
      <c r="B1746">
        <v>24.376759</v>
      </c>
      <c r="C1746">
        <v>203.525192</v>
      </c>
      <c r="D1746">
        <v>60.281815000000002</v>
      </c>
      <c r="E1746">
        <v>82.051497999999995</v>
      </c>
      <c r="F1746">
        <v>1258.469971</v>
      </c>
      <c r="H1746" s="50">
        <f t="shared" si="225"/>
        <v>9.5888020924543127E-4</v>
      </c>
      <c r="I1746" s="50">
        <f t="shared" si="226"/>
        <v>-1.6953686938707139E-2</v>
      </c>
      <c r="J1746" s="50">
        <f t="shared" si="227"/>
        <v>2.3060529196577747E-2</v>
      </c>
      <c r="K1746" s="50">
        <f t="shared" si="228"/>
        <v>-1.344964776479505E-3</v>
      </c>
      <c r="L1746" s="50">
        <f t="shared" si="229"/>
        <v>-2.0142893235240685E-3</v>
      </c>
      <c r="P1746" s="50">
        <f t="shared" si="224"/>
        <v>-2.0142893235240685E-3</v>
      </c>
      <c r="Q1746" s="51">
        <f t="shared" si="230"/>
        <v>94.214164802704715</v>
      </c>
      <c r="R1746" s="51">
        <f t="shared" si="231"/>
        <v>36.547251889643192</v>
      </c>
    </row>
    <row r="1747" spans="1:18" x14ac:dyDescent="0.15">
      <c r="A1747" s="59">
        <v>43440.75</v>
      </c>
      <c r="B1747">
        <v>24.353407000000001</v>
      </c>
      <c r="C1747">
        <v>207.035202</v>
      </c>
      <c r="D1747">
        <v>58.923018999999996</v>
      </c>
      <c r="E1747">
        <v>82.162002999999999</v>
      </c>
      <c r="F1747">
        <v>1261.01001</v>
      </c>
      <c r="H1747" s="50">
        <f t="shared" si="225"/>
        <v>7.9477251691635869E-3</v>
      </c>
      <c r="I1747" s="50">
        <f t="shared" si="226"/>
        <v>-5.7069631987693575E-3</v>
      </c>
      <c r="J1747" s="50">
        <f t="shared" si="227"/>
        <v>-1.4898857933056843E-2</v>
      </c>
      <c r="K1747" s="50">
        <f t="shared" si="228"/>
        <v>-1.2202880310593583E-2</v>
      </c>
      <c r="L1747" s="50">
        <f t="shared" si="229"/>
        <v>2.1598440084548594E-2</v>
      </c>
      <c r="P1747" s="50">
        <f t="shared" si="224"/>
        <v>2.1598440084548594E-2</v>
      </c>
      <c r="Q1747" s="51">
        <f t="shared" si="230"/>
        <v>96.249043796311724</v>
      </c>
      <c r="R1747" s="51">
        <f t="shared" si="231"/>
        <v>36.83771940335027</v>
      </c>
    </row>
    <row r="1748" spans="1:18" x14ac:dyDescent="0.15">
      <c r="A1748" s="59">
        <v>43441.75</v>
      </c>
      <c r="B1748">
        <v>24.161379</v>
      </c>
      <c r="C1748">
        <v>208.22352599999999</v>
      </c>
      <c r="D1748">
        <v>59.814182000000002</v>
      </c>
      <c r="E1748">
        <v>83.177002000000002</v>
      </c>
      <c r="F1748">
        <v>1234.349976</v>
      </c>
      <c r="H1748" s="50">
        <f t="shared" si="225"/>
        <v>1.6135587520607556E-3</v>
      </c>
      <c r="I1748" s="50">
        <f t="shared" si="226"/>
        <v>5.6953939143668626E-3</v>
      </c>
      <c r="J1748" s="50">
        <f t="shared" si="227"/>
        <v>1.6646615602315062E-2</v>
      </c>
      <c r="K1748" s="50">
        <f t="shared" si="228"/>
        <v>3.1115064473945494E-3</v>
      </c>
      <c r="L1748" s="50">
        <f t="shared" si="229"/>
        <v>-1.6603036974146782E-2</v>
      </c>
      <c r="P1748" s="50">
        <f t="shared" si="224"/>
        <v>-1.6603036974146782E-2</v>
      </c>
      <c r="Q1748" s="51">
        <f t="shared" si="230"/>
        <v>94.651017363435287</v>
      </c>
      <c r="R1748" s="51">
        <f t="shared" si="231"/>
        <v>36.8971592278995</v>
      </c>
    </row>
    <row r="1749" spans="1:18" x14ac:dyDescent="0.15">
      <c r="A1749" s="59">
        <v>43442.75</v>
      </c>
      <c r="B1749">
        <v>24.122456</v>
      </c>
      <c r="C1749">
        <v>207.04432700000001</v>
      </c>
      <c r="D1749">
        <v>58.834781999999997</v>
      </c>
      <c r="E1749">
        <v>82.918998999999999</v>
      </c>
      <c r="F1749">
        <v>1255.1899410000001</v>
      </c>
      <c r="H1749" s="50">
        <f t="shared" si="225"/>
        <v>1.2084918033873585E-2</v>
      </c>
      <c r="I1749" s="50">
        <f t="shared" si="226"/>
        <v>9.3934129930114046E-2</v>
      </c>
      <c r="J1749" s="50">
        <f t="shared" si="227"/>
        <v>-7.2949370993689996E-3</v>
      </c>
      <c r="K1749" s="50">
        <f t="shared" si="228"/>
        <v>4.1754899777810356E-2</v>
      </c>
      <c r="L1749" s="50">
        <f t="shared" si="229"/>
        <v>1.513985008860365E-2</v>
      </c>
      <c r="P1749" s="50">
        <f t="shared" si="224"/>
        <v>1.513985008860365E-2</v>
      </c>
      <c r="Q1749" s="51">
        <f t="shared" si="230"/>
        <v>96.084019577051521</v>
      </c>
      <c r="R1749" s="51">
        <f t="shared" si="231"/>
        <v>37.343058372851445</v>
      </c>
    </row>
    <row r="1750" spans="1:18" x14ac:dyDescent="0.15">
      <c r="A1750" s="59">
        <v>43445.75</v>
      </c>
      <c r="B1750">
        <v>23.834419</v>
      </c>
      <c r="C1750">
        <v>189.26580799999999</v>
      </c>
      <c r="D1750">
        <v>59.267131999999997</v>
      </c>
      <c r="E1750">
        <v>79.595496999999995</v>
      </c>
      <c r="F1750">
        <v>1236.469971</v>
      </c>
      <c r="H1750" s="50">
        <f t="shared" si="225"/>
        <v>1.1898191942003334E-2</v>
      </c>
      <c r="I1750" s="50">
        <f t="shared" si="226"/>
        <v>2.3883666322171003E-2</v>
      </c>
      <c r="J1750" s="50">
        <f t="shared" si="227"/>
        <v>4.4309829774546602E-2</v>
      </c>
      <c r="K1750" s="50">
        <f t="shared" si="228"/>
        <v>4.6682511215456184E-2</v>
      </c>
      <c r="L1750" s="50">
        <f t="shared" si="229"/>
        <v>8.7621182277029044E-3</v>
      </c>
      <c r="P1750" s="50">
        <f t="shared" si="224"/>
        <v>8.7621182277029044E-3</v>
      </c>
      <c r="Q1750" s="51">
        <f t="shared" si="230"/>
        <v>96.925919116378566</v>
      </c>
      <c r="R1750" s="51">
        <f t="shared" si="231"/>
        <v>37.78737324907307</v>
      </c>
    </row>
    <row r="1751" spans="1:18" x14ac:dyDescent="0.15">
      <c r="A1751" s="59">
        <v>43446.75</v>
      </c>
      <c r="B1751">
        <v>23.554167</v>
      </c>
      <c r="C1751">
        <v>184.85089099999999</v>
      </c>
      <c r="D1751">
        <v>56.752440999999997</v>
      </c>
      <c r="E1751">
        <v>76.045501999999999</v>
      </c>
      <c r="F1751">
        <v>1225.7299800000001</v>
      </c>
      <c r="H1751" s="50">
        <f t="shared" si="225"/>
        <v>-3.4036523808240364E-3</v>
      </c>
      <c r="I1751" s="50">
        <f t="shared" si="226"/>
        <v>-3.7441899258312439E-3</v>
      </c>
      <c r="J1751" s="50">
        <f t="shared" si="227"/>
        <v>-1.5158582409260664E-2</v>
      </c>
      <c r="K1751" s="50">
        <f t="shared" si="228"/>
        <v>-1.9703703033376076E-2</v>
      </c>
      <c r="L1751" s="50">
        <f t="shared" si="229"/>
        <v>1.14786310011768E-2</v>
      </c>
      <c r="P1751" s="50">
        <f t="shared" si="224"/>
        <v>1.14786310011768E-2</v>
      </c>
      <c r="Q1751" s="51">
        <f t="shared" si="230"/>
        <v>98.038495976365382</v>
      </c>
      <c r="R1751" s="51">
        <f t="shared" si="231"/>
        <v>37.658758166148772</v>
      </c>
    </row>
    <row r="1752" spans="1:18" x14ac:dyDescent="0.15">
      <c r="A1752" s="59">
        <v>43447.75</v>
      </c>
      <c r="B1752">
        <v>23.634611</v>
      </c>
      <c r="C1752">
        <v>185.54560900000001</v>
      </c>
      <c r="D1752">
        <v>57.625968999999998</v>
      </c>
      <c r="E1752">
        <v>77.573997000000006</v>
      </c>
      <c r="F1752">
        <v>1211.8199460000001</v>
      </c>
      <c r="H1752" s="50">
        <f t="shared" si="225"/>
        <v>5.8534527195558796E-3</v>
      </c>
      <c r="I1752" s="50">
        <f t="shared" si="226"/>
        <v>7.8447538407629448E-3</v>
      </c>
      <c r="J1752" s="50">
        <f t="shared" si="227"/>
        <v>3.9471397862861114E-2</v>
      </c>
      <c r="K1752" s="50">
        <f t="shared" si="228"/>
        <v>3.7723721479084101E-2</v>
      </c>
      <c r="L1752" s="50">
        <f t="shared" si="229"/>
        <v>-3.2326169031461462E-3</v>
      </c>
      <c r="P1752" s="50">
        <f t="shared" si="224"/>
        <v>-3.2326169031461462E-3</v>
      </c>
      <c r="Q1752" s="51">
        <f t="shared" si="230"/>
        <v>97.721575077113158</v>
      </c>
      <c r="R1752" s="51">
        <f t="shared" si="231"/>
        <v>37.879191926551513</v>
      </c>
    </row>
    <row r="1753" spans="1:18" x14ac:dyDescent="0.15">
      <c r="A1753" s="59">
        <v>43448.75</v>
      </c>
      <c r="B1753">
        <v>23.497071999999999</v>
      </c>
      <c r="C1753">
        <v>184.10137900000001</v>
      </c>
      <c r="D1753">
        <v>55.437762999999997</v>
      </c>
      <c r="E1753">
        <v>74.753997999999996</v>
      </c>
      <c r="F1753">
        <v>1215.75</v>
      </c>
      <c r="H1753" s="50">
        <f t="shared" si="225"/>
        <v>3.7465517082276314E-2</v>
      </c>
      <c r="I1753" s="50">
        <f t="shared" si="226"/>
        <v>2.1711631316726526E-2</v>
      </c>
      <c r="J1753" s="50">
        <f t="shared" si="227"/>
        <v>1.8314717756093325E-2</v>
      </c>
      <c r="K1753" s="50">
        <f t="shared" si="228"/>
        <v>2.3445604126180557E-2</v>
      </c>
      <c r="L1753" s="50">
        <f t="shared" si="229"/>
        <v>-3.2058392429049586E-3</v>
      </c>
      <c r="P1753" s="50">
        <f t="shared" si="224"/>
        <v>-3.2058392429049586E-3</v>
      </c>
      <c r="Q1753" s="51">
        <f t="shared" si="230"/>
        <v>97.408295416852468</v>
      </c>
      <c r="R1753" s="51">
        <f t="shared" si="231"/>
        <v>39.298355438738554</v>
      </c>
    </row>
    <row r="1754" spans="1:18" x14ac:dyDescent="0.15">
      <c r="A1754" s="59">
        <v>43449.75</v>
      </c>
      <c r="B1754">
        <v>22.648533</v>
      </c>
      <c r="C1754">
        <v>180.189178</v>
      </c>
      <c r="D1754">
        <v>54.440697</v>
      </c>
      <c r="E1754">
        <v>73.041495999999995</v>
      </c>
      <c r="F1754">
        <v>1219.660034</v>
      </c>
      <c r="H1754" s="50">
        <f t="shared" si="225"/>
        <v>1.7213916929936374E-3</v>
      </c>
      <c r="I1754" s="50">
        <f t="shared" si="226"/>
        <v>1.3417337815704075E-2</v>
      </c>
      <c r="J1754" s="50">
        <f t="shared" si="227"/>
        <v>9.324470228238636E-3</v>
      </c>
      <c r="K1754" s="50">
        <f t="shared" si="228"/>
        <v>6.0532115446139366E-2</v>
      </c>
      <c r="L1754" s="50">
        <f t="shared" si="229"/>
        <v>1.1872118708201663E-2</v>
      </c>
      <c r="P1754" s="50">
        <f t="shared" si="224"/>
        <v>1.1872118708201663E-2</v>
      </c>
      <c r="Q1754" s="51">
        <f t="shared" si="230"/>
        <v>98.564738263204916</v>
      </c>
      <c r="R1754" s="51">
        <f t="shared" si="231"/>
        <v>39.366003301339113</v>
      </c>
    </row>
    <row r="1755" spans="1:18" x14ac:dyDescent="0.15">
      <c r="A1755" s="59">
        <v>43452.75</v>
      </c>
      <c r="B1755">
        <v>22.609613</v>
      </c>
      <c r="C1755">
        <v>177.803528</v>
      </c>
      <c r="D1755">
        <v>53.937756</v>
      </c>
      <c r="E1755">
        <v>68.872497999999993</v>
      </c>
      <c r="F1755">
        <v>1205.349976</v>
      </c>
      <c r="H1755" s="50">
        <f t="shared" si="225"/>
        <v>1.5264568734632647E-2</v>
      </c>
      <c r="I1755" s="50">
        <f t="shared" si="226"/>
        <v>2.3843517986431674E-2</v>
      </c>
      <c r="J1755" s="50">
        <f t="shared" si="227"/>
        <v>-6.823739896165546E-3</v>
      </c>
      <c r="K1755" s="50">
        <f t="shared" si="228"/>
        <v>2.4918897137381903E-2</v>
      </c>
      <c r="L1755" s="50">
        <f t="shared" si="229"/>
        <v>-2.8961630210972446E-2</v>
      </c>
      <c r="P1755" s="50">
        <f t="shared" si="224"/>
        <v>-2.8961630210972446E-2</v>
      </c>
      <c r="Q1755" s="51">
        <f t="shared" si="230"/>
        <v>95.710142761784695</v>
      </c>
      <c r="R1755" s="51">
        <f t="shared" si="231"/>
        <v>39.966908364540181</v>
      </c>
    </row>
    <row r="1756" spans="1:18" x14ac:dyDescent="0.15">
      <c r="A1756" s="59">
        <v>43453.75</v>
      </c>
      <c r="B1756">
        <v>22.269676</v>
      </c>
      <c r="C1756">
        <v>173.66279599999999</v>
      </c>
      <c r="D1756">
        <v>54.308342000000003</v>
      </c>
      <c r="E1756">
        <v>67.197997999999998</v>
      </c>
      <c r="F1756">
        <v>1241.3000489999999</v>
      </c>
      <c r="H1756" s="50">
        <f t="shared" si="225"/>
        <v>-5.0768835149394745E-2</v>
      </c>
      <c r="I1756" s="50">
        <f t="shared" si="226"/>
        <v>-4.3497983146679471E-2</v>
      </c>
      <c r="J1756" s="50">
        <f t="shared" si="227"/>
        <v>-5.4676690776541172E-2</v>
      </c>
      <c r="K1756" s="50">
        <f t="shared" si="228"/>
        <v>-8.6300906555195067E-2</v>
      </c>
      <c r="L1756" s="50">
        <f t="shared" si="229"/>
        <v>-1.9457129067842573E-3</v>
      </c>
      <c r="P1756" s="50">
        <f t="shared" si="224"/>
        <v>-1.9457129067842573E-3</v>
      </c>
      <c r="Q1756" s="51">
        <f t="shared" si="230"/>
        <v>95.523918301702935</v>
      </c>
      <c r="R1756" s="51">
        <f t="shared" si="231"/>
        <v>37.937834982349877</v>
      </c>
    </row>
    <row r="1757" spans="1:18" x14ac:dyDescent="0.15">
      <c r="A1757" s="59">
        <v>43454.75</v>
      </c>
      <c r="B1757">
        <v>23.460750999999998</v>
      </c>
      <c r="C1757">
        <v>181.560303</v>
      </c>
      <c r="D1757">
        <v>57.449489999999997</v>
      </c>
      <c r="E1757">
        <v>73.544998000000007</v>
      </c>
      <c r="F1757">
        <v>1243.719971</v>
      </c>
      <c r="H1757" s="50">
        <f t="shared" si="225"/>
        <v>-1.2883353265074199E-2</v>
      </c>
      <c r="I1757" s="50">
        <f t="shared" si="226"/>
        <v>-1.2184135577468483E-2</v>
      </c>
      <c r="J1757" s="50">
        <f t="shared" si="227"/>
        <v>6.181318320449292E-3</v>
      </c>
      <c r="K1757" s="50">
        <f t="shared" si="228"/>
        <v>6.3353081971578937E-3</v>
      </c>
      <c r="L1757" s="50">
        <f t="shared" si="229"/>
        <v>-8.1977902711323873E-3</v>
      </c>
      <c r="P1757" s="50">
        <f t="shared" si="224"/>
        <v>-8.1977902711323873E-3</v>
      </c>
      <c r="Q1757" s="51">
        <f t="shared" si="230"/>
        <v>94.740833253588789</v>
      </c>
      <c r="R1757" s="51">
        <f t="shared" si="231"/>
        <v>37.449068452160176</v>
      </c>
    </row>
    <row r="1758" spans="1:18" x14ac:dyDescent="0.15">
      <c r="A1758" s="59">
        <v>43455.75</v>
      </c>
      <c r="B1758">
        <v>23.766949</v>
      </c>
      <c r="C1758">
        <v>183.799744</v>
      </c>
      <c r="D1758">
        <v>57.096558000000002</v>
      </c>
      <c r="E1758">
        <v>73.082001000000005</v>
      </c>
      <c r="F1758">
        <v>1254</v>
      </c>
      <c r="H1758" s="50">
        <f t="shared" si="225"/>
        <v>-5.8612358835715807E-3</v>
      </c>
      <c r="I1758" s="50">
        <f t="shared" si="226"/>
        <v>-4.7513820004736439E-3</v>
      </c>
      <c r="J1758" s="50">
        <f t="shared" si="227"/>
        <v>-3.848482187056627E-3</v>
      </c>
      <c r="K1758" s="50">
        <f t="shared" si="228"/>
        <v>-1.1082393863649946E-2</v>
      </c>
      <c r="L1758" s="50">
        <f t="shared" si="229"/>
        <v>-8.954151402387282E-3</v>
      </c>
      <c r="P1758" s="50">
        <f t="shared" si="224"/>
        <v>-8.954151402387282E-3</v>
      </c>
      <c r="Q1758" s="51">
        <f t="shared" si="230"/>
        <v>93.892509488647832</v>
      </c>
      <c r="R1758" s="51">
        <f t="shared" si="231"/>
        <v>37.229570628342046</v>
      </c>
    </row>
    <row r="1759" spans="1:18" x14ac:dyDescent="0.15">
      <c r="A1759" s="59">
        <v>43456.75</v>
      </c>
      <c r="B1759">
        <v>23.907074000000001</v>
      </c>
      <c r="C1759">
        <v>184.67721599999999</v>
      </c>
      <c r="D1759">
        <v>57.317141999999997</v>
      </c>
      <c r="E1759">
        <v>73.901000999999994</v>
      </c>
      <c r="F1759">
        <v>1265.329956</v>
      </c>
      <c r="H1759" s="50">
        <f t="shared" si="225"/>
        <v>-1.0950298120592101E-2</v>
      </c>
      <c r="I1759" s="50">
        <f t="shared" si="226"/>
        <v>-8.1981116007152459E-3</v>
      </c>
      <c r="J1759" s="50">
        <f t="shared" si="227"/>
        <v>-1.7097997300760281E-2</v>
      </c>
      <c r="K1759" s="50">
        <f t="shared" si="228"/>
        <v>-1.5945750609702568E-2</v>
      </c>
      <c r="L1759" s="50">
        <f t="shared" si="229"/>
        <v>-7.9101961964220114E-5</v>
      </c>
      <c r="P1759" s="50">
        <f t="shared" si="224"/>
        <v>-7.9101961964220114E-5</v>
      </c>
      <c r="Q1759" s="51">
        <f t="shared" si="230"/>
        <v>93.885082406933535</v>
      </c>
      <c r="R1759" s="51">
        <f t="shared" si="231"/>
        <v>36.82189573106006</v>
      </c>
    </row>
    <row r="1760" spans="1:18" x14ac:dyDescent="0.15">
      <c r="A1760" s="59">
        <v>43460.75</v>
      </c>
      <c r="B1760">
        <v>24.171762000000001</v>
      </c>
      <c r="C1760">
        <v>186.20373499999999</v>
      </c>
      <c r="D1760">
        <v>58.314197999999998</v>
      </c>
      <c r="E1760">
        <v>75.098502999999994</v>
      </c>
      <c r="F1760">
        <v>1265.4300539999999</v>
      </c>
      <c r="H1760" s="50">
        <f t="shared" si="225"/>
        <v>-2.0355010002862505E-3</v>
      </c>
      <c r="I1760" s="50">
        <f t="shared" si="226"/>
        <v>-5.1280187287358727E-3</v>
      </c>
      <c r="J1760" s="50">
        <f t="shared" si="227"/>
        <v>-5.2678118062611818E-3</v>
      </c>
      <c r="K1760" s="50">
        <f t="shared" si="228"/>
        <v>-2.4143432620120496E-2</v>
      </c>
      <c r="L1760" s="50">
        <f t="shared" si="229"/>
        <v>1.2635670121366896E-2</v>
      </c>
      <c r="P1760" s="50">
        <f t="shared" si="224"/>
        <v>1.2635670121366896E-2</v>
      </c>
      <c r="Q1760" s="51">
        <f t="shared" si="230"/>
        <v>95.071383337544887</v>
      </c>
      <c r="R1760" s="51">
        <f t="shared" si="231"/>
        <v>36.746944725467053</v>
      </c>
    </row>
    <row r="1761" spans="1:18" x14ac:dyDescent="0.15">
      <c r="A1761" s="59">
        <v>43461.75</v>
      </c>
      <c r="B1761">
        <v>24.221063999999998</v>
      </c>
      <c r="C1761">
        <v>187.16351299999999</v>
      </c>
      <c r="D1761">
        <v>58.623013</v>
      </c>
      <c r="E1761">
        <v>76.956496999999999</v>
      </c>
      <c r="F1761">
        <v>1249.6400149999999</v>
      </c>
      <c r="H1761" s="50">
        <f t="shared" si="225"/>
        <v>5.1691311595132017E-3</v>
      </c>
      <c r="I1761" s="50">
        <f t="shared" si="226"/>
        <v>2.1654654598478314E-2</v>
      </c>
      <c r="J1761" s="50">
        <f t="shared" si="227"/>
        <v>1.3886890351848697E-2</v>
      </c>
      <c r="K1761" s="50">
        <f t="shared" si="228"/>
        <v>2.5895126243101328E-2</v>
      </c>
      <c r="L1761" s="50">
        <f t="shared" si="229"/>
        <v>-1.0593660265179316E-2</v>
      </c>
      <c r="P1761" s="50">
        <f t="shared" si="224"/>
        <v>-1.0593660265179316E-2</v>
      </c>
      <c r="Q1761" s="51">
        <f t="shared" si="230"/>
        <v>94.064229401526305</v>
      </c>
      <c r="R1761" s="51">
        <f t="shared" si="231"/>
        <v>36.936894502464376</v>
      </c>
    </row>
    <row r="1762" spans="1:18" x14ac:dyDescent="0.15">
      <c r="A1762" s="59">
        <v>43462.75</v>
      </c>
      <c r="B1762">
        <v>24.096506000000002</v>
      </c>
      <c r="C1762">
        <v>183.19645700000001</v>
      </c>
      <c r="D1762">
        <v>57.820072000000003</v>
      </c>
      <c r="E1762">
        <v>75.013999999999996</v>
      </c>
      <c r="F1762">
        <v>1263.0200199999999</v>
      </c>
      <c r="H1762" s="50">
        <f t="shared" si="225"/>
        <v>-6.2071568326503828E-3</v>
      </c>
      <c r="I1762" s="50">
        <f t="shared" si="226"/>
        <v>-2.8219440632822494E-2</v>
      </c>
      <c r="J1762" s="50">
        <f t="shared" si="227"/>
        <v>-1.3548456616420101E-2</v>
      </c>
      <c r="K1762" s="50">
        <f t="shared" si="228"/>
        <v>-4.7677095224965424E-2</v>
      </c>
      <c r="L1762" s="50">
        <f t="shared" si="229"/>
        <v>4.3098315071850492E-3</v>
      </c>
      <c r="P1762" s="50">
        <f t="shared" si="224"/>
        <v>4.3098315071850492E-3</v>
      </c>
      <c r="Q1762" s="51">
        <f t="shared" si="230"/>
        <v>94.469630381100075</v>
      </c>
      <c r="R1762" s="51">
        <f t="shared" si="231"/>
        <v>36.707621405376521</v>
      </c>
    </row>
    <row r="1763" spans="1:18" x14ac:dyDescent="0.15">
      <c r="A1763" s="59">
        <v>43463.75</v>
      </c>
      <c r="B1763">
        <v>24.247011000000001</v>
      </c>
      <c r="C1763">
        <v>188.51628099999999</v>
      </c>
      <c r="D1763">
        <v>58.614204000000001</v>
      </c>
      <c r="E1763">
        <v>78.769501000000005</v>
      </c>
      <c r="F1763">
        <v>1257.599976</v>
      </c>
      <c r="H1763" s="50">
        <f t="shared" si="225"/>
        <v>-1.1635321929065913E-2</v>
      </c>
      <c r="I1763" s="50">
        <f t="shared" si="226"/>
        <v>-3.6715733356768544E-3</v>
      </c>
      <c r="J1763" s="50">
        <f t="shared" si="227"/>
        <v>-4.6641442076097765E-2</v>
      </c>
      <c r="K1763" s="50">
        <f t="shared" si="228"/>
        <v>-3.3212449553241173E-2</v>
      </c>
      <c r="L1763" s="50">
        <f t="shared" si="229"/>
        <v>-1.5238189357545276E-2</v>
      </c>
      <c r="P1763" s="50">
        <f t="shared" si="224"/>
        <v>-1.5238189357545276E-2</v>
      </c>
      <c r="Q1763" s="51">
        <f t="shared" si="230"/>
        <v>93.030084264815557</v>
      </c>
      <c r="R1763" s="51">
        <f t="shared" si="231"/>
        <v>36.280516413074693</v>
      </c>
    </row>
    <row r="1764" spans="1:18" x14ac:dyDescent="0.15">
      <c r="A1764" s="59">
        <v>43467.75</v>
      </c>
      <c r="B1764">
        <v>24.532454000000001</v>
      </c>
      <c r="C1764">
        <v>189.210983</v>
      </c>
      <c r="D1764">
        <v>61.481803999999997</v>
      </c>
      <c r="E1764">
        <v>81.475502000000006</v>
      </c>
      <c r="F1764">
        <v>1277.0600589999999</v>
      </c>
      <c r="H1764" s="50">
        <f t="shared" si="225"/>
        <v>-6.9326412269311508E-3</v>
      </c>
      <c r="I1764" s="50">
        <f t="shared" si="226"/>
        <v>-7.4321755925560893E-3</v>
      </c>
      <c r="J1764" s="50">
        <f t="shared" si="227"/>
        <v>1.0054045541999619E-3</v>
      </c>
      <c r="K1764" s="50">
        <f t="shared" si="228"/>
        <v>-1.6340894702558371E-2</v>
      </c>
      <c r="L1764" s="50">
        <f t="shared" si="229"/>
        <v>-1.8788850762819814E-4</v>
      </c>
      <c r="P1764" s="50">
        <f t="shared" si="224"/>
        <v>-1.8788850762819814E-4</v>
      </c>
      <c r="Q1764" s="51">
        <f t="shared" si="230"/>
        <v>93.012604981118514</v>
      </c>
      <c r="R1764" s="51">
        <f t="shared" si="231"/>
        <v>36.02899660925506</v>
      </c>
    </row>
    <row r="1765" spans="1:18" x14ac:dyDescent="0.15">
      <c r="A1765" s="59">
        <v>43468.75</v>
      </c>
      <c r="B1765">
        <v>24.703716</v>
      </c>
      <c r="C1765">
        <v>190.62776199999999</v>
      </c>
      <c r="D1765">
        <v>61.420051999999998</v>
      </c>
      <c r="E1765">
        <v>82.829002000000003</v>
      </c>
      <c r="F1765">
        <v>1277.3000489999999</v>
      </c>
      <c r="H1765" s="50">
        <f t="shared" si="225"/>
        <v>3.2669091851880243E-3</v>
      </c>
      <c r="I1765" s="50">
        <f t="shared" si="226"/>
        <v>-6.4316001720822902E-3</v>
      </c>
      <c r="J1765" s="50">
        <f t="shared" si="227"/>
        <v>-9.6741946950507311E-3</v>
      </c>
      <c r="K1765" s="50">
        <f t="shared" si="228"/>
        <v>-1.7114292739459469E-3</v>
      </c>
      <c r="L1765" s="50">
        <f t="shared" si="229"/>
        <v>-2.9350770665155564E-3</v>
      </c>
      <c r="P1765" s="50">
        <f t="shared" si="224"/>
        <v>-2.9350770665155564E-3</v>
      </c>
      <c r="Q1765" s="51">
        <f t="shared" si="230"/>
        <v>92.73960581734157</v>
      </c>
      <c r="R1765" s="51">
        <f t="shared" si="231"/>
        <v>36.146700069210944</v>
      </c>
    </row>
    <row r="1766" spans="1:18" x14ac:dyDescent="0.15">
      <c r="A1766" s="59">
        <v>43469.75</v>
      </c>
      <c r="B1766">
        <v>24.623273999999999</v>
      </c>
      <c r="C1766">
        <v>191.86174</v>
      </c>
      <c r="D1766">
        <v>62.020046000000001</v>
      </c>
      <c r="E1766">
        <v>82.971001000000001</v>
      </c>
      <c r="F1766">
        <v>1281.0600589999999</v>
      </c>
      <c r="H1766" s="50">
        <f t="shared" si="225"/>
        <v>-7.3733506596997285E-4</v>
      </c>
      <c r="I1766" s="50">
        <f t="shared" si="226"/>
        <v>-3.5131840512739616E-3</v>
      </c>
      <c r="J1766" s="50">
        <f t="shared" si="227"/>
        <v>2.9286857088687713E-2</v>
      </c>
      <c r="K1766" s="50">
        <f t="shared" si="228"/>
        <v>1.9321588411742067E-3</v>
      </c>
      <c r="L1766" s="50">
        <f t="shared" si="229"/>
        <v>2.5434140051639712E-3</v>
      </c>
      <c r="P1766" s="50">
        <f t="shared" si="224"/>
        <v>2.5434140051639712E-3</v>
      </c>
      <c r="Q1766" s="51">
        <f t="shared" si="230"/>
        <v>92.975481029610776</v>
      </c>
      <c r="R1766" s="51">
        <f t="shared" si="231"/>
        <v>36.120047839730816</v>
      </c>
    </row>
    <row r="1767" spans="1:18" x14ac:dyDescent="0.15">
      <c r="A1767" s="59">
        <v>43470.75</v>
      </c>
      <c r="B1767">
        <v>24.641442999999999</v>
      </c>
      <c r="C1767">
        <v>192.538162</v>
      </c>
      <c r="D1767">
        <v>60.255355999999999</v>
      </c>
      <c r="E1767">
        <v>82.810997</v>
      </c>
      <c r="F1767">
        <v>1277.8100589999999</v>
      </c>
      <c r="H1767" s="50">
        <f t="shared" si="225"/>
        <v>1.2652830294172549E-3</v>
      </c>
      <c r="I1767" s="50">
        <f t="shared" si="226"/>
        <v>6.1742748677831268E-4</v>
      </c>
      <c r="J1767" s="50">
        <f t="shared" si="227"/>
        <v>-1.896279736135683E-2</v>
      </c>
      <c r="K1767" s="50">
        <f t="shared" si="228"/>
        <v>9.5454844687179324E-3</v>
      </c>
      <c r="L1767" s="50">
        <f t="shared" si="229"/>
        <v>-2.2564941911207624E-3</v>
      </c>
      <c r="P1767" s="50">
        <f t="shared" si="224"/>
        <v>-2.2564941911207624E-3</v>
      </c>
      <c r="Q1767" s="51">
        <f t="shared" si="230"/>
        <v>92.765682396750805</v>
      </c>
      <c r="R1767" s="51">
        <f t="shared" si="231"/>
        <v>36.165749923284167</v>
      </c>
    </row>
    <row r="1768" spans="1:18" x14ac:dyDescent="0.15">
      <c r="A1768" s="59">
        <v>43473.75</v>
      </c>
      <c r="B1768">
        <v>24.610303999999999</v>
      </c>
      <c r="C1768">
        <v>192.41935699999999</v>
      </c>
      <c r="D1768">
        <v>61.420051999999998</v>
      </c>
      <c r="E1768">
        <v>82.028000000000006</v>
      </c>
      <c r="F1768">
        <v>1280.6999510000001</v>
      </c>
      <c r="H1768" s="50">
        <f t="shared" si="225"/>
        <v>-1.1582524860543795E-3</v>
      </c>
      <c r="I1768" s="50">
        <f t="shared" si="226"/>
        <v>7.2250343022722714E-3</v>
      </c>
      <c r="J1768" s="50">
        <f t="shared" si="227"/>
        <v>1.1185293539005527E-2</v>
      </c>
      <c r="K1768" s="50">
        <f t="shared" si="228"/>
        <v>1.4438484096876262E-2</v>
      </c>
      <c r="L1768" s="50">
        <f t="shared" si="229"/>
        <v>-8.8075083489647307E-3</v>
      </c>
      <c r="P1768" s="50">
        <f t="shared" si="224"/>
        <v>-8.8075083489647307E-3</v>
      </c>
      <c r="Q1768" s="51">
        <f t="shared" si="230"/>
        <v>91.948647874544008</v>
      </c>
      <c r="R1768" s="51">
        <f t="shared" si="231"/>
        <v>36.1238608535255</v>
      </c>
    </row>
    <row r="1769" spans="1:18" x14ac:dyDescent="0.15">
      <c r="A1769" s="59">
        <v>43474.75</v>
      </c>
      <c r="B1769">
        <v>24.638842</v>
      </c>
      <c r="C1769">
        <v>191.03909300000001</v>
      </c>
      <c r="D1769">
        <v>60.740650000000002</v>
      </c>
      <c r="E1769">
        <v>80.860496999999995</v>
      </c>
      <c r="F1769">
        <v>1292.079956</v>
      </c>
      <c r="H1769" s="50">
        <f t="shared" si="225"/>
        <v>-1.3506586374180068E-2</v>
      </c>
      <c r="I1769" s="50">
        <f t="shared" si="226"/>
        <v>-9.6194742333894113E-3</v>
      </c>
      <c r="J1769" s="50">
        <f t="shared" si="227"/>
        <v>9.2363075605596118E-3</v>
      </c>
      <c r="K1769" s="50">
        <f t="shared" si="228"/>
        <v>-3.4247803634906093E-2</v>
      </c>
      <c r="L1769" s="50">
        <f t="shared" si="229"/>
        <v>-3.0950111892644584E-4</v>
      </c>
      <c r="P1769" s="50">
        <f t="shared" si="224"/>
        <v>-3.0950111892644584E-4</v>
      </c>
      <c r="Q1769" s="51">
        <f t="shared" si="230"/>
        <v>91.920189665143056</v>
      </c>
      <c r="R1769" s="51">
        <f t="shared" si="231"/>
        <v>35.635950806738492</v>
      </c>
    </row>
    <row r="1770" spans="1:18" x14ac:dyDescent="0.15">
      <c r="A1770" s="59">
        <v>43475.75</v>
      </c>
      <c r="B1770">
        <v>24.976185000000001</v>
      </c>
      <c r="C1770">
        <v>192.89463799999999</v>
      </c>
      <c r="D1770">
        <v>60.184764999999999</v>
      </c>
      <c r="E1770">
        <v>83.727997000000002</v>
      </c>
      <c r="F1770">
        <v>1292.4799800000001</v>
      </c>
      <c r="H1770" s="50">
        <f t="shared" si="225"/>
        <v>-1.0378714072966997E-3</v>
      </c>
      <c r="I1770" s="50">
        <f t="shared" si="226"/>
        <v>4.0441984109780586E-3</v>
      </c>
      <c r="J1770" s="50">
        <f t="shared" si="227"/>
        <v>5.3057836101460783E-3</v>
      </c>
      <c r="K1770" s="50">
        <f t="shared" si="228"/>
        <v>-5.4758458180101926E-3</v>
      </c>
      <c r="L1770" s="50">
        <f t="shared" si="229"/>
        <v>-2.3311617136240305E-3</v>
      </c>
      <c r="P1770" s="50">
        <f t="shared" si="224"/>
        <v>-2.3311617136240305E-3</v>
      </c>
      <c r="Q1770" s="51">
        <f t="shared" si="230"/>
        <v>91.705908838286618</v>
      </c>
      <c r="R1770" s="51">
        <f t="shared" si="231"/>
        <v>35.598965272324342</v>
      </c>
    </row>
    <row r="1771" spans="1:18" x14ac:dyDescent="0.15">
      <c r="A1771" s="59">
        <v>43476.75</v>
      </c>
      <c r="B1771">
        <v>25.002134000000002</v>
      </c>
      <c r="C1771">
        <v>192.11767599999999</v>
      </c>
      <c r="D1771">
        <v>59.867122999999999</v>
      </c>
      <c r="E1771">
        <v>84.189003</v>
      </c>
      <c r="F1771">
        <v>1295.5</v>
      </c>
      <c r="H1771" s="50">
        <f t="shared" si="225"/>
        <v>-4.0314957317628113E-3</v>
      </c>
      <c r="I1771" s="50">
        <f t="shared" si="226"/>
        <v>-6.0532976272510437E-3</v>
      </c>
      <c r="J1771" s="50">
        <f t="shared" si="227"/>
        <v>-2.1911461464547491E-2</v>
      </c>
      <c r="K1771" s="50">
        <f t="shared" si="228"/>
        <v>-5.5751760937676849E-3</v>
      </c>
      <c r="L1771" s="50">
        <f t="shared" si="229"/>
        <v>4.9725264869527313E-3</v>
      </c>
      <c r="P1771" s="50">
        <f t="shared" si="224"/>
        <v>4.9725264869527313E-3</v>
      </c>
      <c r="Q1771" s="51">
        <f t="shared" si="230"/>
        <v>92.161918898995069</v>
      </c>
      <c r="R1771" s="51">
        <f t="shared" si="231"/>
        <v>35.455448195773798</v>
      </c>
    </row>
    <row r="1772" spans="1:18" x14ac:dyDescent="0.15">
      <c r="A1772" s="59">
        <v>43477.75</v>
      </c>
      <c r="B1772">
        <v>25.103338000000001</v>
      </c>
      <c r="C1772">
        <v>193.28770399999999</v>
      </c>
      <c r="D1772">
        <v>61.208286000000001</v>
      </c>
      <c r="E1772">
        <v>84.661002999999994</v>
      </c>
      <c r="F1772">
        <v>1289.089966</v>
      </c>
      <c r="H1772" s="50">
        <f t="shared" si="225"/>
        <v>-1.0129992081698631E-2</v>
      </c>
      <c r="I1772" s="50">
        <f t="shared" si="226"/>
        <v>-9.9722572789006734E-3</v>
      </c>
      <c r="J1772" s="50">
        <f t="shared" si="227"/>
        <v>-1.8534251379867077E-2</v>
      </c>
      <c r="K1772" s="50">
        <f t="shared" si="228"/>
        <v>-1.7568093799506909E-3</v>
      </c>
      <c r="L1772" s="50">
        <f t="shared" si="229"/>
        <v>-3.5403757095885556E-3</v>
      </c>
      <c r="P1772" s="50">
        <f t="shared" si="224"/>
        <v>-3.5403757095885556E-3</v>
      </c>
      <c r="Q1772" s="51">
        <f t="shared" si="230"/>
        <v>91.835631079975997</v>
      </c>
      <c r="R1772" s="51">
        <f t="shared" si="231"/>
        <v>35.096284786297531</v>
      </c>
    </row>
    <row r="1773" spans="1:18" x14ac:dyDescent="0.15">
      <c r="A1773" s="59">
        <v>43481.75</v>
      </c>
      <c r="B1773">
        <v>25.360237000000001</v>
      </c>
      <c r="C1773">
        <v>195.234634</v>
      </c>
      <c r="D1773">
        <v>62.364159000000001</v>
      </c>
      <c r="E1773">
        <v>84.809997999999993</v>
      </c>
      <c r="F1773">
        <v>1293.670044</v>
      </c>
      <c r="H1773" s="50">
        <f t="shared" si="225"/>
        <v>2.4619381289910478E-3</v>
      </c>
      <c r="I1773" s="50">
        <f t="shared" si="226"/>
        <v>5.6026546002569191E-3</v>
      </c>
      <c r="J1773" s="50">
        <f t="shared" si="227"/>
        <v>5.6916156214646147E-3</v>
      </c>
      <c r="K1773" s="50">
        <f t="shared" si="228"/>
        <v>3.9229983132393835E-2</v>
      </c>
      <c r="L1773" s="50">
        <f t="shared" si="229"/>
        <v>-1.0985898421722561E-2</v>
      </c>
      <c r="P1773" s="50">
        <f t="shared" si="224"/>
        <v>-1.0985898421722561E-2</v>
      </c>
      <c r="Q1773" s="51">
        <f t="shared" si="230"/>
        <v>90.826734165436591</v>
      </c>
      <c r="R1773" s="51">
        <f t="shared" si="231"/>
        <v>35.182689667998844</v>
      </c>
    </row>
    <row r="1774" spans="1:18" x14ac:dyDescent="0.15">
      <c r="A1774" s="59">
        <v>43482.75</v>
      </c>
      <c r="B1774">
        <v>25.297955000000002</v>
      </c>
      <c r="C1774">
        <v>194.146896</v>
      </c>
      <c r="D1774">
        <v>62.011215</v>
      </c>
      <c r="E1774">
        <v>81.608497999999997</v>
      </c>
      <c r="F1774">
        <v>1308.040039</v>
      </c>
      <c r="H1774" s="50">
        <f t="shared" si="225"/>
        <v>-1.2359504590713206E-2</v>
      </c>
      <c r="I1774" s="50">
        <f t="shared" si="226"/>
        <v>1.4613884218565945E-3</v>
      </c>
      <c r="J1774" s="50">
        <f t="shared" si="227"/>
        <v>-5.6883135842502241E-4</v>
      </c>
      <c r="K1774" s="50">
        <f t="shared" si="228"/>
        <v>-4.7865392469181476E-3</v>
      </c>
      <c r="L1774" s="50">
        <f t="shared" si="229"/>
        <v>-4.9143864587295714E-3</v>
      </c>
      <c r="P1774" s="50">
        <f t="shared" si="224"/>
        <v>-4.9143864587295714E-3</v>
      </c>
      <c r="Q1774" s="51">
        <f t="shared" si="230"/>
        <v>90.380376492963336</v>
      </c>
      <c r="R1774" s="51">
        <f t="shared" si="231"/>
        <v>34.747849053533571</v>
      </c>
    </row>
    <row r="1775" spans="1:18" x14ac:dyDescent="0.15">
      <c r="A1775" s="59">
        <v>43483.75</v>
      </c>
      <c r="B1775">
        <v>25.614538</v>
      </c>
      <c r="C1775">
        <v>193.863586</v>
      </c>
      <c r="D1775">
        <v>62.046509</v>
      </c>
      <c r="E1775">
        <v>82.000998999999993</v>
      </c>
      <c r="F1775">
        <v>1314.5</v>
      </c>
      <c r="H1775" s="50">
        <f t="shared" si="225"/>
        <v>3.5581803906326636E-3</v>
      </c>
      <c r="I1775" s="50">
        <f t="shared" si="226"/>
        <v>8.4636028570047681E-3</v>
      </c>
      <c r="J1775" s="50">
        <f t="shared" si="227"/>
        <v>-4.1071615304675967E-3</v>
      </c>
      <c r="K1775" s="50">
        <f t="shared" si="228"/>
        <v>-9.0094326408835992E-3</v>
      </c>
      <c r="L1775" s="50">
        <f t="shared" si="229"/>
        <v>-6.6901199399027112E-4</v>
      </c>
      <c r="P1775" s="50">
        <f t="shared" si="224"/>
        <v>-6.6901199399027112E-4</v>
      </c>
      <c r="Q1775" s="51">
        <f t="shared" si="230"/>
        <v>90.319910937068187</v>
      </c>
      <c r="R1775" s="51">
        <f t="shared" si="231"/>
        <v>34.871488168652519</v>
      </c>
    </row>
    <row r="1776" spans="1:18" x14ac:dyDescent="0.15">
      <c r="A1776" s="59">
        <v>43484.75</v>
      </c>
      <c r="B1776">
        <v>25.523720000000001</v>
      </c>
      <c r="C1776">
        <v>192.236572</v>
      </c>
      <c r="D1776">
        <v>62.302394999999997</v>
      </c>
      <c r="E1776">
        <v>82.746498000000003</v>
      </c>
      <c r="F1776">
        <v>1315.380005</v>
      </c>
      <c r="H1776" s="50">
        <f t="shared" si="225"/>
        <v>1.4648361293515192E-2</v>
      </c>
      <c r="I1776" s="50">
        <f t="shared" si="226"/>
        <v>5.9311067549870965E-3</v>
      </c>
      <c r="J1776" s="50">
        <f t="shared" si="227"/>
        <v>-2.4588871794713699E-2</v>
      </c>
      <c r="K1776" s="50">
        <f t="shared" si="228"/>
        <v>-9.3621335461979739E-3</v>
      </c>
      <c r="L1776" s="50">
        <f t="shared" si="229"/>
        <v>-4.7112082066870606E-4</v>
      </c>
      <c r="P1776" s="50">
        <f t="shared" si="224"/>
        <v>-4.7112082066870606E-4</v>
      </c>
      <c r="Q1776" s="51">
        <f t="shared" si="230"/>
        <v>90.277359346504795</v>
      </c>
      <c r="R1776" s="51">
        <f t="shared" si="231"/>
        <v>35.382298326189478</v>
      </c>
    </row>
    <row r="1777" spans="1:18" x14ac:dyDescent="0.15">
      <c r="A1777" s="59">
        <v>43487.75</v>
      </c>
      <c r="B1777">
        <v>25.155237</v>
      </c>
      <c r="C1777">
        <v>191.10311899999999</v>
      </c>
      <c r="D1777">
        <v>63.872959000000002</v>
      </c>
      <c r="E1777">
        <v>83.528503000000001</v>
      </c>
      <c r="F1777">
        <v>1316</v>
      </c>
      <c r="H1777" s="50">
        <f t="shared" si="225"/>
        <v>-1.2363033584627445E-3</v>
      </c>
      <c r="I1777" s="50">
        <f t="shared" si="226"/>
        <v>-8.0656751333255516E-3</v>
      </c>
      <c r="J1777" s="50">
        <f t="shared" si="227"/>
        <v>3.743615809824657E-3</v>
      </c>
      <c r="K1777" s="50">
        <f t="shared" si="228"/>
        <v>1.9952524040655614E-2</v>
      </c>
      <c r="L1777" s="50">
        <f t="shared" si="229"/>
        <v>1.0268710115658656E-3</v>
      </c>
      <c r="P1777" s="50">
        <f t="shared" si="224"/>
        <v>1.0268710115658656E-3</v>
      </c>
      <c r="Q1777" s="51">
        <f t="shared" si="230"/>
        <v>90.370062549818442</v>
      </c>
      <c r="R1777" s="51">
        <f t="shared" si="231"/>
        <v>35.338555071938679</v>
      </c>
    </row>
    <row r="1778" spans="1:18" x14ac:dyDescent="0.15">
      <c r="A1778" s="59">
        <v>43488.75</v>
      </c>
      <c r="B1778">
        <v>25.186375000000002</v>
      </c>
      <c r="C1778">
        <v>192.657028</v>
      </c>
      <c r="D1778">
        <v>63.634734999999999</v>
      </c>
      <c r="E1778">
        <v>81.894501000000005</v>
      </c>
      <c r="F1778">
        <v>1314.650024</v>
      </c>
      <c r="H1778" s="50">
        <f t="shared" si="225"/>
        <v>3.6189275902077374E-3</v>
      </c>
      <c r="I1778" s="50">
        <f t="shared" si="226"/>
        <v>2.1871800751836206E-3</v>
      </c>
      <c r="J1778" s="50">
        <f t="shared" si="227"/>
        <v>5.8576932184644728E-3</v>
      </c>
      <c r="K1778" s="50">
        <f t="shared" si="228"/>
        <v>2.7611877933094119E-2</v>
      </c>
      <c r="L1778" s="50">
        <f t="shared" si="229"/>
        <v>-8.6044632160962187E-3</v>
      </c>
      <c r="P1778" s="50">
        <f t="shared" si="224"/>
        <v>-8.6044632160962187E-3</v>
      </c>
      <c r="Q1778" s="51">
        <f t="shared" si="230"/>
        <v>89.592476670772214</v>
      </c>
      <c r="R1778" s="51">
        <f t="shared" si="231"/>
        <v>35.466442743886589</v>
      </c>
    </row>
    <row r="1779" spans="1:18" x14ac:dyDescent="0.15">
      <c r="A1779" s="59">
        <v>43489.75</v>
      </c>
      <c r="B1779">
        <v>25.095555999999998</v>
      </c>
      <c r="C1779">
        <v>192.236572</v>
      </c>
      <c r="D1779">
        <v>63.264153</v>
      </c>
      <c r="E1779">
        <v>79.694000000000003</v>
      </c>
      <c r="F1779">
        <v>1326.0600589999999</v>
      </c>
      <c r="H1779" s="50">
        <f t="shared" si="225"/>
        <v>2.0147704521363437E-2</v>
      </c>
      <c r="I1779" s="50">
        <f t="shared" si="226"/>
        <v>-4.9205753649347031E-3</v>
      </c>
      <c r="J1779" s="50">
        <f t="shared" si="227"/>
        <v>-8.7102575081351476E-3</v>
      </c>
      <c r="K1779" s="50">
        <f t="shared" si="228"/>
        <v>-4.5826523709464037E-2</v>
      </c>
      <c r="L1779" s="50">
        <f t="shared" si="229"/>
        <v>5.7871898299429875E-3</v>
      </c>
      <c r="P1779" s="50">
        <f t="shared" si="224"/>
        <v>5.7871898299429875E-3</v>
      </c>
      <c r="Q1779" s="51">
        <f t="shared" si="230"/>
        <v>90.110965340600714</v>
      </c>
      <c r="R1779" s="51">
        <f t="shared" si="231"/>
        <v>36.181010152714265</v>
      </c>
    </row>
    <row r="1780" spans="1:18" x14ac:dyDescent="0.15">
      <c r="A1780" s="59">
        <v>43490.75</v>
      </c>
      <c r="B1780">
        <v>24.599924000000001</v>
      </c>
      <c r="C1780">
        <v>193.187164</v>
      </c>
      <c r="D1780">
        <v>63.820042000000001</v>
      </c>
      <c r="E1780">
        <v>83.521500000000003</v>
      </c>
      <c r="F1780">
        <v>1318.4300539999999</v>
      </c>
      <c r="H1780" s="50">
        <f t="shared" si="225"/>
        <v>-1.0748014744082312E-2</v>
      </c>
      <c r="I1780" s="50">
        <f t="shared" si="226"/>
        <v>-1.5282179419933454E-2</v>
      </c>
      <c r="J1780" s="50">
        <f t="shared" si="227"/>
        <v>-9.1778912801207448E-3</v>
      </c>
      <c r="K1780" s="50">
        <f t="shared" si="228"/>
        <v>-2.8102156498086926E-2</v>
      </c>
      <c r="L1780" s="50">
        <f t="shared" si="229"/>
        <v>1.5954191351700037E-3</v>
      </c>
      <c r="P1780" s="50">
        <f t="shared" si="224"/>
        <v>1.5954191351700037E-3</v>
      </c>
      <c r="Q1780" s="51">
        <f t="shared" si="230"/>
        <v>90.254730098993747</v>
      </c>
      <c r="R1780" s="51">
        <f t="shared" si="231"/>
        <v>35.792136122137101</v>
      </c>
    </row>
    <row r="1781" spans="1:18" x14ac:dyDescent="0.15">
      <c r="A1781" s="59">
        <v>43491.75</v>
      </c>
      <c r="B1781">
        <v>24.867197000000001</v>
      </c>
      <c r="C1781">
        <v>196.185303</v>
      </c>
      <c r="D1781">
        <v>64.411201000000005</v>
      </c>
      <c r="E1781">
        <v>85.936501000000007</v>
      </c>
      <c r="F1781">
        <v>1316.329956</v>
      </c>
      <c r="H1781" s="50">
        <f t="shared" si="225"/>
        <v>2.0988502997680195E-2</v>
      </c>
      <c r="I1781" s="50">
        <f t="shared" si="226"/>
        <v>2.0735203237282094E-2</v>
      </c>
      <c r="J1781" s="50">
        <f t="shared" si="227"/>
        <v>2.5713216091450799E-2</v>
      </c>
      <c r="K1781" s="50">
        <f t="shared" si="228"/>
        <v>5.6880022421428422E-2</v>
      </c>
      <c r="L1781" s="50">
        <f t="shared" si="229"/>
        <v>2.5285001444886723E-3</v>
      </c>
      <c r="P1781" s="50">
        <f t="shared" si="224"/>
        <v>2.5285001444886723E-3</v>
      </c>
      <c r="Q1781" s="51">
        <f t="shared" si="230"/>
        <v>90.482939197089834</v>
      </c>
      <c r="R1781" s="51">
        <f t="shared" si="231"/>
        <v>36.543359478429956</v>
      </c>
    </row>
    <row r="1782" spans="1:18" x14ac:dyDescent="0.15">
      <c r="A1782" s="59">
        <v>43494.75</v>
      </c>
      <c r="B1782">
        <v>24.356000999999999</v>
      </c>
      <c r="C1782">
        <v>192.199997</v>
      </c>
      <c r="D1782">
        <v>62.796500999999999</v>
      </c>
      <c r="E1782">
        <v>81.311501000000007</v>
      </c>
      <c r="F1782">
        <v>1313.01001</v>
      </c>
      <c r="H1782" s="50">
        <f t="shared" si="225"/>
        <v>-9.6019727283529911E-3</v>
      </c>
      <c r="I1782" s="50">
        <f t="shared" si="226"/>
        <v>-4.3089128227058963E-3</v>
      </c>
      <c r="J1782" s="50">
        <f t="shared" si="227"/>
        <v>-1.7531884431280731E-2</v>
      </c>
      <c r="K1782" s="50">
        <f t="shared" si="228"/>
        <v>-4.3347069815787087E-3</v>
      </c>
      <c r="L1782" s="50">
        <f t="shared" si="229"/>
        <v>4.5715590741968502E-4</v>
      </c>
      <c r="P1782" s="50">
        <f t="shared" si="224"/>
        <v>4.5715590741968502E-4</v>
      </c>
      <c r="Q1782" s="51">
        <f t="shared" si="230"/>
        <v>90.52430400726449</v>
      </c>
      <c r="R1782" s="51">
        <f t="shared" si="231"/>
        <v>36.192471137315671</v>
      </c>
    </row>
    <row r="1783" spans="1:18" x14ac:dyDescent="0.15">
      <c r="A1783" s="59">
        <v>43495.75</v>
      </c>
      <c r="B1783">
        <v>24.592134000000001</v>
      </c>
      <c r="C1783">
        <v>193.03175400000001</v>
      </c>
      <c r="D1783">
        <v>63.917088</v>
      </c>
      <c r="E1783">
        <v>81.665497000000002</v>
      </c>
      <c r="F1783">
        <v>1312.410034</v>
      </c>
      <c r="H1783" s="50">
        <f t="shared" si="225"/>
        <v>-8.6819669783893532E-3</v>
      </c>
      <c r="I1783" s="50">
        <f t="shared" si="226"/>
        <v>-2.0321383781047569E-3</v>
      </c>
      <c r="J1783" s="50">
        <f t="shared" si="227"/>
        <v>-4.5349144838312911E-3</v>
      </c>
      <c r="K1783" s="50">
        <f t="shared" si="228"/>
        <v>-1.5372478231321967E-2</v>
      </c>
      <c r="L1783" s="50">
        <f t="shared" si="229"/>
        <v>-8.8211015111642407E-3</v>
      </c>
      <c r="P1783" s="50">
        <f t="shared" si="224"/>
        <v>-8.8211015111642407E-3</v>
      </c>
      <c r="Q1783" s="51">
        <f t="shared" si="230"/>
        <v>89.725779932388917</v>
      </c>
      <c r="R1783" s="51">
        <f t="shared" si="231"/>
        <v>35.878249298035186</v>
      </c>
    </row>
    <row r="1784" spans="1:18" x14ac:dyDescent="0.15">
      <c r="A1784" s="59">
        <v>43496.75</v>
      </c>
      <c r="B1784">
        <v>24.807511999999999</v>
      </c>
      <c r="C1784">
        <v>193.42482000000001</v>
      </c>
      <c r="D1784">
        <v>64.208267000000006</v>
      </c>
      <c r="E1784">
        <v>82.940498000000005</v>
      </c>
      <c r="F1784">
        <v>1324.089966</v>
      </c>
      <c r="H1784" s="50">
        <f t="shared" si="225"/>
        <v>-4.1832719569194276E-4</v>
      </c>
      <c r="I1784" s="50">
        <f t="shared" si="226"/>
        <v>4.7333291230682476E-5</v>
      </c>
      <c r="J1784" s="50">
        <f t="shared" si="227"/>
        <v>3.5856844524221119E-3</v>
      </c>
      <c r="K1784" s="50">
        <f t="shared" si="228"/>
        <v>1.1309158304171289E-2</v>
      </c>
      <c r="L1784" s="50">
        <f t="shared" si="229"/>
        <v>-1.0939488490245258E-3</v>
      </c>
      <c r="P1784" s="50">
        <f t="shared" si="224"/>
        <v>-1.0939488490245258E-3</v>
      </c>
      <c r="Q1784" s="51">
        <f t="shared" si="230"/>
        <v>89.627624518704053</v>
      </c>
      <c r="R1784" s="51">
        <f t="shared" si="231"/>
        <v>35.863240450620005</v>
      </c>
    </row>
    <row r="1785" spans="1:18" x14ac:dyDescent="0.15">
      <c r="A1785" s="59">
        <v>43497.75</v>
      </c>
      <c r="B1785">
        <v>24.817893999999999</v>
      </c>
      <c r="C1785">
        <v>193.41566499999999</v>
      </c>
      <c r="D1785">
        <v>63.978859</v>
      </c>
      <c r="E1785">
        <v>82.013000000000005</v>
      </c>
      <c r="F1785">
        <v>1325.540039</v>
      </c>
      <c r="H1785" s="50">
        <f t="shared" si="225"/>
        <v>-1.1268393332961304E-2</v>
      </c>
      <c r="I1785" s="50">
        <f t="shared" si="226"/>
        <v>9.471394182169383E-3</v>
      </c>
      <c r="J1785" s="50">
        <f t="shared" si="227"/>
        <v>9.0455496930438653E-3</v>
      </c>
      <c r="K1785" s="50">
        <f t="shared" si="228"/>
        <v>1.6037240930821192E-2</v>
      </c>
      <c r="L1785" s="50">
        <f t="shared" si="229"/>
        <v>-1.4395110903797598E-2</v>
      </c>
      <c r="P1785" s="50">
        <f t="shared" si="224"/>
        <v>-1.4395110903797598E-2</v>
      </c>
      <c r="Q1785" s="51">
        <f t="shared" si="230"/>
        <v>88.337424923713371</v>
      </c>
      <c r="R1785" s="51">
        <f t="shared" si="231"/>
        <v>35.459119351027852</v>
      </c>
    </row>
    <row r="1786" spans="1:18" x14ac:dyDescent="0.15">
      <c r="A1786" s="59">
        <v>43498.75</v>
      </c>
      <c r="B1786">
        <v>25.100739000000001</v>
      </c>
      <c r="C1786">
        <v>191.60093699999999</v>
      </c>
      <c r="D1786">
        <v>63.405323000000003</v>
      </c>
      <c r="E1786">
        <v>80.718497999999997</v>
      </c>
      <c r="F1786">
        <v>1344.900024</v>
      </c>
      <c r="H1786" s="50">
        <f t="shared" si="225"/>
        <v>1.2031653805372933E-2</v>
      </c>
      <c r="I1786" s="50">
        <f t="shared" si="226"/>
        <v>6.2575574312783719E-3</v>
      </c>
      <c r="J1786" s="50">
        <f t="shared" si="227"/>
        <v>1.3826148560998631E-2</v>
      </c>
      <c r="K1786" s="50">
        <f t="shared" si="228"/>
        <v>1.6464909780827264E-2</v>
      </c>
      <c r="L1786" s="50">
        <f t="shared" si="229"/>
        <v>4.2405363166659362E-4</v>
      </c>
      <c r="P1786" s="50">
        <f t="shared" si="224"/>
        <v>4.2405363166659362E-4</v>
      </c>
      <c r="Q1786" s="51">
        <f t="shared" si="230"/>
        <v>88.374884729564357</v>
      </c>
      <c r="R1786" s="51">
        <f t="shared" si="231"/>
        <v>35.885751199302817</v>
      </c>
    </row>
    <row r="1787" spans="1:18" x14ac:dyDescent="0.15">
      <c r="A1787" s="59">
        <v>43501.75</v>
      </c>
      <c r="B1787">
        <v>24.802326000000001</v>
      </c>
      <c r="C1787">
        <v>190.40943899999999</v>
      </c>
      <c r="D1787">
        <v>62.540627000000001</v>
      </c>
      <c r="E1787">
        <v>79.411002999999994</v>
      </c>
      <c r="F1787">
        <v>1344.329956</v>
      </c>
      <c r="H1787" s="50">
        <f t="shared" si="225"/>
        <v>-6.4449636350897175E-3</v>
      </c>
      <c r="I1787" s="50">
        <f t="shared" si="226"/>
        <v>-4.6473086647189502E-3</v>
      </c>
      <c r="J1787" s="50">
        <f t="shared" si="227"/>
        <v>1.0406141876499245E-2</v>
      </c>
      <c r="K1787" s="50">
        <f t="shared" si="228"/>
        <v>-1.747328658177549E-3</v>
      </c>
      <c r="L1787" s="50">
        <f t="shared" si="229"/>
        <v>-2.0192961664781514E-3</v>
      </c>
      <c r="P1787" s="50">
        <f t="shared" si="224"/>
        <v>-2.0192961664781514E-3</v>
      </c>
      <c r="Q1787" s="51">
        <f t="shared" si="230"/>
        <v>88.196429663616996</v>
      </c>
      <c r="R1787" s="51">
        <f t="shared" si="231"/>
        <v>35.654468837805432</v>
      </c>
    </row>
    <row r="1788" spans="1:18" x14ac:dyDescent="0.15">
      <c r="A1788" s="59">
        <v>43502.75</v>
      </c>
      <c r="B1788">
        <v>24.963213</v>
      </c>
      <c r="C1788">
        <v>191.298462</v>
      </c>
      <c r="D1788">
        <v>61.896523000000002</v>
      </c>
      <c r="E1788">
        <v>79.550003000000004</v>
      </c>
      <c r="F1788">
        <v>1347.0500489999999</v>
      </c>
      <c r="H1788" s="50">
        <f t="shared" si="225"/>
        <v>-7.9405410026085841E-3</v>
      </c>
      <c r="I1788" s="50">
        <f t="shared" si="226"/>
        <v>-1.5007366470547182E-2</v>
      </c>
      <c r="J1788" s="50">
        <f t="shared" si="227"/>
        <v>-3.6925646195990814E-3</v>
      </c>
      <c r="K1788" s="50">
        <f t="shared" si="228"/>
        <v>-2.8699386280891526E-2</v>
      </c>
      <c r="L1788" s="50">
        <f t="shared" si="229"/>
        <v>-2.1555543009175787E-3</v>
      </c>
      <c r="P1788" s="50">
        <f t="shared" si="224"/>
        <v>-2.1555543009175787E-3</v>
      </c>
      <c r="Q1788" s="51">
        <f t="shared" si="230"/>
        <v>88.006317470330004</v>
      </c>
      <c r="R1788" s="51">
        <f t="shared" si="231"/>
        <v>35.371353066072608</v>
      </c>
    </row>
    <row r="1789" spans="1:18" x14ac:dyDescent="0.15">
      <c r="A1789" s="59">
        <v>43503.75</v>
      </c>
      <c r="B1789">
        <v>25.163021000000001</v>
      </c>
      <c r="C1789">
        <v>194.213089</v>
      </c>
      <c r="D1789">
        <v>62.125926999999997</v>
      </c>
      <c r="E1789">
        <v>81.900497000000001</v>
      </c>
      <c r="F1789">
        <v>1349.959961</v>
      </c>
      <c r="H1789" s="50">
        <f t="shared" si="225"/>
        <v>-9.9041374900195774E-3</v>
      </c>
      <c r="I1789" s="50">
        <f t="shared" si="226"/>
        <v>-4.2290699596167457E-3</v>
      </c>
      <c r="J1789" s="50">
        <f t="shared" si="227"/>
        <v>-2.9764461248387056E-2</v>
      </c>
      <c r="K1789" s="50">
        <f t="shared" si="228"/>
        <v>-1.2134512195121777E-3</v>
      </c>
      <c r="L1789" s="50">
        <f t="shared" si="229"/>
        <v>-1.4719405836940145E-3</v>
      </c>
      <c r="P1789" s="50">
        <f t="shared" si="224"/>
        <v>-1.4719405836940145E-3</v>
      </c>
      <c r="Q1789" s="51">
        <f t="shared" si="230"/>
        <v>87.876777400023968</v>
      </c>
      <c r="R1789" s="51">
        <f t="shared" si="231"/>
        <v>35.021030322098198</v>
      </c>
    </row>
    <row r="1790" spans="1:18" x14ac:dyDescent="0.15">
      <c r="A1790" s="59">
        <v>43504.75</v>
      </c>
      <c r="B1790">
        <v>25.414732000000001</v>
      </c>
      <c r="C1790">
        <v>195.03791799999999</v>
      </c>
      <c r="D1790">
        <v>64.031799000000007</v>
      </c>
      <c r="E1790">
        <v>82</v>
      </c>
      <c r="F1790">
        <v>1351.9499510000001</v>
      </c>
      <c r="H1790" s="50">
        <f t="shared" si="225"/>
        <v>-5.8870958246934699E-3</v>
      </c>
      <c r="I1790" s="50">
        <f t="shared" si="226"/>
        <v>-4.8634907788857873E-3</v>
      </c>
      <c r="J1790" s="50">
        <f t="shared" si="227"/>
        <v>5.4033060556851519E-3</v>
      </c>
      <c r="K1790" s="50">
        <f t="shared" si="228"/>
        <v>1.0692385911934266E-2</v>
      </c>
      <c r="L1790" s="50">
        <f t="shared" si="229"/>
        <v>6.9340522373751148E-3</v>
      </c>
      <c r="P1790" s="50">
        <f t="shared" si="224"/>
        <v>6.9340522373751148E-3</v>
      </c>
      <c r="Q1790" s="51">
        <f t="shared" si="230"/>
        <v>88.486119564967922</v>
      </c>
      <c r="R1790" s="51">
        <f t="shared" si="231"/>
        <v>34.814858160712511</v>
      </c>
    </row>
    <row r="1791" spans="1:18" x14ac:dyDescent="0.15">
      <c r="A1791" s="59">
        <v>43505.75</v>
      </c>
      <c r="B1791">
        <v>25.565237</v>
      </c>
      <c r="C1791">
        <v>195.991119</v>
      </c>
      <c r="D1791">
        <v>63.687674999999999</v>
      </c>
      <c r="E1791">
        <v>81.132499999999993</v>
      </c>
      <c r="F1791">
        <v>1342.6400149999999</v>
      </c>
      <c r="H1791" s="50">
        <f t="shared" si="225"/>
        <v>-1.470152670322958E-2</v>
      </c>
      <c r="I1791" s="50">
        <f t="shared" si="226"/>
        <v>-1.214948391846613E-2</v>
      </c>
      <c r="J1791" s="50">
        <f t="shared" si="227"/>
        <v>-9.0607887236740445E-3</v>
      </c>
      <c r="K1791" s="50">
        <f t="shared" si="228"/>
        <v>9.1420878651958682E-3</v>
      </c>
      <c r="L1791" s="50">
        <f t="shared" si="229"/>
        <v>-6.7541111763966943E-3</v>
      </c>
      <c r="P1791" s="50">
        <f t="shared" si="224"/>
        <v>-6.7541111763966943E-3</v>
      </c>
      <c r="Q1791" s="51">
        <f t="shared" si="230"/>
        <v>87.888474475858203</v>
      </c>
      <c r="R1791" s="51">
        <f t="shared" si="231"/>
        <v>34.303026593793646</v>
      </c>
    </row>
    <row r="1792" spans="1:18" x14ac:dyDescent="0.15">
      <c r="A1792" s="59">
        <v>43508.75</v>
      </c>
      <c r="B1792">
        <v>25.946693</v>
      </c>
      <c r="C1792">
        <v>198.40159600000001</v>
      </c>
      <c r="D1792">
        <v>64.270011999999994</v>
      </c>
      <c r="E1792">
        <v>80.397498999999996</v>
      </c>
      <c r="F1792">
        <v>1351.7700199999999</v>
      </c>
      <c r="H1792" s="50">
        <f t="shared" si="225"/>
        <v>-2.1624182650412892E-2</v>
      </c>
      <c r="I1792" s="50">
        <f t="shared" si="226"/>
        <v>-7.564751814774979E-3</v>
      </c>
      <c r="J1792" s="50">
        <f t="shared" si="227"/>
        <v>-1.5006881540415695E-2</v>
      </c>
      <c r="K1792" s="50">
        <f t="shared" si="228"/>
        <v>-1.206083908774595E-2</v>
      </c>
      <c r="L1792" s="50">
        <f t="shared" si="229"/>
        <v>9.4040725657158926E-4</v>
      </c>
      <c r="P1792" s="50">
        <f t="shared" si="224"/>
        <v>9.4040725657158926E-4</v>
      </c>
      <c r="Q1792" s="51">
        <f t="shared" si="230"/>
        <v>87.971125435024305</v>
      </c>
      <c r="R1792" s="51">
        <f t="shared" si="231"/>
        <v>33.561251681267485</v>
      </c>
    </row>
    <row r="1793" spans="1:18" x14ac:dyDescent="0.15">
      <c r="A1793" s="59">
        <v>43509.75</v>
      </c>
      <c r="B1793">
        <v>26.52017</v>
      </c>
      <c r="C1793">
        <v>199.913895</v>
      </c>
      <c r="D1793">
        <v>65.249199000000004</v>
      </c>
      <c r="E1793">
        <v>81.378997999999996</v>
      </c>
      <c r="F1793">
        <v>1350.5</v>
      </c>
      <c r="H1793" s="50">
        <f t="shared" si="225"/>
        <v>2.3227974966108629E-2</v>
      </c>
      <c r="I1793" s="50">
        <f t="shared" si="226"/>
        <v>4.6519842721331299E-3</v>
      </c>
      <c r="J1793" s="50">
        <f t="shared" si="227"/>
        <v>8.1143307459317845E-3</v>
      </c>
      <c r="K1793" s="50">
        <f t="shared" si="228"/>
        <v>3.37827495056007E-3</v>
      </c>
      <c r="L1793" s="50">
        <f t="shared" si="229"/>
        <v>5.412341972891292E-3</v>
      </c>
      <c r="P1793" s="50">
        <f t="shared" ref="P1793:P1856" si="232">(F1793-F1794)/F1794</f>
        <v>5.412341972891292E-3</v>
      </c>
      <c r="Q1793" s="51">
        <f t="shared" si="230"/>
        <v>88.447255249618777</v>
      </c>
      <c r="R1793" s="51">
        <f t="shared" si="231"/>
        <v>34.340811595151237</v>
      </c>
    </row>
    <row r="1794" spans="1:18" x14ac:dyDescent="0.15">
      <c r="A1794" s="59">
        <v>43510.75</v>
      </c>
      <c r="B1794">
        <v>25.918144000000002</v>
      </c>
      <c r="C1794">
        <v>198.98820499999999</v>
      </c>
      <c r="D1794">
        <v>64.724007</v>
      </c>
      <c r="E1794">
        <v>81.105002999999996</v>
      </c>
      <c r="F1794">
        <v>1343.2299800000001</v>
      </c>
      <c r="H1794" s="50">
        <f t="shared" ref="H1794:H1857" si="233">(B1794-B1795)/B1795</f>
        <v>4.930132386149871E-3</v>
      </c>
      <c r="I1794" s="50">
        <f t="shared" ref="I1794:I1857" si="234">(C1794-C1795)/C1795</f>
        <v>8.7348639803384205E-3</v>
      </c>
      <c r="J1794" s="50">
        <f t="shared" ref="J1794:J1857" si="235">(D1794-D1795)/D1795</f>
        <v>9.4404443458912021E-3</v>
      </c>
      <c r="K1794" s="50">
        <f t="shared" ref="K1794:K1857" si="236">(E1794-E1795)/E1795</f>
        <v>1.6425801511633924E-3</v>
      </c>
      <c r="L1794" s="50">
        <f t="shared" ref="L1794:L1857" si="237">(F1794-F1795)/F1795</f>
        <v>-1.0905465652474706E-2</v>
      </c>
      <c r="P1794" s="50">
        <f t="shared" si="232"/>
        <v>-1.0905465652474706E-2</v>
      </c>
      <c r="Q1794" s="51">
        <f t="shared" si="230"/>
        <v>87.482696745438389</v>
      </c>
      <c r="R1794" s="51">
        <f t="shared" si="231"/>
        <v>34.510116342563165</v>
      </c>
    </row>
    <row r="1795" spans="1:18" x14ac:dyDescent="0.15">
      <c r="A1795" s="59">
        <v>43511.75</v>
      </c>
      <c r="B1795">
        <v>25.790991000000002</v>
      </c>
      <c r="C1795">
        <v>197.26512099999999</v>
      </c>
      <c r="D1795">
        <v>64.118697999999995</v>
      </c>
      <c r="E1795">
        <v>80.971999999999994</v>
      </c>
      <c r="F1795">
        <v>1358.040039</v>
      </c>
      <c r="H1795" s="50">
        <f t="shared" si="233"/>
        <v>-1.6074702131219617E-3</v>
      </c>
      <c r="I1795" s="50">
        <f t="shared" si="234"/>
        <v>-4.9006939777392665E-3</v>
      </c>
      <c r="J1795" s="50">
        <f t="shared" si="235"/>
        <v>-3.0446626713218693E-3</v>
      </c>
      <c r="K1795" s="50">
        <f t="shared" si="236"/>
        <v>-7.4285098643564638E-3</v>
      </c>
      <c r="L1795" s="50">
        <f t="shared" si="237"/>
        <v>-2.3434254658423626E-3</v>
      </c>
      <c r="P1795" s="50">
        <f t="shared" si="232"/>
        <v>-2.3434254658423626E-3</v>
      </c>
      <c r="Q1795" s="51">
        <f t="shared" ref="Q1795:Q1858" si="238">Q1794*(1+P1795)</f>
        <v>87.277687566064571</v>
      </c>
      <c r="R1795" s="51">
        <f t="shared" ref="R1795:R1858" si="239">R1794*(1+H1795)</f>
        <v>34.454642358491121</v>
      </c>
    </row>
    <row r="1796" spans="1:18" x14ac:dyDescent="0.15">
      <c r="A1796" s="59">
        <v>43512.75</v>
      </c>
      <c r="B1796">
        <v>25.832515999999998</v>
      </c>
      <c r="C1796">
        <v>198.23661799999999</v>
      </c>
      <c r="D1796">
        <v>64.314514000000003</v>
      </c>
      <c r="E1796">
        <v>81.578002999999995</v>
      </c>
      <c r="F1796">
        <v>1361.2299800000001</v>
      </c>
      <c r="H1796" s="50">
        <f t="shared" si="233"/>
        <v>4.3384126731351828E-3</v>
      </c>
      <c r="I1796" s="50">
        <f t="shared" si="234"/>
        <v>-3.5016475780826613E-3</v>
      </c>
      <c r="J1796" s="50">
        <f t="shared" si="235"/>
        <v>-1.1627962550966578E-2</v>
      </c>
      <c r="K1796" s="50">
        <f t="shared" si="236"/>
        <v>-8.8180034582246861E-4</v>
      </c>
      <c r="L1796" s="50">
        <f t="shared" si="237"/>
        <v>-7.1940525180167326E-4</v>
      </c>
      <c r="P1796" s="50">
        <f t="shared" si="232"/>
        <v>-7.1940525180167326E-4</v>
      </c>
      <c r="Q1796" s="51">
        <f t="shared" si="238"/>
        <v>87.214899539264437</v>
      </c>
      <c r="R1796" s="51">
        <f t="shared" si="239"/>
        <v>34.604120815547539</v>
      </c>
    </row>
    <row r="1797" spans="1:18" x14ac:dyDescent="0.15">
      <c r="A1797" s="59">
        <v>43516.75</v>
      </c>
      <c r="B1797">
        <v>25.720928000000001</v>
      </c>
      <c r="C1797">
        <v>198.933212</v>
      </c>
      <c r="D1797">
        <v>65.071158999999994</v>
      </c>
      <c r="E1797">
        <v>81.650002000000001</v>
      </c>
      <c r="F1797">
        <v>1362.209961</v>
      </c>
      <c r="H1797" s="50">
        <f t="shared" si="233"/>
        <v>4.3569243264667597E-3</v>
      </c>
      <c r="I1797" s="50">
        <f t="shared" si="234"/>
        <v>-2.5732722772762876E-3</v>
      </c>
      <c r="J1797" s="50">
        <f t="shared" si="235"/>
        <v>1.1204684944255411E-2</v>
      </c>
      <c r="K1797" s="50">
        <f t="shared" si="236"/>
        <v>-2.0777071620629744E-3</v>
      </c>
      <c r="L1797" s="50">
        <f t="shared" si="237"/>
        <v>3.3513006835701148E-3</v>
      </c>
      <c r="P1797" s="50">
        <f t="shared" si="232"/>
        <v>3.3513006835701148E-3</v>
      </c>
      <c r="Q1797" s="51">
        <f t="shared" si="238"/>
        <v>87.50718289170787</v>
      </c>
      <c r="R1797" s="51">
        <f t="shared" si="239"/>
        <v>34.754888351324794</v>
      </c>
    </row>
    <row r="1798" spans="1:18" x14ac:dyDescent="0.15">
      <c r="A1798" s="59">
        <v>43517.75</v>
      </c>
      <c r="B1798">
        <v>25.609349999999999</v>
      </c>
      <c r="C1798">
        <v>199.44644199999999</v>
      </c>
      <c r="D1798">
        <v>64.350136000000006</v>
      </c>
      <c r="E1798">
        <v>81.819999999999993</v>
      </c>
      <c r="F1798">
        <v>1357.660034</v>
      </c>
      <c r="H1798" s="50">
        <f t="shared" si="233"/>
        <v>5.9116978794599281E-3</v>
      </c>
      <c r="I1798" s="50">
        <f t="shared" si="234"/>
        <v>-2.018115988549478E-3</v>
      </c>
      <c r="J1798" s="50">
        <f t="shared" si="235"/>
        <v>-9.9972070749464875E-3</v>
      </c>
      <c r="K1798" s="50">
        <f t="shared" si="236"/>
        <v>-2.8578202118526744E-3</v>
      </c>
      <c r="L1798" s="50">
        <f t="shared" si="237"/>
        <v>-4.2538300836837155E-3</v>
      </c>
      <c r="P1798" s="50">
        <f t="shared" si="232"/>
        <v>-4.2538300836837155E-3</v>
      </c>
      <c r="Q1798" s="51">
        <f t="shared" si="238"/>
        <v>87.134942204584704</v>
      </c>
      <c r="R1798" s="51">
        <f t="shared" si="239"/>
        <v>34.960348751092191</v>
      </c>
    </row>
    <row r="1799" spans="1:18" x14ac:dyDescent="0.15">
      <c r="A1799" s="59">
        <v>43518.75</v>
      </c>
      <c r="B1799">
        <v>25.458845</v>
      </c>
      <c r="C1799">
        <v>199.849762</v>
      </c>
      <c r="D1799">
        <v>64.999954000000002</v>
      </c>
      <c r="E1799">
        <v>82.054496999999998</v>
      </c>
      <c r="F1799">
        <v>1363.459961</v>
      </c>
      <c r="H1799" s="50">
        <f t="shared" si="233"/>
        <v>-8.8896432638907816E-3</v>
      </c>
      <c r="I1799" s="50">
        <f t="shared" si="234"/>
        <v>-3.1541716012505484E-3</v>
      </c>
      <c r="J1799" s="50">
        <f t="shared" si="235"/>
        <v>5.2311803694233185E-3</v>
      </c>
      <c r="K1799" s="50">
        <f t="shared" si="236"/>
        <v>7.6832353636260755E-4</v>
      </c>
      <c r="L1799" s="50">
        <f t="shared" si="237"/>
        <v>-1.6694458803977858E-3</v>
      </c>
      <c r="P1799" s="50">
        <f t="shared" si="232"/>
        <v>-1.6694458803977858E-3</v>
      </c>
      <c r="Q1799" s="51">
        <f t="shared" si="238"/>
        <v>86.989475134282557</v>
      </c>
      <c r="R1799" s="51">
        <f t="shared" si="239"/>
        <v>34.649563722313772</v>
      </c>
    </row>
    <row r="1800" spans="1:18" x14ac:dyDescent="0.15">
      <c r="A1800" s="59">
        <v>43519.75</v>
      </c>
      <c r="B1800">
        <v>25.687194999999999</v>
      </c>
      <c r="C1800">
        <v>200.48211699999999</v>
      </c>
      <c r="D1800">
        <v>64.661697000000004</v>
      </c>
      <c r="E1800">
        <v>81.991501</v>
      </c>
      <c r="F1800">
        <v>1365.73999</v>
      </c>
      <c r="H1800" s="50">
        <f t="shared" si="233"/>
        <v>1.0824002423409121E-2</v>
      </c>
      <c r="I1800" s="50">
        <f t="shared" si="234"/>
        <v>-3.1900068983913743E-3</v>
      </c>
      <c r="J1800" s="50">
        <f t="shared" si="235"/>
        <v>-4.1128781474447269E-3</v>
      </c>
      <c r="K1800" s="50">
        <f t="shared" si="236"/>
        <v>-1.9082040303588687E-2</v>
      </c>
      <c r="L1800" s="50">
        <f t="shared" si="237"/>
        <v>-1.352727093641143E-3</v>
      </c>
      <c r="P1800" s="50">
        <f t="shared" si="232"/>
        <v>-1.352727093641143E-3</v>
      </c>
      <c r="Q1800" s="51">
        <f t="shared" si="238"/>
        <v>86.87180211440679</v>
      </c>
      <c r="R1800" s="51">
        <f t="shared" si="239"/>
        <v>35.024610684014171</v>
      </c>
    </row>
    <row r="1801" spans="1:18" x14ac:dyDescent="0.15">
      <c r="A1801" s="59">
        <v>43522.75</v>
      </c>
      <c r="B1801">
        <v>25.412134000000002</v>
      </c>
      <c r="C1801">
        <v>201.12370300000001</v>
      </c>
      <c r="D1801">
        <v>64.928741000000002</v>
      </c>
      <c r="E1801">
        <v>83.586501999999996</v>
      </c>
      <c r="F1801">
        <v>1367.589966</v>
      </c>
      <c r="H1801" s="50">
        <f t="shared" si="233"/>
        <v>8.1779757523120587E-4</v>
      </c>
      <c r="I1801" s="50">
        <f t="shared" si="234"/>
        <v>4.7159184075393793E-3</v>
      </c>
      <c r="J1801" s="50">
        <f t="shared" si="235"/>
        <v>3.7152406038498706E-3</v>
      </c>
      <c r="K1801" s="50">
        <f t="shared" si="236"/>
        <v>-1.440893272705145E-2</v>
      </c>
      <c r="L1801" s="50">
        <f t="shared" si="237"/>
        <v>-3.3451061955167608E-3</v>
      </c>
      <c r="P1801" s="50">
        <f t="shared" si="232"/>
        <v>-3.3451061955167608E-3</v>
      </c>
      <c r="Q1801" s="51">
        <f t="shared" si="238"/>
        <v>86.581206710938176</v>
      </c>
      <c r="R1801" s="51">
        <f t="shared" si="239"/>
        <v>35.053253725704977</v>
      </c>
    </row>
    <row r="1802" spans="1:18" x14ac:dyDescent="0.15">
      <c r="A1802" s="59">
        <v>43523.75</v>
      </c>
      <c r="B1802">
        <v>25.391369000000001</v>
      </c>
      <c r="C1802">
        <v>200.17967200000001</v>
      </c>
      <c r="D1802">
        <v>64.688407999999995</v>
      </c>
      <c r="E1802">
        <v>84.808502000000004</v>
      </c>
      <c r="F1802">
        <v>1372.1800539999999</v>
      </c>
      <c r="H1802" s="50">
        <f t="shared" si="233"/>
        <v>-4.9828508890247085E-3</v>
      </c>
      <c r="I1802" s="50">
        <f t="shared" si="234"/>
        <v>-6.4145826772351163E-3</v>
      </c>
      <c r="J1802" s="50">
        <f t="shared" si="235"/>
        <v>-4.3815805982156238E-2</v>
      </c>
      <c r="K1802" s="50">
        <f t="shared" si="236"/>
        <v>2.2098876103564336E-3</v>
      </c>
      <c r="L1802" s="50">
        <f t="shared" si="237"/>
        <v>4.7595335239479161E-3</v>
      </c>
      <c r="P1802" s="50">
        <f t="shared" si="232"/>
        <v>4.7595335239479161E-3</v>
      </c>
      <c r="Q1802" s="51">
        <f t="shared" si="238"/>
        <v>86.993292866822742</v>
      </c>
      <c r="R1802" s="51">
        <f t="shared" si="239"/>
        <v>34.878588589214637</v>
      </c>
    </row>
    <row r="1803" spans="1:18" x14ac:dyDescent="0.15">
      <c r="A1803" s="59">
        <v>43524.75</v>
      </c>
      <c r="B1803">
        <v>25.518523999999999</v>
      </c>
      <c r="C1803">
        <v>201.47203099999999</v>
      </c>
      <c r="D1803">
        <v>67.652664000000001</v>
      </c>
      <c r="E1803">
        <v>84.621498000000003</v>
      </c>
      <c r="F1803">
        <v>1365.6800539999999</v>
      </c>
      <c r="H1803" s="50">
        <f t="shared" si="233"/>
        <v>8.1414978920694406E-4</v>
      </c>
      <c r="I1803" s="50">
        <f t="shared" si="234"/>
        <v>2.6914780877589969E-3</v>
      </c>
      <c r="J1803" s="50">
        <f t="shared" si="235"/>
        <v>-1.1703583696331015E-2</v>
      </c>
      <c r="K1803" s="50">
        <f t="shared" si="236"/>
        <v>1.4068677574075285E-2</v>
      </c>
      <c r="L1803" s="50">
        <f t="shared" si="237"/>
        <v>-6.1203503468419016E-3</v>
      </c>
      <c r="P1803" s="50">
        <f t="shared" si="232"/>
        <v>-6.1203503468419016E-3</v>
      </c>
      <c r="Q1803" s="51">
        <f t="shared" si="238"/>
        <v>86.46086343665236</v>
      </c>
      <c r="R1803" s="51">
        <f t="shared" si="239"/>
        <v>34.906984984762381</v>
      </c>
    </row>
    <row r="1804" spans="1:18" x14ac:dyDescent="0.15">
      <c r="A1804" s="59">
        <v>43525.75</v>
      </c>
      <c r="B1804">
        <v>25.497765000000001</v>
      </c>
      <c r="C1804">
        <v>200.931229</v>
      </c>
      <c r="D1804">
        <v>68.453818999999996</v>
      </c>
      <c r="E1804">
        <v>83.447502</v>
      </c>
      <c r="F1804">
        <v>1374.089966</v>
      </c>
      <c r="H1804" s="50">
        <f t="shared" si="233"/>
        <v>8.3118277158916714E-3</v>
      </c>
      <c r="I1804" s="50">
        <f t="shared" si="234"/>
        <v>1.1255085000898009E-2</v>
      </c>
      <c r="J1804" s="50">
        <f t="shared" si="235"/>
        <v>9.5838898455433176E-3</v>
      </c>
      <c r="K1804" s="50">
        <f t="shared" si="236"/>
        <v>2.6446089652866493E-2</v>
      </c>
      <c r="L1804" s="50">
        <f t="shared" si="237"/>
        <v>3.2563254190682111E-3</v>
      </c>
      <c r="P1804" s="50">
        <f t="shared" si="232"/>
        <v>3.2563254190682111E-3</v>
      </c>
      <c r="Q1804" s="51">
        <f t="shared" si="238"/>
        <v>86.742408144015727</v>
      </c>
      <c r="R1804" s="51">
        <f t="shared" si="239"/>
        <v>35.197125830036939</v>
      </c>
    </row>
    <row r="1805" spans="1:18" x14ac:dyDescent="0.15">
      <c r="A1805" s="59">
        <v>43526.75</v>
      </c>
      <c r="B1805">
        <v>25.287579000000001</v>
      </c>
      <c r="C1805">
        <v>198.69490099999999</v>
      </c>
      <c r="D1805">
        <v>67.803993000000006</v>
      </c>
      <c r="E1805">
        <v>81.297500999999997</v>
      </c>
      <c r="F1805">
        <v>1369.630005</v>
      </c>
      <c r="H1805" s="50">
        <f t="shared" si="233"/>
        <v>-1.4344943469621154E-3</v>
      </c>
      <c r="I1805" s="50">
        <f t="shared" si="234"/>
        <v>-4.8415414159803223E-2</v>
      </c>
      <c r="J1805" s="50">
        <f t="shared" si="235"/>
        <v>4.7486693643321335E-3</v>
      </c>
      <c r="K1805" s="50">
        <f t="shared" si="236"/>
        <v>3.1774431986987903E-3</v>
      </c>
      <c r="L1805" s="50">
        <f t="shared" si="237"/>
        <v>3.884726694368605E-3</v>
      </c>
      <c r="P1805" s="50">
        <f t="shared" si="232"/>
        <v>3.884726694368605E-3</v>
      </c>
      <c r="Q1805" s="51">
        <f t="shared" si="238"/>
        <v>87.079378692466605</v>
      </c>
      <c r="R1805" s="51">
        <f t="shared" si="239"/>
        <v>35.146635752004435</v>
      </c>
    </row>
    <row r="1806" spans="1:18" x14ac:dyDescent="0.15">
      <c r="A1806" s="59">
        <v>43529.75</v>
      </c>
      <c r="B1806">
        <v>25.323906000000001</v>
      </c>
      <c r="C1806">
        <v>208.80424500000001</v>
      </c>
      <c r="D1806">
        <v>67.483536000000001</v>
      </c>
      <c r="E1806">
        <v>81.040001000000004</v>
      </c>
      <c r="F1806">
        <v>1364.329956</v>
      </c>
      <c r="H1806" s="50">
        <f t="shared" si="233"/>
        <v>-9.0374600804847965E-3</v>
      </c>
      <c r="I1806" s="50">
        <f t="shared" si="234"/>
        <v>-8.1414022252654841E-3</v>
      </c>
      <c r="J1806" s="50">
        <f t="shared" si="235"/>
        <v>-6.0308729958718369E-3</v>
      </c>
      <c r="K1806" s="50">
        <f t="shared" si="236"/>
        <v>-2.9821228761088107E-2</v>
      </c>
      <c r="L1806" s="50">
        <f t="shared" si="237"/>
        <v>1.5610090544717235E-2</v>
      </c>
      <c r="P1806" s="50">
        <f t="shared" si="232"/>
        <v>1.5610090544717235E-2</v>
      </c>
      <c r="Q1806" s="51">
        <f t="shared" si="238"/>
        <v>88.438695678433731</v>
      </c>
      <c r="R1806" s="51">
        <f t="shared" si="239"/>
        <v>34.828999434432355</v>
      </c>
    </row>
    <row r="1807" spans="1:18" x14ac:dyDescent="0.15">
      <c r="A1807" s="59">
        <v>43530.75</v>
      </c>
      <c r="B1807">
        <v>25.554856999999998</v>
      </c>
      <c r="C1807">
        <v>210.518158</v>
      </c>
      <c r="D1807">
        <v>67.892989999999998</v>
      </c>
      <c r="E1807">
        <v>83.530997999999997</v>
      </c>
      <c r="F1807">
        <v>1343.3599850000001</v>
      </c>
      <c r="H1807" s="50">
        <f t="shared" si="233"/>
        <v>1.1182578979680887E-3</v>
      </c>
      <c r="I1807" s="50">
        <f t="shared" si="234"/>
        <v>-1.4036797412875899E-2</v>
      </c>
      <c r="J1807" s="50">
        <f t="shared" si="235"/>
        <v>1.1812061273484321E-3</v>
      </c>
      <c r="K1807" s="50">
        <f t="shared" si="236"/>
        <v>-1.4822903769326076E-3</v>
      </c>
      <c r="L1807" s="50">
        <f t="shared" si="237"/>
        <v>-6.8533301536512431E-3</v>
      </c>
      <c r="P1807" s="50">
        <f t="shared" si="232"/>
        <v>-6.8533301536512431E-3</v>
      </c>
      <c r="Q1807" s="51">
        <f t="shared" si="238"/>
        <v>87.832596098591139</v>
      </c>
      <c r="R1807" s="51">
        <f t="shared" si="239"/>
        <v>34.867947238128231</v>
      </c>
    </row>
    <row r="1808" spans="1:18" x14ac:dyDescent="0.15">
      <c r="A1808" s="59">
        <v>43531.75</v>
      </c>
      <c r="B1808">
        <v>25.526312000000001</v>
      </c>
      <c r="C1808">
        <v>213.51522800000001</v>
      </c>
      <c r="D1808">
        <v>67.812888999999998</v>
      </c>
      <c r="E1808">
        <v>83.654999000000004</v>
      </c>
      <c r="F1808">
        <v>1352.630005</v>
      </c>
      <c r="H1808" s="50">
        <f t="shared" si="233"/>
        <v>-6.6644815057047479E-3</v>
      </c>
      <c r="I1808" s="50">
        <f t="shared" si="234"/>
        <v>-1.446829071324229E-2</v>
      </c>
      <c r="J1808" s="50">
        <f t="shared" si="235"/>
        <v>-1.2188759670607452E-2</v>
      </c>
      <c r="K1808" s="50">
        <f t="shared" si="236"/>
        <v>-1.0474246443098132E-2</v>
      </c>
      <c r="L1808" s="50">
        <f t="shared" si="237"/>
        <v>-9.7224770808001931E-3</v>
      </c>
      <c r="P1808" s="50">
        <f t="shared" si="232"/>
        <v>-9.7224770808001931E-3</v>
      </c>
      <c r="Q1808" s="51">
        <f t="shared" si="238"/>
        <v>86.978645696075404</v>
      </c>
      <c r="R1808" s="51">
        <f t="shared" si="239"/>
        <v>34.635570448617834</v>
      </c>
    </row>
    <row r="1809" spans="1:18" x14ac:dyDescent="0.15">
      <c r="A1809" s="59">
        <v>43532.75</v>
      </c>
      <c r="B1809">
        <v>25.697572999999998</v>
      </c>
      <c r="C1809">
        <v>216.64977999999999</v>
      </c>
      <c r="D1809">
        <v>68.649642999999998</v>
      </c>
      <c r="E1809">
        <v>84.540497000000002</v>
      </c>
      <c r="F1809">
        <v>1365.910034</v>
      </c>
      <c r="H1809" s="50">
        <f t="shared" si="233"/>
        <v>-7.941579303876848E-3</v>
      </c>
      <c r="I1809" s="50">
        <f t="shared" si="234"/>
        <v>1.0862185973756626E-2</v>
      </c>
      <c r="J1809" s="50">
        <f t="shared" si="235"/>
        <v>8.2362831714399929E-3</v>
      </c>
      <c r="K1809" s="50">
        <f t="shared" si="236"/>
        <v>2.7220648333692648E-3</v>
      </c>
      <c r="L1809" s="50">
        <f t="shared" si="237"/>
        <v>-3.618111869171096E-3</v>
      </c>
      <c r="P1809" s="50">
        <f t="shared" si="232"/>
        <v>-3.618111869171096E-3</v>
      </c>
      <c r="Q1809" s="51">
        <f t="shared" si="238"/>
        <v>86.663947225718005</v>
      </c>
      <c r="R1809" s="51">
        <f t="shared" si="239"/>
        <v>34.360509319165125</v>
      </c>
    </row>
    <row r="1810" spans="1:18" x14ac:dyDescent="0.15">
      <c r="A1810" s="59">
        <v>43533.75</v>
      </c>
      <c r="B1810">
        <v>25.903286000000001</v>
      </c>
      <c r="C1810">
        <v>214.321777</v>
      </c>
      <c r="D1810">
        <v>68.088843999999995</v>
      </c>
      <c r="E1810">
        <v>84.310997</v>
      </c>
      <c r="F1810">
        <v>1370.869995</v>
      </c>
      <c r="H1810" s="50">
        <f t="shared" si="233"/>
        <v>-2.0321287938001877E-3</v>
      </c>
      <c r="I1810" s="50">
        <f t="shared" si="234"/>
        <v>1.0273382914041656E-3</v>
      </c>
      <c r="J1810" s="50">
        <f t="shared" si="235"/>
        <v>-2.2174916749177825E-3</v>
      </c>
      <c r="K1810" s="50">
        <f t="shared" si="236"/>
        <v>-1.5265470591019259E-2</v>
      </c>
      <c r="L1810" s="50">
        <f t="shared" si="237"/>
        <v>-1.6043513223404831E-4</v>
      </c>
      <c r="P1810" s="50">
        <f t="shared" si="232"/>
        <v>-1.6043513223404831E-4</v>
      </c>
      <c r="Q1810" s="51">
        <f t="shared" si="238"/>
        <v>86.650043283884926</v>
      </c>
      <c r="R1810" s="51">
        <f t="shared" si="239"/>
        <v>34.290684338808006</v>
      </c>
    </row>
    <row r="1811" spans="1:18" x14ac:dyDescent="0.15">
      <c r="A1811" s="59">
        <v>43536.75</v>
      </c>
      <c r="B1811">
        <v>25.956032</v>
      </c>
      <c r="C1811">
        <v>214.101822</v>
      </c>
      <c r="D1811">
        <v>68.240166000000002</v>
      </c>
      <c r="E1811">
        <v>85.617996000000005</v>
      </c>
      <c r="F1811">
        <v>1371.089966</v>
      </c>
      <c r="H1811" s="50">
        <f t="shared" si="233"/>
        <v>-1.2442388738965438E-2</v>
      </c>
      <c r="I1811" s="50">
        <f t="shared" si="234"/>
        <v>-1.2637700992983327E-2</v>
      </c>
      <c r="J1811" s="50">
        <f t="shared" si="235"/>
        <v>-1.5665166107830066E-2</v>
      </c>
      <c r="K1811" s="50">
        <f t="shared" si="236"/>
        <v>-1.7099584240153488E-2</v>
      </c>
      <c r="L1811" s="50">
        <f t="shared" si="237"/>
        <v>-1.7808650648392804E-2</v>
      </c>
      <c r="P1811" s="50">
        <f t="shared" si="232"/>
        <v>-1.7808650648392804E-2</v>
      </c>
      <c r="Q1811" s="51">
        <f t="shared" si="238"/>
        <v>85.106922934374111</v>
      </c>
      <c r="R1811" s="51">
        <f t="shared" si="239"/>
        <v>33.864026314139402</v>
      </c>
    </row>
    <row r="1812" spans="1:18" x14ac:dyDescent="0.15">
      <c r="A1812" s="59">
        <v>43537.75</v>
      </c>
      <c r="B1812">
        <v>26.283055999999998</v>
      </c>
      <c r="C1812">
        <v>216.842209</v>
      </c>
      <c r="D1812">
        <v>69.326172</v>
      </c>
      <c r="E1812">
        <v>87.107498000000007</v>
      </c>
      <c r="F1812">
        <v>1395.9499510000001</v>
      </c>
      <c r="H1812" s="50">
        <f t="shared" si="233"/>
        <v>-1.9025823603300396E-3</v>
      </c>
      <c r="I1812" s="50">
        <f t="shared" si="234"/>
        <v>-1.9407093738625311E-3</v>
      </c>
      <c r="J1812" s="50">
        <f t="shared" si="235"/>
        <v>-7.3925205752991144E-3</v>
      </c>
      <c r="K1812" s="50">
        <f t="shared" si="236"/>
        <v>-1.1181440090602911E-2</v>
      </c>
      <c r="L1812" s="50">
        <f t="shared" si="237"/>
        <v>1.1976948426907737E-3</v>
      </c>
      <c r="P1812" s="50">
        <f t="shared" si="232"/>
        <v>1.1976948426907737E-3</v>
      </c>
      <c r="Q1812" s="51">
        <f t="shared" si="238"/>
        <v>85.208855057049902</v>
      </c>
      <c r="R1812" s="51">
        <f t="shared" si="239"/>
        <v>33.79959721502437</v>
      </c>
    </row>
    <row r="1813" spans="1:18" x14ac:dyDescent="0.15">
      <c r="A1813" s="59">
        <v>43538.75</v>
      </c>
      <c r="B1813">
        <v>26.333157</v>
      </c>
      <c r="C1813">
        <v>217.26385500000001</v>
      </c>
      <c r="D1813">
        <v>69.842483999999999</v>
      </c>
      <c r="E1813">
        <v>88.092499000000004</v>
      </c>
      <c r="F1813">
        <v>1394.280029</v>
      </c>
      <c r="H1813" s="50">
        <f t="shared" si="233"/>
        <v>1.2266795233098709E-2</v>
      </c>
      <c r="I1813" s="50">
        <f t="shared" si="234"/>
        <v>2.9534109822725127E-4</v>
      </c>
      <c r="J1813" s="50">
        <f t="shared" si="235"/>
        <v>1.1864984401476658E-2</v>
      </c>
      <c r="K1813" s="50">
        <f t="shared" si="236"/>
        <v>-1.9707711594550134E-2</v>
      </c>
      <c r="L1813" s="50">
        <f t="shared" si="237"/>
        <v>-5.9318031814938211E-3</v>
      </c>
      <c r="P1813" s="50">
        <f t="shared" si="232"/>
        <v>-5.9318031814938211E-3</v>
      </c>
      <c r="Q1813" s="51">
        <f t="shared" si="238"/>
        <v>84.703412899531045</v>
      </c>
      <c r="R1813" s="51">
        <f t="shared" si="239"/>
        <v>34.214209953022291</v>
      </c>
    </row>
    <row r="1814" spans="1:18" x14ac:dyDescent="0.15">
      <c r="A1814" s="59">
        <v>43539.75</v>
      </c>
      <c r="B1814">
        <v>26.014047999999999</v>
      </c>
      <c r="C1814">
        <v>217.19970699999999</v>
      </c>
      <c r="D1814">
        <v>69.023521000000002</v>
      </c>
      <c r="E1814">
        <v>89.863502999999994</v>
      </c>
      <c r="F1814">
        <v>1402.599976</v>
      </c>
      <c r="H1814" s="50">
        <f t="shared" si="233"/>
        <v>-4.2400676536744515E-3</v>
      </c>
      <c r="I1814" s="50">
        <f t="shared" si="234"/>
        <v>-1.0687116939368291E-2</v>
      </c>
      <c r="J1814" s="50">
        <f t="shared" si="235"/>
        <v>-2.4531181619000902E-2</v>
      </c>
      <c r="K1814" s="50">
        <f t="shared" si="236"/>
        <v>-1.2087266649756571E-2</v>
      </c>
      <c r="L1814" s="50">
        <f t="shared" si="237"/>
        <v>-1.1181466281159264E-3</v>
      </c>
      <c r="P1814" s="50">
        <f t="shared" si="232"/>
        <v>-1.1181466281159264E-3</v>
      </c>
      <c r="Q1814" s="51">
        <f t="shared" si="238"/>
        <v>84.608702064007517</v>
      </c>
      <c r="R1814" s="51">
        <f t="shared" si="239"/>
        <v>34.069139388104453</v>
      </c>
    </row>
    <row r="1815" spans="1:18" x14ac:dyDescent="0.15">
      <c r="A1815" s="59">
        <v>43540.75</v>
      </c>
      <c r="B1815">
        <v>26.124818999999999</v>
      </c>
      <c r="C1815">
        <v>219.546021</v>
      </c>
      <c r="D1815">
        <v>70.759331000000003</v>
      </c>
      <c r="E1815">
        <v>90.962997000000001</v>
      </c>
      <c r="F1815">
        <v>1404.170044</v>
      </c>
      <c r="H1815" s="50">
        <f t="shared" si="233"/>
        <v>7.9367320771017089E-3</v>
      </c>
      <c r="I1815" s="50">
        <f t="shared" si="234"/>
        <v>8.3349962397677082E-3</v>
      </c>
      <c r="J1815" s="50">
        <f t="shared" si="235"/>
        <v>1.4938629339674606E-2</v>
      </c>
      <c r="K1815" s="50">
        <f t="shared" si="236"/>
        <v>3.0876475771580206E-2</v>
      </c>
      <c r="L1815" s="50">
        <f t="shared" si="237"/>
        <v>-3.9581173967015697E-3</v>
      </c>
      <c r="P1815" s="50">
        <f t="shared" si="232"/>
        <v>-3.9581173967015697E-3</v>
      </c>
      <c r="Q1815" s="51">
        <f t="shared" si="238"/>
        <v>84.273810888455628</v>
      </c>
      <c r="R1815" s="51">
        <f t="shared" si="239"/>
        <v>34.339537019525274</v>
      </c>
    </row>
    <row r="1816" spans="1:18" x14ac:dyDescent="0.15">
      <c r="A1816" s="59">
        <v>43543.75</v>
      </c>
      <c r="B1816">
        <v>25.919105999999999</v>
      </c>
      <c r="C1816">
        <v>217.73123200000001</v>
      </c>
      <c r="D1816">
        <v>69.717842000000005</v>
      </c>
      <c r="E1816">
        <v>88.238502999999994</v>
      </c>
      <c r="F1816">
        <v>1409.75</v>
      </c>
      <c r="H1816" s="50">
        <f t="shared" si="233"/>
        <v>1.1203896902827605E-3</v>
      </c>
      <c r="I1816" s="50">
        <f t="shared" si="234"/>
        <v>2.4895699752937928E-3</v>
      </c>
      <c r="J1816" s="50">
        <f t="shared" si="235"/>
        <v>-2.6742518412723737E-3</v>
      </c>
      <c r="K1816" s="50">
        <f t="shared" si="236"/>
        <v>-5.3486413044979992E-3</v>
      </c>
      <c r="L1816" s="50">
        <f t="shared" si="237"/>
        <v>3.0095480247944594E-3</v>
      </c>
      <c r="P1816" s="50">
        <f t="shared" si="232"/>
        <v>3.0095480247944594E-3</v>
      </c>
      <c r="Q1816" s="51">
        <f t="shared" si="238"/>
        <v>84.527436969556888</v>
      </c>
      <c r="R1816" s="51">
        <f t="shared" si="239"/>
        <v>34.378010682771034</v>
      </c>
    </row>
    <row r="1817" spans="1:18" x14ac:dyDescent="0.15">
      <c r="A1817" s="59">
        <v>43544.75</v>
      </c>
      <c r="B1817">
        <v>25.890098999999999</v>
      </c>
      <c r="C1817">
        <v>217.19052099999999</v>
      </c>
      <c r="D1817">
        <v>69.904785000000004</v>
      </c>
      <c r="E1817">
        <v>88.712997000000001</v>
      </c>
      <c r="F1817">
        <v>1405.5200199999999</v>
      </c>
      <c r="H1817" s="50">
        <f t="shared" si="233"/>
        <v>-1.5258200617571523E-3</v>
      </c>
      <c r="I1817" s="50">
        <f t="shared" si="234"/>
        <v>-8.7840942152589262E-3</v>
      </c>
      <c r="J1817" s="50">
        <f t="shared" si="235"/>
        <v>-1.3813940900490113E-2</v>
      </c>
      <c r="K1817" s="50">
        <f t="shared" si="236"/>
        <v>-5.3259068338383829E-3</v>
      </c>
      <c r="L1817" s="50">
        <f t="shared" si="237"/>
        <v>1.874705053054343E-3</v>
      </c>
      <c r="P1817" s="50">
        <f t="shared" si="232"/>
        <v>1.874705053054343E-3</v>
      </c>
      <c r="Q1817" s="51">
        <f t="shared" si="238"/>
        <v>84.685900982765446</v>
      </c>
      <c r="R1817" s="51">
        <f t="shared" si="239"/>
        <v>34.325556024387957</v>
      </c>
    </row>
    <row r="1818" spans="1:18" x14ac:dyDescent="0.15">
      <c r="A1818" s="59">
        <v>43545.75</v>
      </c>
      <c r="B1818">
        <v>25.929663000000001</v>
      </c>
      <c r="C1818">
        <v>219.11525</v>
      </c>
      <c r="D1818">
        <v>70.883972</v>
      </c>
      <c r="E1818">
        <v>89.188004000000006</v>
      </c>
      <c r="F1818">
        <v>1402.8900149999999</v>
      </c>
      <c r="H1818" s="50">
        <f t="shared" si="233"/>
        <v>1.1418844830769352E-2</v>
      </c>
      <c r="I1818" s="50">
        <f t="shared" si="234"/>
        <v>-1.4200586729475437E-3</v>
      </c>
      <c r="J1818" s="50">
        <f t="shared" si="235"/>
        <v>-2.3800937003649577E-3</v>
      </c>
      <c r="K1818" s="50">
        <f t="shared" si="236"/>
        <v>1.0228237629122221E-2</v>
      </c>
      <c r="L1818" s="50">
        <f t="shared" si="237"/>
        <v>7.258853364848137E-3</v>
      </c>
      <c r="P1818" s="50">
        <f t="shared" si="232"/>
        <v>7.258853364848137E-3</v>
      </c>
      <c r="Q1818" s="51">
        <f t="shared" si="238"/>
        <v>85.300623520069394</v>
      </c>
      <c r="R1818" s="51">
        <f t="shared" si="239"/>
        <v>34.717514222360322</v>
      </c>
    </row>
    <row r="1819" spans="1:18" x14ac:dyDescent="0.15">
      <c r="A1819" s="59">
        <v>43546.75</v>
      </c>
      <c r="B1819">
        <v>25.636918999999999</v>
      </c>
      <c r="C1819">
        <v>219.426849</v>
      </c>
      <c r="D1819">
        <v>71.053084999999996</v>
      </c>
      <c r="E1819">
        <v>88.285004000000001</v>
      </c>
      <c r="F1819">
        <v>1392.780029</v>
      </c>
      <c r="H1819" s="50">
        <f t="shared" si="233"/>
        <v>8.2367068475651124E-4</v>
      </c>
      <c r="I1819" s="50">
        <f t="shared" si="234"/>
        <v>-7.5035177524089064E-3</v>
      </c>
      <c r="J1819" s="50">
        <f t="shared" si="235"/>
        <v>-6.2253189535555068E-3</v>
      </c>
      <c r="K1819" s="50">
        <f t="shared" si="236"/>
        <v>-4.3531031420216632E-3</v>
      </c>
      <c r="L1819" s="50">
        <f t="shared" si="237"/>
        <v>-3.0992234301439325E-3</v>
      </c>
      <c r="P1819" s="50">
        <f t="shared" si="232"/>
        <v>-3.0992234301439325E-3</v>
      </c>
      <c r="Q1819" s="51">
        <f t="shared" si="238"/>
        <v>85.036257829050115</v>
      </c>
      <c r="R1819" s="51">
        <f t="shared" si="239"/>
        <v>34.746110021072894</v>
      </c>
    </row>
    <row r="1820" spans="1:18" x14ac:dyDescent="0.15">
      <c r="A1820" s="59">
        <v>43547.75</v>
      </c>
      <c r="B1820">
        <v>25.615819999999999</v>
      </c>
      <c r="C1820">
        <v>221.08577</v>
      </c>
      <c r="D1820">
        <v>71.498183999999995</v>
      </c>
      <c r="E1820">
        <v>88.670997999999997</v>
      </c>
      <c r="F1820">
        <v>1397.1099850000001</v>
      </c>
      <c r="H1820" s="50">
        <f t="shared" si="233"/>
        <v>-4.1013459966584009E-3</v>
      </c>
      <c r="I1820" s="50">
        <f t="shared" si="234"/>
        <v>-3.799485660696942E-3</v>
      </c>
      <c r="J1820" s="50">
        <f t="shared" si="235"/>
        <v>7.4761244598281289E-4</v>
      </c>
      <c r="K1820" s="50">
        <f t="shared" si="236"/>
        <v>-4.1162432484345198E-3</v>
      </c>
      <c r="L1820" s="50">
        <f t="shared" si="237"/>
        <v>-1.3695649775182256E-2</v>
      </c>
      <c r="P1820" s="50">
        <f t="shared" si="232"/>
        <v>-1.3695649775182256E-2</v>
      </c>
      <c r="Q1820" s="51">
        <f t="shared" si="238"/>
        <v>83.871631023631352</v>
      </c>
      <c r="R1820" s="51">
        <f t="shared" si="239"/>
        <v>34.603604201838515</v>
      </c>
    </row>
    <row r="1821" spans="1:18" x14ac:dyDescent="0.15">
      <c r="A1821" s="59">
        <v>43550.75</v>
      </c>
      <c r="B1821">
        <v>25.721312000000001</v>
      </c>
      <c r="C1821">
        <v>221.92898600000001</v>
      </c>
      <c r="D1821">
        <v>71.444771000000003</v>
      </c>
      <c r="E1821">
        <v>89.037497999999999</v>
      </c>
      <c r="F1821">
        <v>1416.51001</v>
      </c>
      <c r="H1821" s="50">
        <f t="shared" si="233"/>
        <v>-2.9646720956062601E-3</v>
      </c>
      <c r="I1821" s="50">
        <f t="shared" si="234"/>
        <v>-8.395106665526262E-3</v>
      </c>
      <c r="J1821" s="50">
        <f t="shared" si="235"/>
        <v>3.6263554741177372E-3</v>
      </c>
      <c r="K1821" s="50">
        <f t="shared" si="236"/>
        <v>-1.8432522995964366E-2</v>
      </c>
      <c r="L1821" s="50">
        <f t="shared" si="237"/>
        <v>2.8247316452194669E-3</v>
      </c>
      <c r="P1821" s="50">
        <f t="shared" si="232"/>
        <v>2.8247316452194669E-3</v>
      </c>
      <c r="Q1821" s="51">
        <f t="shared" si="238"/>
        <v>84.108545873919979</v>
      </c>
      <c r="R1821" s="51">
        <f t="shared" si="239"/>
        <v>34.501015862053919</v>
      </c>
    </row>
    <row r="1822" spans="1:18" x14ac:dyDescent="0.15">
      <c r="A1822" s="59">
        <v>43551.75</v>
      </c>
      <c r="B1822">
        <v>25.797794</v>
      </c>
      <c r="C1822">
        <v>223.80787699999999</v>
      </c>
      <c r="D1822">
        <v>71.186622999999997</v>
      </c>
      <c r="E1822">
        <v>90.709502999999998</v>
      </c>
      <c r="F1822">
        <v>1412.5200199999999</v>
      </c>
      <c r="H1822" s="50">
        <f t="shared" si="233"/>
        <v>9.0778617861297321E-3</v>
      </c>
      <c r="I1822" s="50">
        <f t="shared" si="234"/>
        <v>1.534304459803589E-2</v>
      </c>
      <c r="J1822" s="50">
        <f t="shared" si="235"/>
        <v>6.4184664536993015E-3</v>
      </c>
      <c r="K1822" s="50">
        <f t="shared" si="236"/>
        <v>1.158336954927115E-4</v>
      </c>
      <c r="L1822" s="50">
        <f t="shared" si="237"/>
        <v>4.96604920978701E-3</v>
      </c>
      <c r="P1822" s="50">
        <f t="shared" si="232"/>
        <v>4.96604920978701E-3</v>
      </c>
      <c r="Q1822" s="51">
        <f t="shared" si="238"/>
        <v>84.526233051693495</v>
      </c>
      <c r="R1822" s="51">
        <f t="shared" si="239"/>
        <v>34.814211315530713</v>
      </c>
    </row>
    <row r="1823" spans="1:18" x14ac:dyDescent="0.15">
      <c r="A1823" s="59">
        <v>43552.75</v>
      </c>
      <c r="B1823">
        <v>25.565712000000001</v>
      </c>
      <c r="C1823">
        <v>220.425873</v>
      </c>
      <c r="D1823">
        <v>70.732628000000005</v>
      </c>
      <c r="E1823">
        <v>90.698997000000006</v>
      </c>
      <c r="F1823">
        <v>1405.540039</v>
      </c>
      <c r="H1823" s="50">
        <f t="shared" si="233"/>
        <v>-2.5723280733639053E-3</v>
      </c>
      <c r="I1823" s="50">
        <f t="shared" si="234"/>
        <v>-8.1656676113604412E-3</v>
      </c>
      <c r="J1823" s="50">
        <f t="shared" si="235"/>
        <v>1.8912704078717262E-3</v>
      </c>
      <c r="K1823" s="50">
        <f t="shared" si="236"/>
        <v>-3.6909648512784715E-3</v>
      </c>
      <c r="L1823" s="50">
        <f t="shared" si="237"/>
        <v>1.6105196064184603E-3</v>
      </c>
      <c r="P1823" s="50">
        <f t="shared" si="232"/>
        <v>1.6105196064184603E-3</v>
      </c>
      <c r="Q1823" s="51">
        <f t="shared" si="238"/>
        <v>84.662364207279936</v>
      </c>
      <c r="R1823" s="51">
        <f t="shared" si="239"/>
        <v>34.72465774241175</v>
      </c>
    </row>
    <row r="1824" spans="1:18" x14ac:dyDescent="0.15">
      <c r="A1824" s="59">
        <v>43553.75</v>
      </c>
      <c r="B1824">
        <v>25.631644999999999</v>
      </c>
      <c r="C1824">
        <v>222.24061599999999</v>
      </c>
      <c r="D1824">
        <v>70.599106000000006</v>
      </c>
      <c r="E1824">
        <v>91.035004000000001</v>
      </c>
      <c r="F1824">
        <v>1403.280029</v>
      </c>
      <c r="H1824" s="50">
        <f t="shared" si="233"/>
        <v>-9.3771144315525391E-3</v>
      </c>
      <c r="I1824" s="50">
        <f t="shared" si="234"/>
        <v>-7.8558810733213164E-3</v>
      </c>
      <c r="J1824" s="50">
        <f t="shared" si="235"/>
        <v>-2.5436417790207038E-2</v>
      </c>
      <c r="K1824" s="50">
        <f t="shared" si="236"/>
        <v>1.0116556413176357E-3</v>
      </c>
      <c r="L1824" s="50">
        <f t="shared" si="237"/>
        <v>-3.6848084139949147E-3</v>
      </c>
      <c r="P1824" s="50">
        <f t="shared" si="232"/>
        <v>-3.6848084139949147E-3</v>
      </c>
      <c r="Q1824" s="51">
        <f t="shared" si="238"/>
        <v>84.350399615300248</v>
      </c>
      <c r="R1824" s="51">
        <f t="shared" si="239"/>
        <v>34.399040653164661</v>
      </c>
    </row>
    <row r="1825" spans="1:18" x14ac:dyDescent="0.15">
      <c r="A1825" s="59">
        <v>43554.75</v>
      </c>
      <c r="B1825">
        <v>25.874271</v>
      </c>
      <c r="C1825">
        <v>224.000336</v>
      </c>
      <c r="D1825">
        <v>72.441765000000004</v>
      </c>
      <c r="E1825">
        <v>90.943000999999995</v>
      </c>
      <c r="F1825">
        <v>1408.469971</v>
      </c>
      <c r="H1825" s="50">
        <f t="shared" si="233"/>
        <v>-7.2852163166315801E-3</v>
      </c>
      <c r="I1825" s="50">
        <f t="shared" si="234"/>
        <v>-5.9789213176339555E-3</v>
      </c>
      <c r="J1825" s="50">
        <f t="shared" si="235"/>
        <v>5.4361905211856142E-3</v>
      </c>
      <c r="K1825" s="50">
        <f t="shared" si="236"/>
        <v>-1.0025657711958061E-2</v>
      </c>
      <c r="L1825" s="50">
        <f t="shared" si="237"/>
        <v>-7.4487454261323999E-3</v>
      </c>
      <c r="P1825" s="50">
        <f t="shared" si="232"/>
        <v>-7.4487454261323999E-3</v>
      </c>
      <c r="Q1825" s="51">
        <f t="shared" si="238"/>
        <v>83.72209496197334</v>
      </c>
      <c r="R1825" s="51">
        <f t="shared" si="239"/>
        <v>34.148436200921751</v>
      </c>
    </row>
    <row r="1826" spans="1:18" x14ac:dyDescent="0.15">
      <c r="A1826" s="59">
        <v>43557.75</v>
      </c>
      <c r="B1826">
        <v>26.064153999999998</v>
      </c>
      <c r="C1826">
        <v>225.34767199999999</v>
      </c>
      <c r="D1826">
        <v>72.050087000000005</v>
      </c>
      <c r="E1826">
        <v>91.863997999999995</v>
      </c>
      <c r="F1826">
        <v>1419.040039</v>
      </c>
      <c r="H1826" s="50">
        <f t="shared" si="233"/>
        <v>-4.0312727135720407E-3</v>
      </c>
      <c r="I1826" s="50">
        <f t="shared" si="234"/>
        <v>-2.6366469957378219E-3</v>
      </c>
      <c r="J1826" s="50">
        <f t="shared" si="235"/>
        <v>-1.2083364487062763E-2</v>
      </c>
      <c r="K1826" s="50">
        <f t="shared" si="236"/>
        <v>-6.8004933043796087E-3</v>
      </c>
      <c r="L1826" s="50">
        <f t="shared" si="237"/>
        <v>4.0046087959196763E-3</v>
      </c>
      <c r="P1826" s="50">
        <f t="shared" si="232"/>
        <v>4.0046087959196763E-3</v>
      </c>
      <c r="Q1826" s="51">
        <f t="shared" si="238"/>
        <v>84.057369199870877</v>
      </c>
      <c r="R1826" s="51">
        <f t="shared" si="239"/>
        <v>34.01077454185382</v>
      </c>
    </row>
    <row r="1827" spans="1:18" x14ac:dyDescent="0.15">
      <c r="A1827" s="59">
        <v>43558.75</v>
      </c>
      <c r="B1827">
        <v>26.169651000000002</v>
      </c>
      <c r="C1827">
        <v>225.94340500000001</v>
      </c>
      <c r="D1827">
        <v>72.931342999999998</v>
      </c>
      <c r="E1827">
        <v>92.492996000000005</v>
      </c>
      <c r="F1827">
        <v>1413.380005</v>
      </c>
      <c r="H1827" s="50">
        <f t="shared" si="233"/>
        <v>5.4718067439741775E-3</v>
      </c>
      <c r="I1827" s="50">
        <f t="shared" si="234"/>
        <v>6.5738429846609403E-3</v>
      </c>
      <c r="J1827" s="50">
        <f t="shared" si="235"/>
        <v>1.574495463437595E-2</v>
      </c>
      <c r="K1827" s="50">
        <f t="shared" si="236"/>
        <v>7.6367875196095905E-3</v>
      </c>
      <c r="L1827" s="50">
        <f t="shared" si="237"/>
        <v>1.0307688856007196E-2</v>
      </c>
      <c r="P1827" s="50">
        <f t="shared" si="232"/>
        <v>1.0307688856007196E-2</v>
      </c>
      <c r="Q1827" s="51">
        <f t="shared" si="238"/>
        <v>84.92380640763767</v>
      </c>
      <c r="R1827" s="51">
        <f t="shared" si="239"/>
        <v>34.196874927359715</v>
      </c>
    </row>
    <row r="1828" spans="1:18" x14ac:dyDescent="0.15">
      <c r="A1828" s="59">
        <v>43559.75</v>
      </c>
      <c r="B1828">
        <v>26.027235000000001</v>
      </c>
      <c r="C1828">
        <v>224.46778900000001</v>
      </c>
      <c r="D1828">
        <v>71.800842000000003</v>
      </c>
      <c r="E1828">
        <v>91.792000000000002</v>
      </c>
      <c r="F1828">
        <v>1398.959961</v>
      </c>
      <c r="H1828" s="50">
        <f t="shared" si="233"/>
        <v>-9.1365563635627516E-3</v>
      </c>
      <c r="I1828" s="50">
        <f t="shared" si="234"/>
        <v>-2.8499041014865803E-3</v>
      </c>
      <c r="J1828" s="50">
        <f t="shared" si="235"/>
        <v>-1.114578897034489E-3</v>
      </c>
      <c r="K1828" s="50">
        <f t="shared" si="236"/>
        <v>-6.2197982361592106E-3</v>
      </c>
      <c r="L1828" s="50">
        <f t="shared" si="237"/>
        <v>6.294382493814845E-4</v>
      </c>
      <c r="P1828" s="50">
        <f t="shared" si="232"/>
        <v>6.294382493814845E-4</v>
      </c>
      <c r="Q1828" s="51">
        <f t="shared" si="238"/>
        <v>84.977260699673707</v>
      </c>
      <c r="R1828" s="51">
        <f t="shared" si="239"/>
        <v>33.88443325212819</v>
      </c>
    </row>
    <row r="1829" spans="1:18" x14ac:dyDescent="0.15">
      <c r="A1829" s="59">
        <v>43560.75</v>
      </c>
      <c r="B1829">
        <v>26.267226999999998</v>
      </c>
      <c r="C1829">
        <v>225.109329</v>
      </c>
      <c r="D1829">
        <v>71.880959000000004</v>
      </c>
      <c r="E1829">
        <v>92.366501</v>
      </c>
      <c r="F1829">
        <v>1398.079956</v>
      </c>
      <c r="H1829" s="50">
        <f t="shared" si="233"/>
        <v>-1.190462755818459E-2</v>
      </c>
      <c r="I1829" s="50">
        <f t="shared" si="234"/>
        <v>1.8114767488686741E-2</v>
      </c>
      <c r="J1829" s="50">
        <f t="shared" si="235"/>
        <v>3.729262473264227E-3</v>
      </c>
      <c r="K1829" s="50">
        <f t="shared" si="236"/>
        <v>1.7678504803815079E-3</v>
      </c>
      <c r="L1829" s="50">
        <f t="shared" si="237"/>
        <v>1.1488934714916643E-2</v>
      </c>
      <c r="P1829" s="50">
        <f t="shared" si="232"/>
        <v>1.1488934714916643E-2</v>
      </c>
      <c r="Q1829" s="51">
        <f t="shared" si="238"/>
        <v>85.953558900104724</v>
      </c>
      <c r="R1829" s="51">
        <f t="shared" si="239"/>
        <v>33.481051694241437</v>
      </c>
    </row>
    <row r="1830" spans="1:18" x14ac:dyDescent="0.15">
      <c r="A1830" s="59">
        <v>43564.75</v>
      </c>
      <c r="B1830">
        <v>26.583696</v>
      </c>
      <c r="C1830">
        <v>221.10408000000001</v>
      </c>
      <c r="D1830">
        <v>71.613892000000007</v>
      </c>
      <c r="E1830">
        <v>92.203498999999994</v>
      </c>
      <c r="F1830">
        <v>1382.1999510000001</v>
      </c>
      <c r="H1830" s="50">
        <f t="shared" si="233"/>
        <v>-7.4836083953868111E-3</v>
      </c>
      <c r="I1830" s="50">
        <f t="shared" si="234"/>
        <v>-2.9345111602577904E-3</v>
      </c>
      <c r="J1830" s="50">
        <f t="shared" si="235"/>
        <v>-3.4683151038661917E-3</v>
      </c>
      <c r="K1830" s="50">
        <f t="shared" si="236"/>
        <v>5.4799084131811071E-4</v>
      </c>
      <c r="L1830" s="50">
        <f t="shared" si="237"/>
        <v>1.7378300731539519E-2</v>
      </c>
      <c r="P1830" s="50">
        <f t="shared" si="232"/>
        <v>1.7378300731539519E-2</v>
      </c>
      <c r="Q1830" s="51">
        <f t="shared" si="238"/>
        <v>87.447285695616841</v>
      </c>
      <c r="R1830" s="51">
        <f t="shared" si="239"/>
        <v>33.230492614696033</v>
      </c>
    </row>
    <row r="1831" spans="1:18" x14ac:dyDescent="0.15">
      <c r="A1831" s="59">
        <v>43565.75</v>
      </c>
      <c r="B1831">
        <v>26.784137999999999</v>
      </c>
      <c r="C1831">
        <v>221.75482199999999</v>
      </c>
      <c r="D1831">
        <v>71.863135999999997</v>
      </c>
      <c r="E1831">
        <v>92.153000000000006</v>
      </c>
      <c r="F1831">
        <v>1358.589966</v>
      </c>
      <c r="H1831" s="50">
        <f t="shared" si="233"/>
        <v>-8.4935064877374004E-3</v>
      </c>
      <c r="I1831" s="50">
        <f t="shared" si="234"/>
        <v>-1.7780940909608894E-2</v>
      </c>
      <c r="J1831" s="50">
        <f t="shared" si="235"/>
        <v>-1.524763433708797E-2</v>
      </c>
      <c r="K1831" s="50">
        <f t="shared" si="236"/>
        <v>-9.8109893922055844E-4</v>
      </c>
      <c r="L1831" s="50">
        <f t="shared" si="237"/>
        <v>-7.3938199387445077E-3</v>
      </c>
      <c r="P1831" s="50">
        <f t="shared" si="232"/>
        <v>-7.3938199387445077E-3</v>
      </c>
      <c r="Q1831" s="51">
        <f t="shared" si="238"/>
        <v>86.800716211051494</v>
      </c>
      <c r="R1831" s="51">
        <f t="shared" si="239"/>
        <v>32.948249210082402</v>
      </c>
    </row>
    <row r="1832" spans="1:18" x14ac:dyDescent="0.15">
      <c r="A1832" s="59">
        <v>43566.75</v>
      </c>
      <c r="B1832">
        <v>27.013577999999999</v>
      </c>
      <c r="C1832">
        <v>225.76921100000001</v>
      </c>
      <c r="D1832">
        <v>72.975845000000007</v>
      </c>
      <c r="E1832">
        <v>92.243499999999997</v>
      </c>
      <c r="F1832">
        <v>1368.709961</v>
      </c>
      <c r="H1832" s="50">
        <f t="shared" si="233"/>
        <v>-4.8577947423591597E-3</v>
      </c>
      <c r="I1832" s="50">
        <f t="shared" si="234"/>
        <v>4.0351395827186139E-3</v>
      </c>
      <c r="J1832" s="50">
        <f t="shared" si="235"/>
        <v>1.2180856055177288E-4</v>
      </c>
      <c r="K1832" s="50">
        <f t="shared" si="236"/>
        <v>-9.7528770182068406E-3</v>
      </c>
      <c r="L1832" s="50">
        <f t="shared" si="237"/>
        <v>-1.3592096783566434E-2</v>
      </c>
      <c r="P1832" s="50">
        <f t="shared" si="232"/>
        <v>-1.3592096783566434E-2</v>
      </c>
      <c r="Q1832" s="51">
        <f t="shared" si="238"/>
        <v>85.620912475428</v>
      </c>
      <c r="R1832" s="51">
        <f t="shared" si="239"/>
        <v>32.788193378299724</v>
      </c>
    </row>
    <row r="1833" spans="1:18" x14ac:dyDescent="0.15">
      <c r="A1833" s="59">
        <v>43567.75</v>
      </c>
      <c r="B1833">
        <v>27.145444999999999</v>
      </c>
      <c r="C1833">
        <v>224.861862</v>
      </c>
      <c r="D1833">
        <v>72.966956999999994</v>
      </c>
      <c r="E1833">
        <v>93.152000000000001</v>
      </c>
      <c r="F1833">
        <v>1387.5699460000001</v>
      </c>
      <c r="H1833" s="50">
        <f t="shared" si="233"/>
        <v>-2.2292798727638983E-3</v>
      </c>
      <c r="I1833" s="50">
        <f t="shared" si="234"/>
        <v>-8.9588052779343899E-4</v>
      </c>
      <c r="J1833" s="50">
        <f t="shared" si="235"/>
        <v>-8.5872398565800985E-3</v>
      </c>
      <c r="K1833" s="50">
        <f t="shared" si="236"/>
        <v>-9.5448357335767232E-4</v>
      </c>
      <c r="L1833" s="50">
        <f t="shared" si="237"/>
        <v>1.263259226254447E-2</v>
      </c>
      <c r="P1833" s="50">
        <f t="shared" si="232"/>
        <v>1.263259226254447E-2</v>
      </c>
      <c r="Q1833" s="51">
        <f t="shared" si="238"/>
        <v>86.702526551877099</v>
      </c>
      <c r="R1833" s="51">
        <f t="shared" si="239"/>
        <v>32.715099318737188</v>
      </c>
    </row>
    <row r="1834" spans="1:18" x14ac:dyDescent="0.15">
      <c r="A1834" s="59">
        <v>43568.75</v>
      </c>
      <c r="B1834">
        <v>27.206095000000001</v>
      </c>
      <c r="C1834">
        <v>225.063492</v>
      </c>
      <c r="D1834">
        <v>73.598968999999997</v>
      </c>
      <c r="E1834">
        <v>93.240996999999993</v>
      </c>
      <c r="F1834">
        <v>1370.26001</v>
      </c>
      <c r="H1834" s="50">
        <f t="shared" si="233"/>
        <v>-1.9385279021223395E-4</v>
      </c>
      <c r="I1834" s="50">
        <f t="shared" si="234"/>
        <v>-1.0170816371079408E-3</v>
      </c>
      <c r="J1834" s="50">
        <f t="shared" si="235"/>
        <v>-6.9662294841713011E-3</v>
      </c>
      <c r="K1834" s="50">
        <f t="shared" si="236"/>
        <v>1.6812035833719285E-3</v>
      </c>
      <c r="L1834" s="50">
        <f t="shared" si="237"/>
        <v>5.038545143424847E-4</v>
      </c>
      <c r="P1834" s="50">
        <f t="shared" si="232"/>
        <v>5.038545143424847E-4</v>
      </c>
      <c r="Q1834" s="51">
        <f t="shared" si="238"/>
        <v>86.746212011285166</v>
      </c>
      <c r="R1834" s="51">
        <f t="shared" si="239"/>
        <v>32.708757405452182</v>
      </c>
    </row>
    <row r="1835" spans="1:18" x14ac:dyDescent="0.15">
      <c r="A1835" s="59">
        <v>43571.75</v>
      </c>
      <c r="B1835">
        <v>27.211369999999999</v>
      </c>
      <c r="C1835">
        <v>225.292633</v>
      </c>
      <c r="D1835">
        <v>74.115273000000002</v>
      </c>
      <c r="E1835">
        <v>93.084502999999998</v>
      </c>
      <c r="F1835">
        <v>1369.5699460000001</v>
      </c>
      <c r="H1835" s="50">
        <f t="shared" si="233"/>
        <v>7.9124738945846925E-3</v>
      </c>
      <c r="I1835" s="50">
        <f t="shared" si="234"/>
        <v>9.8184003418308931E-3</v>
      </c>
      <c r="J1835" s="50">
        <f t="shared" si="235"/>
        <v>1.511825532830351E-2</v>
      </c>
      <c r="K1835" s="50">
        <f t="shared" si="236"/>
        <v>-1.3574855073359879E-2</v>
      </c>
      <c r="L1835" s="50">
        <f t="shared" si="237"/>
        <v>-1.525049436843757E-2</v>
      </c>
      <c r="P1835" s="50">
        <f t="shared" si="232"/>
        <v>-1.525049436843757E-2</v>
      </c>
      <c r="Q1835" s="51">
        <f t="shared" si="238"/>
        <v>85.42328939352376</v>
      </c>
      <c r="R1835" s="51">
        <f t="shared" si="239"/>
        <v>32.96756459454712</v>
      </c>
    </row>
    <row r="1836" spans="1:18" x14ac:dyDescent="0.15">
      <c r="A1836" s="59">
        <v>43572.75</v>
      </c>
      <c r="B1836">
        <v>26.997751000000001</v>
      </c>
      <c r="C1836">
        <v>223.102127</v>
      </c>
      <c r="D1836">
        <v>73.011466999999996</v>
      </c>
      <c r="E1836">
        <v>94.365500999999995</v>
      </c>
      <c r="F1836">
        <v>1390.780029</v>
      </c>
      <c r="H1836" s="50">
        <f t="shared" si="233"/>
        <v>-6.7915000757843786E-3</v>
      </c>
      <c r="I1836" s="50">
        <f t="shared" si="234"/>
        <v>-8.7954943924772166E-3</v>
      </c>
      <c r="J1836" s="50">
        <f t="shared" si="235"/>
        <v>-1.7039331309035295E-3</v>
      </c>
      <c r="K1836" s="50">
        <f t="shared" si="236"/>
        <v>-1.8952348970535434E-2</v>
      </c>
      <c r="L1836" s="50">
        <f t="shared" si="237"/>
        <v>4.0718006403129324E-3</v>
      </c>
      <c r="P1836" s="50">
        <f t="shared" si="232"/>
        <v>4.0718006403129324E-3</v>
      </c>
      <c r="Q1836" s="51">
        <f t="shared" si="238"/>
        <v>85.771115997973936</v>
      </c>
      <c r="R1836" s="51">
        <f t="shared" si="239"/>
        <v>32.743665377104826</v>
      </c>
    </row>
    <row r="1837" spans="1:18" x14ac:dyDescent="0.15">
      <c r="A1837" s="59">
        <v>43573.75</v>
      </c>
      <c r="B1837">
        <v>27.182359999999999</v>
      </c>
      <c r="C1837">
        <v>225.08183299999999</v>
      </c>
      <c r="D1837">
        <v>73.136086000000006</v>
      </c>
      <c r="E1837">
        <v>96.188498999999993</v>
      </c>
      <c r="F1837">
        <v>1385.1400149999999</v>
      </c>
      <c r="H1837" s="50">
        <f t="shared" si="233"/>
        <v>-4.4431747740917363E-3</v>
      </c>
      <c r="I1837" s="50">
        <f t="shared" si="234"/>
        <v>-9.598543546171328E-3</v>
      </c>
      <c r="J1837" s="50">
        <f t="shared" si="235"/>
        <v>-8.6871789311031219E-3</v>
      </c>
      <c r="K1837" s="50">
        <f t="shared" si="236"/>
        <v>1.1578777198290396E-2</v>
      </c>
      <c r="L1837" s="50">
        <f t="shared" si="237"/>
        <v>5.9698244904044604E-3</v>
      </c>
      <c r="P1837" s="50">
        <f t="shared" si="232"/>
        <v>5.9698244904044604E-3</v>
      </c>
      <c r="Q1837" s="51">
        <f t="shared" si="238"/>
        <v>86.283154506827969</v>
      </c>
      <c r="R1837" s="51">
        <f t="shared" si="239"/>
        <v>32.59817954908997</v>
      </c>
    </row>
    <row r="1838" spans="1:18" x14ac:dyDescent="0.15">
      <c r="A1838" s="59">
        <v>43574.75</v>
      </c>
      <c r="B1838">
        <v>27.303674999999998</v>
      </c>
      <c r="C1838">
        <v>227.263229</v>
      </c>
      <c r="D1838">
        <v>73.777000000000001</v>
      </c>
      <c r="E1838">
        <v>95.087502000000001</v>
      </c>
      <c r="F1838">
        <v>1376.920044</v>
      </c>
      <c r="H1838" s="50">
        <f t="shared" si="233"/>
        <v>9.6626366243797828E-5</v>
      </c>
      <c r="I1838" s="50">
        <f t="shared" si="234"/>
        <v>9.6092322694584457E-3</v>
      </c>
      <c r="J1838" s="50">
        <f t="shared" si="235"/>
        <v>1.3946704502792189E-2</v>
      </c>
      <c r="K1838" s="50">
        <f t="shared" si="236"/>
        <v>-2.6285713456624266E-4</v>
      </c>
      <c r="L1838" s="50">
        <f t="shared" si="237"/>
        <v>-1.1678998397792984E-3</v>
      </c>
      <c r="P1838" s="50">
        <f t="shared" si="232"/>
        <v>-1.1678998397792984E-3</v>
      </c>
      <c r="Q1838" s="51">
        <f t="shared" si="238"/>
        <v>86.182384424503795</v>
      </c>
      <c r="R1838" s="51">
        <f t="shared" si="239"/>
        <v>32.601329392725965</v>
      </c>
    </row>
    <row r="1839" spans="1:18" x14ac:dyDescent="0.15">
      <c r="A1839" s="59">
        <v>43575.75</v>
      </c>
      <c r="B1839">
        <v>27.301037000000001</v>
      </c>
      <c r="C1839">
        <v>225.100189</v>
      </c>
      <c r="D1839">
        <v>72.762207000000004</v>
      </c>
      <c r="E1839">
        <v>95.112503000000004</v>
      </c>
      <c r="F1839">
        <v>1378.530029</v>
      </c>
      <c r="H1839" s="50">
        <f t="shared" si="233"/>
        <v>1.9600039169080697E-2</v>
      </c>
      <c r="I1839" s="50">
        <f t="shared" si="234"/>
        <v>7.3004565089891194E-3</v>
      </c>
      <c r="J1839" s="50">
        <f t="shared" si="235"/>
        <v>5.9906560621152918E-2</v>
      </c>
      <c r="K1839" s="50">
        <f t="shared" si="236"/>
        <v>-2.4802232616083358E-2</v>
      </c>
      <c r="L1839" s="50">
        <f t="shared" si="237"/>
        <v>8.4788567898023866E-3</v>
      </c>
      <c r="P1839" s="50">
        <f t="shared" si="232"/>
        <v>8.4788567898023866E-3</v>
      </c>
      <c r="Q1839" s="51">
        <f t="shared" si="238"/>
        <v>86.913112519842855</v>
      </c>
      <c r="R1839" s="51">
        <f t="shared" si="239"/>
        <v>33.240316725787494</v>
      </c>
    </row>
    <row r="1840" spans="1:18" x14ac:dyDescent="0.15">
      <c r="A1840" s="59">
        <v>43578.75</v>
      </c>
      <c r="B1840">
        <v>26.776222000000001</v>
      </c>
      <c r="C1840">
        <v>223.46876499999999</v>
      </c>
      <c r="D1840">
        <v>68.649642999999998</v>
      </c>
      <c r="E1840">
        <v>97.531502000000003</v>
      </c>
      <c r="F1840">
        <v>1366.9399410000001</v>
      </c>
      <c r="H1840" s="50">
        <f t="shared" si="233"/>
        <v>-2.9554805907877401E-4</v>
      </c>
      <c r="I1840" s="50">
        <f t="shared" si="234"/>
        <v>-1.882997637013036E-3</v>
      </c>
      <c r="J1840" s="50">
        <f t="shared" si="235"/>
        <v>-8.7401846718697402E-3</v>
      </c>
      <c r="K1840" s="50">
        <f t="shared" si="236"/>
        <v>6.2937634447076595E-3</v>
      </c>
      <c r="L1840" s="50">
        <f t="shared" si="237"/>
        <v>-3.6662828679359608E-3</v>
      </c>
      <c r="P1840" s="50">
        <f t="shared" si="232"/>
        <v>-3.6662828679359608E-3</v>
      </c>
      <c r="Q1840" s="51">
        <f t="shared" si="238"/>
        <v>86.594464464412368</v>
      </c>
      <c r="R1840" s="51">
        <f t="shared" si="239"/>
        <v>33.230492614696026</v>
      </c>
    </row>
    <row r="1841" spans="1:18" x14ac:dyDescent="0.15">
      <c r="A1841" s="59">
        <v>43579.75</v>
      </c>
      <c r="B1841">
        <v>26.784137999999999</v>
      </c>
      <c r="C1841">
        <v>223.89035000000001</v>
      </c>
      <c r="D1841">
        <v>69.254943999999995</v>
      </c>
      <c r="E1841">
        <v>96.921501000000006</v>
      </c>
      <c r="F1841">
        <v>1371.969971</v>
      </c>
      <c r="H1841" s="50">
        <f t="shared" si="233"/>
        <v>-1.2446269043144874E-2</v>
      </c>
      <c r="I1841" s="50">
        <f t="shared" si="234"/>
        <v>-5.0910118558757681E-3</v>
      </c>
      <c r="J1841" s="50">
        <f t="shared" si="235"/>
        <v>4.9082016957663491E-3</v>
      </c>
      <c r="K1841" s="50">
        <f t="shared" si="236"/>
        <v>6.1821836755262078E-3</v>
      </c>
      <c r="L1841" s="50">
        <f t="shared" si="237"/>
        <v>-1.3460922847071993E-2</v>
      </c>
      <c r="P1841" s="50">
        <f t="shared" si="232"/>
        <v>-1.3460922847071993E-2</v>
      </c>
      <c r="Q1841" s="51">
        <f t="shared" si="238"/>
        <v>85.428823059273398</v>
      </c>
      <c r="R1841" s="51">
        <f t="shared" si="239"/>
        <v>32.816896963177278</v>
      </c>
    </row>
    <row r="1842" spans="1:18" x14ac:dyDescent="0.15">
      <c r="A1842" s="59">
        <v>43580.75</v>
      </c>
      <c r="B1842">
        <v>27.121701999999999</v>
      </c>
      <c r="C1842">
        <v>225.036011</v>
      </c>
      <c r="D1842">
        <v>68.916686999999996</v>
      </c>
      <c r="E1842">
        <v>96.325996000000004</v>
      </c>
      <c r="F1842">
        <v>1390.6899410000001</v>
      </c>
      <c r="H1842" s="50">
        <f t="shared" si="233"/>
        <v>1.4601336825457775E-2</v>
      </c>
      <c r="I1842" s="50">
        <f t="shared" si="234"/>
        <v>1.6308600838764831E-2</v>
      </c>
      <c r="J1842" s="50">
        <f t="shared" si="235"/>
        <v>2.3126866689468908E-2</v>
      </c>
      <c r="K1842" s="50">
        <f t="shared" si="236"/>
        <v>7.847158610829439E-3</v>
      </c>
      <c r="L1842" s="50">
        <f t="shared" si="237"/>
        <v>-6.6358370353267323E-3</v>
      </c>
      <c r="P1842" s="50">
        <f t="shared" si="232"/>
        <v>-6.6358370353267323E-3</v>
      </c>
      <c r="Q1842" s="51">
        <f t="shared" si="238"/>
        <v>84.861931311332299</v>
      </c>
      <c r="R1842" s="51">
        <f t="shared" si="239"/>
        <v>33.296067529302974</v>
      </c>
    </row>
    <row r="1843" spans="1:18" x14ac:dyDescent="0.15">
      <c r="A1843" s="59">
        <v>43581.75</v>
      </c>
      <c r="B1843">
        <v>26.731387999999999</v>
      </c>
      <c r="C1843">
        <v>221.424881</v>
      </c>
      <c r="D1843">
        <v>67.358886999999996</v>
      </c>
      <c r="E1843">
        <v>95.575996000000004</v>
      </c>
      <c r="F1843">
        <v>1399.9799800000001</v>
      </c>
      <c r="H1843" s="50">
        <f t="shared" si="233"/>
        <v>2.0761730280142447E-3</v>
      </c>
      <c r="I1843" s="50">
        <f t="shared" si="234"/>
        <v>-4.532639455757206E-3</v>
      </c>
      <c r="J1843" s="50">
        <f t="shared" si="235"/>
        <v>-9.8144066652117307E-3</v>
      </c>
      <c r="K1843" s="50">
        <f t="shared" si="236"/>
        <v>5.6291074378426861E-3</v>
      </c>
      <c r="L1843" s="50">
        <f t="shared" si="237"/>
        <v>-2.4085088901832858E-3</v>
      </c>
      <c r="P1843" s="50">
        <f t="shared" si="232"/>
        <v>-2.4085088901832858E-3</v>
      </c>
      <c r="Q1843" s="51">
        <f t="shared" si="238"/>
        <v>84.657540595330829</v>
      </c>
      <c r="R1843" s="51">
        <f t="shared" si="239"/>
        <v>33.365195926646258</v>
      </c>
    </row>
    <row r="1844" spans="1:18" x14ac:dyDescent="0.15">
      <c r="A1844" s="59">
        <v>43582.75</v>
      </c>
      <c r="B1844">
        <v>26.676003999999999</v>
      </c>
      <c r="C1844">
        <v>222.43308999999999</v>
      </c>
      <c r="D1844">
        <v>68.026527000000002</v>
      </c>
      <c r="E1844">
        <v>95.040999999999997</v>
      </c>
      <c r="F1844">
        <v>1403.3599850000001</v>
      </c>
      <c r="H1844" s="50">
        <f t="shared" si="233"/>
        <v>-9.1104914441258109E-3</v>
      </c>
      <c r="I1844" s="50">
        <f t="shared" si="234"/>
        <v>-7.8895834759689538E-3</v>
      </c>
      <c r="J1844" s="50">
        <f t="shared" si="235"/>
        <v>6.3204976219712423E-3</v>
      </c>
      <c r="K1844" s="50">
        <f t="shared" si="236"/>
        <v>-3.1409567263439131E-2</v>
      </c>
      <c r="L1844" s="50">
        <f t="shared" si="237"/>
        <v>3.8986421639778113E-3</v>
      </c>
      <c r="P1844" s="50">
        <f t="shared" si="232"/>
        <v>3.8986421639778113E-3</v>
      </c>
      <c r="Q1844" s="51">
        <f t="shared" si="238"/>
        <v>84.987590052594442</v>
      </c>
      <c r="R1844" s="51">
        <f t="shared" si="239"/>
        <v>33.061222594624965</v>
      </c>
    </row>
    <row r="1845" spans="1:18" x14ac:dyDescent="0.15">
      <c r="A1845" s="59">
        <v>43585.75</v>
      </c>
      <c r="B1845">
        <v>26.92127</v>
      </c>
      <c r="C1845">
        <v>224.20195000000001</v>
      </c>
      <c r="D1845">
        <v>67.599266</v>
      </c>
      <c r="E1845">
        <v>98.123001000000002</v>
      </c>
      <c r="F1845">
        <v>1397.910034</v>
      </c>
      <c r="H1845" s="50">
        <f t="shared" si="233"/>
        <v>-3.7088261016566403E-3</v>
      </c>
      <c r="I1845" s="50">
        <f t="shared" si="234"/>
        <v>1.596876417306551E-3</v>
      </c>
      <c r="J1845" s="50">
        <f t="shared" si="235"/>
        <v>-5.2611930092252824E-4</v>
      </c>
      <c r="K1845" s="50">
        <f t="shared" si="236"/>
        <v>6.1060216290183726E-3</v>
      </c>
      <c r="L1845" s="50">
        <f t="shared" si="237"/>
        <v>-5.6265470002088563E-3</v>
      </c>
      <c r="P1845" s="50">
        <f t="shared" si="232"/>
        <v>-5.6265470002088563E-3</v>
      </c>
      <c r="Q1845" s="51">
        <f t="shared" si="238"/>
        <v>84.509403382729033</v>
      </c>
      <c r="R1845" s="51">
        <f t="shared" si="239"/>
        <v>32.938604269313338</v>
      </c>
    </row>
    <row r="1846" spans="1:18" x14ac:dyDescent="0.15">
      <c r="A1846" s="59">
        <v>43586.75</v>
      </c>
      <c r="B1846">
        <v>27.021488000000002</v>
      </c>
      <c r="C1846">
        <v>223.84449799999999</v>
      </c>
      <c r="D1846">
        <v>67.63485</v>
      </c>
      <c r="E1846">
        <v>97.527495999999999</v>
      </c>
      <c r="F1846">
        <v>1405.8199460000001</v>
      </c>
      <c r="H1846" s="50">
        <f t="shared" si="233"/>
        <v>1.145126617404742E-2</v>
      </c>
      <c r="I1846" s="50">
        <f t="shared" si="234"/>
        <v>1.6862248206726028E-2</v>
      </c>
      <c r="J1846" s="50">
        <f t="shared" si="235"/>
        <v>1.2526735795192118E-2</v>
      </c>
      <c r="K1846" s="50">
        <f t="shared" si="236"/>
        <v>1.5382539863116875E-2</v>
      </c>
      <c r="L1846" s="50">
        <f t="shared" si="237"/>
        <v>2.5029321992477861E-3</v>
      </c>
      <c r="P1846" s="50">
        <f t="shared" si="232"/>
        <v>2.5029321992477861E-3</v>
      </c>
      <c r="Q1846" s="51">
        <f t="shared" si="238"/>
        <v>84.720924689594881</v>
      </c>
      <c r="R1846" s="51">
        <f t="shared" si="239"/>
        <v>33.315792994202859</v>
      </c>
    </row>
    <row r="1847" spans="1:18" x14ac:dyDescent="0.15">
      <c r="A1847" s="59">
        <v>43587.75</v>
      </c>
      <c r="B1847">
        <v>26.715561000000001</v>
      </c>
      <c r="C1847">
        <v>220.13256799999999</v>
      </c>
      <c r="D1847">
        <v>66.798088000000007</v>
      </c>
      <c r="E1847">
        <v>96.050003000000004</v>
      </c>
      <c r="F1847">
        <v>1402.3100589999999</v>
      </c>
      <c r="H1847" s="50">
        <f t="shared" si="233"/>
        <v>9.9698164675947991E-3</v>
      </c>
      <c r="I1847" s="50">
        <f t="shared" si="234"/>
        <v>-4.8066109039970259E-3</v>
      </c>
      <c r="J1847" s="50">
        <f t="shared" si="235"/>
        <v>-4.9066211460982315E-3</v>
      </c>
      <c r="K1847" s="50">
        <f t="shared" si="236"/>
        <v>1.6843209220843373E-3</v>
      </c>
      <c r="L1847" s="50">
        <f t="shared" si="237"/>
        <v>7.7179828659506254E-3</v>
      </c>
      <c r="P1847" s="50">
        <f t="shared" si="232"/>
        <v>7.7179828659506254E-3</v>
      </c>
      <c r="Q1847" s="51">
        <f t="shared" si="238"/>
        <v>85.374799334736664</v>
      </c>
      <c r="R1847" s="51">
        <f t="shared" si="239"/>
        <v>33.647945335827444</v>
      </c>
    </row>
    <row r="1848" spans="1:18" x14ac:dyDescent="0.15">
      <c r="A1848" s="59">
        <v>43588.75</v>
      </c>
      <c r="B1848">
        <v>26.451841000000002</v>
      </c>
      <c r="C1848">
        <v>221.19577000000001</v>
      </c>
      <c r="D1848">
        <v>67.127457000000007</v>
      </c>
      <c r="E1848">
        <v>95.888496000000004</v>
      </c>
      <c r="F1848">
        <v>1391.5699460000001</v>
      </c>
      <c r="H1848" s="50">
        <f t="shared" si="233"/>
        <v>-8.3383009814817187E-3</v>
      </c>
      <c r="I1848" s="50">
        <f t="shared" si="234"/>
        <v>-1.141811565359966E-2</v>
      </c>
      <c r="J1848" s="50">
        <f t="shared" si="235"/>
        <v>3.9940525045816383E-3</v>
      </c>
      <c r="K1848" s="50">
        <f t="shared" si="236"/>
        <v>9.4216551658798352E-3</v>
      </c>
      <c r="L1848" s="50">
        <f t="shared" si="237"/>
        <v>1.6412219994078873E-2</v>
      </c>
      <c r="P1848" s="50">
        <f t="shared" si="232"/>
        <v>1.6412219994078873E-2</v>
      </c>
      <c r="Q1848" s="51">
        <f t="shared" si="238"/>
        <v>86.775989323368691</v>
      </c>
      <c r="R1848" s="51">
        <f t="shared" si="239"/>
        <v>33.367378640208869</v>
      </c>
    </row>
    <row r="1849" spans="1:18" x14ac:dyDescent="0.15">
      <c r="A1849" s="59">
        <v>43589.75</v>
      </c>
      <c r="B1849">
        <v>26.674258999999999</v>
      </c>
      <c r="C1849">
        <v>223.75058000000001</v>
      </c>
      <c r="D1849">
        <v>66.860412999999994</v>
      </c>
      <c r="E1849">
        <v>94.993499999999997</v>
      </c>
      <c r="F1849">
        <v>1369.099976</v>
      </c>
      <c r="H1849" s="50">
        <f t="shared" si="233"/>
        <v>-2.3255620647210481E-2</v>
      </c>
      <c r="I1849" s="50">
        <f t="shared" si="234"/>
        <v>-1.4371340447361471E-2</v>
      </c>
      <c r="J1849" s="50">
        <f t="shared" si="235"/>
        <v>6.2967054582167194E-3</v>
      </c>
      <c r="K1849" s="50">
        <f t="shared" si="236"/>
        <v>5.2328489694826556E-3</v>
      </c>
      <c r="L1849" s="50">
        <f t="shared" si="237"/>
        <v>-3.5045781584150805E-4</v>
      </c>
      <c r="P1849" s="50">
        <f t="shared" si="232"/>
        <v>-3.5045781584150805E-4</v>
      </c>
      <c r="Q1849" s="51">
        <f t="shared" si="238"/>
        <v>86.745577999682936</v>
      </c>
      <c r="R1849" s="51">
        <f t="shared" si="239"/>
        <v>32.591399540560339</v>
      </c>
    </row>
    <row r="1850" spans="1:18" x14ac:dyDescent="0.15">
      <c r="A1850" s="59">
        <v>43592.75</v>
      </c>
      <c r="B1850">
        <v>27.309355</v>
      </c>
      <c r="C1850">
        <v>227.01306199999999</v>
      </c>
      <c r="D1850">
        <v>66.442047000000002</v>
      </c>
      <c r="E1850">
        <v>94.499001000000007</v>
      </c>
      <c r="F1850">
        <v>1369.579956</v>
      </c>
      <c r="H1850" s="50">
        <f t="shared" si="233"/>
        <v>2.022209388513891E-2</v>
      </c>
      <c r="I1850" s="50">
        <f t="shared" si="234"/>
        <v>2.1081566319165079E-2</v>
      </c>
      <c r="J1850" s="50">
        <f t="shared" si="235"/>
        <v>4.1295040872313796E-2</v>
      </c>
      <c r="K1850" s="50">
        <f t="shared" si="236"/>
        <v>3.6923627726524862E-2</v>
      </c>
      <c r="L1850" s="50">
        <f t="shared" si="237"/>
        <v>4.2970588717733543E-3</v>
      </c>
      <c r="P1850" s="50">
        <f t="shared" si="232"/>
        <v>4.2970588717733543E-3</v>
      </c>
      <c r="Q1850" s="51">
        <f t="shared" si="238"/>
        <v>87.118328855213591</v>
      </c>
      <c r="R1850" s="51">
        <f t="shared" si="239"/>
        <v>33.250465881917627</v>
      </c>
    </row>
    <row r="1851" spans="1:18" x14ac:dyDescent="0.15">
      <c r="A1851" s="59">
        <v>43593.75</v>
      </c>
      <c r="B1851">
        <v>26.768049000000001</v>
      </c>
      <c r="C1851">
        <v>222.32607999999999</v>
      </c>
      <c r="D1851">
        <v>63.807129000000003</v>
      </c>
      <c r="E1851">
        <v>91.134003000000007</v>
      </c>
      <c r="F1851">
        <v>1363.719971</v>
      </c>
      <c r="H1851" s="50">
        <f t="shared" si="233"/>
        <v>-3.9883555259437225E-3</v>
      </c>
      <c r="I1851" s="50">
        <f t="shared" si="234"/>
        <v>-3.3372674254599222E-3</v>
      </c>
      <c r="J1851" s="50">
        <f t="shared" si="235"/>
        <v>-3.0872874551613875E-3</v>
      </c>
      <c r="K1851" s="50">
        <f t="shared" si="236"/>
        <v>-9.4775778583214166E-3</v>
      </c>
      <c r="L1851" s="50">
        <f t="shared" si="237"/>
        <v>6.7474902160739991E-3</v>
      </c>
      <c r="P1851" s="50">
        <f t="shared" si="232"/>
        <v>6.7474902160739991E-3</v>
      </c>
      <c r="Q1851" s="51">
        <f t="shared" si="238"/>
        <v>87.706158926804861</v>
      </c>
      <c r="R1851" s="51">
        <f t="shared" si="239"/>
        <v>33.117851202577278</v>
      </c>
    </row>
    <row r="1852" spans="1:18" x14ac:dyDescent="0.15">
      <c r="A1852" s="59">
        <v>43594.75</v>
      </c>
      <c r="B1852">
        <v>26.875236999999998</v>
      </c>
      <c r="C1852">
        <v>223.070526</v>
      </c>
      <c r="D1852">
        <v>64.004729999999995</v>
      </c>
      <c r="E1852">
        <v>92.005996999999994</v>
      </c>
      <c r="F1852">
        <v>1354.579956</v>
      </c>
      <c r="H1852" s="50">
        <f t="shared" si="233"/>
        <v>4.105044115970056E-3</v>
      </c>
      <c r="I1852" s="50">
        <f t="shared" si="234"/>
        <v>-7.9290241889789208E-3</v>
      </c>
      <c r="J1852" s="50">
        <f t="shared" si="235"/>
        <v>6.3552454819835605E-3</v>
      </c>
      <c r="K1852" s="50">
        <f t="shared" si="236"/>
        <v>-1.6583448149530063E-2</v>
      </c>
      <c r="L1852" s="50">
        <f t="shared" si="237"/>
        <v>-2.5110892017694447E-3</v>
      </c>
      <c r="P1852" s="50">
        <f t="shared" si="232"/>
        <v>-2.5110892017694447E-3</v>
      </c>
      <c r="Q1852" s="51">
        <f t="shared" si="238"/>
        <v>87.485920938195079</v>
      </c>
      <c r="R1852" s="51">
        <f t="shared" si="239"/>
        <v>33.253801442789985</v>
      </c>
    </row>
    <row r="1853" spans="1:18" x14ac:dyDescent="0.15">
      <c r="A1853" s="59">
        <v>43595.75</v>
      </c>
      <c r="B1853">
        <v>26.765364000000002</v>
      </c>
      <c r="C1853">
        <v>224.85339400000001</v>
      </c>
      <c r="D1853">
        <v>63.600532999999999</v>
      </c>
      <c r="E1853">
        <v>93.557502999999997</v>
      </c>
      <c r="F1853">
        <v>1357.98999</v>
      </c>
      <c r="H1853" s="50">
        <f t="shared" si="233"/>
        <v>-1.4115544381490817E-2</v>
      </c>
      <c r="I1853" s="50">
        <f t="shared" si="234"/>
        <v>-1.1194590260196903E-2</v>
      </c>
      <c r="J1853" s="50">
        <f t="shared" si="235"/>
        <v>4.2346186024480608E-4</v>
      </c>
      <c r="K1853" s="50">
        <f t="shared" si="236"/>
        <v>-1.909234221355249E-2</v>
      </c>
      <c r="L1853" s="50">
        <f t="shared" si="237"/>
        <v>3.3988539512020016E-3</v>
      </c>
      <c r="P1853" s="50">
        <f t="shared" si="232"/>
        <v>3.3988539512020016E-3</v>
      </c>
      <c r="Q1853" s="51">
        <f t="shared" si="238"/>
        <v>87.783272806250409</v>
      </c>
      <c r="R1853" s="51">
        <f t="shared" si="239"/>
        <v>32.784405932671</v>
      </c>
    </row>
    <row r="1854" spans="1:18" x14ac:dyDescent="0.15">
      <c r="A1854" s="59">
        <v>43596.75</v>
      </c>
      <c r="B1854">
        <v>27.148581</v>
      </c>
      <c r="C1854">
        <v>227.399033</v>
      </c>
      <c r="D1854">
        <v>63.573611999999997</v>
      </c>
      <c r="E1854">
        <v>95.378501999999997</v>
      </c>
      <c r="F1854">
        <v>1353.3900149999999</v>
      </c>
      <c r="H1854" s="50">
        <f t="shared" si="233"/>
        <v>4.4619681757236971E-3</v>
      </c>
      <c r="I1854" s="50">
        <f t="shared" si="234"/>
        <v>-3.6642135028556082E-3</v>
      </c>
      <c r="J1854" s="50">
        <f t="shared" si="235"/>
        <v>-1.5517081157266914E-3</v>
      </c>
      <c r="K1854" s="50">
        <f t="shared" si="236"/>
        <v>2.063675828689434E-2</v>
      </c>
      <c r="L1854" s="50">
        <f t="shared" si="237"/>
        <v>1.1237747427583156E-2</v>
      </c>
      <c r="P1854" s="50">
        <f t="shared" si="232"/>
        <v>1.1237747427583156E-2</v>
      </c>
      <c r="Q1854" s="51">
        <f t="shared" si="238"/>
        <v>88.769759054413669</v>
      </c>
      <c r="R1854" s="51">
        <f t="shared" si="239"/>
        <v>32.930688908602583</v>
      </c>
    </row>
    <row r="1855" spans="1:18" x14ac:dyDescent="0.15">
      <c r="A1855" s="59">
        <v>43599.75</v>
      </c>
      <c r="B1855">
        <v>27.027982999999999</v>
      </c>
      <c r="C1855">
        <v>228.23533599999999</v>
      </c>
      <c r="D1855">
        <v>63.672412999999999</v>
      </c>
      <c r="E1855">
        <v>93.449996999999996</v>
      </c>
      <c r="F1855">
        <v>1338.349976</v>
      </c>
      <c r="H1855" s="50">
        <f t="shared" si="233"/>
        <v>-6.5011944378882891E-3</v>
      </c>
      <c r="I1855" s="50">
        <f t="shared" si="234"/>
        <v>-2.2097632001365011E-3</v>
      </c>
      <c r="J1855" s="50">
        <f t="shared" si="235"/>
        <v>-1.6509472468228498E-2</v>
      </c>
      <c r="K1855" s="50">
        <f t="shared" si="236"/>
        <v>5.3954070179634672E-3</v>
      </c>
      <c r="L1855" s="50">
        <f t="shared" si="237"/>
        <v>5.779043334520088E-3</v>
      </c>
      <c r="P1855" s="50">
        <f t="shared" si="232"/>
        <v>5.779043334520088E-3</v>
      </c>
      <c r="Q1855" s="51">
        <f t="shared" si="238"/>
        <v>89.282763338784036</v>
      </c>
      <c r="R1855" s="51">
        <f t="shared" si="239"/>
        <v>32.716600097034146</v>
      </c>
    </row>
    <row r="1856" spans="1:18" x14ac:dyDescent="0.15">
      <c r="A1856" s="59">
        <v>43600.75</v>
      </c>
      <c r="B1856">
        <v>27.204847000000001</v>
      </c>
      <c r="C1856">
        <v>228.74079900000001</v>
      </c>
      <c r="D1856">
        <v>64.741257000000004</v>
      </c>
      <c r="E1856">
        <v>92.948502000000005</v>
      </c>
      <c r="F1856">
        <v>1330.660034</v>
      </c>
      <c r="H1856" s="50">
        <f t="shared" si="233"/>
        <v>3.9557296025899899E-3</v>
      </c>
      <c r="I1856" s="50">
        <f t="shared" si="234"/>
        <v>-4.1210974240667953E-3</v>
      </c>
      <c r="J1856" s="50">
        <f t="shared" si="235"/>
        <v>1.6675723892677966E-3</v>
      </c>
      <c r="K1856" s="50">
        <f t="shared" si="236"/>
        <v>7.8064301628682088E-4</v>
      </c>
      <c r="L1856" s="50">
        <f t="shared" si="237"/>
        <v>4.4232976926769814E-3</v>
      </c>
      <c r="P1856" s="50">
        <f t="shared" si="232"/>
        <v>4.4232976926769814E-3</v>
      </c>
      <c r="Q1856" s="51">
        <f t="shared" si="238"/>
        <v>89.677687579856311</v>
      </c>
      <c r="R1856" s="51">
        <f t="shared" si="239"/>
        <v>32.846018120534083</v>
      </c>
    </row>
    <row r="1857" spans="1:18" x14ac:dyDescent="0.15">
      <c r="A1857" s="59">
        <v>43601.75</v>
      </c>
      <c r="B1857">
        <v>27.097656000000001</v>
      </c>
      <c r="C1857">
        <v>229.687363</v>
      </c>
      <c r="D1857">
        <v>64.633476000000002</v>
      </c>
      <c r="E1857">
        <v>92.875998999999993</v>
      </c>
      <c r="F1857">
        <v>1324.8000489999999</v>
      </c>
      <c r="H1857" s="50">
        <f t="shared" si="233"/>
        <v>-1.0857959290619387E-2</v>
      </c>
      <c r="I1857" s="50">
        <f t="shared" si="234"/>
        <v>1.6832475225445299E-3</v>
      </c>
      <c r="J1857" s="50">
        <f t="shared" si="235"/>
        <v>-7.2201919805694029E-2</v>
      </c>
      <c r="K1857" s="50">
        <f t="shared" si="236"/>
        <v>-1.161511645428263E-3</v>
      </c>
      <c r="L1857" s="50">
        <f t="shared" si="237"/>
        <v>1.5281382086369897E-2</v>
      </c>
      <c r="P1857" s="50">
        <f t="shared" ref="P1857:P1920" si="240">(F1857-F1858)/F1858</f>
        <v>1.5281382086369897E-2</v>
      </c>
      <c r="Q1857" s="51">
        <f t="shared" si="238"/>
        <v>91.048086588386212</v>
      </c>
      <c r="R1857" s="51">
        <f t="shared" si="239"/>
        <v>32.489377392922378</v>
      </c>
    </row>
    <row r="1858" spans="1:18" x14ac:dyDescent="0.15">
      <c r="A1858" s="59">
        <v>43602.75</v>
      </c>
      <c r="B1858">
        <v>27.395111</v>
      </c>
      <c r="C1858">
        <v>229.30139199999999</v>
      </c>
      <c r="D1858">
        <v>69.663300000000007</v>
      </c>
      <c r="E1858">
        <v>92.984001000000006</v>
      </c>
      <c r="F1858">
        <v>1304.8599850000001</v>
      </c>
      <c r="H1858" s="50">
        <f t="shared" ref="H1858:H1921" si="241">(B1858-B1859)/B1859</f>
        <v>3.6325158472181544E-3</v>
      </c>
      <c r="I1858" s="50">
        <f t="shared" ref="I1858:I1921" si="242">(C1858-C1859)/C1859</f>
        <v>3.9431565494008206E-3</v>
      </c>
      <c r="J1858" s="50">
        <f t="shared" ref="J1858:J1921" si="243">(D1858-D1859)/D1859</f>
        <v>-2.3173925515225725E-2</v>
      </c>
      <c r="K1858" s="50">
        <f t="shared" ref="K1858:K1921" si="244">(E1858-E1859)/E1859</f>
        <v>2.4346166868350814E-2</v>
      </c>
      <c r="L1858" s="50">
        <f t="shared" ref="L1858:L1921" si="245">(F1858-F1859)/F1859</f>
        <v>7.4427620140517931E-3</v>
      </c>
      <c r="P1858" s="50">
        <f t="shared" si="240"/>
        <v>7.4427620140517931E-3</v>
      </c>
      <c r="Q1858" s="51">
        <f t="shared" si="238"/>
        <v>91.725735828698348</v>
      </c>
      <c r="R1858" s="51">
        <f t="shared" si="239"/>
        <v>32.607395571168418</v>
      </c>
    </row>
    <row r="1859" spans="1:18" x14ac:dyDescent="0.15">
      <c r="A1859" s="59">
        <v>43603.75</v>
      </c>
      <c r="B1859">
        <v>27.295957999999999</v>
      </c>
      <c r="C1859">
        <v>228.40077199999999</v>
      </c>
      <c r="D1859">
        <v>71.315971000000005</v>
      </c>
      <c r="E1859">
        <v>90.774001999999996</v>
      </c>
      <c r="F1859">
        <v>1295.219971</v>
      </c>
      <c r="H1859" s="50">
        <f t="shared" si="241"/>
        <v>-7.8896086489944357E-3</v>
      </c>
      <c r="I1859" s="50">
        <f t="shared" si="242"/>
        <v>4.9737496375792103E-3</v>
      </c>
      <c r="J1859" s="50">
        <f t="shared" si="243"/>
        <v>-2.6603054703644772E-2</v>
      </c>
      <c r="K1859" s="50">
        <f t="shared" si="244"/>
        <v>-4.2779934592822788E-3</v>
      </c>
      <c r="L1859" s="50">
        <f t="shared" si="245"/>
        <v>-1.578280925981819E-2</v>
      </c>
      <c r="P1859" s="50">
        <f t="shared" si="240"/>
        <v>-1.578280925981819E-2</v>
      </c>
      <c r="Q1859" s="51">
        <f t="shared" ref="Q1859:Q1922" si="246">Q1858*(1+P1859)</f>
        <v>90.278046035897532</v>
      </c>
      <c r="R1859" s="51">
        <f t="shared" ref="R1859:R1922" si="247">R1858*(1+H1859)</f>
        <v>32.350135981048943</v>
      </c>
    </row>
    <row r="1860" spans="1:18" x14ac:dyDescent="0.15">
      <c r="A1860" s="59">
        <v>43606.75</v>
      </c>
      <c r="B1860">
        <v>27.513024999999999</v>
      </c>
      <c r="C1860">
        <v>227.270386</v>
      </c>
      <c r="D1860">
        <v>73.265045000000001</v>
      </c>
      <c r="E1860">
        <v>91.164000999999999</v>
      </c>
      <c r="F1860">
        <v>1315.98999</v>
      </c>
      <c r="H1860" s="50">
        <f t="shared" si="241"/>
        <v>2.441264530065585E-3</v>
      </c>
      <c r="I1860" s="50">
        <f t="shared" si="242"/>
        <v>4.0191400614305473E-3</v>
      </c>
      <c r="J1860" s="50">
        <f t="shared" si="243"/>
        <v>9.9049191609275281E-3</v>
      </c>
      <c r="K1860" s="50">
        <f t="shared" si="244"/>
        <v>-7.1606538612203723E-3</v>
      </c>
      <c r="L1860" s="50">
        <f t="shared" si="245"/>
        <v>-4.8610087691260573E-4</v>
      </c>
      <c r="P1860" s="50">
        <f t="shared" si="240"/>
        <v>-4.8610087691260573E-4</v>
      </c>
      <c r="Q1860" s="51">
        <f t="shared" si="246"/>
        <v>90.234161798553529</v>
      </c>
      <c r="R1860" s="51">
        <f t="shared" si="247"/>
        <v>32.429111220562277</v>
      </c>
    </row>
    <row r="1861" spans="1:18" x14ac:dyDescent="0.15">
      <c r="A1861" s="59">
        <v>43607.75</v>
      </c>
      <c r="B1861">
        <v>27.446021999999999</v>
      </c>
      <c r="C1861">
        <v>226.36061100000001</v>
      </c>
      <c r="D1861">
        <v>72.546477999999993</v>
      </c>
      <c r="E1861">
        <v>91.821503000000007</v>
      </c>
      <c r="F1861">
        <v>1316.630005</v>
      </c>
      <c r="H1861" s="50">
        <f t="shared" si="241"/>
        <v>2.937443042162684E-3</v>
      </c>
      <c r="I1861" s="50">
        <f t="shared" si="242"/>
        <v>2.3349637291888516E-2</v>
      </c>
      <c r="J1861" s="50">
        <f t="shared" si="243"/>
        <v>1.4188678169098365E-2</v>
      </c>
      <c r="K1861" s="50">
        <f t="shared" si="244"/>
        <v>9.4767448322580321E-3</v>
      </c>
      <c r="L1861" s="50">
        <f t="shared" si="245"/>
        <v>-1.690839077205052E-3</v>
      </c>
      <c r="P1861" s="50">
        <f t="shared" si="240"/>
        <v>-1.690839077205052E-3</v>
      </c>
      <c r="Q1861" s="51">
        <f t="shared" si="246"/>
        <v>90.081590351685691</v>
      </c>
      <c r="R1861" s="51">
        <f t="shared" si="247"/>
        <v>32.524369887680635</v>
      </c>
    </row>
    <row r="1862" spans="1:18" x14ac:dyDescent="0.15">
      <c r="A1862" s="59">
        <v>43608.75</v>
      </c>
      <c r="B1862">
        <v>27.365637</v>
      </c>
      <c r="C1862">
        <v>221.19577000000001</v>
      </c>
      <c r="D1862">
        <v>71.531540000000007</v>
      </c>
      <c r="E1862">
        <v>90.959502999999998</v>
      </c>
      <c r="F1862">
        <v>1318.8599850000001</v>
      </c>
      <c r="H1862" s="50">
        <f t="shared" si="241"/>
        <v>-6.8466022937303339E-4</v>
      </c>
      <c r="I1862" s="50">
        <f t="shared" si="242"/>
        <v>-3.518960788433017E-3</v>
      </c>
      <c r="J1862" s="50">
        <f t="shared" si="243"/>
        <v>-9.3291678319803381E-3</v>
      </c>
      <c r="K1862" s="50">
        <f t="shared" si="244"/>
        <v>1.5801290173509349E-3</v>
      </c>
      <c r="L1862" s="50">
        <f t="shared" si="245"/>
        <v>-1.3781301493025167E-3</v>
      </c>
      <c r="P1862" s="50">
        <f t="shared" si="240"/>
        <v>-1.3781301493025167E-3</v>
      </c>
      <c r="Q1862" s="51">
        <f t="shared" si="246"/>
        <v>89.957446196124906</v>
      </c>
      <c r="R1862" s="51">
        <f t="shared" si="247"/>
        <v>32.502101745133118</v>
      </c>
    </row>
    <row r="1863" spans="1:18" x14ac:dyDescent="0.15">
      <c r="A1863" s="59">
        <v>43609.75</v>
      </c>
      <c r="B1863">
        <v>27.384385999999999</v>
      </c>
      <c r="C1863">
        <v>221.97689800000001</v>
      </c>
      <c r="D1863">
        <v>72.205153999999993</v>
      </c>
      <c r="E1863">
        <v>90.816001999999997</v>
      </c>
      <c r="F1863">
        <v>1320.6800539999999</v>
      </c>
      <c r="H1863" s="50">
        <f t="shared" si="241"/>
        <v>7.3933699779890807E-3</v>
      </c>
      <c r="I1863" s="50">
        <f t="shared" si="242"/>
        <v>8.1809179460660079E-3</v>
      </c>
      <c r="J1863" s="50">
        <f t="shared" si="243"/>
        <v>-7.4606557317158026E-4</v>
      </c>
      <c r="K1863" s="50">
        <f t="shared" si="244"/>
        <v>2.3238519647371211E-2</v>
      </c>
      <c r="L1863" s="50">
        <f t="shared" si="245"/>
        <v>2.1703329113216007E-3</v>
      </c>
      <c r="P1863" s="50">
        <f t="shared" si="240"/>
        <v>2.1703329113216007E-3</v>
      </c>
      <c r="Q1863" s="51">
        <f t="shared" si="246"/>
        <v>90.152683802222796</v>
      </c>
      <c r="R1863" s="51">
        <f t="shared" si="247"/>
        <v>32.742401808397133</v>
      </c>
    </row>
    <row r="1864" spans="1:18" x14ac:dyDescent="0.15">
      <c r="A1864" s="59">
        <v>43610.75</v>
      </c>
      <c r="B1864">
        <v>27.183409000000001</v>
      </c>
      <c r="C1864">
        <v>220.175659</v>
      </c>
      <c r="D1864">
        <v>72.259063999999995</v>
      </c>
      <c r="E1864">
        <v>88.753501999999997</v>
      </c>
      <c r="F1864">
        <v>1317.8199460000001</v>
      </c>
      <c r="H1864" s="50">
        <f t="shared" si="241"/>
        <v>-5.099961738849558E-3</v>
      </c>
      <c r="I1864" s="50">
        <f t="shared" si="242"/>
        <v>-6.1807271560327896E-3</v>
      </c>
      <c r="J1864" s="50">
        <f t="shared" si="243"/>
        <v>-3.013887192683699E-2</v>
      </c>
      <c r="K1864" s="50">
        <f t="shared" si="244"/>
        <v>4.8668132365266223E-2</v>
      </c>
      <c r="L1864" s="50">
        <f t="shared" si="245"/>
        <v>-1.0957579080069654E-2</v>
      </c>
      <c r="P1864" s="50">
        <f t="shared" si="240"/>
        <v>-1.0957579080069654E-2</v>
      </c>
      <c r="Q1864" s="51">
        <f t="shared" si="246"/>
        <v>89.164828640179422</v>
      </c>
      <c r="R1864" s="51">
        <f t="shared" si="247"/>
        <v>32.575416811936272</v>
      </c>
    </row>
    <row r="1865" spans="1:18" x14ac:dyDescent="0.15">
      <c r="A1865" s="59">
        <v>43614.75</v>
      </c>
      <c r="B1865">
        <v>27.322754</v>
      </c>
      <c r="C1865">
        <v>221.54496800000001</v>
      </c>
      <c r="D1865">
        <v>74.504547000000002</v>
      </c>
      <c r="E1865">
        <v>84.634499000000005</v>
      </c>
      <c r="F1865">
        <v>1332.420044</v>
      </c>
      <c r="H1865" s="50">
        <f t="shared" si="241"/>
        <v>-5.8504461487773754E-3</v>
      </c>
      <c r="I1865" s="50">
        <f t="shared" si="242"/>
        <v>-1.8484572657061521E-2</v>
      </c>
      <c r="J1865" s="50">
        <f t="shared" si="243"/>
        <v>-3.3779998440914255E-2</v>
      </c>
      <c r="K1865" s="50">
        <f t="shared" si="244"/>
        <v>-2.1317538147882828E-2</v>
      </c>
      <c r="L1865" s="50">
        <f t="shared" si="245"/>
        <v>1.4543370073814357E-2</v>
      </c>
      <c r="P1865" s="50">
        <f t="shared" si="240"/>
        <v>1.4543370073814357E-2</v>
      </c>
      <c r="Q1865" s="51">
        <f t="shared" si="246"/>
        <v>90.461585740661803</v>
      </c>
      <c r="R1865" s="51">
        <f t="shared" si="247"/>
        <v>32.384836090104059</v>
      </c>
    </row>
    <row r="1866" spans="1:18" x14ac:dyDescent="0.15">
      <c r="A1866" s="59">
        <v>43615.75</v>
      </c>
      <c r="B1866">
        <v>27.483544999999999</v>
      </c>
      <c r="C1866">
        <v>225.71725499999999</v>
      </c>
      <c r="D1866">
        <v>77.109298999999993</v>
      </c>
      <c r="E1866">
        <v>86.477997000000002</v>
      </c>
      <c r="F1866">
        <v>1313.3199460000001</v>
      </c>
      <c r="H1866" s="50">
        <f t="shared" si="241"/>
        <v>-1.7812573350788383E-2</v>
      </c>
      <c r="I1866" s="50">
        <f t="shared" si="242"/>
        <v>-9.4775396520108638E-3</v>
      </c>
      <c r="J1866" s="50">
        <f t="shared" si="243"/>
        <v>4.2113446126657034E-3</v>
      </c>
      <c r="K1866" s="50">
        <f t="shared" si="244"/>
        <v>-5.1424329545321015E-3</v>
      </c>
      <c r="L1866" s="50">
        <f t="shared" si="245"/>
        <v>2.2818603713582767E-3</v>
      </c>
      <c r="P1866" s="50">
        <f t="shared" si="240"/>
        <v>2.2818603713582767E-3</v>
      </c>
      <c r="Q1866" s="51">
        <f t="shared" si="246"/>
        <v>90.668006448293653</v>
      </c>
      <c r="R1866" s="51">
        <f t="shared" si="247"/>
        <v>31.807978821795825</v>
      </c>
    </row>
    <row r="1867" spans="1:18" x14ac:dyDescent="0.15">
      <c r="A1867" s="59">
        <v>43616.75</v>
      </c>
      <c r="B1867">
        <v>27.981976</v>
      </c>
      <c r="C1867">
        <v>227.87696800000001</v>
      </c>
      <c r="D1867">
        <v>76.785927000000001</v>
      </c>
      <c r="E1867">
        <v>86.925003000000004</v>
      </c>
      <c r="F1867">
        <v>1310.329956</v>
      </c>
      <c r="H1867" s="50">
        <f t="shared" si="241"/>
        <v>-6.5646598725411483E-3</v>
      </c>
      <c r="I1867" s="50">
        <f t="shared" si="242"/>
        <v>-1.2937243475271554E-2</v>
      </c>
      <c r="J1867" s="50">
        <f t="shared" si="243"/>
        <v>-2.4502389640998919E-3</v>
      </c>
      <c r="K1867" s="50">
        <f t="shared" si="244"/>
        <v>-9.0403221906490156E-3</v>
      </c>
      <c r="L1867" s="50">
        <f t="shared" si="245"/>
        <v>2.5265184199757346E-2</v>
      </c>
      <c r="P1867" s="50">
        <f t="shared" si="240"/>
        <v>2.5265184199757346E-2</v>
      </c>
      <c r="Q1867" s="51">
        <f t="shared" si="246"/>
        <v>92.958750332234573</v>
      </c>
      <c r="R1867" s="51">
        <f t="shared" si="247"/>
        <v>31.599170259597742</v>
      </c>
    </row>
    <row r="1868" spans="1:18" x14ac:dyDescent="0.15">
      <c r="A1868" s="59">
        <v>43617.75</v>
      </c>
      <c r="B1868">
        <v>28.166882000000001</v>
      </c>
      <c r="C1868">
        <v>230.863708</v>
      </c>
      <c r="D1868">
        <v>76.974532999999994</v>
      </c>
      <c r="E1868">
        <v>87.718001999999998</v>
      </c>
      <c r="F1868">
        <v>1278.040039</v>
      </c>
      <c r="H1868" s="50">
        <f t="shared" si="241"/>
        <v>-8.9570713392400428E-3</v>
      </c>
      <c r="I1868" s="50">
        <f t="shared" si="242"/>
        <v>-1.8749360083843734E-2</v>
      </c>
      <c r="J1868" s="50">
        <f t="shared" si="243"/>
        <v>-1.3241412725362221E-2</v>
      </c>
      <c r="K1868" s="50">
        <f t="shared" si="244"/>
        <v>-2.7532779388369344E-2</v>
      </c>
      <c r="L1868" s="50">
        <f t="shared" si="245"/>
        <v>-1.0954246982792339E-4</v>
      </c>
      <c r="P1868" s="50">
        <f t="shared" si="240"/>
        <v>-1.0954246982792339E-4</v>
      </c>
      <c r="Q1868" s="51">
        <f t="shared" si="246"/>
        <v>92.948567401131058</v>
      </c>
      <c r="R1868" s="51">
        <f t="shared" si="247"/>
        <v>31.31613423732173</v>
      </c>
    </row>
    <row r="1869" spans="1:18" x14ac:dyDescent="0.15">
      <c r="A1869" s="59">
        <v>43620.75</v>
      </c>
      <c r="B1869">
        <v>28.421455000000002</v>
      </c>
      <c r="C1869">
        <v>235.27496300000001</v>
      </c>
      <c r="D1869">
        <v>78.007462000000004</v>
      </c>
      <c r="E1869">
        <v>90.201499999999996</v>
      </c>
      <c r="F1869">
        <v>1278.1800539999999</v>
      </c>
      <c r="H1869" s="50">
        <f t="shared" si="241"/>
        <v>-1.3578839440860392E-2</v>
      </c>
      <c r="I1869" s="50">
        <f t="shared" si="242"/>
        <v>-3.2702949302796333E-3</v>
      </c>
      <c r="J1869" s="50">
        <f t="shared" si="243"/>
        <v>-7.9955287768228682E-3</v>
      </c>
      <c r="K1869" s="50">
        <f t="shared" si="244"/>
        <v>-3.0419824888993058E-2</v>
      </c>
      <c r="L1869" s="50">
        <f t="shared" si="245"/>
        <v>-5.6942403733956223E-3</v>
      </c>
      <c r="P1869" s="50">
        <f t="shared" si="240"/>
        <v>-5.6942403733956223E-3</v>
      </c>
      <c r="Q1869" s="51">
        <f t="shared" si="246"/>
        <v>92.419295915986254</v>
      </c>
      <c r="R1869" s="51">
        <f t="shared" si="247"/>
        <v>30.890897478604707</v>
      </c>
    </row>
    <row r="1870" spans="1:18" x14ac:dyDescent="0.15">
      <c r="A1870" s="59">
        <v>43621.75</v>
      </c>
      <c r="B1870">
        <v>28.812698000000001</v>
      </c>
      <c r="C1870">
        <v>236.04690600000001</v>
      </c>
      <c r="D1870">
        <v>78.636200000000002</v>
      </c>
      <c r="E1870">
        <v>93.031502000000003</v>
      </c>
      <c r="F1870">
        <v>1285.5</v>
      </c>
      <c r="H1870" s="50">
        <f t="shared" si="241"/>
        <v>-3.8907888059009259E-3</v>
      </c>
      <c r="I1870" s="50">
        <f t="shared" si="242"/>
        <v>-1.0112201262942057E-3</v>
      </c>
      <c r="J1870" s="50">
        <f t="shared" si="243"/>
        <v>-3.4147999572197861E-3</v>
      </c>
      <c r="K1870" s="50">
        <f t="shared" si="244"/>
        <v>-1.6472179352301952E-3</v>
      </c>
      <c r="L1870" s="50">
        <f t="shared" si="245"/>
        <v>-2.253009579839978E-2</v>
      </c>
      <c r="P1870" s="50">
        <f t="shared" si="240"/>
        <v>-2.253009579839978E-2</v>
      </c>
      <c r="Q1870" s="51">
        <f t="shared" si="246"/>
        <v>90.337080325378423</v>
      </c>
      <c r="R1870" s="51">
        <f t="shared" si="247"/>
        <v>30.770707520490721</v>
      </c>
    </row>
    <row r="1871" spans="1:18" x14ac:dyDescent="0.15">
      <c r="A1871" s="59">
        <v>43622.75</v>
      </c>
      <c r="B1871">
        <v>28.925239999999999</v>
      </c>
      <c r="C1871">
        <v>236.285843</v>
      </c>
      <c r="D1871">
        <v>78.905647000000002</v>
      </c>
      <c r="E1871">
        <v>93.184997999999993</v>
      </c>
      <c r="F1871">
        <v>1315.130005</v>
      </c>
      <c r="H1871" s="50">
        <f t="shared" si="241"/>
        <v>-8.0870837789617823E-3</v>
      </c>
      <c r="I1871" s="50">
        <f t="shared" si="242"/>
        <v>-4.6642054839631132E-4</v>
      </c>
      <c r="J1871" s="50">
        <f t="shared" si="243"/>
        <v>-4.6451739569023992E-3</v>
      </c>
      <c r="K1871" s="50">
        <f t="shared" si="244"/>
        <v>4.5167303162444196E-3</v>
      </c>
      <c r="L1871" s="50">
        <f t="shared" si="245"/>
        <v>1.0647609568491733E-4</v>
      </c>
      <c r="P1871" s="50">
        <f t="shared" si="240"/>
        <v>1.0647609568491733E-4</v>
      </c>
      <c r="Q1871" s="51">
        <f t="shared" si="246"/>
        <v>90.346699064987035</v>
      </c>
      <c r="R1871" s="51">
        <f t="shared" si="247"/>
        <v>30.521862230834582</v>
      </c>
    </row>
    <row r="1872" spans="1:18" x14ac:dyDescent="0.15">
      <c r="A1872" s="59">
        <v>43623.75</v>
      </c>
      <c r="B1872">
        <v>29.161068</v>
      </c>
      <c r="C1872">
        <v>236.39610300000001</v>
      </c>
      <c r="D1872">
        <v>79.273887999999999</v>
      </c>
      <c r="E1872">
        <v>92.765998999999994</v>
      </c>
      <c r="F1872">
        <v>1314.98999</v>
      </c>
      <c r="H1872" s="50">
        <f t="shared" si="241"/>
        <v>1.5646298246573995E-3</v>
      </c>
      <c r="I1872" s="50">
        <f t="shared" si="242"/>
        <v>-9.5490804843964012E-3</v>
      </c>
      <c r="J1872" s="50">
        <f t="shared" si="243"/>
        <v>-4.5308385637276389E-4</v>
      </c>
      <c r="K1872" s="50">
        <f t="shared" si="244"/>
        <v>-8.0094103406878007E-3</v>
      </c>
      <c r="L1872" s="50">
        <f t="shared" si="245"/>
        <v>-8.0488539492320262E-3</v>
      </c>
      <c r="P1872" s="50">
        <f t="shared" si="240"/>
        <v>-8.0488539492320262E-3</v>
      </c>
      <c r="Q1872" s="51">
        <f t="shared" si="246"/>
        <v>89.619511679417741</v>
      </c>
      <c r="R1872" s="51">
        <f t="shared" si="247"/>
        <v>30.56961764678503</v>
      </c>
    </row>
    <row r="1873" spans="1:18" x14ac:dyDescent="0.15">
      <c r="A1873" s="59">
        <v>43624.75</v>
      </c>
      <c r="B1873">
        <v>29.115513</v>
      </c>
      <c r="C1873">
        <v>238.67523199999999</v>
      </c>
      <c r="D1873">
        <v>79.309821999999997</v>
      </c>
      <c r="E1873">
        <v>93.514999000000003</v>
      </c>
      <c r="F1873">
        <v>1325.660034</v>
      </c>
      <c r="H1873" s="50">
        <f t="shared" si="241"/>
        <v>-3.8507171635259749E-3</v>
      </c>
      <c r="I1873" s="50">
        <f t="shared" si="242"/>
        <v>-1.6912486146088031E-3</v>
      </c>
      <c r="J1873" s="50">
        <f t="shared" si="243"/>
        <v>5.8091410285687943E-3</v>
      </c>
      <c r="K1873" s="50">
        <f t="shared" si="244"/>
        <v>3.3696856315759363E-4</v>
      </c>
      <c r="L1873" s="50">
        <f t="shared" si="245"/>
        <v>1.2781416355193621E-2</v>
      </c>
      <c r="P1873" s="50">
        <f t="shared" si="240"/>
        <v>1.2781416355193621E-2</v>
      </c>
      <c r="Q1873" s="51">
        <f t="shared" si="246"/>
        <v>90.764975971741507</v>
      </c>
      <c r="R1873" s="51">
        <f t="shared" si="247"/>
        <v>30.451902695430128</v>
      </c>
    </row>
    <row r="1874" spans="1:18" x14ac:dyDescent="0.15">
      <c r="A1874" s="59">
        <v>43627.75</v>
      </c>
      <c r="B1874">
        <v>29.228062000000001</v>
      </c>
      <c r="C1874">
        <v>239.07957500000001</v>
      </c>
      <c r="D1874">
        <v>78.851760999999996</v>
      </c>
      <c r="E1874">
        <v>93.483497999999997</v>
      </c>
      <c r="F1874">
        <v>1308.9300539999999</v>
      </c>
      <c r="H1874" s="50">
        <f t="shared" si="241"/>
        <v>-8.2448555970863926E-4</v>
      </c>
      <c r="I1874" s="50">
        <f t="shared" si="242"/>
        <v>-4.8963448984454278E-3</v>
      </c>
      <c r="J1874" s="50">
        <f t="shared" si="243"/>
        <v>7.4592096094921855E-3</v>
      </c>
      <c r="K1874" s="50">
        <f t="shared" si="244"/>
        <v>-8.6743054707359782E-3</v>
      </c>
      <c r="L1874" s="50">
        <f t="shared" si="245"/>
        <v>-1.151656072294229E-2</v>
      </c>
      <c r="P1874" s="50">
        <f t="shared" si="240"/>
        <v>-1.151656072294229E-2</v>
      </c>
      <c r="Q1874" s="51">
        <f t="shared" si="246"/>
        <v>89.719675614446544</v>
      </c>
      <c r="R1874" s="51">
        <f t="shared" si="247"/>
        <v>30.426795541392096</v>
      </c>
    </row>
    <row r="1875" spans="1:18" x14ac:dyDescent="0.15">
      <c r="A1875" s="59">
        <v>43628.75</v>
      </c>
      <c r="B1875">
        <v>29.252179999999999</v>
      </c>
      <c r="C1875">
        <v>240.25595100000001</v>
      </c>
      <c r="D1875">
        <v>78.267944</v>
      </c>
      <c r="E1875">
        <v>94.301497999999995</v>
      </c>
      <c r="F1875">
        <v>1324.1800539999999</v>
      </c>
      <c r="H1875" s="50">
        <f t="shared" si="241"/>
        <v>-4.4689038321245548E-3</v>
      </c>
      <c r="I1875" s="50">
        <f t="shared" si="242"/>
        <v>-4.98587261958697E-3</v>
      </c>
      <c r="J1875" s="50">
        <f t="shared" si="243"/>
        <v>7.748329417234843E-3</v>
      </c>
      <c r="K1875" s="50">
        <f t="shared" si="244"/>
        <v>-8.067856589759682E-3</v>
      </c>
      <c r="L1875" s="50">
        <f t="shared" si="245"/>
        <v>7.0729260195875783E-3</v>
      </c>
      <c r="P1875" s="50">
        <f t="shared" si="240"/>
        <v>7.0729260195875783E-3</v>
      </c>
      <c r="Q1875" s="51">
        <f t="shared" si="246"/>
        <v>90.354256242568923</v>
      </c>
      <c r="R1875" s="51">
        <f t="shared" si="247"/>
        <v>30.290821118197901</v>
      </c>
    </row>
    <row r="1876" spans="1:18" x14ac:dyDescent="0.15">
      <c r="A1876" s="59">
        <v>43629.75</v>
      </c>
      <c r="B1876">
        <v>29.383492</v>
      </c>
      <c r="C1876">
        <v>241.45983899999999</v>
      </c>
      <c r="D1876">
        <v>77.666161000000002</v>
      </c>
      <c r="E1876">
        <v>95.068496999999994</v>
      </c>
      <c r="F1876">
        <v>1314.880005</v>
      </c>
      <c r="H1876" s="50">
        <f t="shared" si="241"/>
        <v>2.739022243270866E-4</v>
      </c>
      <c r="I1876" s="50">
        <f t="shared" si="242"/>
        <v>-3.4896704016983003E-3</v>
      </c>
      <c r="J1876" s="50">
        <f t="shared" si="243"/>
        <v>3.5982202495401694E-3</v>
      </c>
      <c r="K1876" s="50">
        <f t="shared" si="244"/>
        <v>-3.8873003723542627E-3</v>
      </c>
      <c r="L1876" s="50">
        <f t="shared" si="245"/>
        <v>-1.0698947601214905E-2</v>
      </c>
      <c r="P1876" s="50">
        <f t="shared" si="240"/>
        <v>-1.0698947601214905E-2</v>
      </c>
      <c r="Q1876" s="51">
        <f t="shared" si="246"/>
        <v>89.387560789482933</v>
      </c>
      <c r="R1876" s="51">
        <f t="shared" si="247"/>
        <v>30.299117841478868</v>
      </c>
    </row>
    <row r="1877" spans="1:18" x14ac:dyDescent="0.15">
      <c r="A1877" s="59">
        <v>43630.75</v>
      </c>
      <c r="B1877">
        <v>29.375446</v>
      </c>
      <c r="C1877">
        <v>242.30540500000001</v>
      </c>
      <c r="D1877">
        <v>77.387703000000002</v>
      </c>
      <c r="E1877">
        <v>95.439498999999998</v>
      </c>
      <c r="F1877">
        <v>1329.099976</v>
      </c>
      <c r="H1877" s="50">
        <f t="shared" si="241"/>
        <v>-6.3450879487100039E-3</v>
      </c>
      <c r="I1877" s="50">
        <f t="shared" si="242"/>
        <v>-1.3801979102649253E-2</v>
      </c>
      <c r="J1877" s="50">
        <f t="shared" si="243"/>
        <v>-5.8033666422847581E-4</v>
      </c>
      <c r="K1877" s="50">
        <f t="shared" si="244"/>
        <v>-4.9004634577387678E-3</v>
      </c>
      <c r="L1877" s="50">
        <f t="shared" si="245"/>
        <v>-1.0232038327640924E-2</v>
      </c>
      <c r="P1877" s="50">
        <f t="shared" si="240"/>
        <v>-1.0232038327640924E-2</v>
      </c>
      <c r="Q1877" s="51">
        <f t="shared" si="246"/>
        <v>88.47294384147061</v>
      </c>
      <c r="R1877" s="51">
        <f t="shared" si="247"/>
        <v>30.106867274006355</v>
      </c>
    </row>
    <row r="1878" spans="1:18" x14ac:dyDescent="0.15">
      <c r="A1878" s="59">
        <v>43631.75</v>
      </c>
      <c r="B1878">
        <v>29.563026000000001</v>
      </c>
      <c r="C1878">
        <v>245.69650300000001</v>
      </c>
      <c r="D1878">
        <v>77.432640000000006</v>
      </c>
      <c r="E1878">
        <v>95.909499999999994</v>
      </c>
      <c r="F1878">
        <v>1342.839966</v>
      </c>
      <c r="H1878" s="50">
        <f t="shared" si="241"/>
        <v>-7.2888967091771914E-3</v>
      </c>
      <c r="I1878" s="50">
        <f t="shared" si="242"/>
        <v>4.5844662225356563E-3</v>
      </c>
      <c r="J1878" s="50">
        <f t="shared" si="243"/>
        <v>-1.5867230412450542E-2</v>
      </c>
      <c r="K1878" s="50">
        <f t="shared" si="244"/>
        <v>3.6048552586226837E-3</v>
      </c>
      <c r="L1878" s="50">
        <f t="shared" si="245"/>
        <v>-1.4426619656470294E-3</v>
      </c>
      <c r="P1878" s="50">
        <f t="shared" si="240"/>
        <v>-1.4426619656470294E-3</v>
      </c>
      <c r="Q1878" s="51">
        <f t="shared" si="246"/>
        <v>88.345307290401692</v>
      </c>
      <c r="R1878" s="51">
        <f t="shared" si="247"/>
        <v>29.887421428209215</v>
      </c>
    </row>
    <row r="1879" spans="1:18" x14ac:dyDescent="0.15">
      <c r="A1879" s="59">
        <v>43634.75</v>
      </c>
      <c r="B1879">
        <v>29.780090000000001</v>
      </c>
      <c r="C1879">
        <v>244.575256</v>
      </c>
      <c r="D1879">
        <v>78.681090999999995</v>
      </c>
      <c r="E1879">
        <v>95.565002000000007</v>
      </c>
      <c r="F1879">
        <v>1344.780029</v>
      </c>
      <c r="H1879" s="50">
        <f t="shared" si="241"/>
        <v>-9.8881010209940479E-4</v>
      </c>
      <c r="I1879" s="50">
        <f t="shared" si="242"/>
        <v>-2.399260408566506E-3</v>
      </c>
      <c r="J1879" s="50">
        <f t="shared" si="243"/>
        <v>1.0147424401790759E-2</v>
      </c>
      <c r="K1879" s="50">
        <f t="shared" si="244"/>
        <v>-1.3584617796121668E-3</v>
      </c>
      <c r="L1879" s="50">
        <f t="shared" si="245"/>
        <v>-9.7202839470432074E-3</v>
      </c>
      <c r="P1879" s="50">
        <f t="shared" si="240"/>
        <v>-9.7202839470432074E-3</v>
      </c>
      <c r="Q1879" s="51">
        <f t="shared" si="246"/>
        <v>87.486565818150211</v>
      </c>
      <c r="R1879" s="51">
        <f t="shared" si="247"/>
        <v>29.857868443975299</v>
      </c>
    </row>
    <row r="1880" spans="1:18" x14ac:dyDescent="0.15">
      <c r="A1880" s="59">
        <v>43635.75</v>
      </c>
      <c r="B1880">
        <v>29.809566</v>
      </c>
      <c r="C1880">
        <v>245.163467</v>
      </c>
      <c r="D1880">
        <v>77.890701000000007</v>
      </c>
      <c r="E1880">
        <v>95.694999999999993</v>
      </c>
      <c r="F1880">
        <v>1357.9799800000001</v>
      </c>
      <c r="H1880" s="50">
        <f t="shared" si="241"/>
        <v>4.6963920695843849E-3</v>
      </c>
      <c r="I1880" s="50">
        <f t="shared" si="242"/>
        <v>1.539360896197859E-3</v>
      </c>
      <c r="J1880" s="50">
        <f t="shared" si="243"/>
        <v>1.1902222258367106E-2</v>
      </c>
      <c r="K1880" s="50">
        <f t="shared" si="244"/>
        <v>1.8969605412844797E-2</v>
      </c>
      <c r="L1880" s="50">
        <f t="shared" si="245"/>
        <v>1.6892055703465448E-3</v>
      </c>
      <c r="P1880" s="50">
        <f t="shared" si="240"/>
        <v>1.6892055703465448E-3</v>
      </c>
      <c r="Q1880" s="51">
        <f t="shared" si="246"/>
        <v>87.634348612460727</v>
      </c>
      <c r="R1880" s="51">
        <f t="shared" si="247"/>
        <v>29.998092700550277</v>
      </c>
    </row>
    <row r="1881" spans="1:18" x14ac:dyDescent="0.15">
      <c r="A1881" s="59">
        <v>43636.75</v>
      </c>
      <c r="B1881">
        <v>29.670223</v>
      </c>
      <c r="C1881">
        <v>244.786652</v>
      </c>
      <c r="D1881">
        <v>76.974532999999994</v>
      </c>
      <c r="E1881">
        <v>93.913498000000004</v>
      </c>
      <c r="F1881">
        <v>1355.6899410000001</v>
      </c>
      <c r="H1881" s="50">
        <f t="shared" si="241"/>
        <v>5.0835776438166056E-3</v>
      </c>
      <c r="I1881" s="50">
        <f t="shared" si="242"/>
        <v>7.3750583207517718E-3</v>
      </c>
      <c r="J1881" s="50">
        <f t="shared" si="243"/>
        <v>1.2852951955899098E-3</v>
      </c>
      <c r="K1881" s="50">
        <f t="shared" si="244"/>
        <v>-1.0306549895268793E-2</v>
      </c>
      <c r="L1881" s="50">
        <f t="shared" si="245"/>
        <v>2.2768542502368674E-2</v>
      </c>
      <c r="P1881" s="50">
        <f t="shared" si="240"/>
        <v>2.2768542502368674E-2</v>
      </c>
      <c r="Q1881" s="51">
        <f t="shared" si="246"/>
        <v>89.629655003510933</v>
      </c>
      <c r="R1881" s="51">
        <f t="shared" si="247"/>
        <v>30.150590333959929</v>
      </c>
    </row>
    <row r="1882" spans="1:18" x14ac:dyDescent="0.15">
      <c r="A1882" s="59">
        <v>43637.75</v>
      </c>
      <c r="B1882">
        <v>29.520154999999999</v>
      </c>
      <c r="C1882">
        <v>242.994553</v>
      </c>
      <c r="D1882">
        <v>76.875725000000003</v>
      </c>
      <c r="E1882">
        <v>94.891502000000003</v>
      </c>
      <c r="F1882">
        <v>1325.51001</v>
      </c>
      <c r="H1882" s="50">
        <f t="shared" si="241"/>
        <v>5.4477207594524283E-4</v>
      </c>
      <c r="I1882" s="50">
        <f t="shared" si="242"/>
        <v>-4.4058364676985984E-3</v>
      </c>
      <c r="J1882" s="50">
        <f t="shared" si="243"/>
        <v>-3.2609751924854579E-3</v>
      </c>
      <c r="K1882" s="50">
        <f t="shared" si="244"/>
        <v>-3.3870545314887211E-3</v>
      </c>
      <c r="L1882" s="50">
        <f t="shared" si="245"/>
        <v>-7.1234961704918602E-3</v>
      </c>
      <c r="P1882" s="50">
        <f t="shared" si="240"/>
        <v>-7.1234961704918602E-3</v>
      </c>
      <c r="Q1882" s="51">
        <f t="shared" si="246"/>
        <v>88.991178499330914</v>
      </c>
      <c r="R1882" s="51">
        <f t="shared" si="247"/>
        <v>30.167015533647135</v>
      </c>
    </row>
    <row r="1883" spans="1:18" x14ac:dyDescent="0.15">
      <c r="A1883" s="59">
        <v>43638.75</v>
      </c>
      <c r="B1883">
        <v>29.504082</v>
      </c>
      <c r="C1883">
        <v>244.069885</v>
      </c>
      <c r="D1883">
        <v>77.127234999999999</v>
      </c>
      <c r="E1883">
        <v>95.213997000000006</v>
      </c>
      <c r="F1883">
        <v>1335.0200199999999</v>
      </c>
      <c r="H1883" s="50">
        <f t="shared" si="241"/>
        <v>-3.5294157778506005E-3</v>
      </c>
      <c r="I1883" s="50">
        <f t="shared" si="242"/>
        <v>4.9951415604079308E-3</v>
      </c>
      <c r="J1883" s="50">
        <f t="shared" si="243"/>
        <v>-8.5439503104982571E-3</v>
      </c>
      <c r="K1883" s="50">
        <f t="shared" si="244"/>
        <v>5.6240552074886237E-3</v>
      </c>
      <c r="L1883" s="50">
        <f t="shared" si="245"/>
        <v>1.6213538250306424E-2</v>
      </c>
      <c r="P1883" s="50">
        <f t="shared" si="240"/>
        <v>1.6213538250306424E-2</v>
      </c>
      <c r="Q1883" s="51">
        <f t="shared" si="246"/>
        <v>90.434040375869657</v>
      </c>
      <c r="R1883" s="51">
        <f t="shared" si="247"/>
        <v>30.060543593052017</v>
      </c>
    </row>
    <row r="1884" spans="1:18" x14ac:dyDescent="0.15">
      <c r="A1884" s="59">
        <v>43641.75</v>
      </c>
      <c r="B1884">
        <v>29.608582999999999</v>
      </c>
      <c r="C1884">
        <v>242.85678100000001</v>
      </c>
      <c r="D1884">
        <v>77.791884999999994</v>
      </c>
      <c r="E1884">
        <v>94.681503000000006</v>
      </c>
      <c r="F1884">
        <v>1313.719971</v>
      </c>
      <c r="H1884" s="50">
        <f t="shared" si="241"/>
        <v>-1.1753702549553956E-3</v>
      </c>
      <c r="I1884" s="50">
        <f t="shared" si="242"/>
        <v>2.6942428551535152E-3</v>
      </c>
      <c r="J1884" s="50">
        <f t="shared" si="243"/>
        <v>-3.7957293134116329E-3</v>
      </c>
      <c r="K1884" s="50">
        <f t="shared" si="244"/>
        <v>-1.4857990568819627E-2</v>
      </c>
      <c r="L1884" s="50">
        <f t="shared" si="245"/>
        <v>-4.7500504151550783E-3</v>
      </c>
      <c r="P1884" s="50">
        <f t="shared" si="240"/>
        <v>-4.7500504151550783E-3</v>
      </c>
      <c r="Q1884" s="51">
        <f t="shared" si="246"/>
        <v>90.004474124838111</v>
      </c>
      <c r="R1884" s="51">
        <f t="shared" si="247"/>
        <v>30.025211324264955</v>
      </c>
    </row>
    <row r="1885" spans="1:18" x14ac:dyDescent="0.15">
      <c r="A1885" s="59">
        <v>43642.75</v>
      </c>
      <c r="B1885">
        <v>29.643425000000001</v>
      </c>
      <c r="C1885">
        <v>242.20422400000001</v>
      </c>
      <c r="D1885">
        <v>78.088286999999994</v>
      </c>
      <c r="E1885">
        <v>96.109497000000005</v>
      </c>
      <c r="F1885">
        <v>1319.98999</v>
      </c>
      <c r="H1885" s="50">
        <f t="shared" si="241"/>
        <v>-8.7813364791861533E-3</v>
      </c>
      <c r="I1885" s="50">
        <f t="shared" si="242"/>
        <v>-7.2324030544507539E-3</v>
      </c>
      <c r="J1885" s="50">
        <f t="shared" si="243"/>
        <v>-1.1488383428500529E-3</v>
      </c>
      <c r="K1885" s="50">
        <f t="shared" si="244"/>
        <v>-6.2658312266389684E-3</v>
      </c>
      <c r="L1885" s="50">
        <f t="shared" si="245"/>
        <v>-8.9048963574857899E-3</v>
      </c>
      <c r="P1885" s="50">
        <f t="shared" si="240"/>
        <v>-8.9048963574857899E-3</v>
      </c>
      <c r="Q1885" s="51">
        <f t="shared" si="246"/>
        <v>89.202993611046409</v>
      </c>
      <c r="R1885" s="51">
        <f t="shared" si="247"/>
        <v>29.761549840767916</v>
      </c>
    </row>
    <row r="1886" spans="1:18" x14ac:dyDescent="0.15">
      <c r="A1886" s="59">
        <v>43643.75</v>
      </c>
      <c r="B1886">
        <v>29.906040000000001</v>
      </c>
      <c r="C1886">
        <v>243.968704</v>
      </c>
      <c r="D1886">
        <v>78.178100999999998</v>
      </c>
      <c r="E1886">
        <v>96.715500000000006</v>
      </c>
      <c r="F1886">
        <v>1331.849976</v>
      </c>
      <c r="H1886" s="50">
        <f t="shared" si="241"/>
        <v>-6.410183999590687E-3</v>
      </c>
      <c r="I1886" s="50">
        <f t="shared" si="242"/>
        <v>-1.3636219172870183E-2</v>
      </c>
      <c r="J1886" s="50">
        <f t="shared" si="243"/>
        <v>-9.7839095374971149E-3</v>
      </c>
      <c r="K1886" s="50">
        <f t="shared" si="244"/>
        <v>-2.418741694236364E-3</v>
      </c>
      <c r="L1886" s="50">
        <f t="shared" si="245"/>
        <v>2.1142606073134198E-3</v>
      </c>
      <c r="P1886" s="50">
        <f t="shared" si="240"/>
        <v>2.1142606073134198E-3</v>
      </c>
      <c r="Q1886" s="51">
        <f t="shared" si="246"/>
        <v>89.391591986492685</v>
      </c>
      <c r="R1886" s="51">
        <f t="shared" si="247"/>
        <v>29.570772830175603</v>
      </c>
    </row>
    <row r="1887" spans="1:18" x14ac:dyDescent="0.15">
      <c r="A1887" s="59">
        <v>43644.75</v>
      </c>
      <c r="B1887">
        <v>30.098980000000001</v>
      </c>
      <c r="C1887">
        <v>247.34150700000001</v>
      </c>
      <c r="D1887">
        <v>78.950546000000003</v>
      </c>
      <c r="E1887">
        <v>96.949996999999996</v>
      </c>
      <c r="F1887">
        <v>1329.040039</v>
      </c>
      <c r="H1887" s="50">
        <f t="shared" si="241"/>
        <v>3.0360697995466092E-3</v>
      </c>
      <c r="I1887" s="50">
        <f t="shared" si="242"/>
        <v>3.3177431426901437E-3</v>
      </c>
      <c r="J1887" s="50">
        <f t="shared" si="243"/>
        <v>-8.3485671250868934E-3</v>
      </c>
      <c r="K1887" s="50">
        <f t="shared" si="244"/>
        <v>-2.0124761311641013E-3</v>
      </c>
      <c r="L1887" s="50">
        <f t="shared" si="245"/>
        <v>-2.431432003091644E-2</v>
      </c>
      <c r="P1887" s="50">
        <f t="shared" si="240"/>
        <v>-2.431432003091644E-2</v>
      </c>
      <c r="Q1887" s="51">
        <f t="shared" si="246"/>
        <v>87.218096210859997</v>
      </c>
      <c r="R1887" s="51">
        <f t="shared" si="247"/>
        <v>29.660551760514554</v>
      </c>
    </row>
    <row r="1888" spans="1:18" x14ac:dyDescent="0.15">
      <c r="A1888" s="59">
        <v>43645.75</v>
      </c>
      <c r="B1888">
        <v>30.007874000000001</v>
      </c>
      <c r="C1888">
        <v>246.523605</v>
      </c>
      <c r="D1888">
        <v>79.615218999999996</v>
      </c>
      <c r="E1888">
        <v>97.145499999999998</v>
      </c>
      <c r="F1888">
        <v>1362.160034</v>
      </c>
      <c r="H1888" s="50">
        <f t="shared" si="241"/>
        <v>-6.5647843945530254E-3</v>
      </c>
      <c r="I1888" s="50">
        <f t="shared" si="242"/>
        <v>-4.2686691360808628E-3</v>
      </c>
      <c r="J1888" s="50">
        <f t="shared" si="243"/>
        <v>-3.0367505952179287E-3</v>
      </c>
      <c r="K1888" s="50">
        <f t="shared" si="244"/>
        <v>-4.8198759881538126E-3</v>
      </c>
      <c r="L1888" s="50">
        <f t="shared" si="245"/>
        <v>-2.4532782443681756E-3</v>
      </c>
      <c r="P1888" s="50">
        <f t="shared" si="240"/>
        <v>-2.4532782443681756E-3</v>
      </c>
      <c r="Q1888" s="51">
        <f t="shared" si="246"/>
        <v>87.004125952910684</v>
      </c>
      <c r="R1888" s="51">
        <f t="shared" si="247"/>
        <v>29.465836633183297</v>
      </c>
    </row>
    <row r="1889" spans="1:18" x14ac:dyDescent="0.15">
      <c r="A1889" s="59">
        <v>43648.75</v>
      </c>
      <c r="B1889">
        <v>30.206171000000001</v>
      </c>
      <c r="C1889">
        <v>247.580444</v>
      </c>
      <c r="D1889">
        <v>79.857726999999997</v>
      </c>
      <c r="E1889">
        <v>97.615996999999993</v>
      </c>
      <c r="F1889">
        <v>1365.51001</v>
      </c>
      <c r="H1889" s="50">
        <f t="shared" si="241"/>
        <v>-1.4174660967841755E-3</v>
      </c>
      <c r="I1889" s="50">
        <f t="shared" si="242"/>
        <v>-2.1113501230665644E-3</v>
      </c>
      <c r="J1889" s="50">
        <f t="shared" si="243"/>
        <v>1.2642271666000378E-2</v>
      </c>
      <c r="K1889" s="50">
        <f t="shared" si="244"/>
        <v>-1.809590083894895E-2</v>
      </c>
      <c r="L1889" s="50">
        <f t="shared" si="245"/>
        <v>-6.1935123769157061E-3</v>
      </c>
      <c r="P1889" s="50">
        <f t="shared" si="240"/>
        <v>-6.1935123769157061E-3</v>
      </c>
      <c r="Q1889" s="51">
        <f t="shared" si="246"/>
        <v>86.465264821978607</v>
      </c>
      <c r="R1889" s="51">
        <f t="shared" si="247"/>
        <v>29.424069808742377</v>
      </c>
    </row>
    <row r="1890" spans="1:18" x14ac:dyDescent="0.15">
      <c r="A1890" s="59">
        <v>43649.75</v>
      </c>
      <c r="B1890">
        <v>30.249047999999998</v>
      </c>
      <c r="C1890">
        <v>248.10427899999999</v>
      </c>
      <c r="D1890">
        <v>78.860748000000001</v>
      </c>
      <c r="E1890">
        <v>99.415001000000004</v>
      </c>
      <c r="F1890">
        <v>1374.0200199999999</v>
      </c>
      <c r="H1890" s="50">
        <f t="shared" si="241"/>
        <v>-8.850290312312659E-4</v>
      </c>
      <c r="I1890" s="50">
        <f t="shared" si="242"/>
        <v>-5.3423539942828065E-3</v>
      </c>
      <c r="J1890" s="50">
        <f t="shared" si="243"/>
        <v>2.2713849337419191E-2</v>
      </c>
      <c r="K1890" s="50">
        <f t="shared" si="244"/>
        <v>-1.4429372457054977E-2</v>
      </c>
      <c r="L1890" s="50">
        <f t="shared" si="245"/>
        <v>4.7090950490648259E-3</v>
      </c>
      <c r="P1890" s="50">
        <f t="shared" si="240"/>
        <v>4.7090950490648259E-3</v>
      </c>
      <c r="Q1890" s="51">
        <f t="shared" si="246"/>
        <v>86.872437972467878</v>
      </c>
      <c r="R1890" s="51">
        <f t="shared" si="247"/>
        <v>29.398028652744667</v>
      </c>
    </row>
    <row r="1891" spans="1:18" x14ac:dyDescent="0.15">
      <c r="A1891" s="59">
        <v>43651.75</v>
      </c>
      <c r="B1891">
        <v>30.275842999999998</v>
      </c>
      <c r="C1891">
        <v>249.436859</v>
      </c>
      <c r="D1891">
        <v>77.109298999999993</v>
      </c>
      <c r="E1891">
        <v>100.870499</v>
      </c>
      <c r="F1891">
        <v>1367.579956</v>
      </c>
      <c r="H1891" s="50">
        <f t="shared" si="241"/>
        <v>-8.2512508707246555E-3</v>
      </c>
      <c r="I1891" s="50">
        <f t="shared" si="242"/>
        <v>-1.8514352141905329E-2</v>
      </c>
      <c r="J1891" s="50">
        <f t="shared" si="243"/>
        <v>-7.1699436772729051E-3</v>
      </c>
      <c r="K1891" s="50">
        <f t="shared" si="244"/>
        <v>8.165651621352148E-3</v>
      </c>
      <c r="L1891" s="50">
        <f t="shared" si="245"/>
        <v>9.5224713480575925E-3</v>
      </c>
      <c r="P1891" s="50">
        <f t="shared" si="240"/>
        <v>9.5224713480575925E-3</v>
      </c>
      <c r="Q1891" s="51">
        <f t="shared" si="246"/>
        <v>87.699678273996611</v>
      </c>
      <c r="R1891" s="51">
        <f t="shared" si="247"/>
        <v>29.15545814322612</v>
      </c>
    </row>
    <row r="1892" spans="1:18" x14ac:dyDescent="0.15">
      <c r="A1892" s="59">
        <v>43652.75</v>
      </c>
      <c r="B1892">
        <v>30.527735</v>
      </c>
      <c r="C1892">
        <v>254.14213599999999</v>
      </c>
      <c r="D1892">
        <v>77.666161000000002</v>
      </c>
      <c r="E1892">
        <v>100.05349699999999</v>
      </c>
      <c r="F1892">
        <v>1354.6800539999999</v>
      </c>
      <c r="H1892" s="50">
        <f t="shared" si="241"/>
        <v>-5.9339692549978664E-3</v>
      </c>
      <c r="I1892" s="50">
        <f t="shared" si="242"/>
        <v>-1.0377996253151387E-2</v>
      </c>
      <c r="J1892" s="50">
        <f t="shared" si="243"/>
        <v>-1.2109965596399474E-2</v>
      </c>
      <c r="K1892" s="50">
        <f t="shared" si="244"/>
        <v>-4.9379013941949932E-3</v>
      </c>
      <c r="L1892" s="50">
        <f t="shared" si="245"/>
        <v>1.6415221625920697E-3</v>
      </c>
      <c r="P1892" s="50">
        <f t="shared" si="240"/>
        <v>1.6415221625920697E-3</v>
      </c>
      <c r="Q1892" s="51">
        <f t="shared" si="246"/>
        <v>87.843639239535563</v>
      </c>
      <c r="R1892" s="51">
        <f t="shared" si="247"/>
        <v>28.982450550988837</v>
      </c>
    </row>
    <row r="1893" spans="1:18" x14ac:dyDescent="0.15">
      <c r="A1893" s="59">
        <v>43655.75</v>
      </c>
      <c r="B1893">
        <v>30.709966999999999</v>
      </c>
      <c r="C1893">
        <v>256.80728099999999</v>
      </c>
      <c r="D1893">
        <v>78.618224999999995</v>
      </c>
      <c r="E1893">
        <v>100.550003</v>
      </c>
      <c r="F1893">
        <v>1352.459961</v>
      </c>
      <c r="H1893" s="50">
        <f t="shared" si="241"/>
        <v>-3.3048706411012902E-3</v>
      </c>
      <c r="I1893" s="50">
        <f t="shared" si="242"/>
        <v>-4.0630168239934308E-3</v>
      </c>
      <c r="J1893" s="50">
        <f t="shared" si="243"/>
        <v>8.4098689922612341E-3</v>
      </c>
      <c r="K1893" s="50">
        <f t="shared" si="244"/>
        <v>-4.9430922468690196E-3</v>
      </c>
      <c r="L1893" s="50">
        <f t="shared" si="245"/>
        <v>8.1924979593896805E-3</v>
      </c>
      <c r="P1893" s="50">
        <f t="shared" si="240"/>
        <v>8.1924979593896805E-3</v>
      </c>
      <c r="Q1893" s="51">
        <f t="shared" si="246"/>
        <v>88.563298074750819</v>
      </c>
      <c r="R1893" s="51">
        <f t="shared" si="247"/>
        <v>28.886667301055702</v>
      </c>
    </row>
    <row r="1894" spans="1:18" x14ac:dyDescent="0.15">
      <c r="A1894" s="59">
        <v>43656.75</v>
      </c>
      <c r="B1894">
        <v>30.811796000000001</v>
      </c>
      <c r="C1894">
        <v>257.85494999999997</v>
      </c>
      <c r="D1894">
        <v>77.962569999999999</v>
      </c>
      <c r="E1894">
        <v>101.04949999999999</v>
      </c>
      <c r="F1894">
        <v>1341.469971</v>
      </c>
      <c r="H1894" s="50">
        <f t="shared" si="241"/>
        <v>1.9170912345006837E-3</v>
      </c>
      <c r="I1894" s="50">
        <f t="shared" si="242"/>
        <v>-2.4918654763309928E-4</v>
      </c>
      <c r="J1894" s="50">
        <f t="shared" si="243"/>
        <v>-1.7098679119230891E-2</v>
      </c>
      <c r="K1894" s="50">
        <f t="shared" si="244"/>
        <v>5.5176574301908105E-3</v>
      </c>
      <c r="L1894" s="50">
        <f t="shared" si="245"/>
        <v>1.4924149786585153E-5</v>
      </c>
      <c r="P1894" s="50">
        <f t="shared" si="240"/>
        <v>1.4924149786585153E-5</v>
      </c>
      <c r="Q1894" s="51">
        <f t="shared" si="246"/>
        <v>88.564619806676887</v>
      </c>
      <c r="R1894" s="51">
        <f t="shared" si="247"/>
        <v>28.942045677732498</v>
      </c>
    </row>
    <row r="1895" spans="1:18" x14ac:dyDescent="0.15">
      <c r="A1895" s="59">
        <v>43657.75</v>
      </c>
      <c r="B1895">
        <v>30.752839999999999</v>
      </c>
      <c r="C1895">
        <v>257.91922</v>
      </c>
      <c r="D1895">
        <v>79.318816999999996</v>
      </c>
      <c r="E1895">
        <v>100.495003</v>
      </c>
      <c r="F1895">
        <v>1341.4499510000001</v>
      </c>
      <c r="H1895" s="50">
        <f t="shared" si="241"/>
        <v>1.3960614155007123E-3</v>
      </c>
      <c r="I1895" s="50">
        <f t="shared" si="242"/>
        <v>-3.2320237538193937E-3</v>
      </c>
      <c r="J1895" s="50">
        <f t="shared" si="243"/>
        <v>5.121571216497838E-3</v>
      </c>
      <c r="K1895" s="50">
        <f t="shared" si="244"/>
        <v>8.9707684224557827E-3</v>
      </c>
      <c r="L1895" s="50">
        <f t="shared" si="245"/>
        <v>5.0120927731421095E-3</v>
      </c>
      <c r="P1895" s="50">
        <f t="shared" si="240"/>
        <v>5.0120927731421095E-3</v>
      </c>
      <c r="Q1895" s="51">
        <f t="shared" si="246"/>
        <v>89.008513897566004</v>
      </c>
      <c r="R1895" s="51">
        <f t="shared" si="247"/>
        <v>28.982450550988837</v>
      </c>
    </row>
    <row r="1896" spans="1:18" x14ac:dyDescent="0.15">
      <c r="A1896" s="59">
        <v>43658.75</v>
      </c>
      <c r="B1896">
        <v>30.709966999999999</v>
      </c>
      <c r="C1896">
        <v>258.75552399999998</v>
      </c>
      <c r="D1896">
        <v>78.914649999999995</v>
      </c>
      <c r="E1896">
        <v>99.601500999999999</v>
      </c>
      <c r="F1896">
        <v>1334.76001</v>
      </c>
      <c r="H1896" s="50">
        <f t="shared" si="241"/>
        <v>-1.046283972757734E-3</v>
      </c>
      <c r="I1896" s="50">
        <f t="shared" si="242"/>
        <v>-4.7720765937520702E-3</v>
      </c>
      <c r="J1896" s="50">
        <f t="shared" si="243"/>
        <v>-7.2314105600224726E-3</v>
      </c>
      <c r="K1896" s="50">
        <f t="shared" si="244"/>
        <v>7.1439812066529038E-3</v>
      </c>
      <c r="L1896" s="50">
        <f t="shared" si="245"/>
        <v>-1.6229616097923893E-2</v>
      </c>
      <c r="P1896" s="50">
        <f t="shared" si="240"/>
        <v>-1.6229616097923893E-2</v>
      </c>
      <c r="Q1896" s="51">
        <f t="shared" si="246"/>
        <v>87.563939887561787</v>
      </c>
      <c r="R1896" s="51">
        <f t="shared" si="247"/>
        <v>28.952126677486092</v>
      </c>
    </row>
    <row r="1897" spans="1:18" x14ac:dyDescent="0.15">
      <c r="A1897" s="59">
        <v>43659.75</v>
      </c>
      <c r="B1897">
        <v>30.742132000000002</v>
      </c>
      <c r="C1897">
        <v>259.99624599999999</v>
      </c>
      <c r="D1897">
        <v>79.489470999999995</v>
      </c>
      <c r="E1897">
        <v>98.894997000000004</v>
      </c>
      <c r="F1897">
        <v>1356.780029</v>
      </c>
      <c r="H1897" s="50">
        <f t="shared" si="241"/>
        <v>7.1996676799232096E-3</v>
      </c>
      <c r="I1897" s="50">
        <f t="shared" si="242"/>
        <v>4.9733408612077428E-3</v>
      </c>
      <c r="J1897" s="50">
        <f t="shared" si="243"/>
        <v>5.5674194493896476E-3</v>
      </c>
      <c r="K1897" s="50">
        <f t="shared" si="244"/>
        <v>6.8108139761532318E-3</v>
      </c>
      <c r="L1897" s="50">
        <f t="shared" si="245"/>
        <v>2.3196817212884067E-3</v>
      </c>
      <c r="P1897" s="50">
        <f t="shared" si="240"/>
        <v>2.3196817212884067E-3</v>
      </c>
      <c r="Q1897" s="51">
        <f t="shared" si="246"/>
        <v>87.767060358362968</v>
      </c>
      <c r="R1897" s="51">
        <f t="shared" si="247"/>
        <v>29.160572368191033</v>
      </c>
    </row>
    <row r="1898" spans="1:18" x14ac:dyDescent="0.15">
      <c r="A1898" s="59">
        <v>43662.75</v>
      </c>
      <c r="B1898">
        <v>30.522380999999999</v>
      </c>
      <c r="C1898">
        <v>258.70959499999998</v>
      </c>
      <c r="D1898">
        <v>79.049369999999996</v>
      </c>
      <c r="E1898">
        <v>98.225998000000004</v>
      </c>
      <c r="F1898">
        <v>1353.6400149999999</v>
      </c>
      <c r="H1898" s="50">
        <f t="shared" si="241"/>
        <v>9.5729621199536711E-3</v>
      </c>
      <c r="I1898" s="50">
        <f t="shared" si="242"/>
        <v>4.7827204164032008E-3</v>
      </c>
      <c r="J1898" s="50">
        <f t="shared" si="243"/>
        <v>9.057618453394459E-3</v>
      </c>
      <c r="K1898" s="50">
        <f t="shared" si="244"/>
        <v>-1.0631426587401942E-2</v>
      </c>
      <c r="L1898" s="50">
        <f t="shared" si="245"/>
        <v>-7.3551729350740313E-3</v>
      </c>
      <c r="P1898" s="50">
        <f t="shared" si="240"/>
        <v>-7.3551729350740313E-3</v>
      </c>
      <c r="Q1898" s="51">
        <f t="shared" si="246"/>
        <v>87.121518451424123</v>
      </c>
      <c r="R1898" s="51">
        <f t="shared" si="247"/>
        <v>29.439725422867891</v>
      </c>
    </row>
    <row r="1899" spans="1:18" x14ac:dyDescent="0.15">
      <c r="A1899" s="59">
        <v>43663.75</v>
      </c>
      <c r="B1899">
        <v>30.232962000000001</v>
      </c>
      <c r="C1899">
        <v>257.47814899999997</v>
      </c>
      <c r="D1899">
        <v>78.339798000000002</v>
      </c>
      <c r="E1899">
        <v>99.281502000000003</v>
      </c>
      <c r="F1899">
        <v>1363.670044</v>
      </c>
      <c r="H1899" s="50">
        <f t="shared" si="241"/>
        <v>6.5123592136029805E-3</v>
      </c>
      <c r="I1899" s="50">
        <f t="shared" si="242"/>
        <v>2.497923101252647E-4</v>
      </c>
      <c r="J1899" s="50">
        <f t="shared" si="243"/>
        <v>-1.4908543818059878E-2</v>
      </c>
      <c r="K1899" s="50">
        <f t="shared" si="244"/>
        <v>-4.4422482606907079E-3</v>
      </c>
      <c r="L1899" s="50">
        <f t="shared" si="245"/>
        <v>-6.6361578749336916E-3</v>
      </c>
      <c r="P1899" s="50">
        <f t="shared" si="240"/>
        <v>-6.6361578749336916E-3</v>
      </c>
      <c r="Q1899" s="51">
        <f t="shared" si="246"/>
        <v>86.543366300676524</v>
      </c>
      <c r="R1899" s="51">
        <f t="shared" si="247"/>
        <v>29.631447489971446</v>
      </c>
    </row>
    <row r="1900" spans="1:18" x14ac:dyDescent="0.15">
      <c r="A1900" s="59">
        <v>43664.75</v>
      </c>
      <c r="B1900">
        <v>30.037348000000001</v>
      </c>
      <c r="C1900">
        <v>257.41384900000003</v>
      </c>
      <c r="D1900">
        <v>79.525406000000004</v>
      </c>
      <c r="E1900">
        <v>99.724502999999999</v>
      </c>
      <c r="F1900">
        <v>1372.780029</v>
      </c>
      <c r="H1900" s="50">
        <f t="shared" si="241"/>
        <v>8.0367899126611568E-4</v>
      </c>
      <c r="I1900" s="50">
        <f t="shared" si="242"/>
        <v>-2.5992902190250418E-3</v>
      </c>
      <c r="J1900" s="50">
        <f t="shared" si="243"/>
        <v>-6.1734527833636607E-3</v>
      </c>
      <c r="K1900" s="50">
        <f t="shared" si="244"/>
        <v>-3.1586608371208255E-3</v>
      </c>
      <c r="L1900" s="50">
        <f t="shared" si="245"/>
        <v>-2.7097376502187242E-3</v>
      </c>
      <c r="P1900" s="50">
        <f t="shared" si="240"/>
        <v>-2.7097376502187242E-3</v>
      </c>
      <c r="Q1900" s="51">
        <f t="shared" si="246"/>
        <v>86.308856482634909</v>
      </c>
      <c r="R1900" s="51">
        <f t="shared" si="247"/>
        <v>29.655261661799944</v>
      </c>
    </row>
    <row r="1901" spans="1:18" x14ac:dyDescent="0.15">
      <c r="A1901" s="59">
        <v>43665.75</v>
      </c>
      <c r="B1901">
        <v>30.013227000000001</v>
      </c>
      <c r="C1901">
        <v>258.08468599999998</v>
      </c>
      <c r="D1901">
        <v>80.019401999999999</v>
      </c>
      <c r="E1901">
        <v>100.040497</v>
      </c>
      <c r="F1901">
        <v>1376.51001</v>
      </c>
      <c r="H1901" s="50">
        <f t="shared" si="241"/>
        <v>-1.9605824465171234E-3</v>
      </c>
      <c r="I1901" s="50">
        <f t="shared" si="242"/>
        <v>3.681267106858694E-3</v>
      </c>
      <c r="J1901" s="50">
        <f t="shared" si="243"/>
        <v>1.2731594316839893E-2</v>
      </c>
      <c r="K1901" s="50">
        <f t="shared" si="244"/>
        <v>1.3673941622357877E-2</v>
      </c>
      <c r="L1901" s="50">
        <f t="shared" si="245"/>
        <v>1.0163926184394111E-2</v>
      </c>
      <c r="P1901" s="50">
        <f t="shared" si="240"/>
        <v>1.0163926184394111E-2</v>
      </c>
      <c r="Q1901" s="51">
        <f t="shared" si="246"/>
        <v>87.186093328983887</v>
      </c>
      <c r="R1901" s="51">
        <f t="shared" si="247"/>
        <v>29.597120076338946</v>
      </c>
    </row>
    <row r="1902" spans="1:18" x14ac:dyDescent="0.15">
      <c r="A1902" s="59">
        <v>43666.75</v>
      </c>
      <c r="B1902">
        <v>30.072185999999999</v>
      </c>
      <c r="C1902">
        <v>257.13809199999997</v>
      </c>
      <c r="D1902">
        <v>79.013435000000001</v>
      </c>
      <c r="E1902">
        <v>98.691001999999997</v>
      </c>
      <c r="F1902">
        <v>1362.660034</v>
      </c>
      <c r="H1902" s="50">
        <f t="shared" si="241"/>
        <v>-7.078320274297209E-3</v>
      </c>
      <c r="I1902" s="50">
        <f t="shared" si="242"/>
        <v>-5.5798429654519187E-3</v>
      </c>
      <c r="J1902" s="50">
        <f t="shared" si="243"/>
        <v>1.0452698552964556E-2</v>
      </c>
      <c r="K1902" s="50">
        <f t="shared" si="244"/>
        <v>1.5835990461840508E-2</v>
      </c>
      <c r="L1902" s="50">
        <f t="shared" si="245"/>
        <v>8.9891403461016938E-3</v>
      </c>
      <c r="P1902" s="50">
        <f t="shared" si="240"/>
        <v>8.9891403461016938E-3</v>
      </c>
      <c r="Q1902" s="51">
        <f t="shared" si="246"/>
        <v>87.969821358146447</v>
      </c>
      <c r="R1902" s="51">
        <f t="shared" si="247"/>
        <v>29.387622181241788</v>
      </c>
    </row>
    <row r="1903" spans="1:18" x14ac:dyDescent="0.15">
      <c r="A1903" s="59">
        <v>43669.75</v>
      </c>
      <c r="B1903">
        <v>30.286563999999998</v>
      </c>
      <c r="C1903">
        <v>258.58093300000002</v>
      </c>
      <c r="D1903">
        <v>78.196074999999993</v>
      </c>
      <c r="E1903">
        <v>97.152495999999999</v>
      </c>
      <c r="F1903">
        <v>1350.5200199999999</v>
      </c>
      <c r="H1903" s="50">
        <f t="shared" si="241"/>
        <v>6.6804431452025343E-3</v>
      </c>
      <c r="I1903" s="50">
        <f t="shared" si="242"/>
        <v>4.4262338389604635E-3</v>
      </c>
      <c r="J1903" s="50">
        <f t="shared" si="243"/>
        <v>-1.9489138119208312E-3</v>
      </c>
      <c r="K1903" s="50">
        <f t="shared" si="244"/>
        <v>1.6000397730668008E-2</v>
      </c>
      <c r="L1903" s="50">
        <f t="shared" si="245"/>
        <v>9.1234171916210801E-3</v>
      </c>
      <c r="P1903" s="50">
        <f t="shared" si="240"/>
        <v>9.1234171916210801E-3</v>
      </c>
      <c r="Q1903" s="51">
        <f t="shared" si="246"/>
        <v>88.77240673866919</v>
      </c>
      <c r="R1903" s="51">
        <f t="shared" si="247"/>
        <v>29.583944520396269</v>
      </c>
    </row>
    <row r="1904" spans="1:18" x14ac:dyDescent="0.15">
      <c r="A1904" s="59">
        <v>43670.75</v>
      </c>
      <c r="B1904">
        <v>30.085578999999999</v>
      </c>
      <c r="C1904">
        <v>257.44143700000001</v>
      </c>
      <c r="D1904">
        <v>78.348770000000002</v>
      </c>
      <c r="E1904">
        <v>95.622497999999993</v>
      </c>
      <c r="F1904">
        <v>1338.3100589999999</v>
      </c>
      <c r="H1904" s="50">
        <f t="shared" si="241"/>
        <v>1.8739694441812216E-3</v>
      </c>
      <c r="I1904" s="50">
        <f t="shared" si="242"/>
        <v>2.2541638602518632E-3</v>
      </c>
      <c r="J1904" s="50">
        <f t="shared" si="243"/>
        <v>4.0285950295178051E-3</v>
      </c>
      <c r="K1904" s="50">
        <f t="shared" si="244"/>
        <v>7.3319885876333285E-3</v>
      </c>
      <c r="L1904" s="50">
        <f t="shared" si="245"/>
        <v>3.1396003803792623E-4</v>
      </c>
      <c r="P1904" s="50">
        <f t="shared" si="240"/>
        <v>3.1396003803792623E-4</v>
      </c>
      <c r="Q1904" s="51">
        <f t="shared" si="246"/>
        <v>88.800277726865588</v>
      </c>
      <c r="R1904" s="51">
        <f t="shared" si="247"/>
        <v>29.639383928465843</v>
      </c>
    </row>
    <row r="1905" spans="1:18" x14ac:dyDescent="0.15">
      <c r="A1905" s="59">
        <v>43671.75</v>
      </c>
      <c r="B1905">
        <v>30.029305000000001</v>
      </c>
      <c r="C1905">
        <v>256.86242700000003</v>
      </c>
      <c r="D1905">
        <v>78.034401000000003</v>
      </c>
      <c r="E1905">
        <v>94.926497999999995</v>
      </c>
      <c r="F1905">
        <v>1337.8900149999999</v>
      </c>
      <c r="H1905" s="50">
        <f t="shared" si="241"/>
        <v>1.5220203586281681E-2</v>
      </c>
      <c r="I1905" s="50">
        <f t="shared" si="242"/>
        <v>1.404041077478555E-2</v>
      </c>
      <c r="J1905" s="50">
        <f t="shared" si="243"/>
        <v>5.5555647905614182E-3</v>
      </c>
      <c r="K1905" s="50">
        <f t="shared" si="244"/>
        <v>1.7007907209459182E-2</v>
      </c>
      <c r="L1905" s="50">
        <f t="shared" si="245"/>
        <v>-1.627182296919422E-2</v>
      </c>
      <c r="P1905" s="50">
        <f t="shared" si="240"/>
        <v>-1.627182296919422E-2</v>
      </c>
      <c r="Q1905" s="51">
        <f t="shared" si="246"/>
        <v>87.355335328078752</v>
      </c>
      <c r="R1905" s="51">
        <f t="shared" si="247"/>
        <v>30.090501386029057</v>
      </c>
    </row>
    <row r="1906" spans="1:18" x14ac:dyDescent="0.15">
      <c r="A1906" s="59">
        <v>43672.75</v>
      </c>
      <c r="B1906">
        <v>29.579104999999998</v>
      </c>
      <c r="C1906">
        <v>253.30590799999999</v>
      </c>
      <c r="D1906">
        <v>77.603271000000007</v>
      </c>
      <c r="E1906">
        <v>93.338997000000006</v>
      </c>
      <c r="F1906">
        <v>1360.0200199999999</v>
      </c>
      <c r="H1906" s="50">
        <f t="shared" si="241"/>
        <v>9.1422249891644335E-3</v>
      </c>
      <c r="I1906" s="50">
        <f t="shared" si="242"/>
        <v>3.8607194404083169E-3</v>
      </c>
      <c r="J1906" s="50">
        <f t="shared" si="243"/>
        <v>4.5751717042509223E-2</v>
      </c>
      <c r="K1906" s="50">
        <f t="shared" si="244"/>
        <v>6.1768105359379854E-3</v>
      </c>
      <c r="L1906" s="50">
        <f t="shared" si="245"/>
        <v>-1.8723314027703459E-2</v>
      </c>
      <c r="P1906" s="50">
        <f t="shared" si="240"/>
        <v>-1.8723314027703459E-2</v>
      </c>
      <c r="Q1906" s="51">
        <f t="shared" si="246"/>
        <v>85.7197539527358</v>
      </c>
      <c r="R1906" s="51">
        <f t="shared" si="247"/>
        <v>30.3655955197369</v>
      </c>
    </row>
    <row r="1907" spans="1:18" x14ac:dyDescent="0.15">
      <c r="A1907" s="59">
        <v>43673.75</v>
      </c>
      <c r="B1907">
        <v>29.311136000000001</v>
      </c>
      <c r="C1907">
        <v>252.331726</v>
      </c>
      <c r="D1907">
        <v>74.208122000000003</v>
      </c>
      <c r="E1907">
        <v>92.765998999999994</v>
      </c>
      <c r="F1907">
        <v>1385.969971</v>
      </c>
      <c r="H1907" s="50">
        <f t="shared" si="241"/>
        <v>-1.8262759286669463E-4</v>
      </c>
      <c r="I1907" s="50">
        <f t="shared" si="242"/>
        <v>7.596264716493115E-3</v>
      </c>
      <c r="J1907" s="50">
        <f t="shared" si="243"/>
        <v>1.3493641556099126E-2</v>
      </c>
      <c r="K1907" s="50">
        <f t="shared" si="244"/>
        <v>1.7595006112360159E-2</v>
      </c>
      <c r="L1907" s="50">
        <f t="shared" si="245"/>
        <v>4.8359342835773073E-4</v>
      </c>
      <c r="P1907" s="50">
        <f t="shared" si="240"/>
        <v>4.8359342835773073E-4</v>
      </c>
      <c r="Q1907" s="51">
        <f t="shared" si="246"/>
        <v>85.761207462427791</v>
      </c>
      <c r="R1907" s="51">
        <f t="shared" si="247"/>
        <v>30.360049924121167</v>
      </c>
    </row>
    <row r="1908" spans="1:18" x14ac:dyDescent="0.15">
      <c r="A1908" s="59">
        <v>43676.75</v>
      </c>
      <c r="B1908">
        <v>29.316490000000002</v>
      </c>
      <c r="C1908">
        <v>250.42939799999999</v>
      </c>
      <c r="D1908">
        <v>73.220116000000004</v>
      </c>
      <c r="E1908">
        <v>91.162002999999999</v>
      </c>
      <c r="F1908">
        <v>1385.3000489999999</v>
      </c>
      <c r="H1908" s="50">
        <f t="shared" si="241"/>
        <v>3.3830730573847945E-2</v>
      </c>
      <c r="I1908" s="50">
        <f t="shared" si="242"/>
        <v>2.7913962897827757E-2</v>
      </c>
      <c r="J1908" s="50">
        <f t="shared" si="243"/>
        <v>9.0353862995316021E-3</v>
      </c>
      <c r="K1908" s="50">
        <f t="shared" si="244"/>
        <v>3.2921121957022952E-2</v>
      </c>
      <c r="L1908" s="50">
        <f t="shared" si="245"/>
        <v>4.3355444959250027E-3</v>
      </c>
      <c r="P1908" s="50">
        <f t="shared" si="240"/>
        <v>4.3355444959250027E-3</v>
      </c>
      <c r="Q1908" s="51">
        <f t="shared" si="246"/>
        <v>86.133028993405404</v>
      </c>
      <c r="R1908" s="51">
        <f t="shared" si="247"/>
        <v>31.387152593312681</v>
      </c>
    </row>
    <row r="1909" spans="1:18" x14ac:dyDescent="0.15">
      <c r="A1909" s="59">
        <v>43677.75</v>
      </c>
      <c r="B1909">
        <v>28.357147000000001</v>
      </c>
      <c r="C1909">
        <v>243.62875399999999</v>
      </c>
      <c r="D1909">
        <v>72.564468000000005</v>
      </c>
      <c r="E1909">
        <v>88.256500000000003</v>
      </c>
      <c r="F1909">
        <v>1379.3199460000001</v>
      </c>
      <c r="H1909" s="50">
        <f t="shared" si="241"/>
        <v>-1.3517080203807829E-2</v>
      </c>
      <c r="I1909" s="50">
        <f t="shared" si="242"/>
        <v>-1.5632417365650155E-2</v>
      </c>
      <c r="J1909" s="50">
        <f t="shared" si="243"/>
        <v>-2.3921752829591601E-2</v>
      </c>
      <c r="K1909" s="50">
        <f t="shared" si="244"/>
        <v>-1.2696978735182232E-2</v>
      </c>
      <c r="L1909" s="50">
        <f t="shared" si="245"/>
        <v>2.9084141560177736E-3</v>
      </c>
      <c r="P1909" s="50">
        <f t="shared" si="240"/>
        <v>2.9084141560177736E-3</v>
      </c>
      <c r="Q1909" s="51">
        <f t="shared" si="246"/>
        <v>86.38353951423052</v>
      </c>
      <c r="R1909" s="51">
        <f t="shared" si="247"/>
        <v>30.962889934339721</v>
      </c>
    </row>
    <row r="1910" spans="1:18" x14ac:dyDescent="0.15">
      <c r="A1910" s="59">
        <v>43678.75</v>
      </c>
      <c r="B1910">
        <v>28.745705000000001</v>
      </c>
      <c r="C1910">
        <v>247.49774199999999</v>
      </c>
      <c r="D1910">
        <v>74.342879999999994</v>
      </c>
      <c r="E1910">
        <v>89.391502000000003</v>
      </c>
      <c r="F1910">
        <v>1375.3199460000001</v>
      </c>
      <c r="H1910" s="50">
        <f t="shared" si="241"/>
        <v>-8.5952288957621675E-3</v>
      </c>
      <c r="I1910" s="50">
        <f t="shared" si="242"/>
        <v>-1.8191884250090433E-2</v>
      </c>
      <c r="J1910" s="50">
        <f t="shared" si="243"/>
        <v>-2.8910746703721211E-3</v>
      </c>
      <c r="K1910" s="50">
        <f t="shared" si="244"/>
        <v>-3.1057879581976133E-3</v>
      </c>
      <c r="L1910" s="50">
        <f t="shared" si="245"/>
        <v>7.560400000000053E-3</v>
      </c>
      <c r="P1910" s="50">
        <f t="shared" si="240"/>
        <v>7.560400000000053E-3</v>
      </c>
      <c r="Q1910" s="51">
        <f t="shared" si="246"/>
        <v>87.036633626373913</v>
      </c>
      <c r="R1910" s="51">
        <f t="shared" si="247"/>
        <v>30.69675680807978</v>
      </c>
    </row>
    <row r="1911" spans="1:18" x14ac:dyDescent="0.15">
      <c r="A1911" s="59">
        <v>43679.75</v>
      </c>
      <c r="B1911">
        <v>28.994923</v>
      </c>
      <c r="C1911">
        <v>252.083618</v>
      </c>
      <c r="D1911">
        <v>74.558434000000005</v>
      </c>
      <c r="E1911">
        <v>89.669998000000007</v>
      </c>
      <c r="F1911">
        <v>1365</v>
      </c>
      <c r="H1911" s="50">
        <f t="shared" si="241"/>
        <v>-1.760029897285682E-2</v>
      </c>
      <c r="I1911" s="50">
        <f t="shared" si="242"/>
        <v>-1.8192620300078557E-3</v>
      </c>
      <c r="J1911" s="50">
        <f t="shared" si="243"/>
        <v>-9.4271671740226212E-3</v>
      </c>
      <c r="K1911" s="50">
        <f t="shared" si="244"/>
        <v>-2.154524252360759E-2</v>
      </c>
      <c r="L1911" s="50">
        <f t="shared" si="245"/>
        <v>-1.8684526982110081E-2</v>
      </c>
      <c r="P1911" s="50">
        <f t="shared" si="240"/>
        <v>-1.8684526982110081E-2</v>
      </c>
      <c r="Q1911" s="51">
        <f t="shared" si="246"/>
        <v>85.410395296949901</v>
      </c>
      <c r="R1911" s="51">
        <f t="shared" si="247"/>
        <v>30.156484710760495</v>
      </c>
    </row>
    <row r="1912" spans="1:18" x14ac:dyDescent="0.15">
      <c r="A1912" s="59">
        <v>43680.75</v>
      </c>
      <c r="B1912">
        <v>29.514385000000001</v>
      </c>
      <c r="C1912">
        <v>252.54306</v>
      </c>
      <c r="D1912">
        <v>75.267998000000006</v>
      </c>
      <c r="E1912">
        <v>91.644501000000005</v>
      </c>
      <c r="F1912">
        <v>1390.98999</v>
      </c>
      <c r="H1912" s="50">
        <f t="shared" si="241"/>
        <v>1.1558708557231576E-2</v>
      </c>
      <c r="I1912" s="50">
        <f t="shared" si="242"/>
        <v>3.1389997445431055E-3</v>
      </c>
      <c r="J1912" s="50">
        <f t="shared" si="243"/>
        <v>1.6867039970057673E-2</v>
      </c>
      <c r="K1912" s="50">
        <f t="shared" si="244"/>
        <v>1.4002180019743189E-2</v>
      </c>
      <c r="L1912" s="50">
        <f t="shared" si="245"/>
        <v>-2.3238562120146307E-3</v>
      </c>
      <c r="P1912" s="50">
        <f t="shared" si="240"/>
        <v>-2.3238562120146307E-3</v>
      </c>
      <c r="Q1912" s="51">
        <f t="shared" si="246"/>
        <v>85.21191381926846</v>
      </c>
      <c r="R1912" s="51">
        <f t="shared" si="247"/>
        <v>30.505054728642783</v>
      </c>
    </row>
    <row r="1913" spans="1:18" x14ac:dyDescent="0.15">
      <c r="A1913" s="59">
        <v>43683.75</v>
      </c>
      <c r="B1913">
        <v>29.177135</v>
      </c>
      <c r="C1913">
        <v>251.75280799999999</v>
      </c>
      <c r="D1913">
        <v>74.019508000000002</v>
      </c>
      <c r="E1913">
        <v>90.378997999999996</v>
      </c>
      <c r="F1913">
        <v>1394.2299800000001</v>
      </c>
      <c r="H1913" s="50">
        <f t="shared" si="241"/>
        <v>1.9577495638239923E-2</v>
      </c>
      <c r="I1913" s="50">
        <f t="shared" si="242"/>
        <v>9.6941549595689035E-3</v>
      </c>
      <c r="J1913" s="50">
        <f t="shared" si="243"/>
        <v>4.6324150155676704E-3</v>
      </c>
      <c r="K1913" s="50">
        <f t="shared" si="244"/>
        <v>1.2695201741361942E-2</v>
      </c>
      <c r="L1913" s="50">
        <f t="shared" si="245"/>
        <v>-5.0808121610870895E-3</v>
      </c>
      <c r="P1913" s="50">
        <f t="shared" si="240"/>
        <v>-5.0808121610870895E-3</v>
      </c>
      <c r="Q1913" s="51">
        <f t="shared" si="246"/>
        <v>84.778968091266009</v>
      </c>
      <c r="R1913" s="51">
        <f t="shared" si="247"/>
        <v>31.102267304537058</v>
      </c>
    </row>
    <row r="1914" spans="1:18" x14ac:dyDescent="0.15">
      <c r="A1914" s="59">
        <v>43684.75</v>
      </c>
      <c r="B1914">
        <v>28.616887999999999</v>
      </c>
      <c r="C1914">
        <v>249.33570900000001</v>
      </c>
      <c r="D1914">
        <v>73.678200000000004</v>
      </c>
      <c r="E1914">
        <v>89.246002000000004</v>
      </c>
      <c r="F1914">
        <v>1401.349976</v>
      </c>
      <c r="H1914" s="50">
        <f t="shared" si="241"/>
        <v>-2.0389010157363486E-2</v>
      </c>
      <c r="I1914" s="50">
        <f t="shared" si="242"/>
        <v>-1.7918274048670361E-2</v>
      </c>
      <c r="J1914" s="50">
        <f t="shared" si="243"/>
        <v>-2.6234489071534521E-2</v>
      </c>
      <c r="K1914" s="50">
        <f t="shared" si="244"/>
        <v>-2.1607824585072159E-2</v>
      </c>
      <c r="L1914" s="50">
        <f t="shared" si="245"/>
        <v>-6.2044117042462038E-4</v>
      </c>
      <c r="P1914" s="50">
        <f t="shared" si="240"/>
        <v>-6.2044117042462038E-4</v>
      </c>
      <c r="Q1914" s="51">
        <f t="shared" si="246"/>
        <v>84.726367729076074</v>
      </c>
      <c r="R1914" s="51">
        <f t="shared" si="247"/>
        <v>30.468122860547819</v>
      </c>
    </row>
    <row r="1915" spans="1:18" x14ac:dyDescent="0.15">
      <c r="A1915" s="59">
        <v>43685.75</v>
      </c>
      <c r="B1915">
        <v>29.212502000000001</v>
      </c>
      <c r="C1915">
        <v>253.88488799999999</v>
      </c>
      <c r="D1915">
        <v>75.663184999999999</v>
      </c>
      <c r="E1915">
        <v>91.217003000000005</v>
      </c>
      <c r="F1915">
        <v>1402.219971</v>
      </c>
      <c r="H1915" s="50">
        <f t="shared" si="241"/>
        <v>1.139363195106954E-2</v>
      </c>
      <c r="I1915" s="50">
        <f t="shared" si="242"/>
        <v>3.024462084530238E-2</v>
      </c>
      <c r="J1915" s="50">
        <f t="shared" si="243"/>
        <v>2.8696864795548678E-2</v>
      </c>
      <c r="K1915" s="50">
        <f t="shared" si="244"/>
        <v>3.4816443884724227E-2</v>
      </c>
      <c r="L1915" s="50">
        <f t="shared" si="245"/>
        <v>-4.1351438532773941E-4</v>
      </c>
      <c r="P1915" s="50">
        <f t="shared" si="240"/>
        <v>-4.1351438532773941E-4</v>
      </c>
      <c r="Q1915" s="51">
        <f t="shared" si="246"/>
        <v>84.691332157203533</v>
      </c>
      <c r="R1915" s="51">
        <f t="shared" si="247"/>
        <v>30.815265438660866</v>
      </c>
    </row>
    <row r="1916" spans="1:18" x14ac:dyDescent="0.15">
      <c r="A1916" s="59">
        <v>43686.75</v>
      </c>
      <c r="B1916">
        <v>28.883414999999999</v>
      </c>
      <c r="C1916">
        <v>246.431656</v>
      </c>
      <c r="D1916">
        <v>73.552459999999996</v>
      </c>
      <c r="E1916">
        <v>88.148003000000003</v>
      </c>
      <c r="F1916">
        <v>1402.8000489999999</v>
      </c>
      <c r="H1916" s="50">
        <f t="shared" si="241"/>
        <v>-5.7591543601956577E-2</v>
      </c>
      <c r="I1916" s="50">
        <f t="shared" si="242"/>
        <v>-1.2411764274952414E-2</v>
      </c>
      <c r="J1916" s="50">
        <f t="shared" si="243"/>
        <v>-8.1152874826056487E-3</v>
      </c>
      <c r="K1916" s="50">
        <f t="shared" si="244"/>
        <v>-7.4093754926468332E-3</v>
      </c>
      <c r="L1916" s="50">
        <f t="shared" si="245"/>
        <v>-2.1836627930878292E-3</v>
      </c>
      <c r="P1916" s="50">
        <f t="shared" si="240"/>
        <v>-2.1836627930878292E-3</v>
      </c>
      <c r="Q1916" s="51">
        <f t="shared" si="246"/>
        <v>84.506394846274802</v>
      </c>
      <c r="R1916" s="51">
        <f t="shared" si="247"/>
        <v>29.040566735544363</v>
      </c>
    </row>
    <row r="1917" spans="1:18" x14ac:dyDescent="0.15">
      <c r="A1917" s="59">
        <v>43687.75</v>
      </c>
      <c r="B1917">
        <v>30.648510000000002</v>
      </c>
      <c r="C1917">
        <v>249.52874800000001</v>
      </c>
      <c r="D1917">
        <v>74.154242999999994</v>
      </c>
      <c r="E1917">
        <v>88.805999999999997</v>
      </c>
      <c r="F1917">
        <v>1405.869995</v>
      </c>
      <c r="H1917" s="50">
        <f t="shared" si="241"/>
        <v>-2.6548892868699858E-3</v>
      </c>
      <c r="I1917" s="50">
        <f t="shared" si="242"/>
        <v>-9.4126005191429128E-3</v>
      </c>
      <c r="J1917" s="50">
        <f t="shared" si="243"/>
        <v>-1.9593612743522566E-2</v>
      </c>
      <c r="K1917" s="50">
        <f t="shared" si="244"/>
        <v>-9.176790659739021E-3</v>
      </c>
      <c r="L1917" s="50">
        <f t="shared" si="245"/>
        <v>1.2534701831067496E-3</v>
      </c>
      <c r="P1917" s="50">
        <f t="shared" si="240"/>
        <v>1.2534701831067496E-3</v>
      </c>
      <c r="Q1917" s="51">
        <f t="shared" si="246"/>
        <v>84.612321092496458</v>
      </c>
      <c r="R1917" s="51">
        <f t="shared" si="247"/>
        <v>28.963467246033535</v>
      </c>
    </row>
    <row r="1918" spans="1:18" x14ac:dyDescent="0.15">
      <c r="A1918" s="59">
        <v>43690.75</v>
      </c>
      <c r="B1918">
        <v>30.730094999999999</v>
      </c>
      <c r="C1918">
        <v>251.89977999999999</v>
      </c>
      <c r="D1918">
        <v>75.636229999999998</v>
      </c>
      <c r="E1918">
        <v>89.628501999999997</v>
      </c>
      <c r="F1918">
        <v>1404.1099850000001</v>
      </c>
      <c r="H1918" s="50">
        <f t="shared" si="241"/>
        <v>-7.2053472601133943E-3</v>
      </c>
      <c r="I1918" s="50">
        <f t="shared" si="242"/>
        <v>-5.4787391067057942E-3</v>
      </c>
      <c r="J1918" s="50">
        <f t="shared" si="243"/>
        <v>-2.7373621772835505E-2</v>
      </c>
      <c r="K1918" s="50">
        <f t="shared" si="244"/>
        <v>-1.2967182785278506E-2</v>
      </c>
      <c r="L1918" s="50">
        <f t="shared" si="245"/>
        <v>1.2816236783839388E-4</v>
      </c>
      <c r="P1918" s="50">
        <f t="shared" si="240"/>
        <v>1.2816236783839388E-4</v>
      </c>
      <c r="Q1918" s="51">
        <f t="shared" si="246"/>
        <v>84.623165207915974</v>
      </c>
      <c r="R1918" s="51">
        <f t="shared" si="247"/>
        <v>28.754775406668944</v>
      </c>
    </row>
    <row r="1919" spans="1:18" x14ac:dyDescent="0.15">
      <c r="A1919" s="59">
        <v>43691.75</v>
      </c>
      <c r="B1919">
        <v>30.953123000000001</v>
      </c>
      <c r="C1919">
        <v>253.287476</v>
      </c>
      <c r="D1919">
        <v>77.764938000000001</v>
      </c>
      <c r="E1919">
        <v>90.805999999999997</v>
      </c>
      <c r="F1919">
        <v>1403.9300539999999</v>
      </c>
      <c r="H1919" s="50">
        <f t="shared" si="241"/>
        <v>1.5707388179520543E-2</v>
      </c>
      <c r="I1919" s="50">
        <f t="shared" si="242"/>
        <v>9.6714565940869655E-3</v>
      </c>
      <c r="J1919" s="50">
        <f t="shared" si="243"/>
        <v>4.5594751613380899E-3</v>
      </c>
      <c r="K1919" s="50">
        <f t="shared" si="244"/>
        <v>8.1826155503002661E-3</v>
      </c>
      <c r="L1919" s="50">
        <f t="shared" si="245"/>
        <v>-1.1383428080426205E-3</v>
      </c>
      <c r="P1919" s="50">
        <f t="shared" si="240"/>
        <v>-1.1383428080426205E-3</v>
      </c>
      <c r="Q1919" s="51">
        <f t="shared" si="246"/>
        <v>84.526835036407746</v>
      </c>
      <c r="R1919" s="51">
        <f t="shared" si="247"/>
        <v>29.206437825996421</v>
      </c>
    </row>
    <row r="1920" spans="1:18" x14ac:dyDescent="0.15">
      <c r="A1920" s="59">
        <v>43692.75</v>
      </c>
      <c r="B1920">
        <v>30.474449</v>
      </c>
      <c r="C1920">
        <v>250.86128199999999</v>
      </c>
      <c r="D1920">
        <v>77.41198</v>
      </c>
      <c r="E1920">
        <v>90.069000000000003</v>
      </c>
      <c r="F1920">
        <v>1405.530029</v>
      </c>
      <c r="H1920" s="50">
        <f t="shared" si="241"/>
        <v>2.6777135424859116E-4</v>
      </c>
      <c r="I1920" s="50">
        <f t="shared" si="242"/>
        <v>-9.8303615120636859E-3</v>
      </c>
      <c r="J1920" s="50">
        <f t="shared" si="243"/>
        <v>-0.16961155076509632</v>
      </c>
      <c r="K1920" s="50">
        <f t="shared" si="244"/>
        <v>-1.2152209172220853E-2</v>
      </c>
      <c r="L1920" s="50">
        <f t="shared" si="245"/>
        <v>-7.0504489049851033E-3</v>
      </c>
      <c r="P1920" s="50">
        <f t="shared" si="240"/>
        <v>-7.0504489049851033E-3</v>
      </c>
      <c r="Q1920" s="51">
        <f t="shared" si="246"/>
        <v>83.930882904883447</v>
      </c>
      <c r="R1920" s="51">
        <f t="shared" si="247"/>
        <v>29.214258473405863</v>
      </c>
    </row>
    <row r="1921" spans="1:18" x14ac:dyDescent="0.15">
      <c r="A1921" s="59">
        <v>43693.75</v>
      </c>
      <c r="B1921">
        <v>30.466290999999998</v>
      </c>
      <c r="C1921">
        <v>253.351822</v>
      </c>
      <c r="D1921">
        <v>93.223815999999999</v>
      </c>
      <c r="E1921">
        <v>91.177002000000002</v>
      </c>
      <c r="F1921">
        <v>1415.51001</v>
      </c>
      <c r="H1921" s="50">
        <f t="shared" si="241"/>
        <v>9.8296863427184823E-4</v>
      </c>
      <c r="I1921" s="50">
        <f t="shared" si="242"/>
        <v>-1.5147191598029523E-2</v>
      </c>
      <c r="J1921" s="50">
        <f t="shared" si="243"/>
        <v>-3.1226474339011965E-2</v>
      </c>
      <c r="K1921" s="50">
        <f t="shared" si="244"/>
        <v>1.0461804207733249E-2</v>
      </c>
      <c r="L1921" s="50">
        <f t="shared" si="245"/>
        <v>-1.8686353701038161E-3</v>
      </c>
      <c r="P1921" s="50">
        <f t="shared" ref="P1921:P1984" si="248">(F1921-F1922)/F1922</f>
        <v>-1.8686353701038161E-3</v>
      </c>
      <c r="Q1921" s="51">
        <f t="shared" si="246"/>
        <v>83.774046688443335</v>
      </c>
      <c r="R1921" s="51">
        <f t="shared" si="247"/>
        <v>29.242975173158733</v>
      </c>
    </row>
    <row r="1922" spans="1:18" x14ac:dyDescent="0.15">
      <c r="A1922" s="59">
        <v>43694.75</v>
      </c>
      <c r="B1922">
        <v>30.436373</v>
      </c>
      <c r="C1922">
        <v>257.24841300000003</v>
      </c>
      <c r="D1922">
        <v>96.228699000000006</v>
      </c>
      <c r="E1922">
        <v>90.233001999999999</v>
      </c>
      <c r="F1922">
        <v>1418.160034</v>
      </c>
      <c r="H1922" s="50">
        <f t="shared" ref="H1922:H1985" si="249">(B1922-B1923)/B1923</f>
        <v>9.7446663850943686E-3</v>
      </c>
      <c r="I1922" s="50">
        <f t="shared" ref="I1922:I1985" si="250">(C1922-C1923)/C1923</f>
        <v>2.156839032745211E-2</v>
      </c>
      <c r="J1922" s="50">
        <f t="shared" ref="J1922:J1985" si="251">(D1922-D1923)/D1923</f>
        <v>2.7345569312957799E-2</v>
      </c>
      <c r="K1922" s="50">
        <f t="shared" ref="K1922:K1985" si="252">(E1922-E1923)/E1923</f>
        <v>3.1458246997922483E-2</v>
      </c>
      <c r="L1922" s="50">
        <f t="shared" ref="L1922:L1985" si="253">(F1922-F1923)/F1923</f>
        <v>2.1175068501574496E-5</v>
      </c>
      <c r="P1922" s="50">
        <f t="shared" si="248"/>
        <v>2.1175068501574496E-5</v>
      </c>
      <c r="Q1922" s="51">
        <f t="shared" si="246"/>
        <v>83.77582060962061</v>
      </c>
      <c r="R1922" s="51">
        <f t="shared" si="247"/>
        <v>29.527938210328763</v>
      </c>
    </row>
    <row r="1923" spans="1:18" x14ac:dyDescent="0.15">
      <c r="A1923" s="59">
        <v>43697.75</v>
      </c>
      <c r="B1923">
        <v>30.142643</v>
      </c>
      <c r="C1923">
        <v>251.81712300000001</v>
      </c>
      <c r="D1923">
        <v>93.667312999999993</v>
      </c>
      <c r="E1923">
        <v>87.481003000000001</v>
      </c>
      <c r="F1923">
        <v>1418.130005</v>
      </c>
      <c r="H1923" s="50">
        <f t="shared" si="249"/>
        <v>-1.0358120452035583E-2</v>
      </c>
      <c r="I1923" s="50">
        <f t="shared" si="250"/>
        <v>-1.5980119148185885E-2</v>
      </c>
      <c r="J1923" s="50">
        <f t="shared" si="251"/>
        <v>-1.2217220877001549E-2</v>
      </c>
      <c r="K1923" s="50">
        <f t="shared" si="252"/>
        <v>-1.0882586426902506E-2</v>
      </c>
      <c r="L1923" s="50">
        <f t="shared" si="253"/>
        <v>3.5098118737082579E-3</v>
      </c>
      <c r="P1923" s="50">
        <f t="shared" si="248"/>
        <v>3.5098118737082579E-3</v>
      </c>
      <c r="Q1923" s="51">
        <f t="shared" ref="Q1923:Q1986" si="254">Q1922*(1+P1923)</f>
        <v>84.069857979525906</v>
      </c>
      <c r="R1923" s="51">
        <f t="shared" ref="R1923:R1986" si="255">R1922*(1+H1923)</f>
        <v>29.222084269645915</v>
      </c>
    </row>
    <row r="1924" spans="1:18" x14ac:dyDescent="0.15">
      <c r="A1924" s="59">
        <v>43698.75</v>
      </c>
      <c r="B1924">
        <v>30.458131999999999</v>
      </c>
      <c r="C1924">
        <v>255.90654000000001</v>
      </c>
      <c r="D1924">
        <v>94.825821000000005</v>
      </c>
      <c r="E1924">
        <v>88.443496999999994</v>
      </c>
      <c r="F1924">
        <v>1413.170044</v>
      </c>
      <c r="H1924" s="50">
        <f t="shared" si="249"/>
        <v>-3.8247821141893894E-3</v>
      </c>
      <c r="I1924" s="50">
        <f t="shared" si="250"/>
        <v>-4.7609768347361484E-2</v>
      </c>
      <c r="J1924" s="50">
        <f t="shared" si="251"/>
        <v>6.6872478847139721E-4</v>
      </c>
      <c r="K1924" s="50">
        <f t="shared" si="252"/>
        <v>3.9958225708021464E-3</v>
      </c>
      <c r="L1924" s="50">
        <f t="shared" si="253"/>
        <v>-2.2635179751083533E-4</v>
      </c>
      <c r="P1924" s="50">
        <f t="shared" si="248"/>
        <v>-2.2635179751083533E-4</v>
      </c>
      <c r="Q1924" s="51">
        <f t="shared" si="254"/>
        <v>84.050828616055753</v>
      </c>
      <c r="R1924" s="51">
        <f t="shared" si="255"/>
        <v>29.110316164392039</v>
      </c>
    </row>
    <row r="1925" spans="1:18" x14ac:dyDescent="0.15">
      <c r="A1925" s="59">
        <v>43699.75</v>
      </c>
      <c r="B1925">
        <v>30.575074999999998</v>
      </c>
      <c r="C1925">
        <v>268.69924900000001</v>
      </c>
      <c r="D1925">
        <v>94.762450999999999</v>
      </c>
      <c r="E1925">
        <v>88.091498999999999</v>
      </c>
      <c r="F1925">
        <v>1413.48999</v>
      </c>
      <c r="H1925" s="50">
        <f t="shared" si="249"/>
        <v>-2.6614440069902927E-3</v>
      </c>
      <c r="I1925" s="50">
        <f t="shared" si="250"/>
        <v>-7.1646406998419291E-3</v>
      </c>
      <c r="J1925" s="50">
        <f t="shared" si="251"/>
        <v>-1.5977573010088578E-2</v>
      </c>
      <c r="K1925" s="50">
        <f t="shared" si="252"/>
        <v>-1.371721663670777E-3</v>
      </c>
      <c r="L1925" s="50">
        <f t="shared" si="253"/>
        <v>8.1379338968311996E-3</v>
      </c>
      <c r="P1925" s="50">
        <f t="shared" si="248"/>
        <v>8.1379338968311996E-3</v>
      </c>
      <c r="Q1925" s="51">
        <f t="shared" si="254"/>
        <v>84.734828703307102</v>
      </c>
      <c r="R1925" s="51">
        <f t="shared" si="255"/>
        <v>29.032840687894723</v>
      </c>
    </row>
    <row r="1926" spans="1:18" x14ac:dyDescent="0.15">
      <c r="A1926" s="59">
        <v>43700.75</v>
      </c>
      <c r="B1926">
        <v>30.656666000000001</v>
      </c>
      <c r="C1926">
        <v>270.63827500000002</v>
      </c>
      <c r="D1926">
        <v>96.301108999999997</v>
      </c>
      <c r="E1926">
        <v>88.212502000000001</v>
      </c>
      <c r="F1926">
        <v>1402.079956</v>
      </c>
      <c r="H1926" s="50">
        <f t="shared" si="249"/>
        <v>-1.1921595412857913E-2</v>
      </c>
      <c r="I1926" s="50">
        <f t="shared" si="250"/>
        <v>-9.2053442334130448E-3</v>
      </c>
      <c r="J1926" s="50">
        <f t="shared" si="251"/>
        <v>-1.4175622764345277E-2</v>
      </c>
      <c r="K1926" s="50">
        <f t="shared" si="252"/>
        <v>-1.2399216300940357E-2</v>
      </c>
      <c r="L1926" s="50">
        <f t="shared" si="253"/>
        <v>-6.4133346806695846E-3</v>
      </c>
      <c r="P1926" s="50">
        <f t="shared" si="248"/>
        <v>-6.4133346806695846E-3</v>
      </c>
      <c r="Q1926" s="51">
        <f t="shared" si="254"/>
        <v>84.191395887723587</v>
      </c>
      <c r="R1926" s="51">
        <f t="shared" si="255"/>
        <v>28.686722907527685</v>
      </c>
    </row>
    <row r="1927" spans="1:18" x14ac:dyDescent="0.15">
      <c r="A1927" s="59">
        <v>43701.75</v>
      </c>
      <c r="B1927">
        <v>31.026551999999999</v>
      </c>
      <c r="C1927">
        <v>273.15273999999999</v>
      </c>
      <c r="D1927">
        <v>97.685867000000002</v>
      </c>
      <c r="E1927">
        <v>89.32</v>
      </c>
      <c r="F1927">
        <v>1411.130005</v>
      </c>
      <c r="H1927" s="50">
        <f t="shared" si="249"/>
        <v>-1.5753243084763266E-3</v>
      </c>
      <c r="I1927" s="50">
        <f t="shared" si="250"/>
        <v>6.1403672070881252E-3</v>
      </c>
      <c r="J1927" s="50">
        <f t="shared" si="251"/>
        <v>8.3144197137246384E-3</v>
      </c>
      <c r="K1927" s="50">
        <f t="shared" si="252"/>
        <v>5.6916495132173783E-3</v>
      </c>
      <c r="L1927" s="50">
        <f t="shared" si="253"/>
        <v>4.8925443752722891E-4</v>
      </c>
      <c r="P1927" s="50">
        <f t="shared" si="248"/>
        <v>4.8925443752722891E-4</v>
      </c>
      <c r="Q1927" s="51">
        <f t="shared" si="254"/>
        <v>84.23258690176327</v>
      </c>
      <c r="R1927" s="51">
        <f t="shared" si="255"/>
        <v>28.641532015600934</v>
      </c>
    </row>
    <row r="1928" spans="1:18" x14ac:dyDescent="0.15">
      <c r="A1928" s="59">
        <v>43704.75</v>
      </c>
      <c r="B1928">
        <v>31.075506000000001</v>
      </c>
      <c r="C1928">
        <v>271.48571800000002</v>
      </c>
      <c r="D1928">
        <v>96.880363000000003</v>
      </c>
      <c r="E1928">
        <v>88.814498999999998</v>
      </c>
      <c r="F1928">
        <v>1410.4399410000001</v>
      </c>
      <c r="H1928" s="50">
        <f t="shared" si="249"/>
        <v>-3.3149381783080475E-3</v>
      </c>
      <c r="I1928" s="50">
        <f t="shared" si="250"/>
        <v>9.2795177854147551E-3</v>
      </c>
      <c r="J1928" s="50">
        <f t="shared" si="251"/>
        <v>3.0926157180980671E-3</v>
      </c>
      <c r="K1928" s="50">
        <f t="shared" si="252"/>
        <v>-7.5704870012007885E-3</v>
      </c>
      <c r="L1928" s="50">
        <f t="shared" si="253"/>
        <v>8.0883556401561258E-4</v>
      </c>
      <c r="P1928" s="50">
        <f t="shared" si="248"/>
        <v>8.0883556401561258E-4</v>
      </c>
      <c r="Q1928" s="51">
        <f t="shared" si="254"/>
        <v>84.300717213698462</v>
      </c>
      <c r="R1928" s="51">
        <f t="shared" si="255"/>
        <v>28.546587107637183</v>
      </c>
    </row>
    <row r="1929" spans="1:18" x14ac:dyDescent="0.15">
      <c r="A1929" s="59">
        <v>43705.75</v>
      </c>
      <c r="B1929">
        <v>31.178861999999999</v>
      </c>
      <c r="C1929">
        <v>268.98962399999999</v>
      </c>
      <c r="D1929">
        <v>96.581672999999995</v>
      </c>
      <c r="E1929">
        <v>89.491996999999998</v>
      </c>
      <c r="F1929">
        <v>1409.3000489999999</v>
      </c>
      <c r="H1929" s="50">
        <f t="shared" si="249"/>
        <v>-1.0956734439327959E-2</v>
      </c>
      <c r="I1929" s="50">
        <f t="shared" si="250"/>
        <v>-1.3744412403671236E-2</v>
      </c>
      <c r="J1929" s="50">
        <f t="shared" si="251"/>
        <v>-6.0546769956976824E-3</v>
      </c>
      <c r="K1929" s="50">
        <f t="shared" si="252"/>
        <v>-5.9868379999519607E-3</v>
      </c>
      <c r="L1929" s="50">
        <f t="shared" si="253"/>
        <v>-8.4363661453569754E-4</v>
      </c>
      <c r="P1929" s="50">
        <f t="shared" si="248"/>
        <v>-8.4363661453569754E-4</v>
      </c>
      <c r="Q1929" s="51">
        <f t="shared" si="254"/>
        <v>84.229598042025373</v>
      </c>
      <c r="R1929" s="51">
        <f t="shared" si="255"/>
        <v>28.233809733549659</v>
      </c>
    </row>
    <row r="1930" spans="1:18" x14ac:dyDescent="0.15">
      <c r="A1930" s="59">
        <v>43706.75</v>
      </c>
      <c r="B1930">
        <v>31.524265</v>
      </c>
      <c r="C1930">
        <v>272.73825099999999</v>
      </c>
      <c r="D1930">
        <v>97.170006000000001</v>
      </c>
      <c r="E1930">
        <v>90.030997999999997</v>
      </c>
      <c r="F1930">
        <v>1410.48999</v>
      </c>
      <c r="H1930" s="50">
        <f t="shared" si="249"/>
        <v>4.0717372075491443E-3</v>
      </c>
      <c r="I1930" s="50">
        <f t="shared" si="250"/>
        <v>-2.8624035727779114E-3</v>
      </c>
      <c r="J1930" s="50">
        <f t="shared" si="251"/>
        <v>-1.0871334656053168E-2</v>
      </c>
      <c r="K1930" s="50">
        <f t="shared" si="252"/>
        <v>-2.1785007330229207E-2</v>
      </c>
      <c r="L1930" s="50">
        <f t="shared" si="253"/>
        <v>7.8672150779891571E-3</v>
      </c>
      <c r="P1930" s="50">
        <f t="shared" si="248"/>
        <v>7.8672150779891571E-3</v>
      </c>
      <c r="Q1930" s="51">
        <f t="shared" si="254"/>
        <v>84.892250405754567</v>
      </c>
      <c r="R1930" s="51">
        <f t="shared" si="255"/>
        <v>28.348770387152616</v>
      </c>
    </row>
    <row r="1931" spans="1:18" x14ac:dyDescent="0.15">
      <c r="A1931" s="59">
        <v>43707.75</v>
      </c>
      <c r="B1931">
        <v>31.396426999999999</v>
      </c>
      <c r="C1931">
        <v>273.52117900000002</v>
      </c>
      <c r="D1931">
        <v>98.237983999999997</v>
      </c>
      <c r="E1931">
        <v>92.036002999999994</v>
      </c>
      <c r="F1931">
        <v>1399.4799800000001</v>
      </c>
      <c r="H1931" s="50">
        <f t="shared" si="249"/>
        <v>6.1884426618994057E-3</v>
      </c>
      <c r="I1931" s="50">
        <f t="shared" si="250"/>
        <v>-2.2353121127781428E-2</v>
      </c>
      <c r="J1931" s="50">
        <f t="shared" si="251"/>
        <v>-1.1925342306651463E-2</v>
      </c>
      <c r="K1931" s="50">
        <f t="shared" si="252"/>
        <v>3.9323920123957188E-3</v>
      </c>
      <c r="L1931" s="50">
        <f t="shared" si="253"/>
        <v>-5.0476874561690178E-3</v>
      </c>
      <c r="P1931" s="50">
        <f t="shared" si="248"/>
        <v>-5.0476874561690178E-3</v>
      </c>
      <c r="Q1931" s="51">
        <f t="shared" si="254"/>
        <v>84.463740858255477</v>
      </c>
      <c r="R1931" s="51">
        <f t="shared" si="255"/>
        <v>28.524205127228864</v>
      </c>
    </row>
    <row r="1932" spans="1:18" x14ac:dyDescent="0.15">
      <c r="A1932" s="59">
        <v>43708.75</v>
      </c>
      <c r="B1932">
        <v>31.203327000000002</v>
      </c>
      <c r="C1932">
        <v>279.77502399999997</v>
      </c>
      <c r="D1932">
        <v>99.423644999999993</v>
      </c>
      <c r="E1932">
        <v>91.675499000000002</v>
      </c>
      <c r="F1932">
        <v>1406.579956</v>
      </c>
      <c r="H1932" s="50">
        <f t="shared" si="249"/>
        <v>-1.3754009634406277E-2</v>
      </c>
      <c r="I1932" s="50">
        <f t="shared" si="250"/>
        <v>1.5919529375930962E-2</v>
      </c>
      <c r="J1932" s="50">
        <f t="shared" si="251"/>
        <v>1.7600694227554864E-2</v>
      </c>
      <c r="K1932" s="50">
        <f t="shared" si="252"/>
        <v>1.1794796575033501E-3</v>
      </c>
      <c r="L1932" s="50">
        <f t="shared" si="253"/>
        <v>1.1673203616324184E-3</v>
      </c>
      <c r="P1932" s="50">
        <f t="shared" si="248"/>
        <v>1.1673203616324184E-3</v>
      </c>
      <c r="Q1932" s="51">
        <f t="shared" si="254"/>
        <v>84.562337102778969</v>
      </c>
      <c r="R1932" s="51">
        <f t="shared" si="255"/>
        <v>28.131882935095177</v>
      </c>
    </row>
    <row r="1933" spans="1:18" x14ac:dyDescent="0.15">
      <c r="A1933" s="59">
        <v>43712.75</v>
      </c>
      <c r="B1933">
        <v>31.638483000000001</v>
      </c>
      <c r="C1933">
        <v>275.39093000000003</v>
      </c>
      <c r="D1933">
        <v>97.703986999999998</v>
      </c>
      <c r="E1933">
        <v>91.567497000000003</v>
      </c>
      <c r="F1933">
        <v>1404.9399410000001</v>
      </c>
      <c r="H1933" s="50">
        <f t="shared" si="249"/>
        <v>2.4126542732866622E-3</v>
      </c>
      <c r="I1933" s="50">
        <f t="shared" si="250"/>
        <v>6.7340884384999491E-3</v>
      </c>
      <c r="J1933" s="50">
        <f t="shared" si="251"/>
        <v>-8.0860328933473318E-3</v>
      </c>
      <c r="K1933" s="50">
        <f t="shared" si="252"/>
        <v>5.9322844605107419E-3</v>
      </c>
      <c r="L1933" s="50">
        <f t="shared" si="253"/>
        <v>1.0688024162481776E-3</v>
      </c>
      <c r="P1933" s="50">
        <f t="shared" si="248"/>
        <v>1.0688024162481776E-3</v>
      </c>
      <c r="Q1933" s="51">
        <f t="shared" si="254"/>
        <v>84.652717532998011</v>
      </c>
      <c r="R1933" s="51">
        <f t="shared" si="255"/>
        <v>28.199755442674139</v>
      </c>
    </row>
    <row r="1934" spans="1:18" x14ac:dyDescent="0.15">
      <c r="A1934" s="59">
        <v>43713.75</v>
      </c>
      <c r="B1934">
        <v>31.562334</v>
      </c>
      <c r="C1934">
        <v>273.54882800000001</v>
      </c>
      <c r="D1934">
        <v>98.500465000000005</v>
      </c>
      <c r="E1934">
        <v>91.027495999999999</v>
      </c>
      <c r="F1934">
        <v>1403.4399410000001</v>
      </c>
      <c r="H1934" s="50">
        <f t="shared" si="249"/>
        <v>2.5841267305951558E-4</v>
      </c>
      <c r="I1934" s="50">
        <f t="shared" si="250"/>
        <v>2.1706994834010045E-2</v>
      </c>
      <c r="J1934" s="50">
        <f t="shared" si="251"/>
        <v>-1.284727067207574E-3</v>
      </c>
      <c r="K1934" s="50">
        <f t="shared" si="252"/>
        <v>-1.3384824127061548E-3</v>
      </c>
      <c r="L1934" s="50">
        <f t="shared" si="253"/>
        <v>-2.0026292559374485E-2</v>
      </c>
      <c r="P1934" s="50">
        <f t="shared" si="248"/>
        <v>-2.0026292559374485E-2</v>
      </c>
      <c r="Q1934" s="51">
        <f t="shared" si="254"/>
        <v>82.957437445736105</v>
      </c>
      <c r="R1934" s="51">
        <f t="shared" si="255"/>
        <v>28.207042616857706</v>
      </c>
    </row>
    <row r="1935" spans="1:18" x14ac:dyDescent="0.15">
      <c r="A1935" s="59">
        <v>43714.75</v>
      </c>
      <c r="B1935">
        <v>31.554179999999999</v>
      </c>
      <c r="C1935">
        <v>267.73706099999998</v>
      </c>
      <c r="D1935">
        <v>98.627173999999997</v>
      </c>
      <c r="E1935">
        <v>91.149497999999994</v>
      </c>
      <c r="F1935">
        <v>1432.119995</v>
      </c>
      <c r="H1935" s="50">
        <f t="shared" si="249"/>
        <v>-7.6975487935860912E-3</v>
      </c>
      <c r="I1935" s="50">
        <f t="shared" si="250"/>
        <v>2.7599534746332944E-3</v>
      </c>
      <c r="J1935" s="50">
        <f t="shared" si="251"/>
        <v>2.7538533688545996E-4</v>
      </c>
      <c r="K1935" s="50">
        <f t="shared" si="252"/>
        <v>-1.1152396434105923E-2</v>
      </c>
      <c r="L1935" s="50">
        <f t="shared" si="253"/>
        <v>-4.033638048375341E-3</v>
      </c>
      <c r="P1935" s="50">
        <f t="shared" si="248"/>
        <v>-4.033638048375341E-3</v>
      </c>
      <c r="Q1935" s="51">
        <f t="shared" si="254"/>
        <v>82.622817169659271</v>
      </c>
      <c r="R1935" s="51">
        <f t="shared" si="255"/>
        <v>27.989917529991683</v>
      </c>
    </row>
    <row r="1936" spans="1:18" x14ac:dyDescent="0.15">
      <c r="A1936" s="59">
        <v>43715.75</v>
      </c>
      <c r="B1936">
        <v>31.798953999999998</v>
      </c>
      <c r="C1936">
        <v>267.00015300000001</v>
      </c>
      <c r="D1936">
        <v>98.600020999999998</v>
      </c>
      <c r="E1936">
        <v>92.177498</v>
      </c>
      <c r="F1936">
        <v>1437.920044</v>
      </c>
      <c r="H1936" s="50">
        <f t="shared" si="249"/>
        <v>-4.343023252173223E-3</v>
      </c>
      <c r="I1936" s="50">
        <f t="shared" si="250"/>
        <v>-6.8859106724517205E-3</v>
      </c>
      <c r="J1936" s="50">
        <f t="shared" si="251"/>
        <v>8.7971182458016044E-3</v>
      </c>
      <c r="K1936" s="50">
        <f t="shared" si="252"/>
        <v>2.2888100420103341E-3</v>
      </c>
      <c r="L1936" s="50">
        <f t="shared" si="253"/>
        <v>6.185859624498101E-3</v>
      </c>
      <c r="P1936" s="50">
        <f t="shared" si="248"/>
        <v>6.185859624498101E-3</v>
      </c>
      <c r="Q1936" s="51">
        <f t="shared" si="254"/>
        <v>83.133910318451356</v>
      </c>
      <c r="R1936" s="51">
        <f t="shared" si="255"/>
        <v>27.86835666733252</v>
      </c>
    </row>
    <row r="1937" spans="1:18" x14ac:dyDescent="0.15">
      <c r="A1937" s="59">
        <v>43718.75</v>
      </c>
      <c r="B1937">
        <v>31.937660000000001</v>
      </c>
      <c r="C1937">
        <v>268.85144000000003</v>
      </c>
      <c r="D1937">
        <v>97.740189000000001</v>
      </c>
      <c r="E1937">
        <v>91.967003000000005</v>
      </c>
      <c r="F1937">
        <v>1429.079956</v>
      </c>
      <c r="H1937" s="50">
        <f t="shared" si="249"/>
        <v>1.6094409404187833E-2</v>
      </c>
      <c r="I1937" s="50">
        <f t="shared" si="250"/>
        <v>1.1119098894583021E-2</v>
      </c>
      <c r="J1937" s="50">
        <f t="shared" si="251"/>
        <v>9.6299024569659573E-3</v>
      </c>
      <c r="K1937" s="50">
        <f t="shared" si="252"/>
        <v>1.7424164028324769E-2</v>
      </c>
      <c r="L1937" s="50">
        <f t="shared" si="253"/>
        <v>-3.1251589159961885E-3</v>
      </c>
      <c r="P1937" s="50">
        <f t="shared" si="248"/>
        <v>-3.1251589159961885E-3</v>
      </c>
      <c r="Q1937" s="51">
        <f t="shared" si="254"/>
        <v>82.874103637398022</v>
      </c>
      <c r="R1937" s="51">
        <f t="shared" si="255"/>
        <v>28.316881408958501</v>
      </c>
    </row>
    <row r="1938" spans="1:18" x14ac:dyDescent="0.15">
      <c r="A1938" s="59">
        <v>43719.75</v>
      </c>
      <c r="B1938">
        <v>31.431784</v>
      </c>
      <c r="C1938">
        <v>265.89492799999999</v>
      </c>
      <c r="D1938">
        <v>96.807937999999993</v>
      </c>
      <c r="E1938">
        <v>90.391998000000001</v>
      </c>
      <c r="F1938">
        <v>1433.5600589999999</v>
      </c>
      <c r="H1938" s="50">
        <f t="shared" si="249"/>
        <v>-8.0682112426546191E-3</v>
      </c>
      <c r="I1938" s="50">
        <f t="shared" si="250"/>
        <v>-9.3340065122236946E-3</v>
      </c>
      <c r="J1938" s="50">
        <f t="shared" si="251"/>
        <v>-2.9829991643458122E-3</v>
      </c>
      <c r="K1938" s="50">
        <f t="shared" si="252"/>
        <v>-8.071152877646157E-3</v>
      </c>
      <c r="L1938" s="50">
        <f t="shared" si="253"/>
        <v>-2.0883220170330521E-3</v>
      </c>
      <c r="P1938" s="50">
        <f t="shared" si="248"/>
        <v>-2.0883220170330521E-3</v>
      </c>
      <c r="Q1938" s="51">
        <f t="shared" si="254"/>
        <v>82.701035822130166</v>
      </c>
      <c r="R1938" s="51">
        <f t="shared" si="255"/>
        <v>28.088414828017822</v>
      </c>
    </row>
    <row r="1939" spans="1:18" x14ac:dyDescent="0.15">
      <c r="A1939" s="59">
        <v>43720.75</v>
      </c>
      <c r="B1939">
        <v>31.687445</v>
      </c>
      <c r="C1939">
        <v>268.40017699999999</v>
      </c>
      <c r="D1939">
        <v>97.097579999999994</v>
      </c>
      <c r="E1939">
        <v>91.127502000000007</v>
      </c>
      <c r="F1939">
        <v>1436.5600589999999</v>
      </c>
      <c r="H1939" s="50">
        <f t="shared" si="249"/>
        <v>-5.5479146283959778E-3</v>
      </c>
      <c r="I1939" s="50">
        <f t="shared" si="250"/>
        <v>-3.4881012195229323E-3</v>
      </c>
      <c r="J1939" s="50">
        <f t="shared" si="251"/>
        <v>2.898034406167867E-3</v>
      </c>
      <c r="K1939" s="50">
        <f t="shared" si="252"/>
        <v>2.8006228164513323E-3</v>
      </c>
      <c r="L1939" s="50">
        <f t="shared" si="253"/>
        <v>-1.6048007972986257E-2</v>
      </c>
      <c r="P1939" s="50">
        <f t="shared" si="248"/>
        <v>-1.6048007972986257E-2</v>
      </c>
      <c r="Q1939" s="51">
        <f t="shared" si="254"/>
        <v>81.373848939882407</v>
      </c>
      <c r="R1939" s="51">
        <f t="shared" si="255"/>
        <v>27.932582700505005</v>
      </c>
    </row>
    <row r="1940" spans="1:18" x14ac:dyDescent="0.15">
      <c r="A1940" s="59">
        <v>43721.75</v>
      </c>
      <c r="B1940">
        <v>31.864225000000001</v>
      </c>
      <c r="C1940">
        <v>269.33966099999998</v>
      </c>
      <c r="D1940">
        <v>96.817001000000005</v>
      </c>
      <c r="E1940">
        <v>90.873001000000002</v>
      </c>
      <c r="F1940">
        <v>1459.98999</v>
      </c>
      <c r="H1940" s="50">
        <f t="shared" si="249"/>
        <v>4.2689896098754306E-4</v>
      </c>
      <c r="I1940" s="50">
        <f t="shared" si="250"/>
        <v>1.5981552522028972E-2</v>
      </c>
      <c r="J1940" s="50">
        <f t="shared" si="251"/>
        <v>-8.343437304059299E-3</v>
      </c>
      <c r="K1940" s="50">
        <f t="shared" si="252"/>
        <v>-2.2179083903784711E-3</v>
      </c>
      <c r="L1940" s="50">
        <f t="shared" si="253"/>
        <v>-3.9433403065508854E-3</v>
      </c>
      <c r="P1940" s="50">
        <f t="shared" si="248"/>
        <v>-3.9433403065508854E-3</v>
      </c>
      <c r="Q1940" s="51">
        <f t="shared" si="254"/>
        <v>81.05296416145859</v>
      </c>
      <c r="R1940" s="51">
        <f t="shared" si="255"/>
        <v>27.944507091037547</v>
      </c>
    </row>
    <row r="1941" spans="1:18" x14ac:dyDescent="0.15">
      <c r="A1941" s="59">
        <v>43722.75</v>
      </c>
      <c r="B1941">
        <v>31.850628</v>
      </c>
      <c r="C1941">
        <v>265.10290500000002</v>
      </c>
      <c r="D1941">
        <v>97.631584000000004</v>
      </c>
      <c r="E1941">
        <v>91.074996999999996</v>
      </c>
      <c r="F1941">
        <v>1465.7700199999999</v>
      </c>
      <c r="H1941" s="50">
        <f t="shared" si="249"/>
        <v>1.1114789987925679E-3</v>
      </c>
      <c r="I1941" s="50">
        <f t="shared" si="250"/>
        <v>5.1335677067310221E-3</v>
      </c>
      <c r="J1941" s="50">
        <f t="shared" si="251"/>
        <v>1.1249913201507922E-2</v>
      </c>
      <c r="K1941" s="50">
        <f t="shared" si="252"/>
        <v>1.5238295358273486E-2</v>
      </c>
      <c r="L1941" s="50">
        <f t="shared" si="253"/>
        <v>3.1344857170761491E-3</v>
      </c>
      <c r="P1941" s="50">
        <f t="shared" si="248"/>
        <v>3.1344857170761491E-3</v>
      </c>
      <c r="Q1941" s="51">
        <f t="shared" si="254"/>
        <v>81.307023519949368</v>
      </c>
      <c r="R1941" s="51">
        <f t="shared" si="255"/>
        <v>27.975566823800843</v>
      </c>
    </row>
    <row r="1942" spans="1:18" x14ac:dyDescent="0.15">
      <c r="A1942" s="59">
        <v>43725.75</v>
      </c>
      <c r="B1942">
        <v>31.815266000000001</v>
      </c>
      <c r="C1942">
        <v>263.74893200000002</v>
      </c>
      <c r="D1942">
        <v>96.545456000000001</v>
      </c>
      <c r="E1942">
        <v>89.707999999999998</v>
      </c>
      <c r="F1942">
        <v>1461.1899410000001</v>
      </c>
      <c r="H1942" s="50">
        <f t="shared" si="249"/>
        <v>-5.4414386995364876E-3</v>
      </c>
      <c r="I1942" s="50">
        <f t="shared" si="250"/>
        <v>-4.2078364052319846E-3</v>
      </c>
      <c r="J1942" s="50">
        <f t="shared" si="251"/>
        <v>-1.9397086187423349E-2</v>
      </c>
      <c r="K1942" s="50">
        <f t="shared" si="252"/>
        <v>4.9627626165099185E-3</v>
      </c>
      <c r="L1942" s="50">
        <f t="shared" si="253"/>
        <v>1.2814153641397684E-3</v>
      </c>
      <c r="P1942" s="50">
        <f t="shared" si="248"/>
        <v>1.2814153641397684E-3</v>
      </c>
      <c r="Q1942" s="51">
        <f t="shared" si="254"/>
        <v>81.411211589100304</v>
      </c>
      <c r="R1942" s="51">
        <f t="shared" si="255"/>
        <v>27.823339491844344</v>
      </c>
    </row>
    <row r="1943" spans="1:18" x14ac:dyDescent="0.15">
      <c r="A1943" s="59">
        <v>43726.75</v>
      </c>
      <c r="B1943">
        <v>31.989333999999999</v>
      </c>
      <c r="C1943">
        <v>264.86343399999998</v>
      </c>
      <c r="D1943">
        <v>98.455200000000005</v>
      </c>
      <c r="E1943">
        <v>89.264999000000003</v>
      </c>
      <c r="F1943">
        <v>1459.3199460000001</v>
      </c>
      <c r="H1943" s="50">
        <f t="shared" si="249"/>
        <v>-6.5877429380629656E-3</v>
      </c>
      <c r="I1943" s="50">
        <f t="shared" si="250"/>
        <v>-1.1807605426820658E-3</v>
      </c>
      <c r="J1943" s="50">
        <f t="shared" si="251"/>
        <v>1.237779075810524E-2</v>
      </c>
      <c r="K1943" s="50">
        <f t="shared" si="252"/>
        <v>2.50859957185821E-2</v>
      </c>
      <c r="L1943" s="50">
        <f t="shared" si="253"/>
        <v>-1.1841504000386725E-3</v>
      </c>
      <c r="P1943" s="50">
        <f t="shared" si="248"/>
        <v>-1.1841504000386725E-3</v>
      </c>
      <c r="Q1943" s="51">
        <f t="shared" si="254"/>
        <v>81.314808470329439</v>
      </c>
      <c r="R1943" s="51">
        <f t="shared" si="255"/>
        <v>27.640046483593618</v>
      </c>
    </row>
    <row r="1944" spans="1:18" x14ac:dyDescent="0.15">
      <c r="A1944" s="59">
        <v>43727.75</v>
      </c>
      <c r="B1944">
        <v>32.201469000000003</v>
      </c>
      <c r="C1944">
        <v>265.17654399999998</v>
      </c>
      <c r="D1944">
        <v>97.251441999999997</v>
      </c>
      <c r="E1944">
        <v>87.080498000000006</v>
      </c>
      <c r="F1944">
        <v>1461.0500489999999</v>
      </c>
      <c r="H1944" s="50">
        <f t="shared" si="249"/>
        <v>-5.9092797075293994E-4</v>
      </c>
      <c r="I1944" s="50">
        <f t="shared" si="250"/>
        <v>-2.0799516957952843E-3</v>
      </c>
      <c r="J1944" s="50">
        <f t="shared" si="251"/>
        <v>6.0861880618558141E-3</v>
      </c>
      <c r="K1944" s="50">
        <f t="shared" si="252"/>
        <v>-1.5110279873565556E-2</v>
      </c>
      <c r="L1944" s="50">
        <f t="shared" si="253"/>
        <v>5.4102625189330418E-4</v>
      </c>
      <c r="P1944" s="50">
        <f t="shared" si="248"/>
        <v>5.4102625189330418E-4</v>
      </c>
      <c r="Q1944" s="51">
        <f t="shared" si="254"/>
        <v>81.358801916379562</v>
      </c>
      <c r="R1944" s="51">
        <f t="shared" si="255"/>
        <v>27.623713207013552</v>
      </c>
    </row>
    <row r="1945" spans="1:18" x14ac:dyDescent="0.15">
      <c r="A1945" s="59">
        <v>43728.75</v>
      </c>
      <c r="B1945">
        <v>32.220509</v>
      </c>
      <c r="C1945">
        <v>265.72924799999998</v>
      </c>
      <c r="D1945">
        <v>96.663132000000004</v>
      </c>
      <c r="E1945">
        <v>88.416495999999995</v>
      </c>
      <c r="F1945">
        <v>1460.26001</v>
      </c>
      <c r="H1945" s="50">
        <f t="shared" si="249"/>
        <v>1.4368931604307887E-3</v>
      </c>
      <c r="I1945" s="50">
        <f t="shared" si="250"/>
        <v>8.6737062271444296E-4</v>
      </c>
      <c r="J1945" s="50">
        <f t="shared" si="251"/>
        <v>4.7981977169637884E-3</v>
      </c>
      <c r="K1945" s="50">
        <f t="shared" si="252"/>
        <v>1.6375058041258637E-2</v>
      </c>
      <c r="L1945" s="50">
        <f t="shared" si="253"/>
        <v>7.5325136590166777E-5</v>
      </c>
      <c r="P1945" s="50">
        <f t="shared" si="248"/>
        <v>7.5325136590166777E-5</v>
      </c>
      <c r="Q1945" s="51">
        <f t="shared" si="254"/>
        <v>81.364930279246721</v>
      </c>
      <c r="R1945" s="51">
        <f t="shared" si="255"/>
        <v>27.66340553158641</v>
      </c>
    </row>
    <row r="1946" spans="1:18" x14ac:dyDescent="0.15">
      <c r="A1946" s="59">
        <v>43729.75</v>
      </c>
      <c r="B1946">
        <v>32.174278000000001</v>
      </c>
      <c r="C1946">
        <v>265.49896200000001</v>
      </c>
      <c r="D1946">
        <v>96.201537999999999</v>
      </c>
      <c r="E1946">
        <v>86.991996999999998</v>
      </c>
      <c r="F1946">
        <v>1460.150024</v>
      </c>
      <c r="H1946" s="50">
        <f t="shared" si="249"/>
        <v>-1.2662086801676162E-3</v>
      </c>
      <c r="I1946" s="50">
        <f t="shared" si="250"/>
        <v>8.0785375758491568E-3</v>
      </c>
      <c r="J1946" s="50">
        <f t="shared" si="251"/>
        <v>1.6017771837950685E-3</v>
      </c>
      <c r="K1946" s="50">
        <f t="shared" si="252"/>
        <v>8.3398302858944829E-3</v>
      </c>
      <c r="L1946" s="50">
        <f t="shared" si="253"/>
        <v>2.2376493533728297E-3</v>
      </c>
      <c r="P1946" s="50">
        <f t="shared" si="248"/>
        <v>2.2376493533728297E-3</v>
      </c>
      <c r="Q1946" s="51">
        <f t="shared" si="254"/>
        <v>81.546996462873309</v>
      </c>
      <c r="R1946" s="51">
        <f t="shared" si="255"/>
        <v>27.628377887379319</v>
      </c>
    </row>
    <row r="1947" spans="1:18" x14ac:dyDescent="0.15">
      <c r="A1947" s="59">
        <v>43732.75</v>
      </c>
      <c r="B1947">
        <v>32.215069</v>
      </c>
      <c r="C1947">
        <v>263.371307</v>
      </c>
      <c r="D1947">
        <v>96.047691</v>
      </c>
      <c r="E1947">
        <v>86.272498999999996</v>
      </c>
      <c r="F1947">
        <v>1456.8900149999999</v>
      </c>
      <c r="H1947" s="50">
        <f t="shared" si="249"/>
        <v>-1.9382154142048938E-3</v>
      </c>
      <c r="I1947" s="50">
        <f t="shared" si="250"/>
        <v>-7.497234547988639E-3</v>
      </c>
      <c r="J1947" s="50">
        <f t="shared" si="251"/>
        <v>-7.3893347109164733E-3</v>
      </c>
      <c r="K1947" s="50">
        <f t="shared" si="252"/>
        <v>-6.0256924373800246E-3</v>
      </c>
      <c r="L1947" s="50">
        <f t="shared" si="253"/>
        <v>1.061331540927217E-2</v>
      </c>
      <c r="P1947" s="50">
        <f t="shared" si="248"/>
        <v>1.061331540927217E-2</v>
      </c>
      <c r="Q1947" s="51">
        <f t="shared" si="254"/>
        <v>82.412480457012592</v>
      </c>
      <c r="R1947" s="51">
        <f t="shared" si="255"/>
        <v>27.57482813948852</v>
      </c>
    </row>
    <row r="1948" spans="1:18" x14ac:dyDescent="0.15">
      <c r="A1948" s="59">
        <v>43733.75</v>
      </c>
      <c r="B1948">
        <v>32.277630000000002</v>
      </c>
      <c r="C1948">
        <v>265.36077899999998</v>
      </c>
      <c r="D1948">
        <v>96.762703000000002</v>
      </c>
      <c r="E1948">
        <v>86.795501999999999</v>
      </c>
      <c r="F1948">
        <v>1441.589966</v>
      </c>
      <c r="H1948" s="50">
        <f t="shared" si="249"/>
        <v>7.0432686007811402E-3</v>
      </c>
      <c r="I1948" s="50">
        <f t="shared" si="250"/>
        <v>1.4722169782275118E-2</v>
      </c>
      <c r="J1948" s="50">
        <f t="shared" si="251"/>
        <v>9.1560940546838061E-3</v>
      </c>
      <c r="K1948" s="50">
        <f t="shared" si="252"/>
        <v>1.4981130815765157E-4</v>
      </c>
      <c r="L1948" s="50">
        <f t="shared" si="253"/>
        <v>5.7698352856103566E-3</v>
      </c>
      <c r="P1948" s="50">
        <f t="shared" si="248"/>
        <v>5.7698352856103566E-3</v>
      </c>
      <c r="Q1948" s="51">
        <f t="shared" si="254"/>
        <v>82.887986894728144</v>
      </c>
      <c r="R1948" s="51">
        <f t="shared" si="255"/>
        <v>27.769045060695316</v>
      </c>
    </row>
    <row r="1949" spans="1:18" x14ac:dyDescent="0.15">
      <c r="A1949" s="59">
        <v>43734.75</v>
      </c>
      <c r="B1949">
        <v>32.051879999999997</v>
      </c>
      <c r="C1949">
        <v>261.51077299999997</v>
      </c>
      <c r="D1949">
        <v>95.884772999999996</v>
      </c>
      <c r="E1949">
        <v>86.782500999999996</v>
      </c>
      <c r="F1949">
        <v>1433.3199460000001</v>
      </c>
      <c r="H1949" s="50">
        <f t="shared" si="249"/>
        <v>1.4898115430495549E-2</v>
      </c>
      <c r="I1949" s="50">
        <f t="shared" si="250"/>
        <v>-4.1388531060064463E-3</v>
      </c>
      <c r="J1949" s="50">
        <f t="shared" si="251"/>
        <v>7.4172286877719632E-3</v>
      </c>
      <c r="K1949" s="50">
        <f t="shared" si="252"/>
        <v>1.3086415870448285E-2</v>
      </c>
      <c r="L1949" s="50">
        <f t="shared" si="253"/>
        <v>-9.556768662984147E-3</v>
      </c>
      <c r="P1949" s="50">
        <f t="shared" si="248"/>
        <v>-9.556768662984147E-3</v>
      </c>
      <c r="Q1949" s="51">
        <f t="shared" si="254"/>
        <v>82.095845579034759</v>
      </c>
      <c r="R1949" s="51">
        <f t="shared" si="255"/>
        <v>28.182751499404183</v>
      </c>
    </row>
    <row r="1950" spans="1:18" x14ac:dyDescent="0.15">
      <c r="A1950" s="59">
        <v>43735.75</v>
      </c>
      <c r="B1950">
        <v>31.581377</v>
      </c>
      <c r="C1950">
        <v>262.59762599999999</v>
      </c>
      <c r="D1950">
        <v>95.178809999999999</v>
      </c>
      <c r="E1950">
        <v>85.661499000000006</v>
      </c>
      <c r="F1950">
        <v>1447.150024</v>
      </c>
      <c r="H1950" s="50">
        <f t="shared" si="249"/>
        <v>-1.6336077330253421E-3</v>
      </c>
      <c r="I1950" s="50">
        <f t="shared" si="250"/>
        <v>-1.3460020838497568E-2</v>
      </c>
      <c r="J1950" s="50">
        <f t="shared" si="251"/>
        <v>-1.3693346878449093E-2</v>
      </c>
      <c r="K1950" s="50">
        <f t="shared" si="252"/>
        <v>-6.4891614979046093E-3</v>
      </c>
      <c r="L1950" s="50">
        <f t="shared" si="253"/>
        <v>4.4978932039209316E-3</v>
      </c>
      <c r="P1950" s="50">
        <f t="shared" si="248"/>
        <v>4.4978932039209316E-3</v>
      </c>
      <c r="Q1950" s="51">
        <f t="shared" si="254"/>
        <v>82.465103924934851</v>
      </c>
      <c r="R1950" s="51">
        <f t="shared" si="255"/>
        <v>28.136711938616823</v>
      </c>
    </row>
    <row r="1951" spans="1:18" x14ac:dyDescent="0.15">
      <c r="A1951" s="59">
        <v>43736.75</v>
      </c>
      <c r="B1951">
        <v>31.633053</v>
      </c>
      <c r="C1951">
        <v>266.18042000000003</v>
      </c>
      <c r="D1951">
        <v>96.500220999999996</v>
      </c>
      <c r="E1951">
        <v>86.221001000000001</v>
      </c>
      <c r="F1951">
        <v>1440.670044</v>
      </c>
      <c r="H1951" s="50">
        <f t="shared" si="249"/>
        <v>-1.5656459856849277E-2</v>
      </c>
      <c r="I1951" s="50">
        <f t="shared" si="250"/>
        <v>-9.1543747109138398E-3</v>
      </c>
      <c r="J1951" s="50">
        <f t="shared" si="251"/>
        <v>-2.2731378120698965E-2</v>
      </c>
      <c r="K1951" s="50">
        <f t="shared" si="252"/>
        <v>-8.7546002645268427E-3</v>
      </c>
      <c r="L1951" s="50">
        <f t="shared" si="253"/>
        <v>-2.6444946150163853E-3</v>
      </c>
      <c r="P1951" s="50">
        <f t="shared" si="248"/>
        <v>-2.6444946150163853E-3</v>
      </c>
      <c r="Q1951" s="51">
        <f t="shared" si="254"/>
        <v>82.247025401678599</v>
      </c>
      <c r="R1951" s="51">
        <f t="shared" si="255"/>
        <v>27.696190637646136</v>
      </c>
    </row>
    <row r="1952" spans="1:18" x14ac:dyDescent="0.15">
      <c r="A1952" s="59">
        <v>43739.75</v>
      </c>
      <c r="B1952">
        <v>32.136192000000001</v>
      </c>
      <c r="C1952">
        <v>268.63964800000002</v>
      </c>
      <c r="D1952">
        <v>98.744827000000001</v>
      </c>
      <c r="E1952">
        <v>86.982498000000007</v>
      </c>
      <c r="F1952">
        <v>1444.48999</v>
      </c>
      <c r="H1952" s="50">
        <f t="shared" si="249"/>
        <v>7.9329709760259399E-3</v>
      </c>
      <c r="I1952" s="50">
        <f t="shared" si="250"/>
        <v>-5.9301245077849288E-3</v>
      </c>
      <c r="J1952" s="50">
        <f t="shared" si="251"/>
        <v>1.0652994130116746E-2</v>
      </c>
      <c r="K1952" s="50">
        <f t="shared" si="252"/>
        <v>4.0342016079022974E-3</v>
      </c>
      <c r="L1952" s="50">
        <f t="shared" si="253"/>
        <v>-8.7152688915785278E-4</v>
      </c>
      <c r="P1952" s="50">
        <f t="shared" si="248"/>
        <v>-8.7152688915785278E-4</v>
      </c>
      <c r="Q1952" s="51">
        <f t="shared" si="254"/>
        <v>82.175344907487784</v>
      </c>
      <c r="R1952" s="51">
        <f t="shared" si="255"/>
        <v>27.915903714121061</v>
      </c>
    </row>
    <row r="1953" spans="1:18" x14ac:dyDescent="0.15">
      <c r="A1953" s="59">
        <v>43740.75</v>
      </c>
      <c r="B1953">
        <v>31.883262999999999</v>
      </c>
      <c r="C1953">
        <v>270.24221799999998</v>
      </c>
      <c r="D1953">
        <v>97.703986999999998</v>
      </c>
      <c r="E1953">
        <v>86.633003000000002</v>
      </c>
      <c r="F1953">
        <v>1445.75</v>
      </c>
      <c r="H1953" s="50">
        <f t="shared" si="249"/>
        <v>-2.9764424130066741E-3</v>
      </c>
      <c r="I1953" s="50">
        <f t="shared" si="250"/>
        <v>5.2071490114673664E-3</v>
      </c>
      <c r="J1953" s="50">
        <f t="shared" si="251"/>
        <v>-5.2525004432147438E-3</v>
      </c>
      <c r="K1953" s="50">
        <f t="shared" si="252"/>
        <v>1.5919062893295137E-2</v>
      </c>
      <c r="L1953" s="50">
        <f t="shared" si="253"/>
        <v>-3.6113205715499349E-3</v>
      </c>
      <c r="P1953" s="50">
        <f t="shared" si="248"/>
        <v>-3.6113205715499349E-3</v>
      </c>
      <c r="Q1953" s="51">
        <f t="shared" si="254"/>
        <v>81.878583393949171</v>
      </c>
      <c r="R1953" s="51">
        <f t="shared" si="255"/>
        <v>27.832813634308941</v>
      </c>
    </row>
    <row r="1954" spans="1:18" x14ac:dyDescent="0.15">
      <c r="A1954" s="59">
        <v>43741.75</v>
      </c>
      <c r="B1954">
        <v>31.978445000000001</v>
      </c>
      <c r="C1954">
        <v>268.84231599999998</v>
      </c>
      <c r="D1954">
        <v>98.219887</v>
      </c>
      <c r="E1954">
        <v>85.275497000000001</v>
      </c>
      <c r="F1954">
        <v>1450.98999</v>
      </c>
      <c r="H1954" s="50">
        <f t="shared" si="249"/>
        <v>-1.1351461395926512E-2</v>
      </c>
      <c r="I1954" s="50">
        <f t="shared" si="250"/>
        <v>-1.6874370096861397E-2</v>
      </c>
      <c r="J1954" s="50">
        <f t="shared" si="251"/>
        <v>-1.6672653704117368E-2</v>
      </c>
      <c r="K1954" s="50">
        <f t="shared" si="252"/>
        <v>-9.5703920613803908E-3</v>
      </c>
      <c r="L1954" s="50">
        <f t="shared" si="253"/>
        <v>-7.1233295668811317E-3</v>
      </c>
      <c r="P1954" s="50">
        <f t="shared" si="248"/>
        <v>-7.1233295668811317E-3</v>
      </c>
      <c r="Q1954" s="51">
        <f t="shared" si="254"/>
        <v>81.295335259964716</v>
      </c>
      <c r="R1954" s="51">
        <f t="shared" si="255"/>
        <v>27.516870524799067</v>
      </c>
    </row>
    <row r="1955" spans="1:18" x14ac:dyDescent="0.15">
      <c r="A1955" s="59">
        <v>43742.75</v>
      </c>
      <c r="B1955">
        <v>32.345615000000002</v>
      </c>
      <c r="C1955">
        <v>273.456726</v>
      </c>
      <c r="D1955">
        <v>99.885238999999999</v>
      </c>
      <c r="E1955">
        <v>86.099502999999999</v>
      </c>
      <c r="F1955">
        <v>1461.400024</v>
      </c>
      <c r="H1955" s="50">
        <f t="shared" si="249"/>
        <v>-5.6852694819885981E-3</v>
      </c>
      <c r="I1955" s="50">
        <f t="shared" si="250"/>
        <v>-8.0788423100079199E-4</v>
      </c>
      <c r="J1955" s="50">
        <f t="shared" si="251"/>
        <v>-1.8993494669619657E-3</v>
      </c>
      <c r="K1955" s="50">
        <f t="shared" si="252"/>
        <v>1.0056968132723348E-3</v>
      </c>
      <c r="L1955" s="50">
        <f t="shared" si="253"/>
        <v>3.2169233476533231E-4</v>
      </c>
      <c r="P1955" s="50">
        <f t="shared" si="248"/>
        <v>3.2169233476533231E-4</v>
      </c>
      <c r="Q1955" s="51">
        <f t="shared" si="254"/>
        <v>81.321487346170017</v>
      </c>
      <c r="R1955" s="51">
        <f t="shared" si="255"/>
        <v>27.360429700564598</v>
      </c>
    </row>
    <row r="1956" spans="1:18" x14ac:dyDescent="0.15">
      <c r="A1956" s="59">
        <v>43743.75</v>
      </c>
      <c r="B1956">
        <v>32.530560000000001</v>
      </c>
      <c r="C1956">
        <v>273.67782599999998</v>
      </c>
      <c r="D1956">
        <v>100.075317</v>
      </c>
      <c r="E1956">
        <v>86.013000000000005</v>
      </c>
      <c r="F1956">
        <v>1460.9300539999999</v>
      </c>
      <c r="H1956" s="50">
        <f t="shared" si="249"/>
        <v>-5.2394509187539779E-3</v>
      </c>
      <c r="I1956" s="50">
        <f t="shared" si="250"/>
        <v>-1.545355056728841E-3</v>
      </c>
      <c r="J1956" s="50">
        <f t="shared" si="251"/>
        <v>-1.1267142086186998E-2</v>
      </c>
      <c r="K1956" s="50">
        <f t="shared" si="252"/>
        <v>-6.7324240526995685E-3</v>
      </c>
      <c r="L1956" s="50">
        <f t="shared" si="253"/>
        <v>3.4687261193617016E-3</v>
      </c>
      <c r="P1956" s="50">
        <f t="shared" si="248"/>
        <v>3.4687261193617016E-3</v>
      </c>
      <c r="Q1956" s="51">
        <f t="shared" si="254"/>
        <v>81.603569313393024</v>
      </c>
      <c r="R1956" s="51">
        <f t="shared" si="255"/>
        <v>27.217076072032469</v>
      </c>
    </row>
    <row r="1957" spans="1:18" x14ac:dyDescent="0.15">
      <c r="A1957" s="59">
        <v>43746.75</v>
      </c>
      <c r="B1957">
        <v>32.701900000000002</v>
      </c>
      <c r="C1957">
        <v>274.10140999999999</v>
      </c>
      <c r="D1957">
        <v>101.215729</v>
      </c>
      <c r="E1957">
        <v>86.596001000000001</v>
      </c>
      <c r="F1957">
        <v>1455.880005</v>
      </c>
      <c r="H1957" s="50">
        <f t="shared" si="249"/>
        <v>8.9785854732310055E-3</v>
      </c>
      <c r="I1957" s="50">
        <f t="shared" si="250"/>
        <v>2.6906406049590826E-4</v>
      </c>
      <c r="J1957" s="50">
        <f t="shared" si="251"/>
        <v>6.1179062886373599E-3</v>
      </c>
      <c r="K1957" s="50">
        <f t="shared" si="252"/>
        <v>-2.5973058770936718E-3</v>
      </c>
      <c r="L1957" s="50">
        <f t="shared" si="253"/>
        <v>9.9897502565383621E-3</v>
      </c>
      <c r="P1957" s="50">
        <f t="shared" si="248"/>
        <v>9.9897502565383621E-3</v>
      </c>
      <c r="Q1957" s="51">
        <f t="shared" si="254"/>
        <v>82.418768590875928</v>
      </c>
      <c r="R1957" s="51">
        <f t="shared" si="255"/>
        <v>27.461446915876643</v>
      </c>
    </row>
    <row r="1958" spans="1:18" x14ac:dyDescent="0.15">
      <c r="A1958" s="59">
        <v>43747.75</v>
      </c>
      <c r="B1958">
        <v>32.410896000000001</v>
      </c>
      <c r="C1958">
        <v>274.02767899999998</v>
      </c>
      <c r="D1958">
        <v>100.600266</v>
      </c>
      <c r="E1958">
        <v>86.821503000000007</v>
      </c>
      <c r="F1958">
        <v>1441.4799800000001</v>
      </c>
      <c r="H1958" s="50">
        <f t="shared" si="249"/>
        <v>-3.0116459847287893E-3</v>
      </c>
      <c r="I1958" s="50">
        <f t="shared" si="250"/>
        <v>-2.9159651745867205E-3</v>
      </c>
      <c r="J1958" s="50">
        <f t="shared" si="251"/>
        <v>-6.6136153000136361E-3</v>
      </c>
      <c r="K1958" s="50">
        <f t="shared" si="252"/>
        <v>-1.7511796528925413E-2</v>
      </c>
      <c r="L1958" s="50">
        <f t="shared" si="253"/>
        <v>6.2265598876369054E-3</v>
      </c>
      <c r="P1958" s="50">
        <f t="shared" si="248"/>
        <v>6.2265598876369054E-3</v>
      </c>
      <c r="Q1958" s="51">
        <f t="shared" si="254"/>
        <v>82.931953989372317</v>
      </c>
      <c r="R1958" s="51">
        <f t="shared" si="255"/>
        <v>27.378742759537598</v>
      </c>
    </row>
    <row r="1959" spans="1:18" x14ac:dyDescent="0.15">
      <c r="A1959" s="59">
        <v>43748.75</v>
      </c>
      <c r="B1959">
        <v>32.508800999999998</v>
      </c>
      <c r="C1959">
        <v>274.829071</v>
      </c>
      <c r="D1959">
        <v>101.270027</v>
      </c>
      <c r="E1959">
        <v>88.369003000000006</v>
      </c>
      <c r="F1959">
        <v>1432.5600589999999</v>
      </c>
      <c r="H1959" s="50">
        <f t="shared" si="249"/>
        <v>9.2096746289554239E-4</v>
      </c>
      <c r="I1959" s="50">
        <f t="shared" si="250"/>
        <v>-1.3050377791995267E-3</v>
      </c>
      <c r="J1959" s="50">
        <f t="shared" si="251"/>
        <v>-2.6740088170803178E-3</v>
      </c>
      <c r="K1959" s="50">
        <f t="shared" si="252"/>
        <v>-5.6541749751984165E-3</v>
      </c>
      <c r="L1959" s="50">
        <f t="shared" si="253"/>
        <v>-1.9535119527793366E-4</v>
      </c>
      <c r="P1959" s="50">
        <f t="shared" si="248"/>
        <v>-1.9535119527793366E-4</v>
      </c>
      <c r="Q1959" s="51">
        <f t="shared" si="254"/>
        <v>82.91575313303376</v>
      </c>
      <c r="R1959" s="51">
        <f t="shared" si="255"/>
        <v>27.403957690794122</v>
      </c>
    </row>
    <row r="1960" spans="1:18" x14ac:dyDescent="0.15">
      <c r="A1960" s="59">
        <v>43749.75</v>
      </c>
      <c r="B1960">
        <v>32.478889000000002</v>
      </c>
      <c r="C1960">
        <v>275.18820199999999</v>
      </c>
      <c r="D1960">
        <v>101.54155</v>
      </c>
      <c r="E1960">
        <v>88.871498000000003</v>
      </c>
      <c r="F1960">
        <v>1432.839966</v>
      </c>
      <c r="H1960" s="50">
        <f t="shared" si="249"/>
        <v>-3.5044217475539382E-3</v>
      </c>
      <c r="I1960" s="50">
        <f t="shared" si="250"/>
        <v>-1.1971022797448301E-2</v>
      </c>
      <c r="J1960" s="50">
        <f t="shared" si="251"/>
        <v>-9.1848644203764082E-3</v>
      </c>
      <c r="K1960" s="50">
        <f t="shared" si="252"/>
        <v>-5.6224740347028254E-3</v>
      </c>
      <c r="L1960" s="50">
        <f t="shared" si="253"/>
        <v>2.9749613963059294E-3</v>
      </c>
      <c r="P1960" s="50">
        <f t="shared" si="248"/>
        <v>2.9749613963059294E-3</v>
      </c>
      <c r="Q1960" s="51">
        <f t="shared" si="254"/>
        <v>83.162424297750164</v>
      </c>
      <c r="R1960" s="51">
        <f t="shared" si="255"/>
        <v>27.307922665493454</v>
      </c>
    </row>
    <row r="1961" spans="1:18" x14ac:dyDescent="0.15">
      <c r="A1961" s="59">
        <v>43750.75</v>
      </c>
      <c r="B1961">
        <v>32.593108999999998</v>
      </c>
      <c r="C1961">
        <v>278.5224</v>
      </c>
      <c r="D1961">
        <v>102.48284099999999</v>
      </c>
      <c r="E1961">
        <v>89.374001000000007</v>
      </c>
      <c r="F1961">
        <v>1428.589966</v>
      </c>
      <c r="H1961" s="50">
        <f t="shared" si="249"/>
        <v>5.8751827044732806E-3</v>
      </c>
      <c r="I1961" s="50">
        <f t="shared" si="250"/>
        <v>-1.5189529120007916E-3</v>
      </c>
      <c r="J1961" s="50">
        <f t="shared" si="251"/>
        <v>3.7232025184995975E-3</v>
      </c>
      <c r="K1961" s="50">
        <f t="shared" si="252"/>
        <v>1.7052499636303654E-2</v>
      </c>
      <c r="L1961" s="50">
        <f t="shared" si="253"/>
        <v>-8.0131925311840019E-3</v>
      </c>
      <c r="P1961" s="50">
        <f t="shared" si="248"/>
        <v>-8.0131925311840019E-3</v>
      </c>
      <c r="Q1961" s="51">
        <f t="shared" si="254"/>
        <v>82.49602778049227</v>
      </c>
      <c r="R1961" s="51">
        <f t="shared" si="255"/>
        <v>27.468361700432851</v>
      </c>
    </row>
    <row r="1962" spans="1:18" x14ac:dyDescent="0.15">
      <c r="A1962" s="59">
        <v>43753.75</v>
      </c>
      <c r="B1962">
        <v>32.402737000000002</v>
      </c>
      <c r="C1962">
        <v>278.94610599999999</v>
      </c>
      <c r="D1962">
        <v>102.102692</v>
      </c>
      <c r="E1962">
        <v>87.875504000000006</v>
      </c>
      <c r="F1962">
        <v>1440.130005</v>
      </c>
      <c r="H1962" s="50">
        <f t="shared" si="249"/>
        <v>-5.0107907291298088E-3</v>
      </c>
      <c r="I1962" s="50">
        <f t="shared" si="250"/>
        <v>5.9118801968226983E-3</v>
      </c>
      <c r="J1962" s="50">
        <f t="shared" si="251"/>
        <v>-7.6531831347980625E-3</v>
      </c>
      <c r="K1962" s="50">
        <f t="shared" si="252"/>
        <v>-1.5764401367485324E-2</v>
      </c>
      <c r="L1962" s="50">
        <f t="shared" si="253"/>
        <v>-1.0165533880018481E-2</v>
      </c>
      <c r="P1962" s="50">
        <f t="shared" si="248"/>
        <v>-1.0165533880018481E-2</v>
      </c>
      <c r="Q1962" s="51">
        <f t="shared" si="254"/>
        <v>81.657411615122726</v>
      </c>
      <c r="R1962" s="51">
        <f t="shared" si="255"/>
        <v>27.330723488279936</v>
      </c>
    </row>
    <row r="1963" spans="1:18" x14ac:dyDescent="0.15">
      <c r="A1963" s="59">
        <v>43754.75</v>
      </c>
      <c r="B1963">
        <v>32.565918000000003</v>
      </c>
      <c r="C1963">
        <v>277.30670199999997</v>
      </c>
      <c r="D1963">
        <v>102.890129</v>
      </c>
      <c r="E1963">
        <v>89.282996999999995</v>
      </c>
      <c r="F1963">
        <v>1454.920044</v>
      </c>
      <c r="H1963" s="50">
        <f t="shared" si="249"/>
        <v>1.3379699729454755E-3</v>
      </c>
      <c r="I1963" s="50">
        <f t="shared" si="250"/>
        <v>3.7005359790580781E-3</v>
      </c>
      <c r="J1963" s="50">
        <f t="shared" si="251"/>
        <v>4.3290539800274527E-3</v>
      </c>
      <c r="K1963" s="50">
        <f t="shared" si="252"/>
        <v>1.1287093851121996E-2</v>
      </c>
      <c r="L1963" s="50">
        <f t="shared" si="253"/>
        <v>-4.1001771913355438E-3</v>
      </c>
      <c r="P1963" s="50">
        <f t="shared" si="248"/>
        <v>-4.1001771913355438E-3</v>
      </c>
      <c r="Q1963" s="51">
        <f t="shared" si="254"/>
        <v>81.322601758514892</v>
      </c>
      <c r="R1963" s="51">
        <f t="shared" si="255"/>
        <v>27.36729117564613</v>
      </c>
    </row>
    <row r="1964" spans="1:18" x14ac:dyDescent="0.15">
      <c r="A1964" s="59">
        <v>43755.75</v>
      </c>
      <c r="B1964">
        <v>32.522404000000002</v>
      </c>
      <c r="C1964">
        <v>276.28430200000003</v>
      </c>
      <c r="D1964">
        <v>102.44663199999999</v>
      </c>
      <c r="E1964">
        <v>88.286499000000006</v>
      </c>
      <c r="F1964">
        <v>1460.910034</v>
      </c>
      <c r="H1964" s="50">
        <f t="shared" si="249"/>
        <v>1.9271191949438663E-3</v>
      </c>
      <c r="I1964" s="50">
        <f t="shared" si="250"/>
        <v>8.912880542488762E-3</v>
      </c>
      <c r="J1964" s="50">
        <f t="shared" si="251"/>
        <v>1.6433154018179602E-2</v>
      </c>
      <c r="K1964" s="50">
        <f t="shared" si="252"/>
        <v>2.0202478085599527E-3</v>
      </c>
      <c r="L1964" s="50">
        <f t="shared" si="253"/>
        <v>2.4497152917577997E-3</v>
      </c>
      <c r="P1964" s="50">
        <f t="shared" si="248"/>
        <v>2.4497152917577997E-3</v>
      </c>
      <c r="Q1964" s="51">
        <f t="shared" si="254"/>
        <v>81.521818979608256</v>
      </c>
      <c r="R1964" s="51">
        <f t="shared" si="255"/>
        <v>27.420031207784337</v>
      </c>
    </row>
    <row r="1965" spans="1:18" x14ac:dyDescent="0.15">
      <c r="A1965" s="59">
        <v>43756.75</v>
      </c>
      <c r="B1965">
        <v>32.459850000000003</v>
      </c>
      <c r="C1965">
        <v>273.84356700000001</v>
      </c>
      <c r="D1965">
        <v>100.790329</v>
      </c>
      <c r="E1965">
        <v>88.108497999999997</v>
      </c>
      <c r="F1965">
        <v>1457.339966</v>
      </c>
      <c r="H1965" s="50">
        <f t="shared" si="249"/>
        <v>2.0992934951231546E-3</v>
      </c>
      <c r="I1965" s="50">
        <f t="shared" si="250"/>
        <v>9.0907413245925781E-4</v>
      </c>
      <c r="J1965" s="50">
        <f t="shared" si="251"/>
        <v>1.0068118494964353E-2</v>
      </c>
      <c r="K1965" s="50">
        <f t="shared" si="252"/>
        <v>-1.0450510333106743E-2</v>
      </c>
      <c r="L1965" s="50">
        <f t="shared" si="253"/>
        <v>1.6850540398817879E-2</v>
      </c>
      <c r="P1965" s="50">
        <f t="shared" si="248"/>
        <v>1.6850540398817879E-2</v>
      </c>
      <c r="Q1965" s="51">
        <f t="shared" si="254"/>
        <v>82.895505683709274</v>
      </c>
      <c r="R1965" s="51">
        <f t="shared" si="255"/>
        <v>27.477593900934913</v>
      </c>
    </row>
    <row r="1966" spans="1:18" x14ac:dyDescent="0.15">
      <c r="A1966" s="59">
        <v>43757.75</v>
      </c>
      <c r="B1966">
        <v>32.391849999999998</v>
      </c>
      <c r="C1966">
        <v>273.59484900000001</v>
      </c>
      <c r="D1966">
        <v>99.785674999999998</v>
      </c>
      <c r="E1966">
        <v>89.039000999999999</v>
      </c>
      <c r="F1966">
        <v>1433.1899410000001</v>
      </c>
      <c r="H1966" s="50">
        <f t="shared" si="249"/>
        <v>5.0383718719976842E-4</v>
      </c>
      <c r="I1966" s="50">
        <f t="shared" si="250"/>
        <v>1.8548248555985297E-3</v>
      </c>
      <c r="J1966" s="50">
        <f t="shared" si="251"/>
        <v>1.1282290987398779E-2</v>
      </c>
      <c r="K1966" s="50">
        <f t="shared" si="252"/>
        <v>1.1042825842808048E-2</v>
      </c>
      <c r="L1966" s="50">
        <f t="shared" si="253"/>
        <v>-4.3938920068558094E-4</v>
      </c>
      <c r="P1966" s="50">
        <f t="shared" si="248"/>
        <v>-4.3938920068558094E-4</v>
      </c>
      <c r="Q1966" s="51">
        <f t="shared" si="254"/>
        <v>82.859082293726487</v>
      </c>
      <c r="R1966" s="51">
        <f t="shared" si="255"/>
        <v>27.491438134556976</v>
      </c>
    </row>
    <row r="1967" spans="1:18" x14ac:dyDescent="0.15">
      <c r="A1967" s="59">
        <v>43760.75</v>
      </c>
      <c r="B1967">
        <v>32.375537999999999</v>
      </c>
      <c r="C1967">
        <v>273.08831800000002</v>
      </c>
      <c r="D1967">
        <v>98.672424000000007</v>
      </c>
      <c r="E1967">
        <v>88.066497999999996</v>
      </c>
      <c r="F1967">
        <v>1433.8199460000001</v>
      </c>
      <c r="H1967" s="50">
        <f t="shared" si="249"/>
        <v>-1.5096614632742337E-3</v>
      </c>
      <c r="I1967" s="50">
        <f t="shared" si="250"/>
        <v>-8.1620892424121867E-3</v>
      </c>
      <c r="J1967" s="50">
        <f t="shared" si="251"/>
        <v>-6.3798073302273849E-3</v>
      </c>
      <c r="K1967" s="50">
        <f t="shared" si="252"/>
        <v>-8.862831560214798E-3</v>
      </c>
      <c r="L1967" s="50">
        <f t="shared" si="253"/>
        <v>1.4655590307784868E-2</v>
      </c>
      <c r="P1967" s="50">
        <f t="shared" si="248"/>
        <v>1.4655590307784868E-2</v>
      </c>
      <c r="Q1967" s="51">
        <f t="shared" si="254"/>
        <v>84.073431057102383</v>
      </c>
      <c r="R1967" s="51">
        <f t="shared" si="255"/>
        <v>27.449935369835249</v>
      </c>
    </row>
    <row r="1968" spans="1:18" x14ac:dyDescent="0.15">
      <c r="A1968" s="59">
        <v>43761.75</v>
      </c>
      <c r="B1968">
        <v>32.424487999999997</v>
      </c>
      <c r="C1968">
        <v>275.33563199999998</v>
      </c>
      <c r="D1968">
        <v>99.305976999999999</v>
      </c>
      <c r="E1968">
        <v>88.853995999999995</v>
      </c>
      <c r="F1968">
        <v>1413.1099850000001</v>
      </c>
      <c r="H1968" s="50">
        <f t="shared" si="249"/>
        <v>1.7669564865869819E-2</v>
      </c>
      <c r="I1968" s="50">
        <f t="shared" si="250"/>
        <v>1.0410290186923375E-2</v>
      </c>
      <c r="J1968" s="50">
        <f t="shared" si="251"/>
        <v>1.4516779598165596E-2</v>
      </c>
      <c r="K1968" s="50">
        <f t="shared" si="252"/>
        <v>8.1521976536627367E-3</v>
      </c>
      <c r="L1968" s="50">
        <f t="shared" si="253"/>
        <v>3.0949316770186703E-3</v>
      </c>
      <c r="P1968" s="50">
        <f t="shared" si="248"/>
        <v>3.0949316770186703E-3</v>
      </c>
      <c r="Q1968" s="51">
        <f t="shared" si="254"/>
        <v>84.333632582076646</v>
      </c>
      <c r="R1968" s="51">
        <f t="shared" si="255"/>
        <v>27.934963783416485</v>
      </c>
    </row>
    <row r="1969" spans="1:18" x14ac:dyDescent="0.15">
      <c r="A1969" s="59">
        <v>43762.75</v>
      </c>
      <c r="B1969">
        <v>31.861509000000002</v>
      </c>
      <c r="C1969">
        <v>272.49883999999997</v>
      </c>
      <c r="D1969">
        <v>97.885002</v>
      </c>
      <c r="E1969">
        <v>88.135497999999998</v>
      </c>
      <c r="F1969">
        <v>1408.75</v>
      </c>
      <c r="H1969" s="50">
        <f t="shared" si="249"/>
        <v>-8.0439899512703E-3</v>
      </c>
      <c r="I1969" s="50">
        <f t="shared" si="250"/>
        <v>-1.3273755043917182E-2</v>
      </c>
      <c r="J1969" s="50">
        <f t="shared" si="251"/>
        <v>2.0385241603066112E-3</v>
      </c>
      <c r="K1969" s="50">
        <f t="shared" si="252"/>
        <v>-9.7078976716901324E-3</v>
      </c>
      <c r="L1969" s="50">
        <f t="shared" si="253"/>
        <v>-2.9865963796904971E-3</v>
      </c>
      <c r="P1969" s="50">
        <f t="shared" si="248"/>
        <v>-2.9865963796904971E-3</v>
      </c>
      <c r="Q1969" s="51">
        <f t="shared" si="254"/>
        <v>84.08176206032087</v>
      </c>
      <c r="R1969" s="51">
        <f t="shared" si="255"/>
        <v>27.710255215453582</v>
      </c>
    </row>
    <row r="1970" spans="1:18" x14ac:dyDescent="0.15">
      <c r="A1970" s="59">
        <v>43763.75</v>
      </c>
      <c r="B1970">
        <v>32.119880999999999</v>
      </c>
      <c r="C1970">
        <v>276.164581</v>
      </c>
      <c r="D1970">
        <v>97.685867000000002</v>
      </c>
      <c r="E1970">
        <v>88.999495999999994</v>
      </c>
      <c r="F1970">
        <v>1412.969971</v>
      </c>
      <c r="H1970" s="50">
        <f t="shared" si="249"/>
        <v>7.1635873017146801E-3</v>
      </c>
      <c r="I1970" s="50">
        <f t="shared" si="250"/>
        <v>7.0009874907362877E-3</v>
      </c>
      <c r="J1970" s="50">
        <f t="shared" si="251"/>
        <v>9.5404941302642179E-3</v>
      </c>
      <c r="K1970" s="50">
        <f t="shared" si="252"/>
        <v>1.874258439994091E-3</v>
      </c>
      <c r="L1970" s="50">
        <f t="shared" si="253"/>
        <v>7.2951403249516607E-4</v>
      </c>
      <c r="P1970" s="50">
        <f t="shared" si="248"/>
        <v>7.2951403249516607E-4</v>
      </c>
      <c r="Q1970" s="51">
        <f t="shared" si="254"/>
        <v>84.143100885620797</v>
      </c>
      <c r="R1970" s="51">
        <f t="shared" si="255"/>
        <v>27.908760047842279</v>
      </c>
    </row>
    <row r="1971" spans="1:18" x14ac:dyDescent="0.15">
      <c r="A1971" s="59">
        <v>43764.75</v>
      </c>
      <c r="B1971">
        <v>31.891424000000001</v>
      </c>
      <c r="C1971">
        <v>274.244598</v>
      </c>
      <c r="D1971">
        <v>96.762703000000002</v>
      </c>
      <c r="E1971">
        <v>88.832999999999998</v>
      </c>
      <c r="F1971">
        <v>1411.9399410000001</v>
      </c>
      <c r="H1971" s="50">
        <f t="shared" si="249"/>
        <v>-3.0607076721259289E-3</v>
      </c>
      <c r="I1971" s="50">
        <f t="shared" si="250"/>
        <v>3.444658280243425E-3</v>
      </c>
      <c r="J1971" s="50">
        <f t="shared" si="251"/>
        <v>-8.4399528634784594E-3</v>
      </c>
      <c r="K1971" s="50">
        <f t="shared" si="252"/>
        <v>-8.2503350182014674E-3</v>
      </c>
      <c r="L1971" s="50">
        <f t="shared" si="253"/>
        <v>-1.5585556502153931E-4</v>
      </c>
      <c r="P1971" s="50">
        <f t="shared" si="248"/>
        <v>-1.5585556502153931E-4</v>
      </c>
      <c r="Q1971" s="51">
        <f t="shared" si="254"/>
        <v>84.129986715089601</v>
      </c>
      <c r="R1971" s="51">
        <f t="shared" si="255"/>
        <v>27.823339491844326</v>
      </c>
    </row>
    <row r="1972" spans="1:18" x14ac:dyDescent="0.15">
      <c r="A1972" s="59">
        <v>43769.75</v>
      </c>
      <c r="B1972">
        <v>31.989333999999999</v>
      </c>
      <c r="C1972">
        <v>273.30316199999999</v>
      </c>
      <c r="D1972">
        <v>97.586326999999997</v>
      </c>
      <c r="E1972">
        <v>89.571999000000005</v>
      </c>
      <c r="F1972">
        <v>1412.160034</v>
      </c>
      <c r="H1972" s="50">
        <f t="shared" si="249"/>
        <v>4.2535381440662369E-4</v>
      </c>
      <c r="I1972" s="50">
        <f t="shared" si="250"/>
        <v>-2.4590978470017551E-3</v>
      </c>
      <c r="J1972" s="50">
        <f t="shared" si="251"/>
        <v>-8.7338819486927465E-3</v>
      </c>
      <c r="K1972" s="50">
        <f t="shared" si="252"/>
        <v>-7.325512676614636E-3</v>
      </c>
      <c r="L1972" s="50">
        <f t="shared" si="253"/>
        <v>-1.0808378012934288E-2</v>
      </c>
      <c r="P1972" s="50">
        <f t="shared" si="248"/>
        <v>-1.0808378012934288E-2</v>
      </c>
      <c r="Q1972" s="51">
        <f t="shared" si="254"/>
        <v>83.220678016449767</v>
      </c>
      <c r="R1972" s="51">
        <f t="shared" si="255"/>
        <v>27.835174255426711</v>
      </c>
    </row>
    <row r="1973" spans="1:18" x14ac:dyDescent="0.15">
      <c r="A1973" s="59">
        <v>43770.75</v>
      </c>
      <c r="B1973">
        <v>31.975733000000002</v>
      </c>
      <c r="C1973">
        <v>273.97689800000001</v>
      </c>
      <c r="D1973">
        <v>98.446144000000004</v>
      </c>
      <c r="E1973">
        <v>90.233001999999999</v>
      </c>
      <c r="F1973">
        <v>1427.589966</v>
      </c>
      <c r="H1973" s="50">
        <f t="shared" si="249"/>
        <v>-1.0853082615368888E-2</v>
      </c>
      <c r="I1973" s="50">
        <f t="shared" si="250"/>
        <v>-7.8883366295944661E-3</v>
      </c>
      <c r="J1973" s="50">
        <f t="shared" si="251"/>
        <v>-1.1720996333476735E-2</v>
      </c>
      <c r="K1973" s="50">
        <f t="shared" si="252"/>
        <v>1.6373222670466332E-3</v>
      </c>
      <c r="L1973" s="50">
        <f t="shared" si="253"/>
        <v>9.4682615358115986E-3</v>
      </c>
      <c r="P1973" s="50">
        <f t="shared" si="248"/>
        <v>9.4682615358115986E-3</v>
      </c>
      <c r="Q1973" s="51">
        <f t="shared" si="254"/>
        <v>84.008633161097094</v>
      </c>
      <c r="R1973" s="51">
        <f t="shared" si="255"/>
        <v>27.533076809619377</v>
      </c>
    </row>
    <row r="1974" spans="1:18" x14ac:dyDescent="0.15">
      <c r="A1974" s="59">
        <v>43771.75</v>
      </c>
      <c r="B1974">
        <v>32.326576000000003</v>
      </c>
      <c r="C1974">
        <v>276.155304</v>
      </c>
      <c r="D1974">
        <v>99.613715999999997</v>
      </c>
      <c r="E1974">
        <v>90.085503000000003</v>
      </c>
      <c r="F1974">
        <v>1414.1999510000001</v>
      </c>
      <c r="H1974" s="50">
        <f t="shared" si="249"/>
        <v>-5.3554956914223083E-3</v>
      </c>
      <c r="I1974" s="50">
        <f t="shared" si="250"/>
        <v>-7.925255035999168E-3</v>
      </c>
      <c r="J1974" s="50">
        <f t="shared" si="251"/>
        <v>-4.0720247119295895E-3</v>
      </c>
      <c r="K1974" s="50">
        <f t="shared" si="252"/>
        <v>3.3078290272769528E-3</v>
      </c>
      <c r="L1974" s="50">
        <f t="shared" si="253"/>
        <v>-2.159137334298955E-3</v>
      </c>
      <c r="P1974" s="50">
        <f t="shared" si="248"/>
        <v>-2.159137334298955E-3</v>
      </c>
      <c r="Q1974" s="51">
        <f t="shared" si="254"/>
        <v>83.82724698483554</v>
      </c>
      <c r="R1974" s="51">
        <f t="shared" si="255"/>
        <v>27.385623535393862</v>
      </c>
    </row>
    <row r="1975" spans="1:18" x14ac:dyDescent="0.15">
      <c r="A1975" s="59">
        <v>43774.75</v>
      </c>
      <c r="B1975">
        <v>32.500633000000001</v>
      </c>
      <c r="C1975">
        <v>278.36138899999997</v>
      </c>
      <c r="D1975">
        <v>100.021004</v>
      </c>
      <c r="E1975">
        <v>89.788498000000004</v>
      </c>
      <c r="F1975">
        <v>1417.26001</v>
      </c>
      <c r="H1975" s="50">
        <f t="shared" si="249"/>
        <v>-6.0719563587847162E-3</v>
      </c>
      <c r="I1975" s="50">
        <f t="shared" si="250"/>
        <v>-1.1926410409708814E-2</v>
      </c>
      <c r="J1975" s="50">
        <f t="shared" si="251"/>
        <v>-7.2342422049857108E-4</v>
      </c>
      <c r="K1975" s="50">
        <f t="shared" si="252"/>
        <v>4.2332399403539169E-3</v>
      </c>
      <c r="L1975" s="50">
        <f t="shared" si="253"/>
        <v>-7.7919930012952266E-3</v>
      </c>
      <c r="P1975" s="50">
        <f t="shared" si="248"/>
        <v>-7.7919930012952266E-3</v>
      </c>
      <c r="Q1975" s="51">
        <f t="shared" si="254"/>
        <v>83.174065663011859</v>
      </c>
      <c r="R1975" s="51">
        <f t="shared" si="255"/>
        <v>27.21933922442884</v>
      </c>
    </row>
    <row r="1976" spans="1:18" x14ac:dyDescent="0.15">
      <c r="A1976" s="59">
        <v>43775.75</v>
      </c>
      <c r="B1976">
        <v>32.699181000000003</v>
      </c>
      <c r="C1976">
        <v>281.72131300000001</v>
      </c>
      <c r="D1976">
        <v>100.093414</v>
      </c>
      <c r="E1976">
        <v>89.410004000000001</v>
      </c>
      <c r="F1976">
        <v>1428.3900149999999</v>
      </c>
      <c r="H1976" s="50">
        <f t="shared" si="249"/>
        <v>6.6142368617083695E-3</v>
      </c>
      <c r="I1976" s="50">
        <f t="shared" si="250"/>
        <v>8.5586246867230091E-3</v>
      </c>
      <c r="J1976" s="50">
        <f t="shared" si="251"/>
        <v>3.9946369316514949E-3</v>
      </c>
      <c r="K1976" s="50">
        <f t="shared" si="252"/>
        <v>1.2991354547801275E-3</v>
      </c>
      <c r="L1976" s="50">
        <f t="shared" si="253"/>
        <v>2.4280571444044489E-2</v>
      </c>
      <c r="P1976" s="50">
        <f t="shared" si="248"/>
        <v>2.4280571444044489E-2</v>
      </c>
      <c r="Q1976" s="51">
        <f t="shared" si="254"/>
        <v>85.193579506634251</v>
      </c>
      <c r="R1976" s="51">
        <f t="shared" si="255"/>
        <v>27.399374381278403</v>
      </c>
    </row>
    <row r="1977" spans="1:18" x14ac:dyDescent="0.15">
      <c r="A1977" s="59">
        <v>43776.75</v>
      </c>
      <c r="B1977">
        <v>32.484321999999999</v>
      </c>
      <c r="C1977">
        <v>279.33062699999999</v>
      </c>
      <c r="D1977">
        <v>99.695167999999995</v>
      </c>
      <c r="E1977">
        <v>89.293998999999999</v>
      </c>
      <c r="F1977">
        <v>1394.530029</v>
      </c>
      <c r="H1977" s="50">
        <f t="shared" si="249"/>
        <v>3.3600677153225993E-3</v>
      </c>
      <c r="I1977" s="50">
        <f t="shared" si="250"/>
        <v>5.916847015620336E-3</v>
      </c>
      <c r="J1977" s="50">
        <f t="shared" si="251"/>
        <v>-2.7162045504393723E-3</v>
      </c>
      <c r="K1977" s="50">
        <f t="shared" si="252"/>
        <v>8.0320833584087824E-3</v>
      </c>
      <c r="L1977" s="50">
        <f t="shared" si="253"/>
        <v>1.2355640885687682E-2</v>
      </c>
      <c r="P1977" s="50">
        <f t="shared" si="248"/>
        <v>1.2355640885687682E-2</v>
      </c>
      <c r="Q1977" s="51">
        <f t="shared" si="254"/>
        <v>86.246200780784505</v>
      </c>
      <c r="R1977" s="51">
        <f t="shared" si="255"/>
        <v>27.491438134556969</v>
      </c>
    </row>
    <row r="1978" spans="1:18" x14ac:dyDescent="0.15">
      <c r="A1978" s="59">
        <v>43777.75</v>
      </c>
      <c r="B1978">
        <v>32.375537999999999</v>
      </c>
      <c r="C1978">
        <v>277.687592</v>
      </c>
      <c r="D1978">
        <v>99.966697999999994</v>
      </c>
      <c r="E1978">
        <v>88.582497000000004</v>
      </c>
      <c r="F1978">
        <v>1377.51001</v>
      </c>
      <c r="H1978" s="50">
        <f t="shared" si="249"/>
        <v>-6.7138333704409197E-4</v>
      </c>
      <c r="I1978" s="50">
        <f t="shared" si="250"/>
        <v>1.1315924315511336E-3</v>
      </c>
      <c r="J1978" s="50">
        <f t="shared" si="251"/>
        <v>1.9381647773050594E-2</v>
      </c>
      <c r="K1978" s="50">
        <f t="shared" si="252"/>
        <v>-3.5714847340498038E-3</v>
      </c>
      <c r="L1978" s="50">
        <f t="shared" si="253"/>
        <v>-1.695811893103953E-3</v>
      </c>
      <c r="P1978" s="50">
        <f t="shared" si="248"/>
        <v>-1.695811893103953E-3</v>
      </c>
      <c r="Q1978" s="51">
        <f t="shared" si="254"/>
        <v>86.099943447765412</v>
      </c>
      <c r="R1978" s="51">
        <f t="shared" si="255"/>
        <v>27.472980841082048</v>
      </c>
    </row>
    <row r="1979" spans="1:18" x14ac:dyDescent="0.15">
      <c r="A1979" s="59">
        <v>43778.75</v>
      </c>
      <c r="B1979">
        <v>32.397289000000001</v>
      </c>
      <c r="C1979">
        <v>277.373718</v>
      </c>
      <c r="D1979">
        <v>98.066017000000002</v>
      </c>
      <c r="E1979">
        <v>88.900002000000001</v>
      </c>
      <c r="F1979">
        <v>1379.849976</v>
      </c>
      <c r="H1979" s="50">
        <f t="shared" si="249"/>
        <v>-1.5374541533396765E-2</v>
      </c>
      <c r="I1979" s="50">
        <f t="shared" si="250"/>
        <v>-7.9234227438545624E-3</v>
      </c>
      <c r="J1979" s="50">
        <f t="shared" si="251"/>
        <v>-2.1184703925571126E-3</v>
      </c>
      <c r="K1979" s="50">
        <f t="shared" si="252"/>
        <v>1.4197625609399878E-2</v>
      </c>
      <c r="L1979" s="50">
        <f t="shared" si="253"/>
        <v>-1.30470349352118E-4</v>
      </c>
      <c r="P1979" s="50">
        <f t="shared" si="248"/>
        <v>-1.30470349352118E-4</v>
      </c>
      <c r="Q1979" s="51">
        <f t="shared" si="254"/>
        <v>86.088709958064584</v>
      </c>
      <c r="R1979" s="51">
        <f t="shared" si="255"/>
        <v>27.050596356094619</v>
      </c>
    </row>
    <row r="1980" spans="1:18" x14ac:dyDescent="0.15">
      <c r="A1980" s="59">
        <v>43781.75</v>
      </c>
      <c r="B1980">
        <v>32.90316</v>
      </c>
      <c r="C1980">
        <v>279.58902</v>
      </c>
      <c r="D1980">
        <v>98.274208000000002</v>
      </c>
      <c r="E1980">
        <v>87.655501999999998</v>
      </c>
      <c r="F1980">
        <v>1380.030029</v>
      </c>
      <c r="H1980" s="50">
        <f t="shared" si="249"/>
        <v>2.7353455923073778E-3</v>
      </c>
      <c r="I1980" s="50">
        <f t="shared" si="250"/>
        <v>-5.5487578958474315E-3</v>
      </c>
      <c r="J1980" s="50">
        <f t="shared" si="251"/>
        <v>-2.2770044199490046E-2</v>
      </c>
      <c r="K1980" s="50">
        <f t="shared" si="252"/>
        <v>-8.4920776760942247E-4</v>
      </c>
      <c r="L1980" s="50">
        <f t="shared" si="253"/>
        <v>4.0013676558244187E-3</v>
      </c>
      <c r="P1980" s="50">
        <f t="shared" si="248"/>
        <v>4.0013676558244187E-3</v>
      </c>
      <c r="Q1980" s="51">
        <f t="shared" si="254"/>
        <v>86.433182537622429</v>
      </c>
      <c r="R1980" s="51">
        <f t="shared" si="255"/>
        <v>27.124589085606548</v>
      </c>
    </row>
    <row r="1981" spans="1:18" x14ac:dyDescent="0.15">
      <c r="A1981" s="59">
        <v>43782.75</v>
      </c>
      <c r="B1981">
        <v>32.813403999999998</v>
      </c>
      <c r="C1981">
        <v>281.14904799999999</v>
      </c>
      <c r="D1981">
        <v>100.56405599999999</v>
      </c>
      <c r="E1981">
        <v>87.730002999999996</v>
      </c>
      <c r="F1981">
        <v>1374.530029</v>
      </c>
      <c r="H1981" s="50">
        <f t="shared" si="249"/>
        <v>1.4974282149540129E-2</v>
      </c>
      <c r="I1981" s="50">
        <f t="shared" si="250"/>
        <v>3.0630756632465395E-3</v>
      </c>
      <c r="J1981" s="50">
        <f t="shared" si="251"/>
        <v>-1.8549754553644073E-2</v>
      </c>
      <c r="K1981" s="50">
        <f t="shared" si="252"/>
        <v>8.6864537759991315E-3</v>
      </c>
      <c r="L1981" s="50">
        <f t="shared" si="253"/>
        <v>1.4046609816720209E-2</v>
      </c>
      <c r="P1981" s="50">
        <f t="shared" si="248"/>
        <v>1.4046609816720209E-2</v>
      </c>
      <c r="Q1981" s="51">
        <f t="shared" si="254"/>
        <v>87.647275727945768</v>
      </c>
      <c r="R1981" s="51">
        <f t="shared" si="255"/>
        <v>27.530760335764761</v>
      </c>
    </row>
    <row r="1982" spans="1:18" x14ac:dyDescent="0.15">
      <c r="A1982" s="59">
        <v>43783.75</v>
      </c>
      <c r="B1982">
        <v>32.329295999999999</v>
      </c>
      <c r="C1982">
        <v>280.29049700000002</v>
      </c>
      <c r="D1982">
        <v>102.464752</v>
      </c>
      <c r="E1982">
        <v>86.974502999999999</v>
      </c>
      <c r="F1982">
        <v>1355.48999</v>
      </c>
      <c r="H1982" s="50">
        <f t="shared" si="249"/>
        <v>-1.1475965179591104E-2</v>
      </c>
      <c r="I1982" s="50">
        <f t="shared" si="250"/>
        <v>-2.8896405483113696E-3</v>
      </c>
      <c r="J1982" s="50">
        <f t="shared" si="251"/>
        <v>1.1164680485348766E-2</v>
      </c>
      <c r="K1982" s="50">
        <f t="shared" si="252"/>
        <v>-7.440671231624992E-3</v>
      </c>
      <c r="L1982" s="50">
        <f t="shared" si="253"/>
        <v>1.5960882195974948E-3</v>
      </c>
      <c r="P1982" s="50">
        <f t="shared" si="248"/>
        <v>1.5960882195974948E-3</v>
      </c>
      <c r="Q1982" s="51">
        <f t="shared" si="254"/>
        <v>87.787168512214961</v>
      </c>
      <c r="R1982" s="51">
        <f t="shared" si="255"/>
        <v>27.214818288783857</v>
      </c>
    </row>
    <row r="1983" spans="1:18" x14ac:dyDescent="0.15">
      <c r="A1983" s="59">
        <v>43784.75</v>
      </c>
      <c r="B1983">
        <v>32.704613000000002</v>
      </c>
      <c r="C1983">
        <v>281.10278299999999</v>
      </c>
      <c r="D1983">
        <v>101.33339700000001</v>
      </c>
      <c r="E1983">
        <v>87.626503</v>
      </c>
      <c r="F1983">
        <v>1353.329956</v>
      </c>
      <c r="H1983" s="50">
        <f t="shared" si="249"/>
        <v>3.0025722620458189E-3</v>
      </c>
      <c r="I1983" s="50">
        <f t="shared" si="250"/>
        <v>7.609819860898274E-3</v>
      </c>
      <c r="J1983" s="50">
        <f t="shared" si="251"/>
        <v>4.0596417790263175E-3</v>
      </c>
      <c r="K1983" s="50">
        <f t="shared" si="252"/>
        <v>-1.4833493521757224E-4</v>
      </c>
      <c r="L1983" s="50">
        <f t="shared" si="253"/>
        <v>-4.8166374797164145E-3</v>
      </c>
      <c r="P1983" s="50">
        <f t="shared" si="248"/>
        <v>-4.8166374797164145E-3</v>
      </c>
      <c r="Q1983" s="51">
        <f t="shared" si="254"/>
        <v>87.364329546120842</v>
      </c>
      <c r="R1983" s="51">
        <f t="shared" si="255"/>
        <v>27.296532747294378</v>
      </c>
    </row>
    <row r="1984" spans="1:18" x14ac:dyDescent="0.15">
      <c r="A1984" s="59">
        <v>43785.75</v>
      </c>
      <c r="B1984">
        <v>32.606709000000002</v>
      </c>
      <c r="C1984">
        <v>278.97979700000002</v>
      </c>
      <c r="D1984">
        <v>100.923683</v>
      </c>
      <c r="E1984">
        <v>87.639503000000005</v>
      </c>
      <c r="F1984">
        <v>1359.880005</v>
      </c>
      <c r="H1984" s="50">
        <f t="shared" si="249"/>
        <v>6.3797521018901697E-3</v>
      </c>
      <c r="I1984" s="50">
        <f t="shared" si="250"/>
        <v>5.5559837988370386E-3</v>
      </c>
      <c r="J1984" s="50">
        <f t="shared" si="251"/>
        <v>-0.12323012993972879</v>
      </c>
      <c r="K1984" s="50">
        <f t="shared" si="252"/>
        <v>4.1592640914540667E-3</v>
      </c>
      <c r="L1984" s="50">
        <f t="shared" si="253"/>
        <v>-1.9475235748957331E-2</v>
      </c>
      <c r="P1984" s="50">
        <f t="shared" si="248"/>
        <v>-1.9475235748957331E-2</v>
      </c>
      <c r="Q1984" s="51">
        <f t="shared" si="254"/>
        <v>85.662888632160531</v>
      </c>
      <c r="R1984" s="51">
        <f t="shared" si="255"/>
        <v>27.470677859463244</v>
      </c>
    </row>
    <row r="1985" spans="1:18" x14ac:dyDescent="0.15">
      <c r="A1985" s="59">
        <v>43788.75</v>
      </c>
      <c r="B1985">
        <v>32.400005</v>
      </c>
      <c r="C1985">
        <v>277.438354</v>
      </c>
      <c r="D1985">
        <v>115.108521</v>
      </c>
      <c r="E1985">
        <v>87.276497000000006</v>
      </c>
      <c r="F1985">
        <v>1386.8900149999999</v>
      </c>
      <c r="H1985" s="50">
        <f t="shared" si="249"/>
        <v>-6.0904558777086911E-3</v>
      </c>
      <c r="I1985" s="50">
        <f t="shared" si="250"/>
        <v>9.9922641827260945E-4</v>
      </c>
      <c r="J1985" s="50">
        <f t="shared" si="251"/>
        <v>-9.5574076713401453E-3</v>
      </c>
      <c r="K1985" s="50">
        <f t="shared" si="252"/>
        <v>6.2373540097431053E-3</v>
      </c>
      <c r="L1985" s="50">
        <f t="shared" si="253"/>
        <v>-6.6294662877923536E-4</v>
      </c>
      <c r="P1985" s="50">
        <f t="shared" ref="P1985:P2048" si="256">(F1985-F1986)/F1986</f>
        <v>-6.6294662877923536E-4</v>
      </c>
      <c r="Q1985" s="51">
        <f t="shared" si="254"/>
        <v>85.606098708930347</v>
      </c>
      <c r="R1985" s="51">
        <f t="shared" si="255"/>
        <v>27.303368908029434</v>
      </c>
    </row>
    <row r="1986" spans="1:18" x14ac:dyDescent="0.15">
      <c r="A1986" s="59">
        <v>43789.75</v>
      </c>
      <c r="B1986">
        <v>32.598545000000001</v>
      </c>
      <c r="C1986">
        <v>277.161407</v>
      </c>
      <c r="D1986">
        <v>116.21927599999999</v>
      </c>
      <c r="E1986">
        <v>86.735496999999995</v>
      </c>
      <c r="F1986">
        <v>1387.8100589999999</v>
      </c>
      <c r="H1986" s="50">
        <f t="shared" ref="H1986:H2049" si="257">(B1986-B1987)/B1987</f>
        <v>4.1888867493302508E-3</v>
      </c>
      <c r="I1986" s="50">
        <f t="shared" ref="I1986:I2049" si="258">(C1986-C1987)/C1987</f>
        <v>3.2070029719005397E-3</v>
      </c>
      <c r="J1986" s="50">
        <f t="shared" ref="J1986:J2049" si="259">(D1986-D1987)/D1987</f>
        <v>4.9599779242935037E-3</v>
      </c>
      <c r="K1986" s="50">
        <f t="shared" ref="K1986:K2049" si="260">(E1986-E1987)/E1987</f>
        <v>-6.3069218555006886E-3</v>
      </c>
      <c r="L1986" s="50">
        <f t="shared" ref="L1986:L2049" si="261">(F1986-F1987)/F1987</f>
        <v>-2.3148098408162423E-3</v>
      </c>
      <c r="P1986" s="50">
        <f t="shared" si="256"/>
        <v>-2.3148098408162423E-3</v>
      </c>
      <c r="Q1986" s="51">
        <f t="shared" si="254"/>
        <v>85.407936869205031</v>
      </c>
      <c r="R1986" s="51">
        <f t="shared" si="255"/>
        <v>27.417739628260353</v>
      </c>
    </row>
    <row r="1987" spans="1:18" x14ac:dyDescent="0.15">
      <c r="A1987" s="59">
        <v>43790.75</v>
      </c>
      <c r="B1987">
        <v>32.462563000000003</v>
      </c>
      <c r="C1987">
        <v>276.27539100000001</v>
      </c>
      <c r="D1987">
        <v>115.64567599999999</v>
      </c>
      <c r="E1987">
        <v>87.286002999999994</v>
      </c>
      <c r="F1987">
        <v>1391.030029</v>
      </c>
      <c r="H1987" s="50">
        <f t="shared" si="257"/>
        <v>3.6999469682615846E-3</v>
      </c>
      <c r="I1987" s="50">
        <f t="shared" si="258"/>
        <v>8.6975105058037863E-4</v>
      </c>
      <c r="J1987" s="50">
        <f t="shared" si="259"/>
        <v>1.4617459912820808E-2</v>
      </c>
      <c r="K1987" s="50">
        <f t="shared" si="260"/>
        <v>-1.5852590810303296E-2</v>
      </c>
      <c r="L1987" s="50">
        <f t="shared" si="261"/>
        <v>-1.285881183081186E-2</v>
      </c>
      <c r="P1987" s="50">
        <f t="shared" si="256"/>
        <v>-1.285881183081186E-2</v>
      </c>
      <c r="Q1987" s="51">
        <f t="shared" ref="Q1987:Q2050" si="262">Q1986*(1+P1987)</f>
        <v>84.309692280146066</v>
      </c>
      <c r="R1987" s="51">
        <f t="shared" ref="R1987:R2050" si="263">R1986*(1+H1987)</f>
        <v>27.519183810874516</v>
      </c>
    </row>
    <row r="1988" spans="1:18" x14ac:dyDescent="0.15">
      <c r="A1988" s="59">
        <v>43792.75</v>
      </c>
      <c r="B1988">
        <v>32.342896000000003</v>
      </c>
      <c r="C1988">
        <v>276.03530899999998</v>
      </c>
      <c r="D1988">
        <v>113.979584</v>
      </c>
      <c r="E1988">
        <v>88.692001000000005</v>
      </c>
      <c r="F1988">
        <v>1409.150024</v>
      </c>
      <c r="H1988" s="50">
        <f t="shared" si="257"/>
        <v>-2.2650627133165508E-3</v>
      </c>
      <c r="I1988" s="50">
        <f t="shared" si="258"/>
        <v>-7.27003997345263E-3</v>
      </c>
      <c r="J1988" s="50">
        <f t="shared" si="259"/>
        <v>-1.3397279410995876E-2</v>
      </c>
      <c r="K1988" s="50">
        <f t="shared" si="260"/>
        <v>-1.2855176021458586E-2</v>
      </c>
      <c r="L1988" s="50">
        <f t="shared" si="261"/>
        <v>2.0337092069810585E-3</v>
      </c>
      <c r="P1988" s="50">
        <f t="shared" si="256"/>
        <v>2.0337092069810585E-3</v>
      </c>
      <c r="Q1988" s="51">
        <f t="shared" si="262"/>
        <v>84.481153677573943</v>
      </c>
      <c r="R1988" s="51">
        <f t="shared" si="263"/>
        <v>27.4568511337236</v>
      </c>
    </row>
    <row r="1989" spans="1:18" x14ac:dyDescent="0.15">
      <c r="A1989" s="59">
        <v>43795.75</v>
      </c>
      <c r="B1989">
        <v>32.416321000000003</v>
      </c>
      <c r="C1989">
        <v>278.05679300000003</v>
      </c>
      <c r="D1989">
        <v>115.52733600000001</v>
      </c>
      <c r="E1989">
        <v>89.846999999999994</v>
      </c>
      <c r="F1989">
        <v>1406.290039</v>
      </c>
      <c r="H1989" s="50">
        <f t="shared" si="257"/>
        <v>3.6206271099285818E-3</v>
      </c>
      <c r="I1989" s="50">
        <f t="shared" si="258"/>
        <v>1.5960487080848805E-3</v>
      </c>
      <c r="J1989" s="50">
        <f t="shared" si="259"/>
        <v>7.8634177744550723E-3</v>
      </c>
      <c r="K1989" s="50">
        <f t="shared" si="260"/>
        <v>-1.1861348157132554E-2</v>
      </c>
      <c r="L1989" s="50">
        <f t="shared" si="261"/>
        <v>5.2540482865517735E-3</v>
      </c>
      <c r="P1989" s="50">
        <f t="shared" si="256"/>
        <v>5.2540482865517735E-3</v>
      </c>
      <c r="Q1989" s="51">
        <f t="shared" si="262"/>
        <v>84.92502173829952</v>
      </c>
      <c r="R1989" s="51">
        <f t="shared" si="263"/>
        <v>27.556262153291634</v>
      </c>
    </row>
    <row r="1990" spans="1:18" x14ac:dyDescent="0.15">
      <c r="A1990" s="59">
        <v>43796.75</v>
      </c>
      <c r="B1990">
        <v>32.299377</v>
      </c>
      <c r="C1990">
        <v>277.61370799999997</v>
      </c>
      <c r="D1990">
        <v>114.625984</v>
      </c>
      <c r="E1990">
        <v>90.925499000000002</v>
      </c>
      <c r="F1990">
        <v>1398.9399410000001</v>
      </c>
      <c r="H1990" s="50">
        <f t="shared" si="257"/>
        <v>-2.7711763695558406E-3</v>
      </c>
      <c r="I1990" s="50">
        <f t="shared" si="258"/>
        <v>3.1689068551806849E-3</v>
      </c>
      <c r="J1990" s="50">
        <f t="shared" si="259"/>
        <v>7.1192284678044592E-3</v>
      </c>
      <c r="K1990" s="50">
        <f t="shared" si="260"/>
        <v>9.8344956704298388E-3</v>
      </c>
      <c r="L1990" s="50">
        <f t="shared" si="261"/>
        <v>-7.7947930599966044E-3</v>
      </c>
      <c r="P1990" s="50">
        <f t="shared" si="256"/>
        <v>-7.7947930599966044E-3</v>
      </c>
      <c r="Q1990" s="51">
        <f t="shared" si="262"/>
        <v>84.263048768233759</v>
      </c>
      <c r="R1990" s="51">
        <f t="shared" si="263"/>
        <v>27.479898890779147</v>
      </c>
    </row>
    <row r="1991" spans="1:18" x14ac:dyDescent="0.15">
      <c r="A1991" s="59">
        <v>43797.75</v>
      </c>
      <c r="B1991">
        <v>32.389133000000001</v>
      </c>
      <c r="C1991">
        <v>276.73675500000002</v>
      </c>
      <c r="D1991">
        <v>113.815704</v>
      </c>
      <c r="E1991">
        <v>90.040001000000004</v>
      </c>
      <c r="F1991">
        <v>1409.9300539999999</v>
      </c>
      <c r="H1991" s="50">
        <f t="shared" si="257"/>
        <v>-1.5927780334913683E-3</v>
      </c>
      <c r="I1991" s="50">
        <f t="shared" si="258"/>
        <v>8.1369268693582634E-3</v>
      </c>
      <c r="J1991" s="50">
        <f t="shared" si="259"/>
        <v>8.3080025734705958E-3</v>
      </c>
      <c r="K1991" s="50">
        <f t="shared" si="260"/>
        <v>1.0776818348073348E-2</v>
      </c>
      <c r="L1991" s="50">
        <f t="shared" si="261"/>
        <v>-4.2514899596194332E-3</v>
      </c>
      <c r="P1991" s="50">
        <f t="shared" si="256"/>
        <v>-4.2514899596194332E-3</v>
      </c>
      <c r="Q1991" s="51">
        <f t="shared" si="262"/>
        <v>83.904805262428695</v>
      </c>
      <c r="R1991" s="51">
        <f t="shared" si="263"/>
        <v>27.436129511463349</v>
      </c>
    </row>
    <row r="1992" spans="1:18" x14ac:dyDescent="0.15">
      <c r="A1992" s="59">
        <v>43798.75</v>
      </c>
      <c r="B1992">
        <v>32.440804</v>
      </c>
      <c r="C1992">
        <v>274.50314300000002</v>
      </c>
      <c r="D1992">
        <v>112.877914</v>
      </c>
      <c r="E1992">
        <v>89.080001999999993</v>
      </c>
      <c r="F1992">
        <v>1415.9499510000001</v>
      </c>
      <c r="H1992" s="50">
        <f t="shared" si="257"/>
        <v>5.1404969714076276E-3</v>
      </c>
      <c r="I1992" s="50">
        <f t="shared" si="258"/>
        <v>5.8174680360549525E-3</v>
      </c>
      <c r="J1992" s="50">
        <f t="shared" si="259"/>
        <v>-4.8358078876223549E-4</v>
      </c>
      <c r="K1992" s="50">
        <f t="shared" si="260"/>
        <v>6.5764310314759666E-3</v>
      </c>
      <c r="L1992" s="50">
        <f t="shared" si="261"/>
        <v>-1.6248145802502019E-4</v>
      </c>
      <c r="P1992" s="50">
        <f t="shared" si="256"/>
        <v>-1.6248145802502019E-4</v>
      </c>
      <c r="Q1992" s="51">
        <f t="shared" si="262"/>
        <v>83.891172287334356</v>
      </c>
      <c r="R1992" s="51">
        <f t="shared" si="263"/>
        <v>27.577164852124177</v>
      </c>
    </row>
    <row r="1993" spans="1:18" x14ac:dyDescent="0.15">
      <c r="A1993" s="59">
        <v>43799.75</v>
      </c>
      <c r="B1993">
        <v>32.274895000000001</v>
      </c>
      <c r="C1993">
        <v>272.91546599999998</v>
      </c>
      <c r="D1993">
        <v>112.932526</v>
      </c>
      <c r="E1993">
        <v>88.498001000000002</v>
      </c>
      <c r="F1993">
        <v>1416.1800539999999</v>
      </c>
      <c r="H1993" s="50">
        <f t="shared" si="257"/>
        <v>-1.6861657396523055E-4</v>
      </c>
      <c r="I1993" s="50">
        <f t="shared" si="258"/>
        <v>-2.8666671199608857E-3</v>
      </c>
      <c r="J1993" s="50">
        <f t="shared" si="259"/>
        <v>-3.855020423117474E-3</v>
      </c>
      <c r="K1993" s="50">
        <f t="shared" si="260"/>
        <v>5.2649927017249824E-3</v>
      </c>
      <c r="L1993" s="50">
        <f t="shared" si="261"/>
        <v>4.7678495210548982E-3</v>
      </c>
      <c r="P1993" s="50">
        <f t="shared" si="256"/>
        <v>4.7678495210548982E-3</v>
      </c>
      <c r="Q1993" s="51">
        <f t="shared" si="262"/>
        <v>84.291152772945253</v>
      </c>
      <c r="R1993" s="51">
        <f t="shared" si="263"/>
        <v>27.572514885067136</v>
      </c>
    </row>
    <row r="1994" spans="1:18" x14ac:dyDescent="0.15">
      <c r="A1994" s="59">
        <v>43802.75</v>
      </c>
      <c r="B1994">
        <v>32.280338</v>
      </c>
      <c r="C1994">
        <v>273.70007299999997</v>
      </c>
      <c r="D1994">
        <v>113.369568</v>
      </c>
      <c r="E1994">
        <v>88.034499999999994</v>
      </c>
      <c r="F1994">
        <v>1409.459961</v>
      </c>
      <c r="H1994" s="50">
        <f t="shared" si="257"/>
        <v>-1.3147199599099874E-2</v>
      </c>
      <c r="I1994" s="50">
        <f t="shared" si="258"/>
        <v>1.1668257736661622E-2</v>
      </c>
      <c r="J1994" s="50">
        <f t="shared" si="259"/>
        <v>-1.2834485978664714E-3</v>
      </c>
      <c r="K1994" s="50">
        <f t="shared" si="260"/>
        <v>1.1611716041282477E-2</v>
      </c>
      <c r="L1994" s="50">
        <f t="shared" si="261"/>
        <v>1.7127407811206271E-3</v>
      </c>
      <c r="P1994" s="50">
        <f t="shared" si="256"/>
        <v>1.7127407811206271E-3</v>
      </c>
      <c r="Q1994" s="51">
        <f t="shared" si="262"/>
        <v>84.435521667787143</v>
      </c>
      <c r="R1994" s="51">
        <f t="shared" si="263"/>
        <v>27.210013528424007</v>
      </c>
    </row>
    <row r="1995" spans="1:18" x14ac:dyDescent="0.15">
      <c r="A1995" s="59">
        <v>43803.75</v>
      </c>
      <c r="B1995">
        <v>32.710388000000002</v>
      </c>
      <c r="C1995">
        <v>270.54330399999998</v>
      </c>
      <c r="D1995">
        <v>113.515259</v>
      </c>
      <c r="E1995">
        <v>87.024001999999996</v>
      </c>
      <c r="F1995">
        <v>1407.0500489999999</v>
      </c>
      <c r="H1995" s="50">
        <f t="shared" si="257"/>
        <v>-9.3500677592276652E-3</v>
      </c>
      <c r="I1995" s="50">
        <f t="shared" si="258"/>
        <v>-6.2720861311433562E-3</v>
      </c>
      <c r="J1995" s="50">
        <f t="shared" si="259"/>
        <v>-2.7992450193310902E-3</v>
      </c>
      <c r="K1995" s="50">
        <f t="shared" si="260"/>
        <v>-6.3484812434692279E-3</v>
      </c>
      <c r="L1995" s="50">
        <f t="shared" si="261"/>
        <v>-1.5823540773386414E-3</v>
      </c>
      <c r="P1995" s="50">
        <f t="shared" si="256"/>
        <v>-1.5823540773386414E-3</v>
      </c>
      <c r="Q1995" s="51">
        <f t="shared" si="262"/>
        <v>84.301914775803908</v>
      </c>
      <c r="R1995" s="51">
        <f t="shared" si="263"/>
        <v>26.955598058203741</v>
      </c>
    </row>
    <row r="1996" spans="1:18" x14ac:dyDescent="0.15">
      <c r="A1996" s="59">
        <v>43804.75</v>
      </c>
      <c r="B1996">
        <v>33.019119000000003</v>
      </c>
      <c r="C1996">
        <v>272.25088499999998</v>
      </c>
      <c r="D1996">
        <v>113.83390799999999</v>
      </c>
      <c r="E1996">
        <v>87.580001999999993</v>
      </c>
      <c r="F1996">
        <v>1409.280029</v>
      </c>
      <c r="H1996" s="50">
        <f t="shared" si="257"/>
        <v>3.5185478243294484E-3</v>
      </c>
      <c r="I1996" s="50">
        <f t="shared" si="258"/>
        <v>-7.1151311264293262E-4</v>
      </c>
      <c r="J1996" s="50">
        <f t="shared" si="259"/>
        <v>-1.1229503933422114E-2</v>
      </c>
      <c r="K1996" s="50">
        <f t="shared" si="260"/>
        <v>1.1946201806305424E-3</v>
      </c>
      <c r="L1996" s="50">
        <f t="shared" si="261"/>
        <v>-3.2956930240646454E-3</v>
      </c>
      <c r="P1996" s="50">
        <f t="shared" si="256"/>
        <v>-3.2956930240646454E-3</v>
      </c>
      <c r="Q1996" s="51">
        <f t="shared" si="262"/>
        <v>84.024081543362001</v>
      </c>
      <c r="R1996" s="51">
        <f t="shared" si="263"/>
        <v>27.050442619104931</v>
      </c>
    </row>
    <row r="1997" spans="1:18" x14ac:dyDescent="0.15">
      <c r="A1997" s="59">
        <v>43805.75</v>
      </c>
      <c r="B1997">
        <v>32.903346999999997</v>
      </c>
      <c r="C1997">
        <v>272.44473299999999</v>
      </c>
      <c r="D1997">
        <v>115.126724</v>
      </c>
      <c r="E1997">
        <v>87.475502000000006</v>
      </c>
      <c r="F1997">
        <v>1413.9399410000001</v>
      </c>
      <c r="H1997" s="50">
        <f t="shared" si="257"/>
        <v>1.8466814707694507E-3</v>
      </c>
      <c r="I1997" s="50">
        <f t="shared" si="258"/>
        <v>-2.0960782815435388E-3</v>
      </c>
      <c r="J1997" s="50">
        <f t="shared" si="259"/>
        <v>5.4067147010852228E-3</v>
      </c>
      <c r="K1997" s="50">
        <f t="shared" si="260"/>
        <v>5.92221735423958E-3</v>
      </c>
      <c r="L1997" s="50">
        <f t="shared" si="261"/>
        <v>-2.9124127562604606E-3</v>
      </c>
      <c r="P1997" s="50">
        <f t="shared" si="256"/>
        <v>-2.9124127562604606E-3</v>
      </c>
      <c r="Q1997" s="51">
        <f t="shared" si="262"/>
        <v>83.779368736442052</v>
      </c>
      <c r="R1997" s="51">
        <f t="shared" si="263"/>
        <v>27.100396170265743</v>
      </c>
    </row>
    <row r="1998" spans="1:18" x14ac:dyDescent="0.15">
      <c r="A1998" s="59">
        <v>43806.75</v>
      </c>
      <c r="B1998">
        <v>32.842697000000001</v>
      </c>
      <c r="C1998">
        <v>273.016998</v>
      </c>
      <c r="D1998">
        <v>114.507614</v>
      </c>
      <c r="E1998">
        <v>86.960503000000003</v>
      </c>
      <c r="F1998">
        <v>1418.0699460000001</v>
      </c>
      <c r="H1998" s="50">
        <f t="shared" si="257"/>
        <v>1.1763465722037544E-3</v>
      </c>
      <c r="I1998" s="50">
        <f t="shared" si="258"/>
        <v>1.6253312518188223E-3</v>
      </c>
      <c r="J1998" s="50">
        <f t="shared" si="259"/>
        <v>-2.3873933755665558E-4</v>
      </c>
      <c r="K1998" s="50">
        <f t="shared" si="260"/>
        <v>-5.4381949804952487E-3</v>
      </c>
      <c r="L1998" s="50">
        <f t="shared" si="261"/>
        <v>-3.3844628910930432E-4</v>
      </c>
      <c r="P1998" s="50">
        <f t="shared" si="256"/>
        <v>-3.3844628910930432E-4</v>
      </c>
      <c r="Q1998" s="51">
        <f t="shared" si="262"/>
        <v>83.75101391998929</v>
      </c>
      <c r="R1998" s="51">
        <f t="shared" si="263"/>
        <v>27.132275628405996</v>
      </c>
    </row>
    <row r="1999" spans="1:18" x14ac:dyDescent="0.15">
      <c r="A1999" s="59">
        <v>43809.75</v>
      </c>
      <c r="B1999">
        <v>32.804107999999999</v>
      </c>
      <c r="C1999">
        <v>272.57397500000002</v>
      </c>
      <c r="D1999">
        <v>114.534958</v>
      </c>
      <c r="E1999">
        <v>87.435997</v>
      </c>
      <c r="F1999">
        <v>1418.5500489999999</v>
      </c>
      <c r="H1999" s="50">
        <f t="shared" si="257"/>
        <v>-6.3458379449419441E-3</v>
      </c>
      <c r="I1999" s="50">
        <f t="shared" si="258"/>
        <v>-6.860802259822346E-3</v>
      </c>
      <c r="J1999" s="50">
        <f t="shared" si="259"/>
        <v>-1.3487954901856799E-2</v>
      </c>
      <c r="K1999" s="50">
        <f t="shared" si="260"/>
        <v>-6.5954109378262077E-3</v>
      </c>
      <c r="L1999" s="50">
        <f t="shared" si="261"/>
        <v>-6.5062732667619276E-3</v>
      </c>
      <c r="P1999" s="50">
        <f t="shared" si="256"/>
        <v>-6.5062732667619276E-3</v>
      </c>
      <c r="Q1999" s="51">
        <f t="shared" si="262"/>
        <v>83.206106937057456</v>
      </c>
      <c r="R1999" s="51">
        <f t="shared" si="263"/>
        <v>26.960098604190634</v>
      </c>
    </row>
    <row r="2000" spans="1:18" x14ac:dyDescent="0.15">
      <c r="A2000" s="59">
        <v>43810.75</v>
      </c>
      <c r="B2000">
        <v>33.013607</v>
      </c>
      <c r="C2000">
        <v>274.45697000000001</v>
      </c>
      <c r="D2000">
        <v>116.100922</v>
      </c>
      <c r="E2000">
        <v>88.016502000000003</v>
      </c>
      <c r="F2000">
        <v>1427.839966</v>
      </c>
      <c r="H2000" s="50">
        <f t="shared" si="257"/>
        <v>-4.4059196423514588E-3</v>
      </c>
      <c r="I2000" s="50">
        <f t="shared" si="258"/>
        <v>1.8741365926844594E-2</v>
      </c>
      <c r="J2000" s="50">
        <f t="shared" si="259"/>
        <v>2.3581561805266888E-3</v>
      </c>
      <c r="K2000" s="50">
        <f t="shared" si="260"/>
        <v>-3.4634912079967856E-4</v>
      </c>
      <c r="L2000" s="50">
        <f t="shared" si="261"/>
        <v>-4.4803848073535105E-4</v>
      </c>
      <c r="P2000" s="50">
        <f t="shared" si="256"/>
        <v>-4.4803848073535105E-4</v>
      </c>
      <c r="Q2000" s="51">
        <f t="shared" si="262"/>
        <v>83.168827399317465</v>
      </c>
      <c r="R2000" s="51">
        <f t="shared" si="263"/>
        <v>26.841314576190697</v>
      </c>
    </row>
    <row r="2001" spans="1:18" x14ac:dyDescent="0.15">
      <c r="A2001" s="59">
        <v>43811.75</v>
      </c>
      <c r="B2001">
        <v>33.159706</v>
      </c>
      <c r="C2001">
        <v>269.40789799999999</v>
      </c>
      <c r="D2001">
        <v>115.827782</v>
      </c>
      <c r="E2001">
        <v>88.046997000000005</v>
      </c>
      <c r="F2001">
        <v>1428.4799800000001</v>
      </c>
      <c r="H2001" s="50">
        <f t="shared" si="257"/>
        <v>-2.0742353807545674E-3</v>
      </c>
      <c r="I2001" s="50">
        <f t="shared" si="258"/>
        <v>-5.5537420137123459E-3</v>
      </c>
      <c r="J2001" s="50">
        <f t="shared" si="259"/>
        <v>1.0003120143632324E-2</v>
      </c>
      <c r="K2001" s="50">
        <f t="shared" si="260"/>
        <v>-4.674470367865737E-3</v>
      </c>
      <c r="L2001" s="50">
        <f t="shared" si="261"/>
        <v>6.3616395869670311E-3</v>
      </c>
      <c r="P2001" s="50">
        <f t="shared" si="256"/>
        <v>6.3616395869670311E-3</v>
      </c>
      <c r="Q2001" s="51">
        <f t="shared" si="262"/>
        <v>83.697917504102591</v>
      </c>
      <c r="R2001" s="51">
        <f t="shared" si="263"/>
        <v>26.785639371830801</v>
      </c>
    </row>
    <row r="2002" spans="1:18" x14ac:dyDescent="0.15">
      <c r="A2002" s="59">
        <v>43812.75</v>
      </c>
      <c r="B2002">
        <v>33.228630000000003</v>
      </c>
      <c r="C2002">
        <v>270.91247600000003</v>
      </c>
      <c r="D2002">
        <v>114.680618</v>
      </c>
      <c r="E2002">
        <v>88.460503000000003</v>
      </c>
      <c r="F2002">
        <v>1419.4499510000001</v>
      </c>
      <c r="H2002" s="50">
        <f t="shared" si="257"/>
        <v>-6.1017935502468579E-3</v>
      </c>
      <c r="I2002" s="50">
        <f t="shared" si="258"/>
        <v>-6.9360289549602284E-3</v>
      </c>
      <c r="J2002" s="50">
        <f t="shared" si="259"/>
        <v>-1.8850208836282589E-2</v>
      </c>
      <c r="K2002" s="50">
        <f t="shared" si="260"/>
        <v>-1.1978756837548864E-2</v>
      </c>
      <c r="L2002" s="50">
        <f t="shared" si="261"/>
        <v>4.1525737366921306E-3</v>
      </c>
      <c r="P2002" s="50">
        <f t="shared" si="256"/>
        <v>4.1525737366921306E-3</v>
      </c>
      <c r="Q2002" s="51">
        <f t="shared" si="262"/>
        <v>84.045479278145947</v>
      </c>
      <c r="R2002" s="51">
        <f t="shared" si="263"/>
        <v>26.622198930272525</v>
      </c>
    </row>
    <row r="2003" spans="1:18" x14ac:dyDescent="0.15">
      <c r="A2003" s="59">
        <v>43813.75</v>
      </c>
      <c r="B2003">
        <v>33.432628999999999</v>
      </c>
      <c r="C2003">
        <v>272.80465700000002</v>
      </c>
      <c r="D2003">
        <v>116.883904</v>
      </c>
      <c r="E2003">
        <v>89.532996999999995</v>
      </c>
      <c r="F2003">
        <v>1413.579956</v>
      </c>
      <c r="H2003" s="50">
        <f t="shared" si="257"/>
        <v>1.1847429401423196E-2</v>
      </c>
      <c r="I2003" s="50">
        <f t="shared" si="258"/>
        <v>1.2608238382083482E-2</v>
      </c>
      <c r="J2003" s="50">
        <f t="shared" si="259"/>
        <v>2.3422621912001715E-3</v>
      </c>
      <c r="K2003" s="50">
        <f t="shared" si="260"/>
        <v>3.7162715873611859E-3</v>
      </c>
      <c r="L2003" s="50">
        <f t="shared" si="261"/>
        <v>-1.1731332794520264E-2</v>
      </c>
      <c r="P2003" s="50">
        <f t="shared" si="256"/>
        <v>-1.1731332794520264E-2</v>
      </c>
      <c r="Q2003" s="51">
        <f t="shared" si="262"/>
        <v>83.059513790859071</v>
      </c>
      <c r="R2003" s="51">
        <f t="shared" si="263"/>
        <v>26.937603552609573</v>
      </c>
    </row>
    <row r="2004" spans="1:18" x14ac:dyDescent="0.15">
      <c r="A2004" s="59">
        <v>43816.75</v>
      </c>
      <c r="B2004">
        <v>33.041176</v>
      </c>
      <c r="C2004">
        <v>269.40789799999999</v>
      </c>
      <c r="D2004">
        <v>116.610771</v>
      </c>
      <c r="E2004">
        <v>89.201499999999996</v>
      </c>
      <c r="F2004">
        <v>1430.3599850000001</v>
      </c>
      <c r="H2004" s="50">
        <f t="shared" si="257"/>
        <v>-1.8319839713940005E-3</v>
      </c>
      <c r="I2004" s="50">
        <f t="shared" si="258"/>
        <v>-6.2649066498825824E-3</v>
      </c>
      <c r="J2004" s="50">
        <f t="shared" si="259"/>
        <v>-4.8174335101724957E-3</v>
      </c>
      <c r="K2004" s="50">
        <f t="shared" si="260"/>
        <v>-4.6030531971132391E-3</v>
      </c>
      <c r="L2004" s="50">
        <f t="shared" si="261"/>
        <v>-1.1356211721886155E-2</v>
      </c>
      <c r="P2004" s="50">
        <f t="shared" si="256"/>
        <v>-1.1356211721886155E-2</v>
      </c>
      <c r="Q2004" s="51">
        <f t="shared" si="262"/>
        <v>82.116272366733156</v>
      </c>
      <c r="R2004" s="51">
        <f t="shared" si="263"/>
        <v>26.888254294673427</v>
      </c>
    </row>
    <row r="2005" spans="1:18" x14ac:dyDescent="0.15">
      <c r="A2005" s="59">
        <v>43817.75</v>
      </c>
      <c r="B2005">
        <v>33.101818000000002</v>
      </c>
      <c r="C2005">
        <v>271.10635400000001</v>
      </c>
      <c r="D2005">
        <v>117.17525500000001</v>
      </c>
      <c r="E2005">
        <v>89.613997999999995</v>
      </c>
      <c r="F2005">
        <v>1446.790039</v>
      </c>
      <c r="H2005" s="50">
        <f t="shared" si="257"/>
        <v>-1.7457332100591721E-3</v>
      </c>
      <c r="I2005" s="50">
        <f t="shared" si="258"/>
        <v>-3.7982690638125932E-3</v>
      </c>
      <c r="J2005" s="50">
        <f t="shared" si="259"/>
        <v>-3.4844079433315489E-3</v>
      </c>
      <c r="K2005" s="50">
        <f t="shared" si="260"/>
        <v>3.2353877381042506E-3</v>
      </c>
      <c r="L2005" s="50">
        <f t="shared" si="261"/>
        <v>7.6472371336131374E-3</v>
      </c>
      <c r="P2005" s="50">
        <f t="shared" si="256"/>
        <v>7.6472371336131374E-3</v>
      </c>
      <c r="Q2005" s="51">
        <f t="shared" si="262"/>
        <v>82.744234974049931</v>
      </c>
      <c r="R2005" s="51">
        <f t="shared" si="263"/>
        <v>26.841314576190697</v>
      </c>
    </row>
    <row r="2006" spans="1:18" x14ac:dyDescent="0.15">
      <c r="A2006" s="59">
        <v>43818.75</v>
      </c>
      <c r="B2006">
        <v>33.159706</v>
      </c>
      <c r="C2006">
        <v>272.14001500000001</v>
      </c>
      <c r="D2006">
        <v>117.584969</v>
      </c>
      <c r="E2006">
        <v>89.324996999999996</v>
      </c>
      <c r="F2006">
        <v>1435.8100589999999</v>
      </c>
      <c r="H2006" s="50">
        <f t="shared" si="257"/>
        <v>1.0585396838400096E-2</v>
      </c>
      <c r="I2006" s="50">
        <f t="shared" si="258"/>
        <v>5.1814155300476126E-3</v>
      </c>
      <c r="J2006" s="50">
        <f t="shared" si="259"/>
        <v>6.3114835639427906E-3</v>
      </c>
      <c r="K2006" s="50">
        <f t="shared" si="260"/>
        <v>-3.6252648382540408E-3</v>
      </c>
      <c r="L2006" s="50">
        <f t="shared" si="261"/>
        <v>-5.458153981832155E-3</v>
      </c>
      <c r="P2006" s="50">
        <f t="shared" si="256"/>
        <v>-5.458153981832155E-3</v>
      </c>
      <c r="Q2006" s="51">
        <f t="shared" si="262"/>
        <v>82.292604198452665</v>
      </c>
      <c r="R2006" s="51">
        <f t="shared" si="263"/>
        <v>27.125440542644011</v>
      </c>
    </row>
    <row r="2007" spans="1:18" x14ac:dyDescent="0.15">
      <c r="A2007" s="59">
        <v>43819.75</v>
      </c>
      <c r="B2007">
        <v>32.812373999999998</v>
      </c>
      <c r="C2007">
        <v>270.737213</v>
      </c>
      <c r="D2007">
        <v>116.847488</v>
      </c>
      <c r="E2007">
        <v>89.650002000000001</v>
      </c>
      <c r="F2007">
        <v>1443.6899410000001</v>
      </c>
      <c r="H2007" s="50">
        <f t="shared" si="257"/>
        <v>-4.0162166360847027E-3</v>
      </c>
      <c r="I2007" s="50">
        <f t="shared" si="258"/>
        <v>-3.126413178773504E-3</v>
      </c>
      <c r="J2007" s="50">
        <f t="shared" si="259"/>
        <v>-1.6336563715269111E-3</v>
      </c>
      <c r="K2007" s="50">
        <f t="shared" si="260"/>
        <v>2.1182420581739615E-3</v>
      </c>
      <c r="L2007" s="50">
        <f t="shared" si="261"/>
        <v>9.4674801753526095E-3</v>
      </c>
      <c r="P2007" s="50">
        <f t="shared" si="256"/>
        <v>9.4674801753526095E-3</v>
      </c>
      <c r="Q2007" s="51">
        <f t="shared" si="262"/>
        <v>83.071707797279657</v>
      </c>
      <c r="R2007" s="51">
        <f t="shared" si="263"/>
        <v>27.016498897075515</v>
      </c>
    </row>
    <row r="2008" spans="1:18" x14ac:dyDescent="0.15">
      <c r="A2008" s="59">
        <v>43820.75</v>
      </c>
      <c r="B2008">
        <v>32.944687000000002</v>
      </c>
      <c r="C2008">
        <v>271.58630399999998</v>
      </c>
      <c r="D2008">
        <v>117.03868900000001</v>
      </c>
      <c r="E2008">
        <v>89.460503000000003</v>
      </c>
      <c r="F2008">
        <v>1430.150024</v>
      </c>
      <c r="H2008" s="50">
        <f t="shared" si="257"/>
        <v>-8.4042907592036471E-5</v>
      </c>
      <c r="I2008" s="50">
        <f t="shared" si="258"/>
        <v>-5.0720475347503036E-3</v>
      </c>
      <c r="J2008" s="50">
        <f t="shared" si="259"/>
        <v>-2.6379771096886623E-3</v>
      </c>
      <c r="K2008" s="50">
        <f t="shared" si="260"/>
        <v>-4.2573415054537538E-2</v>
      </c>
      <c r="L2008" s="50">
        <f t="shared" si="261"/>
        <v>2.4462660457481031E-3</v>
      </c>
      <c r="P2008" s="50">
        <f t="shared" si="256"/>
        <v>2.4462660457481031E-3</v>
      </c>
      <c r="Q2008" s="51">
        <f t="shared" si="262"/>
        <v>83.274923295426447</v>
      </c>
      <c r="R2008" s="51">
        <f t="shared" si="263"/>
        <v>27.014228351955246</v>
      </c>
    </row>
    <row r="2009" spans="1:18" x14ac:dyDescent="0.15">
      <c r="A2009" s="59">
        <v>43823.75</v>
      </c>
      <c r="B2009">
        <v>32.947456000000003</v>
      </c>
      <c r="C2009">
        <v>272.97082499999999</v>
      </c>
      <c r="D2009">
        <v>117.348251</v>
      </c>
      <c r="E2009">
        <v>93.438498999999993</v>
      </c>
      <c r="F2009">
        <v>1426.660034</v>
      </c>
      <c r="H2009" s="50">
        <f t="shared" si="257"/>
        <v>-5.8504414585324664E-4</v>
      </c>
      <c r="I2009" s="50">
        <f t="shared" si="258"/>
        <v>5.5083879357878439E-3</v>
      </c>
      <c r="J2009" s="50">
        <f t="shared" si="259"/>
        <v>-2.4763267358222539E-3</v>
      </c>
      <c r="K2009" s="50">
        <f t="shared" si="260"/>
        <v>-5.5085037011132296E-4</v>
      </c>
      <c r="L2009" s="50">
        <f t="shared" si="261"/>
        <v>4.8104901373132863E-3</v>
      </c>
      <c r="P2009" s="50">
        <f t="shared" si="256"/>
        <v>4.8104901373132863E-3</v>
      </c>
      <c r="Q2009" s="51">
        <f t="shared" si="262"/>
        <v>83.675516492624624</v>
      </c>
      <c r="R2009" s="51">
        <f t="shared" si="263"/>
        <v>26.998423835803191</v>
      </c>
    </row>
    <row r="2010" spans="1:18" x14ac:dyDescent="0.15">
      <c r="A2010" s="59">
        <v>43825.75</v>
      </c>
      <c r="B2010">
        <v>32.966743000000001</v>
      </c>
      <c r="C2010">
        <v>271.47543300000001</v>
      </c>
      <c r="D2010">
        <v>117.639565</v>
      </c>
      <c r="E2010">
        <v>93.489998</v>
      </c>
      <c r="F2010">
        <v>1419.829956</v>
      </c>
      <c r="H2010" s="50">
        <f t="shared" si="257"/>
        <v>1.5911590715191946E-3</v>
      </c>
      <c r="I2010" s="50">
        <f t="shared" si="258"/>
        <v>-3.4902544457257323E-3</v>
      </c>
      <c r="J2010" s="50">
        <f t="shared" si="259"/>
        <v>2.4824741529381623E-3</v>
      </c>
      <c r="K2010" s="50">
        <f t="shared" si="260"/>
        <v>1.2404637252995824E-2</v>
      </c>
      <c r="L2010" s="50">
        <f t="shared" si="261"/>
        <v>1.2199280934196057E-3</v>
      </c>
      <c r="P2010" s="50">
        <f t="shared" si="256"/>
        <v>1.2199280934196057E-3</v>
      </c>
      <c r="Q2010" s="51">
        <f t="shared" si="262"/>
        <v>83.777594605925373</v>
      </c>
      <c r="R2010" s="51">
        <f t="shared" si="263"/>
        <v>27.04138262280625</v>
      </c>
    </row>
    <row r="2011" spans="1:18" x14ac:dyDescent="0.15">
      <c r="A2011" s="59">
        <v>43826.75</v>
      </c>
      <c r="B2011">
        <v>32.914371000000003</v>
      </c>
      <c r="C2011">
        <v>272.42626999999999</v>
      </c>
      <c r="D2011">
        <v>117.348251</v>
      </c>
      <c r="E2011">
        <v>92.344498000000002</v>
      </c>
      <c r="F2011">
        <v>1418.099976</v>
      </c>
      <c r="H2011" s="50">
        <f t="shared" si="257"/>
        <v>4.7121181494434172E-3</v>
      </c>
      <c r="I2011" s="50">
        <f t="shared" si="258"/>
        <v>4.1507493189158759E-3</v>
      </c>
      <c r="J2011" s="50">
        <f t="shared" si="259"/>
        <v>5.3038169791723754E-3</v>
      </c>
      <c r="K2011" s="50">
        <f t="shared" si="260"/>
        <v>-5.1411378721347091E-4</v>
      </c>
      <c r="L2011" s="50">
        <f t="shared" si="261"/>
        <v>1.1173407155177839E-2</v>
      </c>
      <c r="P2011" s="50">
        <f t="shared" si="256"/>
        <v>1.1173407155177839E-2</v>
      </c>
      <c r="Q2011" s="51">
        <f t="shared" si="262"/>
        <v>84.713675780938814</v>
      </c>
      <c r="R2011" s="51">
        <f t="shared" si="263"/>
        <v>27.168804812649217</v>
      </c>
    </row>
    <row r="2012" spans="1:18" x14ac:dyDescent="0.15">
      <c r="A2012" s="59">
        <v>43827.75</v>
      </c>
      <c r="B2012">
        <v>32.760002</v>
      </c>
      <c r="C2012">
        <v>271.30017099999998</v>
      </c>
      <c r="D2012">
        <v>116.729141</v>
      </c>
      <c r="E2012">
        <v>92.391998000000001</v>
      </c>
      <c r="F2012">
        <v>1402.4300539999999</v>
      </c>
      <c r="H2012" s="50">
        <f t="shared" si="257"/>
        <v>-8.4071501859234394E-4</v>
      </c>
      <c r="I2012" s="50">
        <f t="shared" si="258"/>
        <v>8.3364469836319424E-3</v>
      </c>
      <c r="J2012" s="50">
        <f t="shared" si="259"/>
        <v>1.6974787116328806E-2</v>
      </c>
      <c r="K2012" s="50">
        <f t="shared" si="260"/>
        <v>-2.6432938491354797E-2</v>
      </c>
      <c r="L2012" s="50">
        <f t="shared" si="261"/>
        <v>-1.6659693296771163E-2</v>
      </c>
      <c r="P2012" s="50">
        <f t="shared" si="256"/>
        <v>-1.6659693296771163E-2</v>
      </c>
      <c r="Q2012" s="51">
        <f t="shared" si="262"/>
        <v>83.302371924386264</v>
      </c>
      <c r="R2012" s="51">
        <f t="shared" si="263"/>
        <v>27.145963590406016</v>
      </c>
    </row>
    <row r="2013" spans="1:18" x14ac:dyDescent="0.15">
      <c r="A2013" s="59">
        <v>43830.75</v>
      </c>
      <c r="B2013">
        <v>32.787567000000003</v>
      </c>
      <c r="C2013">
        <v>269.05718999999999</v>
      </c>
      <c r="D2013">
        <v>114.780762</v>
      </c>
      <c r="E2013">
        <v>94.900497000000001</v>
      </c>
      <c r="F2013">
        <v>1426.1899410000001</v>
      </c>
      <c r="H2013" s="50">
        <f t="shared" si="257"/>
        <v>8.9066077947465242E-3</v>
      </c>
      <c r="I2013" s="50">
        <f t="shared" si="258"/>
        <v>-8.2244171628671823E-4</v>
      </c>
      <c r="J2013" s="50">
        <f t="shared" si="259"/>
        <v>1.0500054138602739E-2</v>
      </c>
      <c r="K2013" s="50">
        <f t="shared" si="260"/>
        <v>1.2288197004374385E-2</v>
      </c>
      <c r="L2013" s="50">
        <f t="shared" si="261"/>
        <v>-2.4774074417705308E-2</v>
      </c>
      <c r="P2013" s="50">
        <f t="shared" si="256"/>
        <v>-2.4774074417705308E-2</v>
      </c>
      <c r="Q2013" s="51">
        <f t="shared" si="262"/>
        <v>81.238632763160155</v>
      </c>
      <c r="R2013" s="51">
        <f t="shared" si="263"/>
        <v>27.387742041316233</v>
      </c>
    </row>
    <row r="2014" spans="1:18" x14ac:dyDescent="0.15">
      <c r="A2014" s="59">
        <v>43832.75</v>
      </c>
      <c r="B2014">
        <v>32.498119000000003</v>
      </c>
      <c r="C2014">
        <v>269.27865600000001</v>
      </c>
      <c r="D2014">
        <v>113.588081</v>
      </c>
      <c r="E2014">
        <v>93.748497</v>
      </c>
      <c r="F2014">
        <v>1462.420044</v>
      </c>
      <c r="H2014" s="50">
        <f t="shared" si="257"/>
        <v>2.0397777316300291E-3</v>
      </c>
      <c r="I2014" s="50">
        <f t="shared" si="258"/>
        <v>-2.742985095825164E-4</v>
      </c>
      <c r="J2014" s="50">
        <f t="shared" si="259"/>
        <v>9.5484598024411713E-3</v>
      </c>
      <c r="K2014" s="50">
        <f t="shared" si="260"/>
        <v>-1.466724169681455E-2</v>
      </c>
      <c r="L2014" s="50">
        <f t="shared" si="261"/>
        <v>2.0899765038679889E-3</v>
      </c>
      <c r="P2014" s="50">
        <f t="shared" si="256"/>
        <v>2.0899765038679889E-3</v>
      </c>
      <c r="Q2014" s="51">
        <f t="shared" si="262"/>
        <v>81.408419596841526</v>
      </c>
      <c r="R2014" s="51">
        <f t="shared" si="263"/>
        <v>27.443606947651741</v>
      </c>
    </row>
    <row r="2015" spans="1:18" x14ac:dyDescent="0.15">
      <c r="A2015" s="59">
        <v>43833.75</v>
      </c>
      <c r="B2015">
        <v>32.431964999999998</v>
      </c>
      <c r="C2015">
        <v>269.35253899999998</v>
      </c>
      <c r="D2015">
        <v>112.51374800000001</v>
      </c>
      <c r="E2015">
        <v>95.143996999999999</v>
      </c>
      <c r="F2015">
        <v>1459.369995</v>
      </c>
      <c r="H2015" s="50">
        <f t="shared" si="257"/>
        <v>9.3515752539915387E-3</v>
      </c>
      <c r="I2015" s="50">
        <f t="shared" si="258"/>
        <v>1.5784854565554743E-3</v>
      </c>
      <c r="J2015" s="50">
        <f t="shared" si="259"/>
        <v>-1.7770810293835911E-3</v>
      </c>
      <c r="K2015" s="50">
        <f t="shared" si="260"/>
        <v>-2.0872533466063893E-3</v>
      </c>
      <c r="L2015" s="50">
        <f t="shared" si="261"/>
        <v>-4.8415420297753713E-3</v>
      </c>
      <c r="P2015" s="50">
        <f t="shared" si="256"/>
        <v>-4.8415420297753713E-3</v>
      </c>
      <c r="Q2015" s="51">
        <f t="shared" si="262"/>
        <v>81.014277311785833</v>
      </c>
      <c r="R2015" s="51">
        <f t="shared" si="263"/>
        <v>27.700247903263669</v>
      </c>
    </row>
    <row r="2016" spans="1:18" x14ac:dyDescent="0.15">
      <c r="A2016" s="59">
        <v>43834.75</v>
      </c>
      <c r="B2016">
        <v>32.131484999999998</v>
      </c>
      <c r="C2016">
        <v>268.92804000000001</v>
      </c>
      <c r="D2016">
        <v>112.71405</v>
      </c>
      <c r="E2016">
        <v>95.343001999999998</v>
      </c>
      <c r="F2016">
        <v>1466.469971</v>
      </c>
      <c r="H2016" s="50">
        <f t="shared" si="257"/>
        <v>3.4434664437062164E-3</v>
      </c>
      <c r="I2016" s="50">
        <f t="shared" si="258"/>
        <v>-1.1333571767410254E-2</v>
      </c>
      <c r="J2016" s="50">
        <f t="shared" si="259"/>
        <v>3.2416241502192505E-3</v>
      </c>
      <c r="K2016" s="50">
        <f t="shared" si="260"/>
        <v>7.8700928280017787E-3</v>
      </c>
      <c r="L2016" s="50">
        <f t="shared" si="261"/>
        <v>3.1329005280879754E-3</v>
      </c>
      <c r="P2016" s="50">
        <f t="shared" si="256"/>
        <v>3.1329005280879754E-3</v>
      </c>
      <c r="Q2016" s="51">
        <f t="shared" si="262"/>
        <v>81.268086983958597</v>
      </c>
      <c r="R2016" s="51">
        <f t="shared" si="263"/>
        <v>27.7956327774009</v>
      </c>
    </row>
    <row r="2017" spans="1:18" x14ac:dyDescent="0.15">
      <c r="A2017" s="59">
        <v>43837.75</v>
      </c>
      <c r="B2017">
        <v>32.021220999999997</v>
      </c>
      <c r="C2017">
        <v>272.010895</v>
      </c>
      <c r="D2017">
        <v>112.34985399999999</v>
      </c>
      <c r="E2017">
        <v>94.598502999999994</v>
      </c>
      <c r="F2017">
        <v>1461.8900149999999</v>
      </c>
      <c r="H2017" s="50">
        <f t="shared" si="257"/>
        <v>-1.0224773339451935E-2</v>
      </c>
      <c r="I2017" s="50">
        <f t="shared" si="258"/>
        <v>-1.5797150920687463E-2</v>
      </c>
      <c r="J2017" s="50">
        <f t="shared" si="259"/>
        <v>-8.0974981141882472E-4</v>
      </c>
      <c r="K2017" s="50">
        <f t="shared" si="260"/>
        <v>-4.7762553278716162E-3</v>
      </c>
      <c r="L2017" s="50">
        <f t="shared" si="261"/>
        <v>3.2529190007410782E-3</v>
      </c>
      <c r="P2017" s="50">
        <f t="shared" si="256"/>
        <v>3.2529190007410782E-3</v>
      </c>
      <c r="Q2017" s="51">
        <f t="shared" si="262"/>
        <v>81.532445488262596</v>
      </c>
      <c r="R2017" s="51">
        <f t="shared" si="263"/>
        <v>27.511428732425337</v>
      </c>
    </row>
    <row r="2018" spans="1:18" x14ac:dyDescent="0.15">
      <c r="A2018" s="59">
        <v>43838.75</v>
      </c>
      <c r="B2018">
        <v>32.352012999999999</v>
      </c>
      <c r="C2018">
        <v>276.37686200000002</v>
      </c>
      <c r="D2018">
        <v>112.44090300000001</v>
      </c>
      <c r="E2018">
        <v>95.052498</v>
      </c>
      <c r="F2018">
        <v>1457.150024</v>
      </c>
      <c r="H2018" s="50">
        <f t="shared" si="257"/>
        <v>8.4206456464202533E-3</v>
      </c>
      <c r="I2018" s="50">
        <f t="shared" si="258"/>
        <v>7.334174394145015E-3</v>
      </c>
      <c r="J2018" s="50">
        <f t="shared" si="259"/>
        <v>-9.8613024428508243E-3</v>
      </c>
      <c r="K2018" s="50">
        <f t="shared" si="260"/>
        <v>9.5000003026827918E-3</v>
      </c>
      <c r="L2018" s="50">
        <f t="shared" si="261"/>
        <v>-2.6488316019104936E-3</v>
      </c>
      <c r="P2018" s="50">
        <f t="shared" si="256"/>
        <v>-2.6488316019104936E-3</v>
      </c>
      <c r="Q2018" s="51">
        <f t="shared" si="262"/>
        <v>81.316479770072235</v>
      </c>
      <c r="R2018" s="51">
        <f t="shared" si="263"/>
        <v>27.743092725007834</v>
      </c>
    </row>
    <row r="2019" spans="1:18" x14ac:dyDescent="0.15">
      <c r="A2019" s="59">
        <v>43839.75</v>
      </c>
      <c r="B2019">
        <v>32.081862999999998</v>
      </c>
      <c r="C2019">
        <v>274.36462399999999</v>
      </c>
      <c r="D2019">
        <v>113.56076</v>
      </c>
      <c r="E2019">
        <v>94.157996999999995</v>
      </c>
      <c r="F2019">
        <v>1461.0200199999999</v>
      </c>
      <c r="H2019" s="50">
        <f t="shared" si="257"/>
        <v>4.3146395151820493E-3</v>
      </c>
      <c r="I2019" s="50">
        <f t="shared" si="258"/>
        <v>-8.770413138005877E-3</v>
      </c>
      <c r="J2019" s="50">
        <f t="shared" si="259"/>
        <v>6.9427600231609524E-3</v>
      </c>
      <c r="K2019" s="50">
        <f t="shared" si="260"/>
        <v>-4.3039707226994219E-3</v>
      </c>
      <c r="L2019" s="50">
        <f t="shared" si="261"/>
        <v>-7.5401292270336198E-3</v>
      </c>
      <c r="P2019" s="50">
        <f t="shared" si="256"/>
        <v>-7.5401292270336198E-3</v>
      </c>
      <c r="Q2019" s="51">
        <f t="shared" si="262"/>
        <v>80.703343004318427</v>
      </c>
      <c r="R2019" s="51">
        <f t="shared" si="263"/>
        <v>27.862794169152512</v>
      </c>
    </row>
    <row r="2020" spans="1:18" x14ac:dyDescent="0.15">
      <c r="A2020" s="59">
        <v>43840.75</v>
      </c>
      <c r="B2020">
        <v>31.944036000000001</v>
      </c>
      <c r="C2020">
        <v>276.79220600000002</v>
      </c>
      <c r="D2020">
        <v>112.777771</v>
      </c>
      <c r="E2020">
        <v>94.565002000000007</v>
      </c>
      <c r="F2020">
        <v>1472.119995</v>
      </c>
      <c r="H2020" s="50">
        <f t="shared" si="257"/>
        <v>-2.5821241273657094E-3</v>
      </c>
      <c r="I2020" s="50">
        <f t="shared" si="258"/>
        <v>4.0027257627072701E-4</v>
      </c>
      <c r="J2020" s="50">
        <f t="shared" si="259"/>
        <v>-1.1097020752957428E-2</v>
      </c>
      <c r="K2020" s="50">
        <f t="shared" si="260"/>
        <v>1.1693362718247313E-2</v>
      </c>
      <c r="L2020" s="50">
        <f t="shared" si="261"/>
        <v>4.7516047465633878E-5</v>
      </c>
      <c r="P2020" s="50">
        <f t="shared" si="256"/>
        <v>4.7516047465633878E-5</v>
      </c>
      <c r="Q2020" s="51">
        <f t="shared" si="262"/>
        <v>80.707177708195246</v>
      </c>
      <c r="R2020" s="51">
        <f t="shared" si="263"/>
        <v>27.790848976072517</v>
      </c>
    </row>
    <row r="2021" spans="1:18" x14ac:dyDescent="0.15">
      <c r="A2021" s="59">
        <v>43841.75</v>
      </c>
      <c r="B2021">
        <v>32.026733</v>
      </c>
      <c r="C2021">
        <v>276.68145800000002</v>
      </c>
      <c r="D2021">
        <v>114.043312</v>
      </c>
      <c r="E2021">
        <v>93.471999999999994</v>
      </c>
      <c r="F2021">
        <v>1472.0500489999999</v>
      </c>
      <c r="H2021" s="50">
        <f t="shared" si="257"/>
        <v>7.806751987065502E-3</v>
      </c>
      <c r="I2021" s="50">
        <f t="shared" si="258"/>
        <v>-3.5568956254541473E-3</v>
      </c>
      <c r="J2021" s="50">
        <f t="shared" si="259"/>
        <v>7.0598373511274043E-2</v>
      </c>
      <c r="K2021" s="50">
        <f t="shared" si="260"/>
        <v>3.9849411710923873E-3</v>
      </c>
      <c r="L2021" s="50">
        <f t="shared" si="261"/>
        <v>9.315384377954018E-4</v>
      </c>
      <c r="P2021" s="50">
        <f t="shared" si="256"/>
        <v>9.315384377954018E-4</v>
      </c>
      <c r="Q2021" s="51">
        <f t="shared" si="262"/>
        <v>80.782359546436425</v>
      </c>
      <c r="R2021" s="51">
        <f t="shared" si="263"/>
        <v>28.007805241538708</v>
      </c>
    </row>
    <row r="2022" spans="1:18" x14ac:dyDescent="0.15">
      <c r="A2022" s="59">
        <v>43844.75</v>
      </c>
      <c r="B2022">
        <v>31.778645000000001</v>
      </c>
      <c r="C2022">
        <v>277.66909800000002</v>
      </c>
      <c r="D2022">
        <v>106.522964</v>
      </c>
      <c r="E2022">
        <v>93.100998000000004</v>
      </c>
      <c r="F2022">
        <v>1470.6800539999999</v>
      </c>
      <c r="H2022" s="50">
        <f t="shared" si="257"/>
        <v>-5.3491834892567701E-3</v>
      </c>
      <c r="I2022" s="50">
        <f t="shared" si="258"/>
        <v>-7.2928869528193895E-3</v>
      </c>
      <c r="J2022" s="50">
        <f t="shared" si="259"/>
        <v>5.8458109226792567E-3</v>
      </c>
      <c r="K2022" s="50">
        <f t="shared" si="260"/>
        <v>-8.4774271229934132E-3</v>
      </c>
      <c r="L2022" s="50">
        <f t="shared" si="261"/>
        <v>-1.127397230484523E-3</v>
      </c>
      <c r="P2022" s="50">
        <f t="shared" si="256"/>
        <v>-1.127397230484523E-3</v>
      </c>
      <c r="Q2022" s="51">
        <f t="shared" si="262"/>
        <v>80.691285738011771</v>
      </c>
      <c r="R2022" s="51">
        <f t="shared" si="263"/>
        <v>27.85798635217035</v>
      </c>
    </row>
    <row r="2023" spans="1:18" x14ac:dyDescent="0.15">
      <c r="A2023" s="59">
        <v>43845.75</v>
      </c>
      <c r="B2023">
        <v>31.949549000000001</v>
      </c>
      <c r="C2023">
        <v>279.70898399999999</v>
      </c>
      <c r="D2023">
        <v>105.90387</v>
      </c>
      <c r="E2023">
        <v>93.897002999999998</v>
      </c>
      <c r="F2023">
        <v>1472.339966</v>
      </c>
      <c r="H2023" s="50">
        <f t="shared" si="257"/>
        <v>8.1771102194219299E-3</v>
      </c>
      <c r="I2023" s="50">
        <f t="shared" si="258"/>
        <v>-5.4158187341397258E-3</v>
      </c>
      <c r="J2023" s="50">
        <f t="shared" si="259"/>
        <v>-5.131576780551865E-3</v>
      </c>
      <c r="K2023" s="50">
        <f t="shared" si="260"/>
        <v>7.0895684070530025E-3</v>
      </c>
      <c r="L2023" s="50">
        <f t="shared" si="261"/>
        <v>-1.9695306968838981E-4</v>
      </c>
      <c r="P2023" s="50">
        <f t="shared" si="256"/>
        <v>-1.9695306968838981E-4</v>
      </c>
      <c r="Q2023" s="51">
        <f t="shared" si="262"/>
        <v>80.675393341588574</v>
      </c>
      <c r="R2023" s="51">
        <f t="shared" si="263"/>
        <v>28.0857841770632</v>
      </c>
    </row>
    <row r="2024" spans="1:18" x14ac:dyDescent="0.15">
      <c r="A2024" s="59">
        <v>43846.75</v>
      </c>
      <c r="B2024">
        <v>31.690412999999999</v>
      </c>
      <c r="C2024">
        <v>281.23208599999998</v>
      </c>
      <c r="D2024">
        <v>106.45012699999999</v>
      </c>
      <c r="E2024">
        <v>93.236000000000004</v>
      </c>
      <c r="F2024">
        <v>1472.630005</v>
      </c>
      <c r="H2024" s="50">
        <f t="shared" si="257"/>
        <v>-5.4505557823870511E-3</v>
      </c>
      <c r="I2024" s="50">
        <f t="shared" si="258"/>
        <v>-2.738924272675896E-2</v>
      </c>
      <c r="J2024" s="50">
        <f t="shared" si="259"/>
        <v>2.5254200857296311E-2</v>
      </c>
      <c r="K2024" s="50">
        <f t="shared" si="260"/>
        <v>-1.441858381434633E-2</v>
      </c>
      <c r="L2024" s="50">
        <f t="shared" si="261"/>
        <v>-5.6112579382448478E-3</v>
      </c>
      <c r="P2024" s="50">
        <f t="shared" si="256"/>
        <v>-5.6112579382448478E-3</v>
      </c>
      <c r="Q2024" s="51">
        <f t="shared" si="262"/>
        <v>80.222702900279558</v>
      </c>
      <c r="R2024" s="51">
        <f t="shared" si="263"/>
        <v>27.932701043714033</v>
      </c>
    </row>
    <row r="2025" spans="1:18" x14ac:dyDescent="0.15">
      <c r="A2025" s="59">
        <v>43847.75</v>
      </c>
      <c r="B2025">
        <v>31.864090000000001</v>
      </c>
      <c r="C2025">
        <v>289.15173299999998</v>
      </c>
      <c r="D2025">
        <v>103.828033</v>
      </c>
      <c r="E2025">
        <v>94.599997999999999</v>
      </c>
      <c r="F2025">
        <v>1480.9399410000001</v>
      </c>
      <c r="H2025" s="50">
        <f t="shared" si="257"/>
        <v>-4.3929194864100697E-3</v>
      </c>
      <c r="I2025" s="50">
        <f t="shared" si="258"/>
        <v>4.3923273875723307E-3</v>
      </c>
      <c r="J2025" s="50">
        <f t="shared" si="259"/>
        <v>1.2293763622035522E-3</v>
      </c>
      <c r="K2025" s="50">
        <f t="shared" si="260"/>
        <v>2.4053171732876994E-3</v>
      </c>
      <c r="L2025" s="50">
        <f t="shared" si="261"/>
        <v>-3.391727390566849E-3</v>
      </c>
      <c r="P2025" s="50">
        <f t="shared" si="256"/>
        <v>-3.391727390566849E-3</v>
      </c>
      <c r="Q2025" s="51">
        <f t="shared" si="262"/>
        <v>79.950609361507375</v>
      </c>
      <c r="R2025" s="51">
        <f t="shared" si="263"/>
        <v>27.809994936991036</v>
      </c>
    </row>
    <row r="2026" spans="1:18" x14ac:dyDescent="0.15">
      <c r="A2026" s="59">
        <v>43848.75</v>
      </c>
      <c r="B2026">
        <v>32.004683999999997</v>
      </c>
      <c r="C2026">
        <v>287.88723800000002</v>
      </c>
      <c r="D2026">
        <v>103.700546</v>
      </c>
      <c r="E2026">
        <v>94.373001000000002</v>
      </c>
      <c r="F2026">
        <v>1485.9799800000001</v>
      </c>
      <c r="H2026" s="50">
        <f t="shared" si="257"/>
        <v>2.5043906398336778E-3</v>
      </c>
      <c r="I2026" s="50">
        <f t="shared" si="258"/>
        <v>-3.1640711801488816E-3</v>
      </c>
      <c r="J2026" s="50">
        <f t="shared" si="259"/>
        <v>-1.4108976967758043E-2</v>
      </c>
      <c r="K2026" s="50">
        <f t="shared" si="260"/>
        <v>1.528245084984319E-3</v>
      </c>
      <c r="L2026" s="50">
        <f t="shared" si="261"/>
        <v>-4.408585745225172E-3</v>
      </c>
      <c r="P2026" s="50">
        <f t="shared" si="256"/>
        <v>-4.408585745225172E-3</v>
      </c>
      <c r="Q2026" s="51">
        <f t="shared" si="262"/>
        <v>79.598140244754163</v>
      </c>
      <c r="R2026" s="51">
        <f t="shared" si="263"/>
        <v>27.879642028005058</v>
      </c>
    </row>
    <row r="2027" spans="1:18" x14ac:dyDescent="0.15">
      <c r="A2027" s="59">
        <v>43852.75</v>
      </c>
      <c r="B2027">
        <v>31.924731999999999</v>
      </c>
      <c r="C2027">
        <v>288.80102499999998</v>
      </c>
      <c r="D2027">
        <v>105.18459300000001</v>
      </c>
      <c r="E2027">
        <v>94.228995999999995</v>
      </c>
      <c r="F2027">
        <v>1492.5600589999999</v>
      </c>
      <c r="H2027" s="50">
        <f t="shared" si="257"/>
        <v>1.2590418660569303E-2</v>
      </c>
      <c r="I2027" s="50">
        <f t="shared" si="258"/>
        <v>7.6326577093115784E-3</v>
      </c>
      <c r="J2027" s="50">
        <f t="shared" si="259"/>
        <v>1.0584385977033282E-2</v>
      </c>
      <c r="K2027" s="50">
        <f t="shared" si="260"/>
        <v>1.2322414512769119E-2</v>
      </c>
      <c r="L2027" s="50">
        <f t="shared" si="261"/>
        <v>-1.5052079603379228E-3</v>
      </c>
      <c r="P2027" s="50">
        <f t="shared" si="256"/>
        <v>-1.5052079603379228E-3</v>
      </c>
      <c r="Q2027" s="51">
        <f t="shared" si="262"/>
        <v>79.478328490429661</v>
      </c>
      <c r="R2027" s="51">
        <f t="shared" si="263"/>
        <v>28.230658393244443</v>
      </c>
    </row>
    <row r="2028" spans="1:18" x14ac:dyDescent="0.15">
      <c r="A2028" s="59">
        <v>43853.75</v>
      </c>
      <c r="B2028">
        <v>31.527784</v>
      </c>
      <c r="C2028">
        <v>286.61340300000001</v>
      </c>
      <c r="D2028">
        <v>104.082939</v>
      </c>
      <c r="E2028">
        <v>93.082001000000005</v>
      </c>
      <c r="F2028">
        <v>1494.8100589999999</v>
      </c>
      <c r="H2028" s="50">
        <f t="shared" si="257"/>
        <v>-1.2860114951486333E-2</v>
      </c>
      <c r="I2028" s="50">
        <f t="shared" si="258"/>
        <v>3.4254348099292775E-3</v>
      </c>
      <c r="J2028" s="50">
        <f t="shared" si="259"/>
        <v>-1.261027469529722E-2</v>
      </c>
      <c r="K2028" s="50">
        <f t="shared" si="260"/>
        <v>1.8213253552402768E-2</v>
      </c>
      <c r="L2028" s="50">
        <f t="shared" si="261"/>
        <v>-6.6141745208974585E-6</v>
      </c>
      <c r="P2028" s="50">
        <f t="shared" si="256"/>
        <v>-6.6141745208974585E-6</v>
      </c>
      <c r="Q2028" s="51">
        <f t="shared" si="262"/>
        <v>79.477802806894402</v>
      </c>
      <c r="R2028" s="51">
        <f t="shared" si="263"/>
        <v>27.867608881151178</v>
      </c>
    </row>
    <row r="2029" spans="1:18" x14ac:dyDescent="0.15">
      <c r="A2029" s="59">
        <v>43854.75</v>
      </c>
      <c r="B2029">
        <v>31.938517000000001</v>
      </c>
      <c r="C2029">
        <v>285.63497899999999</v>
      </c>
      <c r="D2029">
        <v>105.412216</v>
      </c>
      <c r="E2029">
        <v>91.417000000000002</v>
      </c>
      <c r="F2029">
        <v>1494.8199460000001</v>
      </c>
      <c r="H2029" s="50">
        <f t="shared" si="257"/>
        <v>-6.3462701192333881E-3</v>
      </c>
      <c r="I2029" s="50">
        <f t="shared" si="258"/>
        <v>-4.5037100976855404E-3</v>
      </c>
      <c r="J2029" s="50">
        <f t="shared" si="259"/>
        <v>2.9451868629520235E-3</v>
      </c>
      <c r="K2029" s="50">
        <f t="shared" si="260"/>
        <v>-1.3441230561256807E-2</v>
      </c>
      <c r="L2029" s="50">
        <f t="shared" si="261"/>
        <v>-5.4159892553517922E-3</v>
      </c>
      <c r="P2029" s="50">
        <f t="shared" si="256"/>
        <v>-5.4159892553517922E-3</v>
      </c>
      <c r="Q2029" s="51">
        <f t="shared" si="262"/>
        <v>79.047351880853299</v>
      </c>
      <c r="R2029" s="51">
        <f t="shared" si="263"/>
        <v>27.690753507614243</v>
      </c>
    </row>
    <row r="2030" spans="1:18" x14ac:dyDescent="0.15">
      <c r="A2030" s="59">
        <v>43855.75</v>
      </c>
      <c r="B2030">
        <v>32.142502</v>
      </c>
      <c r="C2030">
        <v>286.92721599999999</v>
      </c>
      <c r="D2030">
        <v>105.10266900000001</v>
      </c>
      <c r="E2030">
        <v>92.662497999999999</v>
      </c>
      <c r="F2030">
        <v>1502.959961</v>
      </c>
      <c r="H2030" s="50">
        <f t="shared" si="257"/>
        <v>6.1262811812655797E-3</v>
      </c>
      <c r="I2030" s="50">
        <f t="shared" si="258"/>
        <v>4.1024771462109541E-3</v>
      </c>
      <c r="J2030" s="50">
        <f t="shared" si="259"/>
        <v>1.023907532041691E-2</v>
      </c>
      <c r="K2030" s="50">
        <f t="shared" si="260"/>
        <v>-2.5565553809137839E-3</v>
      </c>
      <c r="L2030" s="50">
        <f t="shared" si="261"/>
        <v>1.853048900755545E-3</v>
      </c>
      <c r="P2030" s="50">
        <f t="shared" si="256"/>
        <v>1.853048900755545E-3</v>
      </c>
      <c r="Q2030" s="51">
        <f t="shared" si="262"/>
        <v>79.193830489363748</v>
      </c>
      <c r="R2030" s="51">
        <f t="shared" si="263"/>
        <v>27.860394849723008</v>
      </c>
    </row>
    <row r="2031" spans="1:18" x14ac:dyDescent="0.15">
      <c r="A2031" s="59">
        <v>43858.75</v>
      </c>
      <c r="B2031">
        <v>31.946787</v>
      </c>
      <c r="C2031">
        <v>285.75491299999999</v>
      </c>
      <c r="D2031">
        <v>104.03742200000001</v>
      </c>
      <c r="E2031">
        <v>92.900002000000001</v>
      </c>
      <c r="F2031">
        <v>1500.1800539999999</v>
      </c>
      <c r="H2031" s="50">
        <f t="shared" si="257"/>
        <v>-5.9188472502458289E-3</v>
      </c>
      <c r="I2031" s="50">
        <f t="shared" si="258"/>
        <v>3.5543776742472132E-4</v>
      </c>
      <c r="J2031" s="50">
        <f t="shared" si="259"/>
        <v>-3.4882033795727734E-3</v>
      </c>
      <c r="K2031" s="50">
        <f t="shared" si="260"/>
        <v>-6.7782305935241791E-3</v>
      </c>
      <c r="L2031" s="50">
        <f t="shared" si="261"/>
        <v>-5.0800563539380788E-3</v>
      </c>
      <c r="P2031" s="50">
        <f t="shared" si="256"/>
        <v>-5.0800563539380788E-3</v>
      </c>
      <c r="Q2031" s="51">
        <f t="shared" si="262"/>
        <v>78.79152136759356</v>
      </c>
      <c r="R2031" s="51">
        <f t="shared" si="263"/>
        <v>27.695493428275963</v>
      </c>
    </row>
    <row r="2032" spans="1:18" x14ac:dyDescent="0.15">
      <c r="A2032" s="59">
        <v>43859.75</v>
      </c>
      <c r="B2032">
        <v>32.137000999999998</v>
      </c>
      <c r="C2032">
        <v>285.65338100000002</v>
      </c>
      <c r="D2032">
        <v>104.401596</v>
      </c>
      <c r="E2032">
        <v>93.533996999999999</v>
      </c>
      <c r="F2032">
        <v>1507.839966</v>
      </c>
      <c r="H2032" s="50">
        <f t="shared" si="257"/>
        <v>1.8255114389490186E-2</v>
      </c>
      <c r="I2032" s="50">
        <f t="shared" si="258"/>
        <v>1.292872525306394E-2</v>
      </c>
      <c r="J2032" s="50">
        <f t="shared" si="259"/>
        <v>3.5488381819434749E-2</v>
      </c>
      <c r="K2032" s="50">
        <f t="shared" si="260"/>
        <v>-6.8720381199581265E-2</v>
      </c>
      <c r="L2032" s="50">
        <f t="shared" si="261"/>
        <v>3.9148879814912604E-3</v>
      </c>
      <c r="P2032" s="50">
        <f t="shared" si="256"/>
        <v>3.9148879814912604E-3</v>
      </c>
      <c r="Q2032" s="51">
        <f t="shared" si="262"/>
        <v>79.099981347638959</v>
      </c>
      <c r="R2032" s="51">
        <f t="shared" si="263"/>
        <v>28.201077828882514</v>
      </c>
    </row>
    <row r="2033" spans="1:18" x14ac:dyDescent="0.15">
      <c r="A2033" s="59">
        <v>43860.75</v>
      </c>
      <c r="B2033">
        <v>31.560853999999999</v>
      </c>
      <c r="C2033">
        <v>282.007385</v>
      </c>
      <c r="D2033">
        <v>100.823532</v>
      </c>
      <c r="E2033">
        <v>100.435997</v>
      </c>
      <c r="F2033">
        <v>1501.959961</v>
      </c>
      <c r="H2033" s="50">
        <f t="shared" si="257"/>
        <v>1.9251935145829162E-3</v>
      </c>
      <c r="I2033" s="50">
        <f t="shared" si="258"/>
        <v>1.1655672134857265E-2</v>
      </c>
      <c r="J2033" s="50">
        <f t="shared" si="259"/>
        <v>-1.5731807344792771E-2</v>
      </c>
      <c r="K2033" s="50">
        <f t="shared" si="260"/>
        <v>2.2552440101312062E-3</v>
      </c>
      <c r="L2033" s="50">
        <f t="shared" si="261"/>
        <v>2.5698887521932974E-3</v>
      </c>
      <c r="P2033" s="50">
        <f t="shared" si="256"/>
        <v>2.5698887521932974E-3</v>
      </c>
      <c r="Q2033" s="51">
        <f t="shared" si="262"/>
        <v>79.303259500002952</v>
      </c>
      <c r="R2033" s="51">
        <f t="shared" si="263"/>
        <v>28.25537036102293</v>
      </c>
    </row>
    <row r="2034" spans="1:18" x14ac:dyDescent="0.15">
      <c r="A2034" s="59">
        <v>43861.75</v>
      </c>
      <c r="B2034">
        <v>31.500209999999999</v>
      </c>
      <c r="C2034">
        <v>278.75826999999998</v>
      </c>
      <c r="D2034">
        <v>102.43501999999999</v>
      </c>
      <c r="E2034">
        <v>100.209999</v>
      </c>
      <c r="F2034">
        <v>1498.1099850000001</v>
      </c>
      <c r="H2034" s="50">
        <f t="shared" si="257"/>
        <v>-8.6752921831420859E-3</v>
      </c>
      <c r="I2034" s="50">
        <f t="shared" si="258"/>
        <v>-9.511534007035154E-3</v>
      </c>
      <c r="J2034" s="50">
        <f t="shared" si="259"/>
        <v>-6.5343809933068302E-3</v>
      </c>
      <c r="K2034" s="50">
        <f t="shared" si="260"/>
        <v>-2.2184049572546802E-2</v>
      </c>
      <c r="L2034" s="50">
        <f t="shared" si="261"/>
        <v>-9.9526547328344477E-3</v>
      </c>
      <c r="P2034" s="50">
        <f t="shared" si="256"/>
        <v>-9.9526547328344477E-3</v>
      </c>
      <c r="Q2034" s="51">
        <f t="shared" si="262"/>
        <v>78.513981539011041</v>
      </c>
      <c r="R2034" s="51">
        <f t="shared" si="263"/>
        <v>28.010246767398161</v>
      </c>
    </row>
    <row r="2035" spans="1:18" x14ac:dyDescent="0.15">
      <c r="A2035" s="59">
        <v>43862.75</v>
      </c>
      <c r="B2035">
        <v>31.775874999999999</v>
      </c>
      <c r="C2035">
        <v>281.43515000000002</v>
      </c>
      <c r="D2035">
        <v>103.108772</v>
      </c>
      <c r="E2035">
        <v>102.483498</v>
      </c>
      <c r="F2035">
        <v>1513.170044</v>
      </c>
      <c r="H2035" s="50">
        <f t="shared" si="257"/>
        <v>-1.3183873082822794E-2</v>
      </c>
      <c r="I2035" s="50">
        <f t="shared" si="258"/>
        <v>-1.3108905624605248E-2</v>
      </c>
      <c r="J2035" s="50">
        <f t="shared" si="259"/>
        <v>-1.9735029064570368E-2</v>
      </c>
      <c r="K2035" s="50">
        <f t="shared" si="260"/>
        <v>4.8042081113012095E-3</v>
      </c>
      <c r="L2035" s="50">
        <f t="shared" si="261"/>
        <v>1.1673441680047714E-2</v>
      </c>
      <c r="P2035" s="50">
        <f t="shared" si="256"/>
        <v>1.1673441680047714E-2</v>
      </c>
      <c r="Q2035" s="51">
        <f t="shared" si="262"/>
        <v>79.43050992357503</v>
      </c>
      <c r="R2035" s="51">
        <f t="shared" si="263"/>
        <v>27.640963228998238</v>
      </c>
    </row>
    <row r="2036" spans="1:18" x14ac:dyDescent="0.15">
      <c r="A2036" s="59">
        <v>43865.75</v>
      </c>
      <c r="B2036">
        <v>32.200400999999999</v>
      </c>
      <c r="C2036">
        <v>285.17346199999997</v>
      </c>
      <c r="D2036">
        <v>105.18459300000001</v>
      </c>
      <c r="E2036">
        <v>101.9935</v>
      </c>
      <c r="F2036">
        <v>1495.709961</v>
      </c>
      <c r="H2036" s="50">
        <f t="shared" si="257"/>
        <v>4.2988445498548774E-3</v>
      </c>
      <c r="I2036" s="50">
        <f t="shared" si="258"/>
        <v>-7.4366584460597643E-3</v>
      </c>
      <c r="J2036" s="50">
        <f t="shared" si="259"/>
        <v>3.3870609110531534E-3</v>
      </c>
      <c r="K2036" s="50">
        <f t="shared" si="260"/>
        <v>-5.0530624872252936E-3</v>
      </c>
      <c r="L2036" s="50">
        <f t="shared" si="261"/>
        <v>-1.0309125050747428E-2</v>
      </c>
      <c r="P2036" s="50">
        <f t="shared" si="256"/>
        <v>-1.0309125050747428E-2</v>
      </c>
      <c r="Q2036" s="51">
        <f t="shared" si="262"/>
        <v>78.611650863928261</v>
      </c>
      <c r="R2036" s="51">
        <f t="shared" si="263"/>
        <v>27.759787433127954</v>
      </c>
    </row>
    <row r="2037" spans="1:18" x14ac:dyDescent="0.15">
      <c r="A2037" s="59">
        <v>43866.75</v>
      </c>
      <c r="B2037">
        <v>32.062569000000003</v>
      </c>
      <c r="C2037">
        <v>287.310089</v>
      </c>
      <c r="D2037">
        <v>104.82952899999999</v>
      </c>
      <c r="E2037">
        <v>102.51149700000001</v>
      </c>
      <c r="F2037">
        <v>1511.290039</v>
      </c>
      <c r="H2037" s="50">
        <f t="shared" si="257"/>
        <v>-1.202230623302632E-3</v>
      </c>
      <c r="I2037" s="50">
        <f t="shared" si="258"/>
        <v>-9.6296945183039565E-3</v>
      </c>
      <c r="J2037" s="50">
        <f t="shared" si="259"/>
        <v>-4.065290174144599E-3</v>
      </c>
      <c r="K2037" s="50">
        <f t="shared" si="260"/>
        <v>-1.3971182735500257E-2</v>
      </c>
      <c r="L2037" s="50">
        <f t="shared" si="261"/>
        <v>-5.4886913918497475E-4</v>
      </c>
      <c r="P2037" s="50">
        <f t="shared" si="256"/>
        <v>-5.4886913918497475E-4</v>
      </c>
      <c r="Q2037" s="51">
        <f t="shared" si="262"/>
        <v>78.568503354788675</v>
      </c>
      <c r="R2037" s="51">
        <f t="shared" si="263"/>
        <v>27.726413766579476</v>
      </c>
    </row>
    <row r="2038" spans="1:18" x14ac:dyDescent="0.15">
      <c r="A2038" s="59">
        <v>43867.75</v>
      </c>
      <c r="B2038">
        <v>32.101162000000002</v>
      </c>
      <c r="C2038">
        <v>290.10369900000001</v>
      </c>
      <c r="D2038">
        <v>105.257431</v>
      </c>
      <c r="E2038">
        <v>103.96399700000001</v>
      </c>
      <c r="F2038">
        <v>1512.119995</v>
      </c>
      <c r="H2038" s="50">
        <f t="shared" si="257"/>
        <v>1.0412188239712669E-2</v>
      </c>
      <c r="I2038" s="50">
        <f t="shared" si="258"/>
        <v>-5.0972664933837957E-4</v>
      </c>
      <c r="J2038" s="50">
        <f t="shared" si="259"/>
        <v>-1.171142099169975E-2</v>
      </c>
      <c r="K2038" s="50">
        <f t="shared" si="260"/>
        <v>-2.5600947773778207E-2</v>
      </c>
      <c r="L2038" s="50">
        <f t="shared" si="261"/>
        <v>1.8086644093773662E-3</v>
      </c>
      <c r="P2038" s="50">
        <f t="shared" si="256"/>
        <v>1.8086644093773662E-3</v>
      </c>
      <c r="Q2038" s="51">
        <f t="shared" si="262"/>
        <v>78.710607410504522</v>
      </c>
      <c r="R2038" s="51">
        <f t="shared" si="263"/>
        <v>28.015106405929259</v>
      </c>
    </row>
    <row r="2039" spans="1:18" x14ac:dyDescent="0.15">
      <c r="A2039" s="59">
        <v>43868.75</v>
      </c>
      <c r="B2039">
        <v>31.770363</v>
      </c>
      <c r="C2039">
        <v>290.25164799999999</v>
      </c>
      <c r="D2039">
        <v>106.50475299999999</v>
      </c>
      <c r="E2039">
        <v>106.695503</v>
      </c>
      <c r="F2039">
        <v>1509.3900149999999</v>
      </c>
      <c r="H2039" s="50">
        <f t="shared" si="257"/>
        <v>-1.2998042984923384E-3</v>
      </c>
      <c r="I2039" s="50">
        <f t="shared" si="258"/>
        <v>1.0010622119617868E-2</v>
      </c>
      <c r="J2039" s="50">
        <f t="shared" si="259"/>
        <v>2.4852052258717318E-3</v>
      </c>
      <c r="K2039" s="50">
        <f t="shared" si="260"/>
        <v>-7.8528732764285673E-3</v>
      </c>
      <c r="L2039" s="50">
        <f t="shared" si="261"/>
        <v>-5.6261083819346917E-3</v>
      </c>
      <c r="P2039" s="50">
        <f t="shared" si="256"/>
        <v>-5.6261083819346917E-3</v>
      </c>
      <c r="Q2039" s="51">
        <f t="shared" si="262"/>
        <v>78.267773002405107</v>
      </c>
      <c r="R2039" s="51">
        <f t="shared" si="263"/>
        <v>27.978692250200112</v>
      </c>
    </row>
    <row r="2040" spans="1:18" x14ac:dyDescent="0.15">
      <c r="A2040" s="59">
        <v>43869.75</v>
      </c>
      <c r="B2040">
        <v>31.811712</v>
      </c>
      <c r="C2040">
        <v>287.37484699999999</v>
      </c>
      <c r="D2040">
        <v>106.240723</v>
      </c>
      <c r="E2040">
        <v>107.540001</v>
      </c>
      <c r="F2040">
        <v>1517.9300539999999</v>
      </c>
      <c r="H2040" s="50">
        <f t="shared" si="257"/>
        <v>-3.8842041539832251E-3</v>
      </c>
      <c r="I2040" s="50">
        <f t="shared" si="258"/>
        <v>-1.4090260691072819E-2</v>
      </c>
      <c r="J2040" s="50">
        <f t="shared" si="259"/>
        <v>-1.2022720086599164E-2</v>
      </c>
      <c r="K2040" s="50">
        <f t="shared" si="260"/>
        <v>-4.2592499999999653E-3</v>
      </c>
      <c r="L2040" s="50">
        <f t="shared" si="261"/>
        <v>6.0648512134732827E-4</v>
      </c>
      <c r="P2040" s="50">
        <f t="shared" si="256"/>
        <v>6.0648512134732827E-4</v>
      </c>
      <c r="Q2040" s="51">
        <f t="shared" si="262"/>
        <v>78.315241242212068</v>
      </c>
      <c r="R2040" s="51">
        <f t="shared" si="263"/>
        <v>27.870017297538865</v>
      </c>
    </row>
    <row r="2041" spans="1:18" x14ac:dyDescent="0.15">
      <c r="A2041" s="59">
        <v>43872.75</v>
      </c>
      <c r="B2041">
        <v>31.935756999999999</v>
      </c>
      <c r="C2041">
        <v>291.48190299999999</v>
      </c>
      <c r="D2041">
        <v>107.533569</v>
      </c>
      <c r="E2041">
        <v>108</v>
      </c>
      <c r="F2041">
        <v>1517.01001</v>
      </c>
      <c r="H2041" s="50">
        <f t="shared" si="257"/>
        <v>-1.3538983931862252E-2</v>
      </c>
      <c r="I2041" s="50">
        <f t="shared" si="258"/>
        <v>-9.6794773196608851E-3</v>
      </c>
      <c r="J2041" s="50">
        <f t="shared" si="259"/>
        <v>-1.4372029640089368E-3</v>
      </c>
      <c r="K2041" s="50">
        <f t="shared" si="260"/>
        <v>4.711912813332924E-3</v>
      </c>
      <c r="L2041" s="50">
        <f t="shared" si="261"/>
        <v>-1.5927314282279965E-3</v>
      </c>
      <c r="P2041" s="50">
        <f t="shared" si="256"/>
        <v>-1.5927314282279965E-3</v>
      </c>
      <c r="Q2041" s="51">
        <f t="shared" si="262"/>
        <v>78.190506096176335</v>
      </c>
      <c r="R2041" s="51">
        <f t="shared" si="263"/>
        <v>27.492685581166764</v>
      </c>
    </row>
    <row r="2042" spans="1:18" x14ac:dyDescent="0.15">
      <c r="A2042" s="59">
        <v>43873.75</v>
      </c>
      <c r="B2042">
        <v>32.374068999999999</v>
      </c>
      <c r="C2042">
        <v>294.330872</v>
      </c>
      <c r="D2042">
        <v>107.688339</v>
      </c>
      <c r="E2042">
        <v>107.4935</v>
      </c>
      <c r="F2042">
        <v>1519.4300539999999</v>
      </c>
      <c r="H2042" s="50">
        <f t="shared" si="257"/>
        <v>-3.8171440014729461E-3</v>
      </c>
      <c r="I2042" s="50">
        <f t="shared" si="258"/>
        <v>-3.4514872415837723E-4</v>
      </c>
      <c r="J2042" s="50">
        <f t="shared" si="259"/>
        <v>1.4147333366802912E-2</v>
      </c>
      <c r="K2042" s="50">
        <f t="shared" si="260"/>
        <v>7.026188948273197E-3</v>
      </c>
      <c r="L2042" s="50">
        <f t="shared" si="261"/>
        <v>-5.9191229933254767E-4</v>
      </c>
      <c r="P2042" s="50">
        <f t="shared" si="256"/>
        <v>-5.9191229933254767E-4</v>
      </c>
      <c r="Q2042" s="51">
        <f t="shared" si="262"/>
        <v>78.144224173926972</v>
      </c>
      <c r="R2042" s="51">
        <f t="shared" si="263"/>
        <v>27.387742041316233</v>
      </c>
    </row>
    <row r="2043" spans="1:18" x14ac:dyDescent="0.15">
      <c r="A2043" s="59">
        <v>43874.75</v>
      </c>
      <c r="B2043">
        <v>32.498119000000003</v>
      </c>
      <c r="C2043">
        <v>294.43249500000002</v>
      </c>
      <c r="D2043">
        <v>106.186089</v>
      </c>
      <c r="E2043">
        <v>106.7435</v>
      </c>
      <c r="F2043">
        <v>1520.329956</v>
      </c>
      <c r="H2043" s="50">
        <f t="shared" si="257"/>
        <v>-1.4544855905382946E-2</v>
      </c>
      <c r="I2043" s="50">
        <f t="shared" si="258"/>
        <v>-1.1613179849145857E-2</v>
      </c>
      <c r="J2043" s="50">
        <f t="shared" si="259"/>
        <v>-1.5785312542030965E-2</v>
      </c>
      <c r="K2043" s="50">
        <f t="shared" si="260"/>
        <v>-9.6489814336240924E-3</v>
      </c>
      <c r="L2043" s="50">
        <f t="shared" si="261"/>
        <v>-6.9019508377194988E-4</v>
      </c>
      <c r="P2043" s="50">
        <f t="shared" si="256"/>
        <v>-6.9019508377194988E-4</v>
      </c>
      <c r="Q2043" s="51">
        <f t="shared" si="262"/>
        <v>78.090289414576958</v>
      </c>
      <c r="R2043" s="51">
        <f t="shared" si="263"/>
        <v>26.989391279751491</v>
      </c>
    </row>
    <row r="2044" spans="1:18" x14ac:dyDescent="0.15">
      <c r="A2044" s="59">
        <v>43875.75</v>
      </c>
      <c r="B2044">
        <v>32.977775999999999</v>
      </c>
      <c r="C2044">
        <v>297.89196800000002</v>
      </c>
      <c r="D2044">
        <v>107.88915299999999</v>
      </c>
      <c r="E2044">
        <v>107.783501</v>
      </c>
      <c r="F2044">
        <v>1521.380005</v>
      </c>
      <c r="H2044" s="50">
        <f t="shared" si="257"/>
        <v>1.6570664440623467E-2</v>
      </c>
      <c r="I2044" s="50">
        <f t="shared" si="258"/>
        <v>-3.0030465018810338E-3</v>
      </c>
      <c r="J2044" s="50">
        <f t="shared" si="259"/>
        <v>3.7481155037067003E-3</v>
      </c>
      <c r="K2044" s="50">
        <f t="shared" si="260"/>
        <v>-6.7043985088258949E-3</v>
      </c>
      <c r="L2044" s="50">
        <f t="shared" si="261"/>
        <v>1.0461747736195052E-3</v>
      </c>
      <c r="P2044" s="50">
        <f t="shared" si="256"/>
        <v>1.0461747736195052E-3</v>
      </c>
      <c r="Q2044" s="51">
        <f t="shared" si="262"/>
        <v>78.171985505427131</v>
      </c>
      <c r="R2044" s="51">
        <f t="shared" si="263"/>
        <v>27.436623426104941</v>
      </c>
    </row>
    <row r="2045" spans="1:18" x14ac:dyDescent="0.15">
      <c r="A2045" s="59">
        <v>43876.75</v>
      </c>
      <c r="B2045">
        <v>32.440219999999997</v>
      </c>
      <c r="C2045">
        <v>298.78924599999999</v>
      </c>
      <c r="D2045">
        <v>107.486282</v>
      </c>
      <c r="E2045">
        <v>108.511002</v>
      </c>
      <c r="F2045">
        <v>1519.790039</v>
      </c>
      <c r="H2045" s="50">
        <f t="shared" si="257"/>
        <v>-8.525725714646478E-5</v>
      </c>
      <c r="I2045" s="50">
        <f t="shared" si="258"/>
        <v>-3.2709401740051679E-3</v>
      </c>
      <c r="J2045" s="50">
        <f t="shared" si="259"/>
        <v>-7.3568034723267214E-3</v>
      </c>
      <c r="K2045" s="50">
        <f t="shared" si="260"/>
        <v>7.9513539357331763E-3</v>
      </c>
      <c r="L2045" s="50">
        <f t="shared" si="261"/>
        <v>-7.2830433783816935E-3</v>
      </c>
      <c r="P2045" s="50">
        <f t="shared" si="256"/>
        <v>-7.2830433783816935E-3</v>
      </c>
      <c r="Q2045" s="51">
        <f t="shared" si="262"/>
        <v>77.602655544016883</v>
      </c>
      <c r="R2045" s="51">
        <f t="shared" si="263"/>
        <v>27.434284254846268</v>
      </c>
    </row>
    <row r="2046" spans="1:18" x14ac:dyDescent="0.15">
      <c r="A2046" s="59">
        <v>43880.75</v>
      </c>
      <c r="B2046">
        <v>32.442985999999998</v>
      </c>
      <c r="C2046">
        <v>299.76977499999998</v>
      </c>
      <c r="D2046">
        <v>108.282898</v>
      </c>
      <c r="E2046">
        <v>107.654999</v>
      </c>
      <c r="F2046">
        <v>1530.9399410000001</v>
      </c>
      <c r="H2046" s="50">
        <f t="shared" si="257"/>
        <v>-7.5054924803740607E-3</v>
      </c>
      <c r="I2046" s="50">
        <f t="shared" si="258"/>
        <v>6.6159063276792366E-3</v>
      </c>
      <c r="J2046" s="50">
        <f t="shared" si="259"/>
        <v>1.0682887960446608E-2</v>
      </c>
      <c r="K2046" s="50">
        <f t="shared" si="260"/>
        <v>2.7257059977003482E-2</v>
      </c>
      <c r="L2046" s="50">
        <f t="shared" si="261"/>
        <v>1.2559932944499983E-2</v>
      </c>
      <c r="P2046" s="50">
        <f t="shared" si="256"/>
        <v>1.2559932944499983E-2</v>
      </c>
      <c r="Q2046" s="51">
        <f t="shared" si="262"/>
        <v>78.577339693964873</v>
      </c>
      <c r="R2046" s="51">
        <f t="shared" si="263"/>
        <v>27.228376440667077</v>
      </c>
    </row>
    <row r="2047" spans="1:18" x14ac:dyDescent="0.15">
      <c r="A2047" s="59">
        <v>43881.75</v>
      </c>
      <c r="B2047">
        <v>32.688327999999998</v>
      </c>
      <c r="C2047">
        <v>297.79956099999998</v>
      </c>
      <c r="D2047">
        <v>107.138351</v>
      </c>
      <c r="E2047">
        <v>104.7985</v>
      </c>
      <c r="F2047">
        <v>1511.9499510000001</v>
      </c>
      <c r="H2047" s="50">
        <f t="shared" si="257"/>
        <v>1.942937165228252E-2</v>
      </c>
      <c r="I2047" s="50">
        <f t="shared" si="258"/>
        <v>2.6561122376986716E-2</v>
      </c>
      <c r="J2047" s="50">
        <f t="shared" si="259"/>
        <v>2.8388094914367962E-2</v>
      </c>
      <c r="K2047" s="50">
        <f t="shared" si="260"/>
        <v>4.3139616481443724E-2</v>
      </c>
      <c r="L2047" s="50">
        <f t="shared" si="261"/>
        <v>6.3430377130938315E-3</v>
      </c>
      <c r="P2047" s="50">
        <f t="shared" si="256"/>
        <v>6.3430377130938315E-3</v>
      </c>
      <c r="Q2047" s="51">
        <f t="shared" si="262"/>
        <v>79.075758723038277</v>
      </c>
      <c r="R2047" s="51">
        <f t="shared" si="263"/>
        <v>27.757406686021049</v>
      </c>
    </row>
    <row r="2048" spans="1:18" x14ac:dyDescent="0.15">
      <c r="A2048" s="59">
        <v>43882.75</v>
      </c>
      <c r="B2048">
        <v>32.065319000000002</v>
      </c>
      <c r="C2048">
        <v>290.09433000000001</v>
      </c>
      <c r="D2048">
        <v>104.18085499999999</v>
      </c>
      <c r="E2048">
        <v>100.4645</v>
      </c>
      <c r="F2048">
        <v>1502.420044</v>
      </c>
      <c r="H2048" s="50">
        <f t="shared" si="257"/>
        <v>1.6872011035702697E-2</v>
      </c>
      <c r="I2048" s="50">
        <f t="shared" si="258"/>
        <v>2.8700627628158018E-2</v>
      </c>
      <c r="J2048" s="50">
        <f t="shared" si="259"/>
        <v>1.8438891064249525E-2</v>
      </c>
      <c r="K2048" s="50">
        <f t="shared" si="260"/>
        <v>1.8527519911113306E-2</v>
      </c>
      <c r="L2048" s="50">
        <f t="shared" si="261"/>
        <v>-8.6961811881158327E-3</v>
      </c>
      <c r="P2048" s="50">
        <f t="shared" si="256"/>
        <v>-8.6961811881158327E-3</v>
      </c>
      <c r="Q2048" s="51">
        <f t="shared" si="262"/>
        <v>78.388101597594996</v>
      </c>
      <c r="R2048" s="51">
        <f t="shared" si="263"/>
        <v>28.225729957950087</v>
      </c>
    </row>
    <row r="2049" spans="1:18" x14ac:dyDescent="0.15">
      <c r="A2049" s="59">
        <v>43883.75</v>
      </c>
      <c r="B2049">
        <v>31.533289</v>
      </c>
      <c r="C2049">
        <v>282.00073200000003</v>
      </c>
      <c r="D2049">
        <v>102.29465500000001</v>
      </c>
      <c r="E2049">
        <v>98.637000999999998</v>
      </c>
      <c r="F2049">
        <v>1515.599976</v>
      </c>
      <c r="H2049" s="50">
        <f t="shared" si="257"/>
        <v>5.3611757130967632E-3</v>
      </c>
      <c r="I2049" s="50">
        <f t="shared" si="258"/>
        <v>-2.6826529196422072E-3</v>
      </c>
      <c r="J2049" s="50">
        <f t="shared" si="259"/>
        <v>9.5789075057093193E-3</v>
      </c>
      <c r="K2049" s="50">
        <f t="shared" si="260"/>
        <v>-3.4603023858476114E-3</v>
      </c>
      <c r="L2049" s="50">
        <f t="shared" si="261"/>
        <v>1.8651073997799358E-2</v>
      </c>
      <c r="P2049" s="50">
        <f t="shared" ref="P2049:P2112" si="264">(F2049-F2050)/F2050</f>
        <v>1.8651073997799358E-2</v>
      </c>
      <c r="Q2049" s="51">
        <f t="shared" si="262"/>
        <v>79.850123881038755</v>
      </c>
      <c r="R2049" s="51">
        <f t="shared" si="263"/>
        <v>28.377053055885074</v>
      </c>
    </row>
    <row r="2050" spans="1:18" x14ac:dyDescent="0.15">
      <c r="A2050" s="59">
        <v>43886.75</v>
      </c>
      <c r="B2050">
        <v>31.365134999999999</v>
      </c>
      <c r="C2050">
        <v>282.759277</v>
      </c>
      <c r="D2050">
        <v>101.32408100000001</v>
      </c>
      <c r="E2050">
        <v>98.979500000000002</v>
      </c>
      <c r="F2050">
        <v>1487.849976</v>
      </c>
      <c r="H2050" s="50">
        <f t="shared" ref="H2050:H2113" si="265">(B2050-B2051)/B2051</f>
        <v>3.0615947195888865E-2</v>
      </c>
      <c r="I2050" s="50">
        <f t="shared" ref="I2050:I2113" si="266">(C2050-C2051)/C2051</f>
        <v>4.2848084114698086E-2</v>
      </c>
      <c r="J2050" s="50">
        <f t="shared" ref="J2050:J2113" si="267">(D2050-D2051)/D2051</f>
        <v>4.7718350155332712E-2</v>
      </c>
      <c r="K2050" s="50">
        <f t="shared" ref="K2050:K2113" si="268">(E2050-E2051)/E2051</f>
        <v>5.0570548238414212E-2</v>
      </c>
      <c r="L2050" s="50">
        <f t="shared" ref="L2050:L2113" si="269">(F2050-F2051)/F2051</f>
        <v>-6.0723645291525562E-3</v>
      </c>
      <c r="P2050" s="50">
        <f t="shared" si="264"/>
        <v>-6.0723645291525562E-3</v>
      </c>
      <c r="Q2050" s="51">
        <f t="shared" si="262"/>
        <v>79.365244821135093</v>
      </c>
      <c r="R2050" s="51">
        <f t="shared" si="263"/>
        <v>29.245843413818989</v>
      </c>
    </row>
    <row r="2051" spans="1:18" x14ac:dyDescent="0.15">
      <c r="A2051" s="59">
        <v>43887.75</v>
      </c>
      <c r="B2051">
        <v>30.433388000000001</v>
      </c>
      <c r="C2051">
        <v>271.14138800000001</v>
      </c>
      <c r="D2051">
        <v>96.709273999999994</v>
      </c>
      <c r="E2051">
        <v>94.214995999999999</v>
      </c>
      <c r="F2051">
        <v>1496.9399410000001</v>
      </c>
      <c r="H2051" s="50">
        <f t="shared" si="265"/>
        <v>2.5259887754794066E-2</v>
      </c>
      <c r="I2051" s="50">
        <f t="shared" si="266"/>
        <v>4.2647726860395259E-2</v>
      </c>
      <c r="J2051" s="50">
        <f t="shared" si="267"/>
        <v>2.5436835023713932E-2</v>
      </c>
      <c r="K2051" s="50">
        <f t="shared" si="268"/>
        <v>2.9192833443927592E-4</v>
      </c>
      <c r="L2051" s="50">
        <f t="shared" si="269"/>
        <v>-1.2566078355174327E-2</v>
      </c>
      <c r="P2051" s="50">
        <f t="shared" si="264"/>
        <v>-1.2566078355174327E-2</v>
      </c>
      <c r="Q2051" s="51">
        <f t="shared" ref="Q2051:Q2114" si="270">Q2050*(1+P2051)</f>
        <v>78.367934936035113</v>
      </c>
      <c r="R2051" s="51">
        <f t="shared" ref="R2051:R2114" si="271">R2050*(1+H2051)</f>
        <v>29.984590135746338</v>
      </c>
    </row>
    <row r="2052" spans="1:18" x14ac:dyDescent="0.15">
      <c r="A2052" s="59">
        <v>43888.75</v>
      </c>
      <c r="B2052">
        <v>29.683584</v>
      </c>
      <c r="C2052">
        <v>260.05081200000001</v>
      </c>
      <c r="D2052">
        <v>94.310317999999995</v>
      </c>
      <c r="E2052">
        <v>94.1875</v>
      </c>
      <c r="F2052">
        <v>1515.98999</v>
      </c>
      <c r="H2052" s="50">
        <f t="shared" si="265"/>
        <v>-7.076288043251644E-2</v>
      </c>
      <c r="I2052" s="50">
        <f t="shared" si="266"/>
        <v>-9.0573637919793185E-2</v>
      </c>
      <c r="J2052" s="50">
        <f t="shared" si="267"/>
        <v>-5.5565687057623395E-2</v>
      </c>
      <c r="K2052" s="50">
        <f t="shared" si="268"/>
        <v>-3.5927244076312211E-2</v>
      </c>
      <c r="L2052" s="50">
        <f t="shared" si="269"/>
        <v>8.6482686329749942E-4</v>
      </c>
      <c r="P2052" s="50">
        <f t="shared" si="264"/>
        <v>8.6482686329749942E-4</v>
      </c>
      <c r="Q2052" s="51">
        <f t="shared" si="270"/>
        <v>78.43570963138896</v>
      </c>
      <c r="R2052" s="51">
        <f t="shared" si="271"/>
        <v>27.862794169152508</v>
      </c>
    </row>
    <row r="2053" spans="1:18" x14ac:dyDescent="0.15">
      <c r="A2053" s="59">
        <v>43889.75</v>
      </c>
      <c r="B2053">
        <v>31.944036000000001</v>
      </c>
      <c r="C2053">
        <v>285.950378</v>
      </c>
      <c r="D2053">
        <v>99.859054999999998</v>
      </c>
      <c r="E2053">
        <v>97.697502</v>
      </c>
      <c r="F2053">
        <v>1514.6800539999999</v>
      </c>
      <c r="H2053" s="50">
        <f t="shared" si="265"/>
        <v>2.6304220787012878E-2</v>
      </c>
      <c r="I2053" s="50">
        <f t="shared" si="266"/>
        <v>2.1173551163595025E-2</v>
      </c>
      <c r="J2053" s="50">
        <f t="shared" si="267"/>
        <v>3.0423356940563338E-2</v>
      </c>
      <c r="K2053" s="50">
        <f t="shared" si="268"/>
        <v>2.3551731297159973E-2</v>
      </c>
      <c r="L2053" s="50">
        <f t="shared" si="269"/>
        <v>-2.3184673386938662E-3</v>
      </c>
      <c r="P2053" s="50">
        <f t="shared" si="264"/>
        <v>-2.3184673386938662E-3</v>
      </c>
      <c r="Q2053" s="51">
        <f t="shared" si="270"/>
        <v>78.253859000421301</v>
      </c>
      <c r="R2053" s="51">
        <f t="shared" si="271"/>
        <v>28.595703258720988</v>
      </c>
    </row>
    <row r="2054" spans="1:18" x14ac:dyDescent="0.15">
      <c r="A2054" s="59">
        <v>43890.75</v>
      </c>
      <c r="B2054">
        <v>31.125309000000001</v>
      </c>
      <c r="C2054">
        <v>280.02133199999997</v>
      </c>
      <c r="D2054">
        <v>96.910706000000005</v>
      </c>
      <c r="E2054">
        <v>95.449500999999998</v>
      </c>
      <c r="F2054">
        <v>1518.1999510000001</v>
      </c>
      <c r="H2054" s="50">
        <f t="shared" si="265"/>
        <v>-3.3056495625870576E-2</v>
      </c>
      <c r="I2054" s="50">
        <f t="shared" si="266"/>
        <v>-5.6151043859385907E-2</v>
      </c>
      <c r="J2054" s="50">
        <f t="shared" si="267"/>
        <v>-1.836403551079448E-2</v>
      </c>
      <c r="K2054" s="50">
        <f t="shared" si="268"/>
        <v>-3.3828772063538723E-2</v>
      </c>
      <c r="L2054" s="50">
        <f t="shared" si="269"/>
        <v>-4.5895621721010662E-3</v>
      </c>
      <c r="P2054" s="50">
        <f t="shared" si="264"/>
        <v>-4.5895621721010662E-3</v>
      </c>
      <c r="Q2054" s="51">
        <f t="shared" si="270"/>
        <v>77.894708049332039</v>
      </c>
      <c r="R2054" s="51">
        <f t="shared" si="271"/>
        <v>27.650429519030386</v>
      </c>
    </row>
    <row r="2055" spans="1:18" x14ac:dyDescent="0.15">
      <c r="A2055" s="59">
        <v>43893.75</v>
      </c>
      <c r="B2055">
        <v>32.189377</v>
      </c>
      <c r="C2055">
        <v>296.68023699999998</v>
      </c>
      <c r="D2055">
        <v>98.723670999999996</v>
      </c>
      <c r="E2055">
        <v>98.791495999999995</v>
      </c>
      <c r="F2055">
        <v>1525.1999510000001</v>
      </c>
      <c r="H2055" s="50">
        <f t="shared" si="265"/>
        <v>7.3326725929266645E-3</v>
      </c>
      <c r="I2055" s="50">
        <f t="shared" si="266"/>
        <v>1.5771406586379967E-2</v>
      </c>
      <c r="J2055" s="50">
        <f t="shared" si="267"/>
        <v>1.745769635304141E-2</v>
      </c>
      <c r="K2055" s="50">
        <f t="shared" si="268"/>
        <v>2.6922615551732556E-2</v>
      </c>
      <c r="L2055" s="50">
        <f t="shared" si="269"/>
        <v>-9.4753749735095698E-3</v>
      </c>
      <c r="P2055" s="50">
        <f t="shared" si="264"/>
        <v>-9.4753749735095698E-3</v>
      </c>
      <c r="Q2055" s="51">
        <f t="shared" si="270"/>
        <v>77.156626482112557</v>
      </c>
      <c r="R2055" s="51">
        <f t="shared" si="271"/>
        <v>27.853181065747229</v>
      </c>
    </row>
    <row r="2056" spans="1:18" x14ac:dyDescent="0.15">
      <c r="A2056" s="59">
        <v>43894.75</v>
      </c>
      <c r="B2056">
        <v>31.955061000000001</v>
      </c>
      <c r="C2056">
        <v>292.07382200000001</v>
      </c>
      <c r="D2056">
        <v>97.029754999999994</v>
      </c>
      <c r="E2056">
        <v>96.201499999999996</v>
      </c>
      <c r="F2056">
        <v>1539.790039</v>
      </c>
      <c r="H2056" s="50">
        <f t="shared" si="265"/>
        <v>-1.1174587739807488E-2</v>
      </c>
      <c r="I2056" s="50">
        <f t="shared" si="266"/>
        <v>1.4196798453832574E-2</v>
      </c>
      <c r="J2056" s="50">
        <f t="shared" si="267"/>
        <v>1.8866844710239833E-4</v>
      </c>
      <c r="K2056" s="50">
        <f t="shared" si="268"/>
        <v>1.206679364154647E-2</v>
      </c>
      <c r="L2056" s="50">
        <f t="shared" si="269"/>
        <v>-1.0833379018918561E-3</v>
      </c>
      <c r="P2056" s="50">
        <f t="shared" si="264"/>
        <v>-1.0833379018918561E-3</v>
      </c>
      <c r="Q2056" s="51">
        <f t="shared" si="270"/>
        <v>77.073039784262377</v>
      </c>
      <c r="R2056" s="51">
        <f t="shared" si="271"/>
        <v>27.54193325009529</v>
      </c>
    </row>
    <row r="2057" spans="1:18" x14ac:dyDescent="0.15">
      <c r="A2057" s="59">
        <v>43895.75</v>
      </c>
      <c r="B2057">
        <v>32.316181</v>
      </c>
      <c r="C2057">
        <v>287.98535199999998</v>
      </c>
      <c r="D2057">
        <v>97.011452000000006</v>
      </c>
      <c r="E2057">
        <v>95.054496999999998</v>
      </c>
      <c r="F2057">
        <v>1541.459961</v>
      </c>
      <c r="H2057" s="50">
        <f t="shared" si="265"/>
        <v>5.9742601809968979E-4</v>
      </c>
      <c r="I2057" s="50">
        <f t="shared" si="266"/>
        <v>3.099506365959355E-2</v>
      </c>
      <c r="J2057" s="50">
        <f t="shared" si="267"/>
        <v>1.8456473106842088E-2</v>
      </c>
      <c r="K2057" s="50">
        <f t="shared" si="268"/>
        <v>5.5803254323740184E-2</v>
      </c>
      <c r="L2057" s="50">
        <f t="shared" si="269"/>
        <v>-1.8131978953466162E-3</v>
      </c>
      <c r="P2057" s="50">
        <f t="shared" si="264"/>
        <v>-1.8131978953466162E-3</v>
      </c>
      <c r="Q2057" s="51">
        <f t="shared" si="270"/>
        <v>76.933291110737585</v>
      </c>
      <c r="R2057" s="51">
        <f t="shared" si="271"/>
        <v>27.55838751760766</v>
      </c>
    </row>
    <row r="2058" spans="1:18" x14ac:dyDescent="0.15">
      <c r="A2058" s="59">
        <v>43896.75</v>
      </c>
      <c r="B2058">
        <v>32.296886000000001</v>
      </c>
      <c r="C2058">
        <v>279.32757600000002</v>
      </c>
      <c r="D2058">
        <v>95.253410000000002</v>
      </c>
      <c r="E2058">
        <v>90.030501999999998</v>
      </c>
      <c r="F2058">
        <v>1544.26001</v>
      </c>
      <c r="H2058" s="50">
        <f t="shared" si="265"/>
        <v>-2.1955106439259808E-2</v>
      </c>
      <c r="I2058" s="50">
        <f t="shared" si="266"/>
        <v>-2.3981690432258888E-2</v>
      </c>
      <c r="J2058" s="50">
        <f t="shared" si="267"/>
        <v>-3.9693670323829207E-2</v>
      </c>
      <c r="K2058" s="50">
        <f t="shared" si="268"/>
        <v>-4.8212841130355726E-2</v>
      </c>
      <c r="L2058" s="50">
        <f t="shared" si="269"/>
        <v>-4.4611481318080192E-3</v>
      </c>
      <c r="P2058" s="50">
        <f t="shared" si="264"/>
        <v>-4.4611481318080192E-3</v>
      </c>
      <c r="Q2058" s="51">
        <f t="shared" si="270"/>
        <v>76.590080302825072</v>
      </c>
      <c r="R2058" s="51">
        <f t="shared" si="271"/>
        <v>26.953340186364215</v>
      </c>
    </row>
    <row r="2059" spans="1:18" x14ac:dyDescent="0.15">
      <c r="A2059" s="59">
        <v>43897.75</v>
      </c>
      <c r="B2059">
        <v>33.021884999999997</v>
      </c>
      <c r="C2059">
        <v>286.19091800000001</v>
      </c>
      <c r="D2059">
        <v>99.190651000000003</v>
      </c>
      <c r="E2059">
        <v>94.591003000000001</v>
      </c>
      <c r="F2059">
        <v>1551.1800539999999</v>
      </c>
      <c r="H2059" s="50">
        <f t="shared" si="265"/>
        <v>4.6840954150888341E-2</v>
      </c>
      <c r="I2059" s="50">
        <f t="shared" si="266"/>
        <v>4.0244842587187017E-2</v>
      </c>
      <c r="J2059" s="50">
        <f t="shared" si="267"/>
        <v>2.604648296248533E-2</v>
      </c>
      <c r="K2059" s="50">
        <f t="shared" si="268"/>
        <v>3.8970640674962892E-2</v>
      </c>
      <c r="L2059" s="50">
        <f t="shared" si="269"/>
        <v>-3.2385633740206381E-3</v>
      </c>
      <c r="P2059" s="50">
        <f t="shared" si="264"/>
        <v>-3.2385633740206381E-3</v>
      </c>
      <c r="Q2059" s="51">
        <f t="shared" si="270"/>
        <v>76.342038473943049</v>
      </c>
      <c r="R2059" s="51">
        <f t="shared" si="271"/>
        <v>28.215860358246996</v>
      </c>
    </row>
    <row r="2060" spans="1:18" x14ac:dyDescent="0.15">
      <c r="A2060" s="59">
        <v>43900.75</v>
      </c>
      <c r="B2060">
        <v>31.544319000000002</v>
      </c>
      <c r="C2060">
        <v>275.11880500000001</v>
      </c>
      <c r="D2060">
        <v>96.672668000000002</v>
      </c>
      <c r="E2060">
        <v>91.042998999999995</v>
      </c>
      <c r="F2060">
        <v>1556.219971</v>
      </c>
      <c r="H2060" s="50">
        <f t="shared" si="265"/>
        <v>9.9759606081974497E-2</v>
      </c>
      <c r="I2060" s="50">
        <f t="shared" si="266"/>
        <v>6.2819093145824442E-2</v>
      </c>
      <c r="J2060" s="50">
        <f t="shared" si="267"/>
        <v>0.13992671135043475</v>
      </c>
      <c r="K2060" s="50">
        <f t="shared" si="268"/>
        <v>8.6036718999331102E-2</v>
      </c>
      <c r="L2060" s="50">
        <f t="shared" si="269"/>
        <v>2.4090429816685417E-3</v>
      </c>
      <c r="P2060" s="50">
        <f t="shared" si="264"/>
        <v>2.4090429816685417E-3</v>
      </c>
      <c r="Q2060" s="51">
        <f t="shared" si="270"/>
        <v>76.525949725934979</v>
      </c>
      <c r="R2060" s="51">
        <f t="shared" si="271"/>
        <v>31.030663472849717</v>
      </c>
    </row>
    <row r="2061" spans="1:18" x14ac:dyDescent="0.15">
      <c r="A2061" s="59">
        <v>43901.75</v>
      </c>
      <c r="B2061">
        <v>28.682922000000001</v>
      </c>
      <c r="C2061">
        <v>258.85760499999998</v>
      </c>
      <c r="D2061">
        <v>84.806038000000001</v>
      </c>
      <c r="E2061">
        <v>83.830498000000006</v>
      </c>
      <c r="F2061">
        <v>1552.4799800000001</v>
      </c>
      <c r="H2061" s="50">
        <f t="shared" si="265"/>
        <v>-8.8080596306555736E-2</v>
      </c>
      <c r="I2061" s="50">
        <f t="shared" si="266"/>
        <v>-7.4171836255556081E-2</v>
      </c>
      <c r="J2061" s="50">
        <f t="shared" si="267"/>
        <v>-8.315180022435234E-2</v>
      </c>
      <c r="K2061" s="50">
        <f t="shared" si="268"/>
        <v>-6.0722711484593773E-2</v>
      </c>
      <c r="L2061" s="50">
        <f t="shared" si="269"/>
        <v>-1.3123279042748274E-3</v>
      </c>
      <c r="P2061" s="50">
        <f t="shared" si="264"/>
        <v>-1.3123279042748274E-3</v>
      </c>
      <c r="Q2061" s="51">
        <f t="shared" si="270"/>
        <v>76.425522586708496</v>
      </c>
      <c r="R2061" s="51">
        <f t="shared" si="271"/>
        <v>28.297464130373058</v>
      </c>
    </row>
    <row r="2062" spans="1:18" x14ac:dyDescent="0.15">
      <c r="A2062" s="59">
        <v>43902.75</v>
      </c>
      <c r="B2062">
        <v>31.453351999999999</v>
      </c>
      <c r="C2062">
        <v>279.59573399999999</v>
      </c>
      <c r="D2062">
        <v>92.49736</v>
      </c>
      <c r="E2062">
        <v>89.25</v>
      </c>
      <c r="F2062">
        <v>1554.5200199999999</v>
      </c>
      <c r="H2062" s="50">
        <f t="shared" si="265"/>
        <v>6.875250425008958E-2</v>
      </c>
      <c r="I2062" s="50">
        <f t="shared" si="266"/>
        <v>6.7412926943434245E-2</v>
      </c>
      <c r="J2062" s="50">
        <f t="shared" si="267"/>
        <v>7.7087187596063644E-2</v>
      </c>
      <c r="K2062" s="50">
        <f t="shared" si="268"/>
        <v>5.6744554009219531E-2</v>
      </c>
      <c r="L2062" s="50">
        <f t="shared" si="269"/>
        <v>-5.5717713397488303E-3</v>
      </c>
      <c r="P2062" s="50">
        <f t="shared" si="264"/>
        <v>-5.5717713397488303E-3</v>
      </c>
      <c r="Q2062" s="51">
        <f t="shared" si="270"/>
        <v>75.999697050334547</v>
      </c>
      <c r="R2062" s="51">
        <f t="shared" si="271"/>
        <v>30.24298565326329</v>
      </c>
    </row>
    <row r="2063" spans="1:18" x14ac:dyDescent="0.15">
      <c r="A2063" s="59">
        <v>43903.75</v>
      </c>
      <c r="B2063">
        <v>29.429967999999999</v>
      </c>
      <c r="C2063">
        <v>261.93774400000001</v>
      </c>
      <c r="D2063">
        <v>85.877319</v>
      </c>
      <c r="E2063">
        <v>84.457497000000004</v>
      </c>
      <c r="F2063">
        <v>1563.2299800000001</v>
      </c>
      <c r="H2063" s="50">
        <f t="shared" si="265"/>
        <v>-0.10481303286571647</v>
      </c>
      <c r="I2063" s="50">
        <f t="shared" si="266"/>
        <v>-7.7559600467246109E-2</v>
      </c>
      <c r="J2063" s="50">
        <f t="shared" si="267"/>
        <v>-9.4953378157725088E-2</v>
      </c>
      <c r="K2063" s="50">
        <f t="shared" si="268"/>
        <v>-6.5652946403507939E-2</v>
      </c>
      <c r="L2063" s="50">
        <f t="shared" si="269"/>
        <v>1.6210861020268033E-3</v>
      </c>
      <c r="P2063" s="50">
        <f t="shared" si="264"/>
        <v>1.6210861020268033E-3</v>
      </c>
      <c r="Q2063" s="51">
        <f t="shared" si="270"/>
        <v>76.12289910298108</v>
      </c>
      <c r="R2063" s="51">
        <f t="shared" si="271"/>
        <v>27.073126604030413</v>
      </c>
    </row>
    <row r="2064" spans="1:18" x14ac:dyDescent="0.15">
      <c r="A2064" s="59">
        <v>43904.75</v>
      </c>
      <c r="B2064">
        <v>32.875777999999997</v>
      </c>
      <c r="C2064">
        <v>283.96170000000001</v>
      </c>
      <c r="D2064">
        <v>94.887176999999994</v>
      </c>
      <c r="E2064">
        <v>90.391998000000001</v>
      </c>
      <c r="F2064">
        <v>1560.6999510000001</v>
      </c>
      <c r="H2064" s="50">
        <f t="shared" si="265"/>
        <v>-2.7084354007437261E-2</v>
      </c>
      <c r="I2064" s="50">
        <f t="shared" si="266"/>
        <v>-1.6585286116199277E-3</v>
      </c>
      <c r="J2064" s="50">
        <f t="shared" si="267"/>
        <v>7.8779010890247404E-3</v>
      </c>
      <c r="K2064" s="50">
        <f t="shared" si="268"/>
        <v>-1.2109311475409825E-2</v>
      </c>
      <c r="L2064" s="50">
        <f t="shared" si="269"/>
        <v>5.5408640764002476E-3</v>
      </c>
      <c r="P2064" s="50">
        <f t="shared" si="264"/>
        <v>5.5408640764002476E-3</v>
      </c>
      <c r="Q2064" s="51">
        <f t="shared" si="270"/>
        <v>76.544685740012227</v>
      </c>
      <c r="R2064" s="51">
        <f t="shared" si="271"/>
        <v>26.339868458998687</v>
      </c>
    </row>
    <row r="2065" spans="1:18" x14ac:dyDescent="0.15">
      <c r="A2065" s="59">
        <v>43907.75</v>
      </c>
      <c r="B2065">
        <v>33.790984999999999</v>
      </c>
      <c r="C2065">
        <v>284.43344100000002</v>
      </c>
      <c r="D2065">
        <v>94.145508000000007</v>
      </c>
      <c r="E2065">
        <v>91.5</v>
      </c>
      <c r="F2065">
        <v>1552.099976</v>
      </c>
      <c r="H2065" s="50">
        <f t="shared" si="265"/>
        <v>1.2641406050714128E-2</v>
      </c>
      <c r="I2065" s="50">
        <f t="shared" si="266"/>
        <v>7.4700505141845827E-3</v>
      </c>
      <c r="J2065" s="50">
        <f t="shared" si="267"/>
        <v>2.3084617872920824E-2</v>
      </c>
      <c r="K2065" s="50">
        <f t="shared" si="268"/>
        <v>-2.7077041388280956E-2</v>
      </c>
      <c r="L2065" s="50">
        <f t="shared" si="269"/>
        <v>2.4284137092408851E-3</v>
      </c>
      <c r="P2065" s="50">
        <f t="shared" si="264"/>
        <v>2.4284137092408851E-3</v>
      </c>
      <c r="Q2065" s="51">
        <f t="shared" si="270"/>
        <v>76.730567904232814</v>
      </c>
      <c r="R2065" s="51">
        <f t="shared" si="271"/>
        <v>26.672841431511287</v>
      </c>
    </row>
    <row r="2066" spans="1:18" x14ac:dyDescent="0.15">
      <c r="A2066" s="59">
        <v>43908.75</v>
      </c>
      <c r="B2066">
        <v>33.369152</v>
      </c>
      <c r="C2066">
        <v>282.32446299999998</v>
      </c>
      <c r="D2066">
        <v>92.021232999999995</v>
      </c>
      <c r="E2066">
        <v>94.046501000000006</v>
      </c>
      <c r="F2066">
        <v>1548.339966</v>
      </c>
      <c r="H2066" s="50">
        <f t="shared" si="265"/>
        <v>4.8082616512874814E-2</v>
      </c>
      <c r="I2066" s="50">
        <f t="shared" si="266"/>
        <v>5.0960617987832656E-2</v>
      </c>
      <c r="J2066" s="50">
        <f t="shared" si="267"/>
        <v>3.1827574481265768E-2</v>
      </c>
      <c r="K2066" s="50">
        <f t="shared" si="268"/>
        <v>1.8872363282582089E-2</v>
      </c>
      <c r="L2066" s="50">
        <f t="shared" si="269"/>
        <v>-6.6529343235524601E-3</v>
      </c>
      <c r="P2066" s="50">
        <f t="shared" si="264"/>
        <v>-6.6529343235524601E-3</v>
      </c>
      <c r="Q2066" s="51">
        <f t="shared" si="270"/>
        <v>76.220084475357069</v>
      </c>
      <c r="R2066" s="51">
        <f t="shared" si="271"/>
        <v>27.955341437371359</v>
      </c>
    </row>
    <row r="2067" spans="1:18" x14ac:dyDescent="0.15">
      <c r="A2067" s="59">
        <v>43909.75</v>
      </c>
      <c r="B2067">
        <v>31.838284000000002</v>
      </c>
      <c r="C2067">
        <v>268.63467400000002</v>
      </c>
      <c r="D2067">
        <v>89.182761999999997</v>
      </c>
      <c r="E2067">
        <v>92.304496999999998</v>
      </c>
      <c r="F2067">
        <v>1558.709961</v>
      </c>
      <c r="H2067" s="50">
        <f t="shared" si="265"/>
        <v>-2.7123363834626927E-3</v>
      </c>
      <c r="I2067" s="50">
        <f t="shared" si="266"/>
        <v>1.7125839960451378E-2</v>
      </c>
      <c r="J2067" s="50">
        <f t="shared" si="267"/>
        <v>7.3428819959887801E-3</v>
      </c>
      <c r="K2067" s="50">
        <f t="shared" si="268"/>
        <v>-2.9818795587229691E-2</v>
      </c>
      <c r="L2067" s="50">
        <f t="shared" si="269"/>
        <v>8.3516053763561995E-3</v>
      </c>
      <c r="P2067" s="50">
        <f t="shared" si="264"/>
        <v>8.3516053763561995E-3</v>
      </c>
      <c r="Q2067" s="51">
        <f t="shared" si="270"/>
        <v>76.856644542647786</v>
      </c>
      <c r="R2067" s="51">
        <f t="shared" si="271"/>
        <v>27.879517147678655</v>
      </c>
    </row>
    <row r="2068" spans="1:18" x14ac:dyDescent="0.15">
      <c r="A2068" s="59">
        <v>43910.75</v>
      </c>
      <c r="B2068">
        <v>31.924875</v>
      </c>
      <c r="C2068">
        <v>264.11154199999999</v>
      </c>
      <c r="D2068">
        <v>88.532677000000007</v>
      </c>
      <c r="E2068">
        <v>95.141502000000003</v>
      </c>
      <c r="F2068">
        <v>1545.8000489999999</v>
      </c>
      <c r="H2068" s="50">
        <f t="shared" si="265"/>
        <v>-6.520363860501744E-3</v>
      </c>
      <c r="I2068" s="50">
        <f t="shared" si="266"/>
        <v>2.0708572000073073E-3</v>
      </c>
      <c r="J2068" s="50">
        <f t="shared" si="267"/>
        <v>-3.8484303060236077E-2</v>
      </c>
      <c r="K2068" s="50">
        <f t="shared" si="268"/>
        <v>-1.9210299032327172E-2</v>
      </c>
      <c r="L2068" s="50">
        <f t="shared" si="269"/>
        <v>-7.1231531406539365E-3</v>
      </c>
      <c r="P2068" s="50">
        <f t="shared" si="264"/>
        <v>-7.1231531406539365E-3</v>
      </c>
      <c r="Q2068" s="51">
        <f t="shared" si="270"/>
        <v>76.309182893693702</v>
      </c>
      <c r="R2068" s="51">
        <f t="shared" si="271"/>
        <v>27.697732551620692</v>
      </c>
    </row>
    <row r="2069" spans="1:18" x14ac:dyDescent="0.15">
      <c r="A2069" s="59">
        <v>43911.75</v>
      </c>
      <c r="B2069">
        <v>32.134402999999999</v>
      </c>
      <c r="C2069">
        <v>263.56573500000002</v>
      </c>
      <c r="D2069">
        <v>92.076164000000006</v>
      </c>
      <c r="E2069">
        <v>97.004997000000003</v>
      </c>
      <c r="F2069">
        <v>1556.8900149999999</v>
      </c>
      <c r="H2069" s="50">
        <f t="shared" si="265"/>
        <v>5.1462512219163724E-2</v>
      </c>
      <c r="I2069" s="50">
        <f t="shared" si="266"/>
        <v>1.452673205720669E-2</v>
      </c>
      <c r="J2069" s="50">
        <f t="shared" si="267"/>
        <v>0.10456909501887687</v>
      </c>
      <c r="K2069" s="50">
        <f t="shared" si="268"/>
        <v>2.8772292453230406E-2</v>
      </c>
      <c r="L2069" s="50">
        <f t="shared" si="269"/>
        <v>3.3512326545396213E-3</v>
      </c>
      <c r="P2069" s="50">
        <f t="shared" si="264"/>
        <v>3.3512326545396213E-3</v>
      </c>
      <c r="Q2069" s="51">
        <f t="shared" si="270"/>
        <v>76.564912719248269</v>
      </c>
      <c r="R2069" s="51">
        <f t="shared" si="271"/>
        <v>29.123127451501599</v>
      </c>
    </row>
    <row r="2070" spans="1:18" x14ac:dyDescent="0.15">
      <c r="A2070" s="59">
        <v>43914.75</v>
      </c>
      <c r="B2070">
        <v>30.561624999999999</v>
      </c>
      <c r="C2070">
        <v>259.791809</v>
      </c>
      <c r="D2070">
        <v>83.359352000000001</v>
      </c>
      <c r="E2070">
        <v>94.292000000000002</v>
      </c>
      <c r="F2070">
        <v>1551.6899410000001</v>
      </c>
      <c r="H2070" s="50">
        <f t="shared" si="265"/>
        <v>-3.824250954620381E-3</v>
      </c>
      <c r="I2070" s="50">
        <f t="shared" si="266"/>
        <v>-3.9137976325566169E-2</v>
      </c>
      <c r="J2070" s="50">
        <f t="shared" si="267"/>
        <v>-5.2357442319683305E-2</v>
      </c>
      <c r="K2070" s="50">
        <f t="shared" si="268"/>
        <v>-3.5617651547543538E-2</v>
      </c>
      <c r="L2070" s="50">
        <f t="shared" si="269"/>
        <v>-7.7249716042003683E-3</v>
      </c>
      <c r="P2070" s="50">
        <f t="shared" si="264"/>
        <v>-7.7249716042003683E-3</v>
      </c>
      <c r="Q2070" s="51">
        <f t="shared" si="270"/>
        <v>75.973450942613994</v>
      </c>
      <c r="R2070" s="51">
        <f t="shared" si="271"/>
        <v>29.011753303543664</v>
      </c>
    </row>
    <row r="2071" spans="1:18" x14ac:dyDescent="0.15">
      <c r="A2071" s="59">
        <v>43915.75</v>
      </c>
      <c r="B2071">
        <v>30.678948999999999</v>
      </c>
      <c r="C2071">
        <v>270.37368800000002</v>
      </c>
      <c r="D2071">
        <v>87.964973000000001</v>
      </c>
      <c r="E2071">
        <v>97.774497999999994</v>
      </c>
      <c r="F2071">
        <v>1563.7700199999999</v>
      </c>
      <c r="H2071" s="50">
        <f t="shared" si="265"/>
        <v>2.1900955791513991E-3</v>
      </c>
      <c r="I2071" s="50">
        <f t="shared" si="266"/>
        <v>2.8030871577528423E-2</v>
      </c>
      <c r="J2071" s="50">
        <f t="shared" si="267"/>
        <v>1.4038357555925288E-2</v>
      </c>
      <c r="K2071" s="50">
        <f t="shared" si="268"/>
        <v>2.9151108756942448E-2</v>
      </c>
      <c r="L2071" s="50">
        <f t="shared" si="269"/>
        <v>5.8869630107091081E-4</v>
      </c>
      <c r="P2071" s="50">
        <f t="shared" si="264"/>
        <v>5.8869630107091081E-4</v>
      </c>
      <c r="Q2071" s="51">
        <f t="shared" si="270"/>
        <v>76.018176232163498</v>
      </c>
      <c r="R2071" s="51">
        <f t="shared" si="271"/>
        <v>29.075291816197186</v>
      </c>
    </row>
    <row r="2072" spans="1:18" x14ac:dyDescent="0.15">
      <c r="A2072" s="59">
        <v>43916.75</v>
      </c>
      <c r="B2072">
        <v>30.611906000000001</v>
      </c>
      <c r="C2072">
        <v>263.00152600000001</v>
      </c>
      <c r="D2072">
        <v>86.747185000000002</v>
      </c>
      <c r="E2072">
        <v>95.004997000000003</v>
      </c>
      <c r="F2072">
        <v>1562.849976</v>
      </c>
      <c r="H2072" s="50">
        <f t="shared" si="265"/>
        <v>-4.8701995693352568E-2</v>
      </c>
      <c r="I2072" s="50">
        <f t="shared" si="266"/>
        <v>-2.3323638892595675E-2</v>
      </c>
      <c r="J2072" s="50">
        <f t="shared" si="267"/>
        <v>-1.3227884789371452E-2</v>
      </c>
      <c r="K2072" s="50">
        <f t="shared" si="268"/>
        <v>-3.2511061228421033E-2</v>
      </c>
      <c r="L2072" s="50">
        <f t="shared" si="269"/>
        <v>-4.0402788944465451E-3</v>
      </c>
      <c r="P2072" s="50">
        <f t="shared" si="264"/>
        <v>-4.0402788944465451E-3</v>
      </c>
      <c r="Q2072" s="51">
        <f t="shared" si="270"/>
        <v>75.711041599138369</v>
      </c>
      <c r="R2072" s="51">
        <f t="shared" si="271"/>
        <v>27.659267079381781</v>
      </c>
    </row>
    <row r="2073" spans="1:18" x14ac:dyDescent="0.15">
      <c r="A2073" s="59">
        <v>43917.75</v>
      </c>
      <c r="B2073">
        <v>32.179091999999997</v>
      </c>
      <c r="C2073">
        <v>269.28216600000002</v>
      </c>
      <c r="D2073">
        <v>87.910049000000001</v>
      </c>
      <c r="E2073">
        <v>98.197502</v>
      </c>
      <c r="F2073">
        <v>1569.1899410000001</v>
      </c>
      <c r="H2073" s="50">
        <f t="shared" si="265"/>
        <v>1.3818023855389014E-2</v>
      </c>
      <c r="I2073" s="50">
        <f t="shared" si="266"/>
        <v>2.1007879548246882E-2</v>
      </c>
      <c r="J2073" s="50">
        <f t="shared" si="267"/>
        <v>3.2698935136569643E-2</v>
      </c>
      <c r="K2073" s="50">
        <f t="shared" si="268"/>
        <v>7.2985044006318427E-3</v>
      </c>
      <c r="L2073" s="50">
        <f t="shared" si="269"/>
        <v>4.493683019311647E-3</v>
      </c>
      <c r="P2073" s="50">
        <f t="shared" si="264"/>
        <v>4.493683019311647E-3</v>
      </c>
      <c r="Q2073" s="51">
        <f t="shared" si="270"/>
        <v>76.051263021146809</v>
      </c>
      <c r="R2073" s="51">
        <f t="shared" si="271"/>
        <v>28.041463491707258</v>
      </c>
    </row>
    <row r="2074" spans="1:18" x14ac:dyDescent="0.15">
      <c r="A2074" s="59">
        <v>43921.75</v>
      </c>
      <c r="B2074">
        <v>31.740500999999998</v>
      </c>
      <c r="C2074">
        <v>263.74151599999999</v>
      </c>
      <c r="D2074">
        <v>85.126503</v>
      </c>
      <c r="E2074">
        <v>97.486000000000004</v>
      </c>
      <c r="F2074">
        <v>1562.170044</v>
      </c>
      <c r="H2074" s="50">
        <f t="shared" si="265"/>
        <v>-4.556294087439996E-3</v>
      </c>
      <c r="I2074" s="50">
        <f t="shared" si="266"/>
        <v>-5.7533729134757105E-3</v>
      </c>
      <c r="J2074" s="50">
        <f t="shared" si="267"/>
        <v>-2.4141806767050359E-2</v>
      </c>
      <c r="K2074" s="50">
        <f t="shared" si="268"/>
        <v>2.202650265709492E-2</v>
      </c>
      <c r="L2074" s="50">
        <f t="shared" si="269"/>
        <v>-5.1456494188823676E-3</v>
      </c>
      <c r="P2074" s="50">
        <f t="shared" si="264"/>
        <v>-5.1456494188823676E-3</v>
      </c>
      <c r="Q2074" s="51">
        <f t="shared" si="270"/>
        <v>75.659929883776769</v>
      </c>
      <c r="R2074" s="51">
        <f t="shared" si="271"/>
        <v>27.913698337396831</v>
      </c>
    </row>
    <row r="2075" spans="1:18" x14ac:dyDescent="0.15">
      <c r="A2075" s="59">
        <v>43922.75</v>
      </c>
      <c r="B2075">
        <v>31.885781999999999</v>
      </c>
      <c r="C2075">
        <v>265.26769999999999</v>
      </c>
      <c r="D2075">
        <v>87.232451999999995</v>
      </c>
      <c r="E2075">
        <v>95.385002</v>
      </c>
      <c r="F2075">
        <v>1570.25</v>
      </c>
      <c r="H2075" s="50">
        <f t="shared" si="265"/>
        <v>-3.8010810218503395E-2</v>
      </c>
      <c r="I2075" s="50">
        <f t="shared" si="266"/>
        <v>-1.6124847321295779E-2</v>
      </c>
      <c r="J2075" s="50">
        <f t="shared" si="267"/>
        <v>9.6437539224159229E-3</v>
      </c>
      <c r="K2075" s="50">
        <f t="shared" si="268"/>
        <v>-5.800368053456865E-3</v>
      </c>
      <c r="L2075" s="50">
        <f t="shared" si="269"/>
        <v>1.0658535247606337E-2</v>
      </c>
      <c r="P2075" s="50">
        <f t="shared" si="264"/>
        <v>1.0658535247606337E-2</v>
      </c>
      <c r="Q2075" s="51">
        <f t="shared" si="270"/>
        <v>76.466353913274418</v>
      </c>
      <c r="R2075" s="51">
        <f t="shared" si="271"/>
        <v>26.852676047397487</v>
      </c>
    </row>
    <row r="2076" spans="1:18" x14ac:dyDescent="0.15">
      <c r="A2076" s="59">
        <v>43923.75</v>
      </c>
      <c r="B2076">
        <v>33.145676000000002</v>
      </c>
      <c r="C2076">
        <v>269.61520400000001</v>
      </c>
      <c r="D2076">
        <v>86.399238999999994</v>
      </c>
      <c r="E2076">
        <v>95.941497999999996</v>
      </c>
      <c r="F2076">
        <v>1553.6899410000001</v>
      </c>
      <c r="H2076" s="50">
        <f t="shared" si="265"/>
        <v>-6.9467370289500686E-3</v>
      </c>
      <c r="I2076" s="50">
        <f t="shared" si="266"/>
        <v>9.804234195482979E-3</v>
      </c>
      <c r="J2076" s="50">
        <f t="shared" si="267"/>
        <v>1.9336716475625369E-2</v>
      </c>
      <c r="K2076" s="50">
        <f t="shared" si="268"/>
        <v>6.4198386946293868E-3</v>
      </c>
      <c r="L2076" s="50">
        <f t="shared" si="269"/>
        <v>-4.0321280276942907E-3</v>
      </c>
      <c r="P2076" s="50">
        <f t="shared" si="264"/>
        <v>-4.0321280276942907E-3</v>
      </c>
      <c r="Q2076" s="51">
        <f t="shared" si="270"/>
        <v>76.158031784485118</v>
      </c>
      <c r="R2076" s="51">
        <f t="shared" si="271"/>
        <v>26.66613756837263</v>
      </c>
    </row>
    <row r="2077" spans="1:18" x14ac:dyDescent="0.15">
      <c r="A2077" s="59">
        <v>43924.75</v>
      </c>
      <c r="B2077">
        <v>33.377541000000001</v>
      </c>
      <c r="C2077">
        <v>266.99749800000001</v>
      </c>
      <c r="D2077">
        <v>84.760254000000003</v>
      </c>
      <c r="E2077">
        <v>95.329498000000001</v>
      </c>
      <c r="F2077">
        <v>1559.9799800000001</v>
      </c>
      <c r="H2077" s="50">
        <f t="shared" si="265"/>
        <v>-5.2272552648604989E-2</v>
      </c>
      <c r="I2077" s="50">
        <f t="shared" si="266"/>
        <v>-5.3978632011583157E-2</v>
      </c>
      <c r="J2077" s="50">
        <f t="shared" si="267"/>
        <v>-5.0661537177986569E-2</v>
      </c>
      <c r="K2077" s="50">
        <f t="shared" si="268"/>
        <v>-4.5554923226939263E-2</v>
      </c>
      <c r="L2077" s="50">
        <f t="shared" si="269"/>
        <v>4.3134211957347292E-3</v>
      </c>
      <c r="P2077" s="50">
        <f t="shared" si="264"/>
        <v>4.3134211957347292E-3</v>
      </c>
      <c r="Q2077" s="51">
        <f t="shared" si="270"/>
        <v>76.486533453009756</v>
      </c>
      <c r="R2077" s="51">
        <f t="shared" si="271"/>
        <v>25.272230488394928</v>
      </c>
    </row>
    <row r="2078" spans="1:18" x14ac:dyDescent="0.15">
      <c r="A2078" s="59">
        <v>43925.75</v>
      </c>
      <c r="B2078">
        <v>35.218502000000001</v>
      </c>
      <c r="C2078">
        <v>282.23199499999998</v>
      </c>
      <c r="D2078">
        <v>89.283493000000007</v>
      </c>
      <c r="E2078">
        <v>99.879501000000005</v>
      </c>
      <c r="F2078">
        <v>1553.280029</v>
      </c>
      <c r="H2078" s="50">
        <f t="shared" si="265"/>
        <v>3.3445563683143144E-2</v>
      </c>
      <c r="I2078" s="50">
        <f t="shared" si="266"/>
        <v>4.9071974424841477E-3</v>
      </c>
      <c r="J2078" s="50">
        <f t="shared" si="267"/>
        <v>-7.6327704674262363E-3</v>
      </c>
      <c r="K2078" s="50">
        <f t="shared" si="268"/>
        <v>-6.9646150931672139E-3</v>
      </c>
      <c r="L2078" s="50">
        <f t="shared" si="269"/>
        <v>-6.2632622583865217E-3</v>
      </c>
      <c r="P2078" s="50">
        <f t="shared" si="264"/>
        <v>-6.2632622583865217E-3</v>
      </c>
      <c r="Q2078" s="51">
        <f t="shared" si="270"/>
        <v>76.007478234758707</v>
      </c>
      <c r="R2078" s="51">
        <f t="shared" si="271"/>
        <v>26.117474482609616</v>
      </c>
    </row>
    <row r="2079" spans="1:18" x14ac:dyDescent="0.15">
      <c r="A2079" s="59">
        <v>43928.75</v>
      </c>
      <c r="B2079">
        <v>34.078719999999997</v>
      </c>
      <c r="C2079">
        <v>280.85379</v>
      </c>
      <c r="D2079">
        <v>89.970214999999996</v>
      </c>
      <c r="E2079">
        <v>100.58000199999999</v>
      </c>
      <c r="F2079">
        <v>1563.0699460000001</v>
      </c>
      <c r="H2079" s="50">
        <f t="shared" si="265"/>
        <v>1.2309315707872835E-3</v>
      </c>
      <c r="I2079" s="50">
        <f t="shared" si="266"/>
        <v>-7.6476666684132596E-3</v>
      </c>
      <c r="J2079" s="50">
        <f t="shared" si="267"/>
        <v>-6.0881036155231834E-2</v>
      </c>
      <c r="K2079" s="50">
        <f t="shared" si="268"/>
        <v>-1.5369554275681829E-2</v>
      </c>
      <c r="L2079" s="50">
        <f t="shared" si="269"/>
        <v>-3.5318141877057978E-3</v>
      </c>
      <c r="P2079" s="50">
        <f t="shared" si="264"/>
        <v>-3.5318141877057978E-3</v>
      </c>
      <c r="Q2079" s="51">
        <f t="shared" si="270"/>
        <v>75.739033944757452</v>
      </c>
      <c r="R2079" s="51">
        <f t="shared" si="271"/>
        <v>26.149623306499489</v>
      </c>
    </row>
    <row r="2080" spans="1:18" x14ac:dyDescent="0.15">
      <c r="A2080" s="59">
        <v>43929.75</v>
      </c>
      <c r="B2080">
        <v>34.036822999999998</v>
      </c>
      <c r="C2080">
        <v>283.01821899999999</v>
      </c>
      <c r="D2080">
        <v>95.802788000000007</v>
      </c>
      <c r="E2080">
        <v>102.150002</v>
      </c>
      <c r="F2080">
        <v>1568.6099850000001</v>
      </c>
      <c r="H2080" s="50">
        <f t="shared" si="265"/>
        <v>3.2860511493069115E-4</v>
      </c>
      <c r="I2080" s="50">
        <f t="shared" si="266"/>
        <v>1.9865844672157143E-2</v>
      </c>
      <c r="J2080" s="50">
        <f t="shared" si="267"/>
        <v>4.1266833502666489E-3</v>
      </c>
      <c r="K2080" s="50">
        <f t="shared" si="268"/>
        <v>1.1750768568011323E-4</v>
      </c>
      <c r="L2080" s="50">
        <f t="shared" si="269"/>
        <v>-1.2042346772339726E-2</v>
      </c>
      <c r="P2080" s="50">
        <f t="shared" si="264"/>
        <v>-1.2042346772339726E-2</v>
      </c>
      <c r="Q2080" s="51">
        <f t="shared" si="270"/>
        <v>74.826958233792666</v>
      </c>
      <c r="R2080" s="51">
        <f t="shared" si="271"/>
        <v>26.158216206471515</v>
      </c>
    </row>
    <row r="2081" spans="1:18" x14ac:dyDescent="0.15">
      <c r="A2081" s="59">
        <v>43930.75</v>
      </c>
      <c r="B2081">
        <v>34.025641999999998</v>
      </c>
      <c r="C2081">
        <v>277.50534099999999</v>
      </c>
      <c r="D2081">
        <v>95.409064999999998</v>
      </c>
      <c r="E2081">
        <v>102.13800000000001</v>
      </c>
      <c r="F2081">
        <v>1587.7299800000001</v>
      </c>
      <c r="H2081" s="50">
        <f t="shared" si="265"/>
        <v>-2.7932979407623761E-2</v>
      </c>
      <c r="I2081" s="50">
        <f t="shared" si="266"/>
        <v>1.301771888996976E-3</v>
      </c>
      <c r="J2081" s="50">
        <f t="shared" si="267"/>
        <v>-4.5857424190704566E-3</v>
      </c>
      <c r="K2081" s="50">
        <f t="shared" si="268"/>
        <v>-5.8145459842557354E-2</v>
      </c>
      <c r="L2081" s="50">
        <f t="shared" si="269"/>
        <v>-3.539676922308273E-3</v>
      </c>
      <c r="P2081" s="50">
        <f t="shared" si="264"/>
        <v>-3.539676922308273E-3</v>
      </c>
      <c r="Q2081" s="51">
        <f t="shared" si="270"/>
        <v>74.562094976565987</v>
      </c>
      <c r="R2081" s="51">
        <f t="shared" si="271"/>
        <v>25.427539291835977</v>
      </c>
    </row>
    <row r="2082" spans="1:18" x14ac:dyDescent="0.15">
      <c r="A2082" s="59">
        <v>43931.75</v>
      </c>
      <c r="B2082">
        <v>35.003391000000001</v>
      </c>
      <c r="C2082">
        <v>277.14456200000001</v>
      </c>
      <c r="D2082">
        <v>95.848602</v>
      </c>
      <c r="E2082">
        <v>108.44349699999999</v>
      </c>
      <c r="F2082">
        <v>1593.369995</v>
      </c>
      <c r="H2082" s="50">
        <f t="shared" si="265"/>
        <v>-2.8682152043135699E-2</v>
      </c>
      <c r="I2082" s="50">
        <f t="shared" si="266"/>
        <v>-4.622155414397084E-2</v>
      </c>
      <c r="J2082" s="50">
        <f t="shared" si="267"/>
        <v>-3.413885748800688E-2</v>
      </c>
      <c r="K2082" s="50">
        <f t="shared" si="268"/>
        <v>-5.0124406565877785E-2</v>
      </c>
      <c r="L2082" s="50">
        <f t="shared" si="269"/>
        <v>2.8448368746427496E-3</v>
      </c>
      <c r="P2082" s="50">
        <f t="shared" si="264"/>
        <v>2.8448368746427496E-3</v>
      </c>
      <c r="Q2082" s="51">
        <f t="shared" si="270"/>
        <v>74.774211973805933</v>
      </c>
      <c r="R2082" s="51">
        <f t="shared" si="271"/>
        <v>24.698222743784729</v>
      </c>
    </row>
    <row r="2083" spans="1:18" x14ac:dyDescent="0.15">
      <c r="A2083" s="59">
        <v>43932.75</v>
      </c>
      <c r="B2083">
        <v>36.037010000000002</v>
      </c>
      <c r="C2083">
        <v>290.57540899999998</v>
      </c>
      <c r="D2083">
        <v>99.236419999999995</v>
      </c>
      <c r="E2083">
        <v>114.166</v>
      </c>
      <c r="F2083">
        <v>1588.849976</v>
      </c>
      <c r="H2083" s="50">
        <f t="shared" si="265"/>
        <v>1.8637490700229137E-3</v>
      </c>
      <c r="I2083" s="50">
        <f t="shared" si="266"/>
        <v>1.2473266318237636E-2</v>
      </c>
      <c r="J2083" s="50">
        <f t="shared" si="267"/>
        <v>2.0142916035076622E-2</v>
      </c>
      <c r="K2083" s="50">
        <f t="shared" si="268"/>
        <v>-1.0556082024646087E-2</v>
      </c>
      <c r="L2083" s="50">
        <f t="shared" si="269"/>
        <v>2.3506139911226787E-2</v>
      </c>
      <c r="P2083" s="50">
        <f t="shared" si="264"/>
        <v>2.3506139911226787E-2</v>
      </c>
      <c r="Q2083" s="51">
        <f t="shared" si="270"/>
        <v>76.531865062213953</v>
      </c>
      <c r="R2083" s="51">
        <f t="shared" si="271"/>
        <v>24.744254033454673</v>
      </c>
    </row>
    <row r="2084" spans="1:18" x14ac:dyDescent="0.15">
      <c r="A2084" s="59">
        <v>43935.75</v>
      </c>
      <c r="B2084">
        <v>35.969971000000001</v>
      </c>
      <c r="C2084">
        <v>286.99563599999999</v>
      </c>
      <c r="D2084">
        <v>97.276978</v>
      </c>
      <c r="E2084">
        <v>115.38400300000001</v>
      </c>
      <c r="F2084">
        <v>1552.3599850000001</v>
      </c>
      <c r="H2084" s="50">
        <f t="shared" si="265"/>
        <v>-2.6977680954569941E-2</v>
      </c>
      <c r="I2084" s="50">
        <f t="shared" si="266"/>
        <v>-3.5110333886083415E-2</v>
      </c>
      <c r="J2084" s="50">
        <f t="shared" si="267"/>
        <v>-2.7996343561967854E-2</v>
      </c>
      <c r="K2084" s="50">
        <f t="shared" si="268"/>
        <v>-4.173671512629807E-2</v>
      </c>
      <c r="L2084" s="50">
        <f t="shared" si="269"/>
        <v>-1.4105414025221094E-2</v>
      </c>
      <c r="P2084" s="50">
        <f t="shared" si="264"/>
        <v>-1.4105414025221094E-2</v>
      </c>
      <c r="Q2084" s="51">
        <f t="shared" si="270"/>
        <v>75.452351419389075</v>
      </c>
      <c r="R2084" s="51">
        <f t="shared" si="271"/>
        <v>24.076711442681301</v>
      </c>
    </row>
    <row r="2085" spans="1:18" x14ac:dyDescent="0.15">
      <c r="A2085" s="59">
        <v>43936.75</v>
      </c>
      <c r="B2085">
        <v>36.967261999999998</v>
      </c>
      <c r="C2085">
        <v>297.43881199999998</v>
      </c>
      <c r="D2085">
        <v>100.078819</v>
      </c>
      <c r="E2085">
        <v>120.40949999999999</v>
      </c>
      <c r="F2085">
        <v>1574.5699460000001</v>
      </c>
      <c r="H2085" s="50">
        <f t="shared" si="265"/>
        <v>1.5892771235672099E-3</v>
      </c>
      <c r="I2085" s="50">
        <f t="shared" si="266"/>
        <v>1.1449388244613062E-2</v>
      </c>
      <c r="J2085" s="50">
        <f t="shared" si="267"/>
        <v>-3.632504304065997E-2</v>
      </c>
      <c r="K2085" s="50">
        <f t="shared" si="268"/>
        <v>1.3974736842105215E-2</v>
      </c>
      <c r="L2085" s="50">
        <f t="shared" si="269"/>
        <v>1.4535947483998578E-2</v>
      </c>
      <c r="P2085" s="50">
        <f t="shared" si="264"/>
        <v>1.4535947483998578E-2</v>
      </c>
      <c r="Q2085" s="51">
        <f t="shared" si="270"/>
        <v>76.549122837165513</v>
      </c>
      <c r="R2085" s="51">
        <f t="shared" si="271"/>
        <v>24.114976009387885</v>
      </c>
    </row>
    <row r="2086" spans="1:18" x14ac:dyDescent="0.15">
      <c r="A2086" s="59">
        <v>43937.75</v>
      </c>
      <c r="B2086">
        <v>36.908603999999997</v>
      </c>
      <c r="C2086">
        <v>294.07186899999999</v>
      </c>
      <c r="D2086">
        <v>103.851219</v>
      </c>
      <c r="E2086">
        <v>118.75</v>
      </c>
      <c r="F2086">
        <v>1552.01001</v>
      </c>
      <c r="H2086" s="50">
        <f t="shared" si="265"/>
        <v>1.7481523024829186E-2</v>
      </c>
      <c r="I2086" s="50">
        <f t="shared" si="266"/>
        <v>1.8713340630318751E-2</v>
      </c>
      <c r="J2086" s="50">
        <f t="shared" si="267"/>
        <v>4.0741489492738113E-2</v>
      </c>
      <c r="K2086" s="50">
        <f t="shared" si="268"/>
        <v>-7.7748340882544892E-3</v>
      </c>
      <c r="L2086" s="50">
        <f t="shared" si="269"/>
        <v>6.746210196608135E-3</v>
      </c>
      <c r="P2086" s="50">
        <f t="shared" si="264"/>
        <v>6.746210196608135E-3</v>
      </c>
      <c r="Q2086" s="51">
        <f t="shared" si="270"/>
        <v>77.065539310190999</v>
      </c>
      <c r="R2086" s="51">
        <f t="shared" si="271"/>
        <v>24.5365425177392</v>
      </c>
    </row>
    <row r="2087" spans="1:18" x14ac:dyDescent="0.15">
      <c r="A2087" s="59">
        <v>43938.75</v>
      </c>
      <c r="B2087">
        <v>36.274470999999998</v>
      </c>
      <c r="C2087">
        <v>288.66989100000001</v>
      </c>
      <c r="D2087">
        <v>99.785797000000002</v>
      </c>
      <c r="E2087">
        <v>119.68049600000001</v>
      </c>
      <c r="F2087">
        <v>1541.6099850000001</v>
      </c>
      <c r="H2087" s="50">
        <f t="shared" si="265"/>
        <v>4.9532520235107584E-3</v>
      </c>
      <c r="I2087" s="50">
        <f t="shared" si="266"/>
        <v>3.5675153109347171E-2</v>
      </c>
      <c r="J2087" s="50">
        <f t="shared" si="267"/>
        <v>1.9457345304419647E-2</v>
      </c>
      <c r="K2087" s="50">
        <f t="shared" si="268"/>
        <v>2.8129976601377605E-2</v>
      </c>
      <c r="L2087" s="50">
        <f t="shared" si="269"/>
        <v>-8.7703038096768673E-3</v>
      </c>
      <c r="P2087" s="50">
        <f t="shared" si="264"/>
        <v>-8.7703038096768673E-3</v>
      </c>
      <c r="Q2087" s="51">
        <f t="shared" si="270"/>
        <v>76.38965111718403</v>
      </c>
      <c r="R2087" s="51">
        <f t="shared" si="271"/>
        <v>24.658078196615147</v>
      </c>
    </row>
    <row r="2088" spans="1:18" x14ac:dyDescent="0.15">
      <c r="A2088" s="59">
        <v>43939.75</v>
      </c>
      <c r="B2088">
        <v>36.095680000000002</v>
      </c>
      <c r="C2088">
        <v>278.72628800000001</v>
      </c>
      <c r="D2088">
        <v>97.881287</v>
      </c>
      <c r="E2088">
        <v>116.405998</v>
      </c>
      <c r="F2088">
        <v>1555.25</v>
      </c>
      <c r="H2088" s="50">
        <f t="shared" si="265"/>
        <v>-1.8086455076784993E-2</v>
      </c>
      <c r="I2088" s="50">
        <f t="shared" si="266"/>
        <v>-2.6145625148064577E-2</v>
      </c>
      <c r="J2088" s="50">
        <f t="shared" si="267"/>
        <v>5.6152557253097857E-4</v>
      </c>
      <c r="K2088" s="50">
        <f t="shared" si="268"/>
        <v>-1.4965174381952098E-2</v>
      </c>
      <c r="L2088" s="50">
        <f t="shared" si="269"/>
        <v>-4.64E-3</v>
      </c>
      <c r="P2088" s="50">
        <f t="shared" si="264"/>
        <v>-4.64E-3</v>
      </c>
      <c r="Q2088" s="51">
        <f t="shared" si="270"/>
        <v>76.035203136000291</v>
      </c>
      <c r="R2088" s="51">
        <f t="shared" si="271"/>
        <v>24.212100973032218</v>
      </c>
    </row>
    <row r="2089" spans="1:18" x14ac:dyDescent="0.15">
      <c r="A2089" s="59">
        <v>43942.75</v>
      </c>
      <c r="B2089">
        <v>36.760548</v>
      </c>
      <c r="C2089">
        <v>286.20941199999999</v>
      </c>
      <c r="D2089">
        <v>97.826355000000007</v>
      </c>
      <c r="E2089">
        <v>118.17449999999999</v>
      </c>
      <c r="F2089">
        <v>1562.5</v>
      </c>
      <c r="H2089" s="50">
        <f t="shared" si="265"/>
        <v>2.3807799717214875E-2</v>
      </c>
      <c r="I2089" s="50">
        <f t="shared" si="266"/>
        <v>1.3162950463869096E-2</v>
      </c>
      <c r="J2089" s="50">
        <f t="shared" si="267"/>
        <v>2.8692580597722839E-2</v>
      </c>
      <c r="K2089" s="50">
        <f t="shared" si="268"/>
        <v>-1.4986800642253878E-2</v>
      </c>
      <c r="L2089" s="50">
        <f t="shared" si="269"/>
        <v>-1.0311777892396949E-2</v>
      </c>
      <c r="P2089" s="50">
        <f t="shared" si="264"/>
        <v>-1.0311777892396949E-2</v>
      </c>
      <c r="Q2089" s="51">
        <f t="shared" si="270"/>
        <v>75.251145009258579</v>
      </c>
      <c r="R2089" s="51">
        <f t="shared" si="271"/>
        <v>24.788537823731151</v>
      </c>
    </row>
    <row r="2090" spans="1:18" x14ac:dyDescent="0.15">
      <c r="A2090" s="59">
        <v>43943.75</v>
      </c>
      <c r="B2090">
        <v>35.905712000000001</v>
      </c>
      <c r="C2090">
        <v>282.49099699999999</v>
      </c>
      <c r="D2090">
        <v>95.097755000000006</v>
      </c>
      <c r="E2090">
        <v>119.972504</v>
      </c>
      <c r="F2090">
        <v>1578.780029</v>
      </c>
      <c r="H2090" s="50">
        <f t="shared" si="265"/>
        <v>-7.0302138909361499E-3</v>
      </c>
      <c r="I2090" s="50">
        <f t="shared" si="266"/>
        <v>-1.6583342279809114E-2</v>
      </c>
      <c r="J2090" s="50">
        <f t="shared" si="267"/>
        <v>-3.6727929211627368E-2</v>
      </c>
      <c r="K2090" s="50">
        <f t="shared" si="268"/>
        <v>-4.4684550876110396E-3</v>
      </c>
      <c r="L2090" s="50">
        <f t="shared" si="269"/>
        <v>-6.3402984264493816E-6</v>
      </c>
      <c r="P2090" s="50">
        <f t="shared" si="264"/>
        <v>-6.3402984264493816E-6</v>
      </c>
      <c r="Q2090" s="51">
        <f t="shared" si="270"/>
        <v>75.250667894542289</v>
      </c>
      <c r="R2090" s="51">
        <f t="shared" si="271"/>
        <v>24.61426910078676</v>
      </c>
    </row>
    <row r="2091" spans="1:18" x14ac:dyDescent="0.15">
      <c r="A2091" s="59">
        <v>43944.75</v>
      </c>
      <c r="B2091">
        <v>36.159923999999997</v>
      </c>
      <c r="C2091">
        <v>287.254639</v>
      </c>
      <c r="D2091">
        <v>98.723670999999996</v>
      </c>
      <c r="E2091">
        <v>120.511002</v>
      </c>
      <c r="F2091">
        <v>1578.790039</v>
      </c>
      <c r="H2091" s="50">
        <f t="shared" si="265"/>
        <v>8.8850989896647418E-3</v>
      </c>
      <c r="I2091" s="50">
        <f t="shared" si="266"/>
        <v>5.73216763604257E-3</v>
      </c>
      <c r="J2091" s="50">
        <f t="shared" si="267"/>
        <v>-1.8747585413171751E-2</v>
      </c>
      <c r="K2091" s="50">
        <f t="shared" si="268"/>
        <v>1.4402348121152833E-2</v>
      </c>
      <c r="L2091" s="50">
        <f t="shared" si="269"/>
        <v>-4.0185185491498562E-3</v>
      </c>
      <c r="P2091" s="50">
        <f t="shared" si="264"/>
        <v>-4.0185185491498562E-3</v>
      </c>
      <c r="Q2091" s="51">
        <f t="shared" si="270"/>
        <v>74.948271689772156</v>
      </c>
      <c r="R2091" s="51">
        <f t="shared" si="271"/>
        <v>24.832969318305498</v>
      </c>
    </row>
    <row r="2092" spans="1:18" x14ac:dyDescent="0.15">
      <c r="A2092" s="59">
        <v>43945.75</v>
      </c>
      <c r="B2092">
        <v>35.841468999999996</v>
      </c>
      <c r="C2092">
        <v>285.61743200000001</v>
      </c>
      <c r="D2092">
        <v>100.609863</v>
      </c>
      <c r="E2092">
        <v>118.800003</v>
      </c>
      <c r="F2092">
        <v>1585.160034</v>
      </c>
      <c r="H2092" s="50">
        <f t="shared" si="265"/>
        <v>2.3439176214458592E-3</v>
      </c>
      <c r="I2092" s="50">
        <f t="shared" si="266"/>
        <v>1.2559416079294498E-2</v>
      </c>
      <c r="J2092" s="50">
        <f t="shared" si="267"/>
        <v>-1.8928743033041272E-2</v>
      </c>
      <c r="K2092" s="50">
        <f t="shared" si="268"/>
        <v>2.6757942218800703E-2</v>
      </c>
      <c r="L2092" s="50">
        <f t="shared" si="269"/>
        <v>1.8455127025325416E-3</v>
      </c>
      <c r="P2092" s="50">
        <f t="shared" si="264"/>
        <v>1.8455127025325416E-3</v>
      </c>
      <c r="Q2092" s="51">
        <f t="shared" si="270"/>
        <v>75.086589677208494</v>
      </c>
      <c r="R2092" s="51">
        <f t="shared" si="271"/>
        <v>24.891175752683502</v>
      </c>
    </row>
    <row r="2093" spans="1:18" x14ac:dyDescent="0.15">
      <c r="A2093" s="59">
        <v>43946.75</v>
      </c>
      <c r="B2093">
        <v>35.757655999999997</v>
      </c>
      <c r="C2093">
        <v>282.07473800000002</v>
      </c>
      <c r="D2093">
        <v>102.551025</v>
      </c>
      <c r="E2093">
        <v>115.704002</v>
      </c>
      <c r="F2093">
        <v>1582.23999</v>
      </c>
      <c r="H2093" s="50">
        <f t="shared" si="265"/>
        <v>3.5598542791848459E-2</v>
      </c>
      <c r="I2093" s="50">
        <f t="shared" si="266"/>
        <v>-6.9688164507723787E-3</v>
      </c>
      <c r="J2093" s="50">
        <f t="shared" si="267"/>
        <v>-8.9210528810402731E-4</v>
      </c>
      <c r="K2093" s="50">
        <f t="shared" si="268"/>
        <v>-2.471010826793171E-2</v>
      </c>
      <c r="L2093" s="50">
        <f t="shared" si="269"/>
        <v>-7.1347413150150514E-3</v>
      </c>
      <c r="P2093" s="50">
        <f t="shared" si="264"/>
        <v>-7.1347413150150514E-3</v>
      </c>
      <c r="Q2093" s="51">
        <f t="shared" si="270"/>
        <v>74.550866283634932</v>
      </c>
      <c r="R2093" s="51">
        <f t="shared" si="271"/>
        <v>25.777265337854825</v>
      </c>
    </row>
    <row r="2094" spans="1:18" x14ac:dyDescent="0.15">
      <c r="A2094" s="59">
        <v>43949.75</v>
      </c>
      <c r="B2094">
        <v>34.528492</v>
      </c>
      <c r="C2094">
        <v>284.05426</v>
      </c>
      <c r="D2094">
        <v>102.64259300000001</v>
      </c>
      <c r="E2094">
        <v>118.635498</v>
      </c>
      <c r="F2094">
        <v>1593.6099850000001</v>
      </c>
      <c r="H2094" s="50">
        <f t="shared" si="265"/>
        <v>1.6865598276017999E-2</v>
      </c>
      <c r="I2094" s="50">
        <f t="shared" si="266"/>
        <v>1.118816558291259E-2</v>
      </c>
      <c r="J2094" s="50">
        <f t="shared" si="267"/>
        <v>2.1505369281332981E-2</v>
      </c>
      <c r="K2094" s="50">
        <f t="shared" si="268"/>
        <v>-4.094178757336589E-2</v>
      </c>
      <c r="L2094" s="50">
        <f t="shared" si="269"/>
        <v>-2.4787402954812602E-3</v>
      </c>
      <c r="P2094" s="50">
        <f t="shared" si="264"/>
        <v>-2.4787402954812602E-3</v>
      </c>
      <c r="Q2094" s="51">
        <f t="shared" si="270"/>
        <v>74.366074047314655</v>
      </c>
      <c r="R2094" s="51">
        <f t="shared" si="271"/>
        <v>26.212014339697408</v>
      </c>
    </row>
    <row r="2095" spans="1:18" x14ac:dyDescent="0.15">
      <c r="A2095" s="59">
        <v>43950.75</v>
      </c>
      <c r="B2095">
        <v>33.955807</v>
      </c>
      <c r="C2095">
        <v>280.91137700000002</v>
      </c>
      <c r="D2095">
        <v>100.481697</v>
      </c>
      <c r="E2095">
        <v>123.699997</v>
      </c>
      <c r="F2095">
        <v>1597.5699460000001</v>
      </c>
      <c r="H2095" s="50">
        <f t="shared" si="265"/>
        <v>-1.1145412074205623E-2</v>
      </c>
      <c r="I2095" s="50">
        <f t="shared" si="266"/>
        <v>3.577044583231779E-3</v>
      </c>
      <c r="J2095" s="50">
        <f t="shared" si="267"/>
        <v>1.3951834448357145E-2</v>
      </c>
      <c r="K2095" s="50">
        <f t="shared" si="268"/>
        <v>8.2220738355921308E-2</v>
      </c>
      <c r="L2095" s="50">
        <f t="shared" si="269"/>
        <v>9.3953342139201316E-3</v>
      </c>
      <c r="P2095" s="50">
        <f t="shared" si="264"/>
        <v>9.3953342139201316E-3</v>
      </c>
      <c r="Q2095" s="51">
        <f t="shared" si="270"/>
        <v>75.064768167166307</v>
      </c>
      <c r="R2095" s="51">
        <f t="shared" si="271"/>
        <v>25.919870638586495</v>
      </c>
    </row>
    <row r="2096" spans="1:18" x14ac:dyDescent="0.15">
      <c r="A2096" s="59">
        <v>43951.75</v>
      </c>
      <c r="B2096">
        <v>34.338524</v>
      </c>
      <c r="C2096">
        <v>279.91012599999999</v>
      </c>
      <c r="D2096">
        <v>99.099082999999993</v>
      </c>
      <c r="E2096">
        <v>114.302002</v>
      </c>
      <c r="F2096">
        <v>1582.6999510000001</v>
      </c>
      <c r="H2096" s="50">
        <f t="shared" si="265"/>
        <v>-6.305715576439652E-3</v>
      </c>
      <c r="I2096" s="50">
        <f t="shared" si="266"/>
        <v>-8.4401714567742658E-3</v>
      </c>
      <c r="J2096" s="50">
        <f t="shared" si="267"/>
        <v>-3.1152186771341059E-2</v>
      </c>
      <c r="K2096" s="50">
        <f t="shared" si="268"/>
        <v>-1.2931817494894133E-2</v>
      </c>
      <c r="L2096" s="50">
        <f t="shared" si="269"/>
        <v>-9.3202982723290008E-3</v>
      </c>
      <c r="P2096" s="50">
        <f t="shared" si="264"/>
        <v>-9.3202982723290008E-3</v>
      </c>
      <c r="Q2096" s="51">
        <f t="shared" si="270"/>
        <v>74.365142138105085</v>
      </c>
      <c r="R2096" s="51">
        <f t="shared" si="271"/>
        <v>25.756427306561459</v>
      </c>
    </row>
    <row r="2097" spans="1:18" x14ac:dyDescent="0.15">
      <c r="A2097" s="59">
        <v>43952.75</v>
      </c>
      <c r="B2097">
        <v>34.556426999999999</v>
      </c>
      <c r="C2097">
        <v>282.29272500000002</v>
      </c>
      <c r="D2097">
        <v>102.2855</v>
      </c>
      <c r="E2097">
        <v>115.79949999999999</v>
      </c>
      <c r="F2097">
        <v>1597.589966</v>
      </c>
      <c r="H2097" s="50">
        <f t="shared" si="265"/>
        <v>-8.2576539803315332E-3</v>
      </c>
      <c r="I2097" s="50">
        <f t="shared" si="266"/>
        <v>-1.1139286330394155E-2</v>
      </c>
      <c r="J2097" s="50">
        <f t="shared" si="267"/>
        <v>-4.4725332632441697E-4</v>
      </c>
      <c r="K2097" s="50">
        <f t="shared" si="268"/>
        <v>-7.8090431254562633E-4</v>
      </c>
      <c r="L2097" s="50">
        <f t="shared" si="269"/>
        <v>-1.0424844551793707E-2</v>
      </c>
      <c r="P2097" s="50">
        <f t="shared" si="264"/>
        <v>-1.0424844551793707E-2</v>
      </c>
      <c r="Q2097" s="51">
        <f t="shared" si="270"/>
        <v>73.589897091243301</v>
      </c>
      <c r="R2097" s="51">
        <f t="shared" si="271"/>
        <v>25.543739642094312</v>
      </c>
    </row>
    <row r="2098" spans="1:18" x14ac:dyDescent="0.15">
      <c r="A2098" s="59">
        <v>43953.75</v>
      </c>
      <c r="B2098">
        <v>34.844158</v>
      </c>
      <c r="C2098">
        <v>285.47268700000001</v>
      </c>
      <c r="D2098">
        <v>102.33126799999999</v>
      </c>
      <c r="E2098">
        <v>115.889999</v>
      </c>
      <c r="F2098">
        <v>1614.420044</v>
      </c>
      <c r="H2098" s="50">
        <f t="shared" si="265"/>
        <v>1.1597815917845171E-2</v>
      </c>
      <c r="I2098" s="50">
        <f t="shared" si="266"/>
        <v>-3.1402932756909242E-3</v>
      </c>
      <c r="J2098" s="50">
        <f t="shared" si="267"/>
        <v>-1.6023984985979459E-2</v>
      </c>
      <c r="K2098" s="50">
        <f t="shared" si="268"/>
        <v>-1.4230709858349684E-2</v>
      </c>
      <c r="L2098" s="50">
        <f t="shared" si="269"/>
        <v>-1.9041459041731303E-3</v>
      </c>
      <c r="P2098" s="50">
        <f t="shared" si="264"/>
        <v>-1.9041459041731303E-3</v>
      </c>
      <c r="Q2098" s="51">
        <f t="shared" si="270"/>
        <v>73.449771190108493</v>
      </c>
      <c r="R2098" s="51">
        <f t="shared" si="271"/>
        <v>25.839991232316684</v>
      </c>
    </row>
    <row r="2099" spans="1:18" x14ac:dyDescent="0.15">
      <c r="A2099" s="59">
        <v>43956.75</v>
      </c>
      <c r="B2099">
        <v>34.444674999999997</v>
      </c>
      <c r="C2099">
        <v>286.37197900000001</v>
      </c>
      <c r="D2099">
        <v>103.997726</v>
      </c>
      <c r="E2099">
        <v>117.56300400000001</v>
      </c>
      <c r="F2099">
        <v>1617.5</v>
      </c>
      <c r="H2099" s="50">
        <f t="shared" si="265"/>
        <v>-1.7229534649249683E-3</v>
      </c>
      <c r="I2099" s="50">
        <f t="shared" si="266"/>
        <v>1.275441083556348E-2</v>
      </c>
      <c r="J2099" s="50">
        <f t="shared" si="267"/>
        <v>1.9408596871378794E-3</v>
      </c>
      <c r="K2099" s="50">
        <f t="shared" si="268"/>
        <v>-6.9056727509540514E-3</v>
      </c>
      <c r="L2099" s="50">
        <f t="shared" si="269"/>
        <v>-5.2030561655386429E-3</v>
      </c>
      <c r="P2099" s="50">
        <f t="shared" si="264"/>
        <v>-5.2030561655386429E-3</v>
      </c>
      <c r="Q2099" s="51">
        <f t="shared" si="270"/>
        <v>73.067607905260402</v>
      </c>
      <c r="R2099" s="51">
        <f t="shared" si="271"/>
        <v>25.795470129889331</v>
      </c>
    </row>
    <row r="2100" spans="1:18" x14ac:dyDescent="0.15">
      <c r="A2100" s="59">
        <v>43957.75</v>
      </c>
      <c r="B2100">
        <v>34.504123999999997</v>
      </c>
      <c r="C2100">
        <v>282.76547199999999</v>
      </c>
      <c r="D2100">
        <v>103.796272</v>
      </c>
      <c r="E2100">
        <v>118.380501</v>
      </c>
      <c r="F2100">
        <v>1625.959961</v>
      </c>
      <c r="H2100" s="50">
        <f t="shared" si="265"/>
        <v>-8.5408451170454532E-3</v>
      </c>
      <c r="I2100" s="50">
        <f t="shared" si="266"/>
        <v>-3.0726633743435212E-3</v>
      </c>
      <c r="J2100" s="50">
        <f t="shared" si="267"/>
        <v>-2.1324529815584598E-2</v>
      </c>
      <c r="K2100" s="50">
        <f t="shared" si="268"/>
        <v>-5.0428263878772219E-3</v>
      </c>
      <c r="L2100" s="50">
        <f t="shared" si="269"/>
        <v>-4.1220196382652109E-3</v>
      </c>
      <c r="P2100" s="50">
        <f t="shared" si="264"/>
        <v>-4.1220196382652109E-3</v>
      </c>
      <c r="Q2100" s="51">
        <f t="shared" si="270"/>
        <v>72.766421790553864</v>
      </c>
      <c r="R2100" s="51">
        <f t="shared" si="271"/>
        <v>25.575155014788574</v>
      </c>
    </row>
    <row r="2101" spans="1:18" x14ac:dyDescent="0.15">
      <c r="A2101" s="59">
        <v>43958.75</v>
      </c>
      <c r="B2101">
        <v>34.801357000000003</v>
      </c>
      <c r="C2101">
        <v>283.63699300000002</v>
      </c>
      <c r="D2101">
        <v>106.057907</v>
      </c>
      <c r="E2101">
        <v>118.98049899999999</v>
      </c>
      <c r="F2101">
        <v>1632.6899410000001</v>
      </c>
      <c r="H2101" s="50">
        <f t="shared" si="265"/>
        <v>-5.9028217062252657E-3</v>
      </c>
      <c r="I2101" s="50">
        <f t="shared" si="266"/>
        <v>-1.414646693149447E-2</v>
      </c>
      <c r="J2101" s="50">
        <f t="shared" si="267"/>
        <v>-3.6195849377211729E-2</v>
      </c>
      <c r="K2101" s="50">
        <f t="shared" si="268"/>
        <v>-1.2200066721462862E-2</v>
      </c>
      <c r="L2101" s="50">
        <f t="shared" si="269"/>
        <v>3.7007486688555064E-3</v>
      </c>
      <c r="P2101" s="50">
        <f t="shared" si="264"/>
        <v>3.7007486688555064E-3</v>
      </c>
      <c r="Q2101" s="51">
        <f t="shared" si="270"/>
        <v>73.03571202913264</v>
      </c>
      <c r="R2101" s="51">
        <f t="shared" si="271"/>
        <v>25.424189434627205</v>
      </c>
    </row>
    <row r="2102" spans="1:18" x14ac:dyDescent="0.15">
      <c r="A2102" s="59">
        <v>43959.75</v>
      </c>
      <c r="B2102">
        <v>35.008003000000002</v>
      </c>
      <c r="C2102">
        <v>287.70703099999997</v>
      </c>
      <c r="D2102">
        <v>110.040932</v>
      </c>
      <c r="E2102">
        <v>120.449997</v>
      </c>
      <c r="F2102">
        <v>1626.670044</v>
      </c>
      <c r="H2102" s="50">
        <f t="shared" si="265"/>
        <v>-8.8860630964694937E-4</v>
      </c>
      <c r="I2102" s="50">
        <f t="shared" si="266"/>
        <v>1.8009452777597298E-2</v>
      </c>
      <c r="J2102" s="50">
        <f t="shared" si="267"/>
        <v>6.6172448374735675E-3</v>
      </c>
      <c r="K2102" s="50">
        <f t="shared" si="268"/>
        <v>2.2083564875502119E-2</v>
      </c>
      <c r="L2102" s="50">
        <f t="shared" si="269"/>
        <v>-4.3030588301707631E-3</v>
      </c>
      <c r="P2102" s="50">
        <f t="shared" si="264"/>
        <v>-4.3030588301707631E-3</v>
      </c>
      <c r="Q2102" s="51">
        <f t="shared" si="270"/>
        <v>72.721435063567867</v>
      </c>
      <c r="R2102" s="51">
        <f t="shared" si="271"/>
        <v>25.401597339477938</v>
      </c>
    </row>
    <row r="2103" spans="1:18" x14ac:dyDescent="0.15">
      <c r="A2103" s="59">
        <v>43960.75</v>
      </c>
      <c r="B2103">
        <v>35.039138999999999</v>
      </c>
      <c r="C2103">
        <v>282.61724900000002</v>
      </c>
      <c r="D2103">
        <v>109.31755099999999</v>
      </c>
      <c r="E2103">
        <v>117.847504</v>
      </c>
      <c r="F2103">
        <v>1633.6999510000001</v>
      </c>
      <c r="H2103" s="50">
        <f t="shared" si="265"/>
        <v>5.6580188224635019E-4</v>
      </c>
      <c r="I2103" s="50">
        <f t="shared" si="266"/>
        <v>8.9364861266813238E-3</v>
      </c>
      <c r="J2103" s="50">
        <f t="shared" si="267"/>
        <v>2.0984128521248152E-3</v>
      </c>
      <c r="K2103" s="50">
        <f t="shared" si="268"/>
        <v>-4.6327577069239954E-3</v>
      </c>
      <c r="L2103" s="50">
        <f t="shared" si="269"/>
        <v>-4.2887921275404364E-5</v>
      </c>
      <c r="P2103" s="50">
        <f t="shared" si="264"/>
        <v>-4.2887921275404364E-5</v>
      </c>
      <c r="Q2103" s="51">
        <f t="shared" si="270"/>
        <v>72.718316192385828</v>
      </c>
      <c r="R2103" s="51">
        <f t="shared" si="271"/>
        <v>25.415969611064678</v>
      </c>
    </row>
    <row r="2104" spans="1:18" x14ac:dyDescent="0.15">
      <c r="A2104" s="59">
        <v>43963.75</v>
      </c>
      <c r="B2104">
        <v>35.019325000000002</v>
      </c>
      <c r="C2104">
        <v>280.114014</v>
      </c>
      <c r="D2104">
        <v>109.088638</v>
      </c>
      <c r="E2104">
        <v>118.396004</v>
      </c>
      <c r="F2104">
        <v>1633.7700199999999</v>
      </c>
      <c r="H2104" s="50">
        <f t="shared" si="265"/>
        <v>2.3495847711139501E-3</v>
      </c>
      <c r="I2104" s="50">
        <f t="shared" si="266"/>
        <v>8.0068154405013667E-3</v>
      </c>
      <c r="J2104" s="50">
        <f t="shared" si="267"/>
        <v>-6.6702710110321944E-3</v>
      </c>
      <c r="K2104" s="50">
        <f t="shared" si="268"/>
        <v>-8.7614795929793574E-3</v>
      </c>
      <c r="L2104" s="50">
        <f t="shared" si="269"/>
        <v>-1.0040322807040397E-2</v>
      </c>
      <c r="P2104" s="50">
        <f t="shared" si="264"/>
        <v>-1.0040322807040397E-2</v>
      </c>
      <c r="Q2104" s="51">
        <f t="shared" si="270"/>
        <v>71.988200823829843</v>
      </c>
      <c r="R2104" s="51">
        <f t="shared" si="271"/>
        <v>25.475686586205931</v>
      </c>
    </row>
    <row r="2105" spans="1:18" x14ac:dyDescent="0.15">
      <c r="A2105" s="59">
        <v>43964.75</v>
      </c>
      <c r="B2105">
        <v>34.937237000000003</v>
      </c>
      <c r="C2105">
        <v>277.88900799999999</v>
      </c>
      <c r="D2105">
        <v>109.821175</v>
      </c>
      <c r="E2105">
        <v>119.442497</v>
      </c>
      <c r="F2105">
        <v>1650.339966</v>
      </c>
      <c r="H2105" s="50">
        <f t="shared" si="265"/>
        <v>-2.0009543180338294E-2</v>
      </c>
      <c r="I2105" s="50">
        <f t="shared" si="266"/>
        <v>1.7712224877155058E-3</v>
      </c>
      <c r="J2105" s="50">
        <f t="shared" si="267"/>
        <v>-8.2684888106890793E-3</v>
      </c>
      <c r="K2105" s="50">
        <f t="shared" si="268"/>
        <v>-8.6854486083450724E-3</v>
      </c>
      <c r="L2105" s="50">
        <f t="shared" si="269"/>
        <v>-5.0881146700856557E-3</v>
      </c>
      <c r="P2105" s="50">
        <f t="shared" si="264"/>
        <v>-5.0881146700856557E-3</v>
      </c>
      <c r="Q2105" s="51">
        <f t="shared" si="270"/>
        <v>71.621916603145038</v>
      </c>
      <c r="R2105" s="51">
        <f t="shared" si="271"/>
        <v>24.965929735410477</v>
      </c>
    </row>
    <row r="2106" spans="1:18" x14ac:dyDescent="0.15">
      <c r="A2106" s="59">
        <v>43965.75</v>
      </c>
      <c r="B2106">
        <v>35.650588999999997</v>
      </c>
      <c r="C2106">
        <v>277.39767499999999</v>
      </c>
      <c r="D2106">
        <v>110.736801</v>
      </c>
      <c r="E2106">
        <v>120.488998</v>
      </c>
      <c r="F2106">
        <v>1658.780029</v>
      </c>
      <c r="H2106" s="50">
        <f t="shared" si="265"/>
        <v>-1.3473023983140046E-2</v>
      </c>
      <c r="I2106" s="50">
        <f t="shared" si="266"/>
        <v>-1.1725325327590691E-2</v>
      </c>
      <c r="J2106" s="50">
        <f t="shared" si="267"/>
        <v>-3.4025578300555574E-2</v>
      </c>
      <c r="K2106" s="50">
        <f t="shared" si="268"/>
        <v>-6.7923963040269885E-3</v>
      </c>
      <c r="L2106" s="50">
        <f t="shared" si="269"/>
        <v>5.0349646743133789E-3</v>
      </c>
      <c r="P2106" s="50">
        <f t="shared" si="264"/>
        <v>5.0349646743133789E-3</v>
      </c>
      <c r="Q2106" s="51">
        <f t="shared" si="270"/>
        <v>71.982530423148489</v>
      </c>
      <c r="R2106" s="51">
        <f t="shared" si="271"/>
        <v>24.629563165323901</v>
      </c>
    </row>
    <row r="2107" spans="1:18" x14ac:dyDescent="0.15">
      <c r="A2107" s="59">
        <v>43966.75</v>
      </c>
      <c r="B2107">
        <v>36.13747</v>
      </c>
      <c r="C2107">
        <v>280.68884300000002</v>
      </c>
      <c r="D2107">
        <v>114.637405</v>
      </c>
      <c r="E2107">
        <v>121.31300400000001</v>
      </c>
      <c r="F2107">
        <v>1650.469971</v>
      </c>
      <c r="H2107" s="50">
        <f t="shared" si="265"/>
        <v>2.1688221914682733E-2</v>
      </c>
      <c r="I2107" s="50">
        <f t="shared" si="266"/>
        <v>-6.1384701717357056E-3</v>
      </c>
      <c r="J2107" s="50">
        <f t="shared" si="267"/>
        <v>1.1123001699120188E-2</v>
      </c>
      <c r="K2107" s="50">
        <f t="shared" si="268"/>
        <v>-9.4188615614788865E-3</v>
      </c>
      <c r="L2107" s="50">
        <f t="shared" si="269"/>
        <v>-1.0195086145872188E-2</v>
      </c>
      <c r="P2107" s="50">
        <f t="shared" si="264"/>
        <v>-1.0195086145872188E-2</v>
      </c>
      <c r="Q2107" s="51">
        <f t="shared" si="270"/>
        <v>71.248662324486631</v>
      </c>
      <c r="R2107" s="51">
        <f t="shared" si="271"/>
        <v>25.163734596915145</v>
      </c>
    </row>
    <row r="2108" spans="1:18" x14ac:dyDescent="0.15">
      <c r="A2108" s="59">
        <v>43967.75</v>
      </c>
      <c r="B2108">
        <v>35.370350000000002</v>
      </c>
      <c r="C2108">
        <v>282.42248499999999</v>
      </c>
      <c r="D2108">
        <v>113.37632000000001</v>
      </c>
      <c r="E2108">
        <v>122.466499</v>
      </c>
      <c r="F2108">
        <v>1667.469971</v>
      </c>
      <c r="H2108" s="50">
        <f t="shared" si="265"/>
        <v>-3.9852866118728295E-3</v>
      </c>
      <c r="I2108" s="50">
        <f t="shared" si="266"/>
        <v>-9.1850164323610377E-4</v>
      </c>
      <c r="J2108" s="50">
        <f t="shared" si="267"/>
        <v>2.9591238284659611E-2</v>
      </c>
      <c r="K2108" s="50">
        <f t="shared" si="268"/>
        <v>-1.9460066627859752E-2</v>
      </c>
      <c r="L2108" s="50">
        <f t="shared" si="269"/>
        <v>7.0811921837336746E-4</v>
      </c>
      <c r="P2108" s="50">
        <f t="shared" si="264"/>
        <v>7.0811921837336746E-4</v>
      </c>
      <c r="Q2108" s="51">
        <f t="shared" si="270"/>
        <v>71.299114871561997</v>
      </c>
      <c r="R2108" s="51">
        <f t="shared" si="271"/>
        <v>25.063449902321338</v>
      </c>
    </row>
    <row r="2109" spans="1:18" x14ac:dyDescent="0.15">
      <c r="A2109" s="59">
        <v>43970.75</v>
      </c>
      <c r="B2109">
        <v>35.511875000000003</v>
      </c>
      <c r="C2109">
        <v>282.68212899999997</v>
      </c>
      <c r="D2109">
        <v>110.11779799999999</v>
      </c>
      <c r="E2109">
        <v>124.897003</v>
      </c>
      <c r="F2109">
        <v>1666.290039</v>
      </c>
      <c r="H2109" s="50">
        <f t="shared" si="265"/>
        <v>3.6801830462242459E-3</v>
      </c>
      <c r="I2109" s="50">
        <f t="shared" si="266"/>
        <v>9.7360785588754273E-3</v>
      </c>
      <c r="J2109" s="50">
        <f t="shared" si="267"/>
        <v>8.0046156037309382E-3</v>
      </c>
      <c r="K2109" s="50">
        <f t="shared" si="268"/>
        <v>2.0925844526608409E-2</v>
      </c>
      <c r="L2109" s="50">
        <f t="shared" si="269"/>
        <v>-1.7194247055642223E-3</v>
      </c>
      <c r="P2109" s="50">
        <f t="shared" si="264"/>
        <v>-1.7194247055642223E-3</v>
      </c>
      <c r="Q2109" s="51">
        <f t="shared" si="270"/>
        <v>71.176521411966974</v>
      </c>
      <c r="R2109" s="51">
        <f t="shared" si="271"/>
        <v>25.155687985731753</v>
      </c>
    </row>
    <row r="2110" spans="1:18" x14ac:dyDescent="0.15">
      <c r="A2110" s="59">
        <v>43971.75</v>
      </c>
      <c r="B2110">
        <v>35.381664000000001</v>
      </c>
      <c r="C2110">
        <v>279.95645100000002</v>
      </c>
      <c r="D2110">
        <v>109.243347</v>
      </c>
      <c r="E2110">
        <v>122.33699799999999</v>
      </c>
      <c r="F2110">
        <v>1669.160034</v>
      </c>
      <c r="H2110" s="50">
        <f t="shared" si="265"/>
        <v>5.3085066580230459E-3</v>
      </c>
      <c r="I2110" s="50">
        <f t="shared" si="266"/>
        <v>-1.5210768800888667E-3</v>
      </c>
      <c r="J2110" s="50">
        <f t="shared" si="267"/>
        <v>1.0128483962695152E-2</v>
      </c>
      <c r="K2110" s="50">
        <f t="shared" si="268"/>
        <v>4.0461244862918314E-3</v>
      </c>
      <c r="L2110" s="50">
        <f t="shared" si="269"/>
        <v>8.3426817290750532E-3</v>
      </c>
      <c r="P2110" s="50">
        <f t="shared" si="264"/>
        <v>8.3426817290750532E-3</v>
      </c>
      <c r="Q2110" s="51">
        <f t="shared" si="270"/>
        <v>71.770324476689709</v>
      </c>
      <c r="R2110" s="51">
        <f t="shared" si="271"/>
        <v>25.289227122891159</v>
      </c>
    </row>
    <row r="2111" spans="1:18" x14ac:dyDescent="0.15">
      <c r="A2111" s="59">
        <v>43972.75</v>
      </c>
      <c r="B2111">
        <v>35.194831999999998</v>
      </c>
      <c r="C2111">
        <v>280.38293499999997</v>
      </c>
      <c r="D2111">
        <v>108.147972</v>
      </c>
      <c r="E2111">
        <v>121.844002</v>
      </c>
      <c r="F2111">
        <v>1655.349976</v>
      </c>
      <c r="H2111" s="50">
        <f t="shared" si="265"/>
        <v>3.794586967287082E-3</v>
      </c>
      <c r="I2111" s="50">
        <f t="shared" si="266"/>
        <v>-7.7756163852546146E-3</v>
      </c>
      <c r="J2111" s="50">
        <f t="shared" si="267"/>
        <v>2.0587249271384694E-2</v>
      </c>
      <c r="K2111" s="50">
        <f t="shared" si="268"/>
        <v>6.2018447606080884E-3</v>
      </c>
      <c r="L2111" s="50">
        <f t="shared" si="269"/>
        <v>2.9324063293624035E-3</v>
      </c>
      <c r="P2111" s="50">
        <f t="shared" si="264"/>
        <v>2.9324063293624035E-3</v>
      </c>
      <c r="Q2111" s="51">
        <f t="shared" si="270"/>
        <v>71.980784230445536</v>
      </c>
      <c r="R2111" s="51">
        <f t="shared" si="271"/>
        <v>25.385189294544446</v>
      </c>
    </row>
    <row r="2112" spans="1:18" x14ac:dyDescent="0.15">
      <c r="A2112" s="59">
        <v>43973.75</v>
      </c>
      <c r="B2112">
        <v>35.061787000000002</v>
      </c>
      <c r="C2112">
        <v>282.58017000000001</v>
      </c>
      <c r="D2112">
        <v>105.966415</v>
      </c>
      <c r="E2112">
        <v>121.093002</v>
      </c>
      <c r="F2112">
        <v>1650.51001</v>
      </c>
      <c r="H2112" s="50">
        <f t="shared" si="265"/>
        <v>1.126703455374686E-2</v>
      </c>
      <c r="I2112" s="50">
        <f t="shared" si="266"/>
        <v>-3.9539177713802144E-3</v>
      </c>
      <c r="J2112" s="50">
        <f t="shared" si="267"/>
        <v>-1.950433503947693E-2</v>
      </c>
      <c r="K2112" s="50">
        <f t="shared" si="268"/>
        <v>4.7585742991085997E-3</v>
      </c>
      <c r="L2112" s="50">
        <f t="shared" si="269"/>
        <v>5.5166950366153259E-4</v>
      </c>
      <c r="P2112" s="50">
        <f t="shared" si="264"/>
        <v>5.5166950366153259E-4</v>
      </c>
      <c r="Q2112" s="51">
        <f t="shared" si="270"/>
        <v>72.020493833955115</v>
      </c>
      <c r="R2112" s="51">
        <f t="shared" si="271"/>
        <v>25.671205099479483</v>
      </c>
    </row>
    <row r="2113" spans="1:18" x14ac:dyDescent="0.15">
      <c r="A2113" s="59">
        <v>43974.75</v>
      </c>
      <c r="B2113">
        <v>34.671146</v>
      </c>
      <c r="C2113">
        <v>283.70190400000001</v>
      </c>
      <c r="D2113">
        <v>108.074333</v>
      </c>
      <c r="E2113">
        <v>120.51950100000001</v>
      </c>
      <c r="F2113">
        <v>1649.599976</v>
      </c>
      <c r="H2113" s="50">
        <f t="shared" si="265"/>
        <v>-9.7824095187524027E-3</v>
      </c>
      <c r="I2113" s="50">
        <f t="shared" si="266"/>
        <v>-1.1467764589565436E-2</v>
      </c>
      <c r="J2113" s="50">
        <f t="shared" si="267"/>
        <v>-8.612679475809305E-3</v>
      </c>
      <c r="K2113" s="50">
        <f t="shared" si="268"/>
        <v>3.8690683436758025E-3</v>
      </c>
      <c r="L2113" s="50">
        <f t="shared" si="269"/>
        <v>-6.3010268473665757E-3</v>
      </c>
      <c r="P2113" s="50">
        <f t="shared" ref="P2113:P2176" si="272">(F2113-F2114)/F2114</f>
        <v>-6.3010268473665757E-3</v>
      </c>
      <c r="Q2113" s="51">
        <f t="shared" si="270"/>
        <v>71.566690768746767</v>
      </c>
      <c r="R2113" s="51">
        <f t="shared" si="271"/>
        <v>25.42007885835649</v>
      </c>
    </row>
    <row r="2114" spans="1:18" x14ac:dyDescent="0.15">
      <c r="A2114" s="59">
        <v>43978.75</v>
      </c>
      <c r="B2114">
        <v>35.013663999999999</v>
      </c>
      <c r="C2114">
        <v>286.99307299999998</v>
      </c>
      <c r="D2114">
        <v>109.013229</v>
      </c>
      <c r="E2114">
        <v>120.05500000000001</v>
      </c>
      <c r="F2114">
        <v>1660.0600589999999</v>
      </c>
      <c r="H2114" s="50">
        <f t="shared" ref="H2114:H2177" si="273">(B2114-B2115)/B2115</f>
        <v>-2.9825953386042933E-3</v>
      </c>
      <c r="I2114" s="50">
        <f t="shared" ref="I2114:I2177" si="274">(C2114-C2115)/C2115</f>
        <v>3.5332145254202761E-3</v>
      </c>
      <c r="J2114" s="50">
        <f t="shared" ref="J2114:J2177" si="275">(D2114-D2115)/D2115</f>
        <v>-3.188097964632905E-2</v>
      </c>
      <c r="K2114" s="50">
        <f t="shared" ref="K2114:K2177" si="276">(E2114-E2115)/E2115</f>
        <v>-1.6897521669525833E-2</v>
      </c>
      <c r="L2114" s="50">
        <f t="shared" ref="L2114:L2177" si="277">(F2114-F2115)/F2115</f>
        <v>7.098008994679556E-3</v>
      </c>
      <c r="P2114" s="50">
        <f t="shared" si="272"/>
        <v>7.098008994679556E-3</v>
      </c>
      <c r="Q2114" s="51">
        <f t="shared" si="270"/>
        <v>72.074671783542783</v>
      </c>
      <c r="R2114" s="51">
        <f t="shared" si="271"/>
        <v>25.344261049646601</v>
      </c>
    </row>
    <row r="2115" spans="1:18" x14ac:dyDescent="0.15">
      <c r="A2115" s="59">
        <v>43979.75</v>
      </c>
      <c r="B2115">
        <v>35.118408000000002</v>
      </c>
      <c r="C2115">
        <v>285.98263500000002</v>
      </c>
      <c r="D2115">
        <v>112.603127</v>
      </c>
      <c r="E2115">
        <v>122.1185</v>
      </c>
      <c r="F2115">
        <v>1648.3599850000001</v>
      </c>
      <c r="H2115" s="50">
        <f t="shared" si="273"/>
        <v>8.0695143233035075E-4</v>
      </c>
      <c r="I2115" s="50">
        <f t="shared" si="274"/>
        <v>5.8405118285604664E-4</v>
      </c>
      <c r="J2115" s="50">
        <f t="shared" si="275"/>
        <v>2.3767819179621116E-2</v>
      </c>
      <c r="K2115" s="50">
        <f t="shared" si="276"/>
        <v>-1.1602418227104117E-2</v>
      </c>
      <c r="L2115" s="50">
        <f t="shared" si="277"/>
        <v>-3.6569223322299705E-3</v>
      </c>
      <c r="P2115" s="50">
        <f t="shared" si="272"/>
        <v>-3.6569223322299705E-3</v>
      </c>
      <c r="Q2115" s="51">
        <f t="shared" ref="Q2115:Q2178" si="278">Q2114*(1+P2115)</f>
        <v>71.811100306709406</v>
      </c>
      <c r="R2115" s="51">
        <f t="shared" ref="R2115:R2178" si="279">R2114*(1+H2115)</f>
        <v>25.364712637401968</v>
      </c>
    </row>
    <row r="2116" spans="1:18" x14ac:dyDescent="0.15">
      <c r="A2116" s="59">
        <v>43980.75</v>
      </c>
      <c r="B2116">
        <v>35.090091999999999</v>
      </c>
      <c r="C2116">
        <v>285.81570399999998</v>
      </c>
      <c r="D2116">
        <v>109.98893</v>
      </c>
      <c r="E2116">
        <v>123.552002</v>
      </c>
      <c r="F2116">
        <v>1654.410034</v>
      </c>
      <c r="H2116" s="50">
        <f t="shared" si="273"/>
        <v>1.6115407064521957E-4</v>
      </c>
      <c r="I2116" s="50">
        <f t="shared" si="274"/>
        <v>3.9074264579778617E-3</v>
      </c>
      <c r="J2116" s="50">
        <f t="shared" si="275"/>
        <v>5.3849449731260077E-3</v>
      </c>
      <c r="K2116" s="50">
        <f t="shared" si="276"/>
        <v>-5.5409095218094523E-4</v>
      </c>
      <c r="L2116" s="50">
        <f t="shared" si="277"/>
        <v>1.4514909884561033E-2</v>
      </c>
      <c r="P2116" s="50">
        <f t="shared" si="272"/>
        <v>1.4514909884561033E-2</v>
      </c>
      <c r="Q2116" s="51">
        <f t="shared" si="278"/>
        <v>72.853431956372461</v>
      </c>
      <c r="R2116" s="51">
        <f t="shared" si="279"/>
        <v>25.368800264094233</v>
      </c>
    </row>
    <row r="2117" spans="1:18" x14ac:dyDescent="0.15">
      <c r="A2117" s="59">
        <v>43981.75</v>
      </c>
      <c r="B2117">
        <v>35.084437999999999</v>
      </c>
      <c r="C2117">
        <v>284.70324699999998</v>
      </c>
      <c r="D2117">
        <v>109.399818</v>
      </c>
      <c r="E2117">
        <v>123.620499</v>
      </c>
      <c r="F2117">
        <v>1630.73999</v>
      </c>
      <c r="H2117" s="50">
        <f t="shared" si="273"/>
        <v>3.8066870532670318E-3</v>
      </c>
      <c r="I2117" s="50">
        <f t="shared" si="274"/>
        <v>1.4677719949467124E-3</v>
      </c>
      <c r="J2117" s="50">
        <f t="shared" si="275"/>
        <v>-2.3659056177493101E-2</v>
      </c>
      <c r="K2117" s="50">
        <f t="shared" si="276"/>
        <v>-2.4168738285487343E-3</v>
      </c>
      <c r="L2117" s="50">
        <f t="shared" si="277"/>
        <v>-5.9009605712912932E-3</v>
      </c>
      <c r="P2117" s="50">
        <f t="shared" si="272"/>
        <v>-5.9009605712912932E-3</v>
      </c>
      <c r="Q2117" s="51">
        <f t="shared" si="278"/>
        <v>72.423526726914659</v>
      </c>
      <c r="R2117" s="51">
        <f t="shared" si="279"/>
        <v>25.465371347616475</v>
      </c>
    </row>
    <row r="2118" spans="1:18" x14ac:dyDescent="0.15">
      <c r="A2118" s="59">
        <v>43984.75</v>
      </c>
      <c r="B2118">
        <v>34.951388999999999</v>
      </c>
      <c r="C2118">
        <v>284.28598</v>
      </c>
      <c r="D2118">
        <v>112.05083500000001</v>
      </c>
      <c r="E2118">
        <v>123.91999800000001</v>
      </c>
      <c r="F2118">
        <v>1640.420044</v>
      </c>
      <c r="H2118" s="50">
        <f t="shared" si="273"/>
        <v>1.1137372958314193E-2</v>
      </c>
      <c r="I2118" s="50">
        <f t="shared" si="274"/>
        <v>-1.3226215023405131E-2</v>
      </c>
      <c r="J2118" s="50">
        <f t="shared" si="275"/>
        <v>1.4754887987154967E-2</v>
      </c>
      <c r="K2118" s="50">
        <f t="shared" si="276"/>
        <v>7.2339998962367147E-3</v>
      </c>
      <c r="L2118" s="50">
        <f t="shared" si="277"/>
        <v>5.5413447340860221E-3</v>
      </c>
      <c r="P2118" s="50">
        <f t="shared" si="272"/>
        <v>5.5413447340860221E-3</v>
      </c>
      <c r="Q2118" s="51">
        <f t="shared" si="278"/>
        <v>72.824850455366786</v>
      </c>
      <c r="R2118" s="51">
        <f t="shared" si="279"/>
        <v>25.748988685836849</v>
      </c>
    </row>
    <row r="2119" spans="1:18" x14ac:dyDescent="0.15">
      <c r="A2119" s="59">
        <v>43985.75</v>
      </c>
      <c r="B2119">
        <v>34.566409999999998</v>
      </c>
      <c r="C2119">
        <v>288.096405</v>
      </c>
      <c r="D2119">
        <v>110.421577</v>
      </c>
      <c r="E2119">
        <v>123.029999</v>
      </c>
      <c r="F2119">
        <v>1631.380005</v>
      </c>
      <c r="H2119" s="50">
        <f t="shared" si="273"/>
        <v>4.5245497209488381E-3</v>
      </c>
      <c r="I2119" s="50">
        <f t="shared" si="274"/>
        <v>-4.1338535882274622E-3</v>
      </c>
      <c r="J2119" s="50">
        <f t="shared" si="275"/>
        <v>-1.2918523675448499E-2</v>
      </c>
      <c r="K2119" s="50">
        <f t="shared" si="276"/>
        <v>-9.0213691659867794E-3</v>
      </c>
      <c r="L2119" s="50">
        <f t="shared" si="277"/>
        <v>1.3972267179231487E-2</v>
      </c>
      <c r="P2119" s="50">
        <f t="shared" si="272"/>
        <v>1.3972267179231487E-2</v>
      </c>
      <c r="Q2119" s="51">
        <f t="shared" si="278"/>
        <v>73.842378723216754</v>
      </c>
      <c r="R2119" s="51">
        <f t="shared" si="279"/>
        <v>25.865491265410064</v>
      </c>
    </row>
    <row r="2120" spans="1:18" x14ac:dyDescent="0.15">
      <c r="A2120" s="59">
        <v>43986.75</v>
      </c>
      <c r="B2120">
        <v>34.410716999999998</v>
      </c>
      <c r="C2120">
        <v>289.29229700000002</v>
      </c>
      <c r="D2120">
        <v>111.86673</v>
      </c>
      <c r="E2120">
        <v>124.150002</v>
      </c>
      <c r="F2120">
        <v>1608.900024</v>
      </c>
      <c r="H2120" s="50">
        <f t="shared" si="273"/>
        <v>2.6395882113019139E-3</v>
      </c>
      <c r="I2120" s="50">
        <f t="shared" si="274"/>
        <v>1.5788252236861929E-2</v>
      </c>
      <c r="J2120" s="50">
        <f t="shared" si="275"/>
        <v>-6.8645624624455994E-3</v>
      </c>
      <c r="K2120" s="50">
        <f t="shared" si="276"/>
        <v>-1.6267449673919368E-2</v>
      </c>
      <c r="L2120" s="50">
        <f t="shared" si="277"/>
        <v>-8.4188162553555622E-3</v>
      </c>
      <c r="P2120" s="50">
        <f t="shared" si="272"/>
        <v>-8.4188162553555622E-3</v>
      </c>
      <c r="Q2120" s="51">
        <f t="shared" si="278"/>
        <v>73.22071330488761</v>
      </c>
      <c r="R2120" s="51">
        <f t="shared" si="279"/>
        <v>25.933765511233773</v>
      </c>
    </row>
    <row r="2121" spans="1:18" x14ac:dyDescent="0.15">
      <c r="A2121" s="59">
        <v>43987.75</v>
      </c>
      <c r="B2121">
        <v>34.320126000000002</v>
      </c>
      <c r="C2121">
        <v>284.79586799999998</v>
      </c>
      <c r="D2121">
        <v>112.639954</v>
      </c>
      <c r="E2121">
        <v>126.203003</v>
      </c>
      <c r="F2121">
        <v>1622.5600589999999</v>
      </c>
      <c r="H2121" s="50">
        <f t="shared" si="273"/>
        <v>-9.0648772323220219E-4</v>
      </c>
      <c r="I2121" s="50">
        <f t="shared" si="274"/>
        <v>5.3674870755009256E-3</v>
      </c>
      <c r="J2121" s="50">
        <f t="shared" si="275"/>
        <v>1.3668092317987433E-2</v>
      </c>
      <c r="K2121" s="50">
        <f t="shared" si="276"/>
        <v>-2.9528663822956075E-2</v>
      </c>
      <c r="L2121" s="50">
        <f t="shared" si="277"/>
        <v>-1.2668978530014471E-2</v>
      </c>
      <c r="P2121" s="50">
        <f t="shared" si="272"/>
        <v>-1.2668978530014471E-2</v>
      </c>
      <c r="Q2121" s="51">
        <f t="shared" si="278"/>
        <v>72.293081660075643</v>
      </c>
      <c r="R2121" s="51">
        <f t="shared" si="279"/>
        <v>25.910256871180657</v>
      </c>
    </row>
    <row r="2122" spans="1:18" x14ac:dyDescent="0.15">
      <c r="A2122" s="59">
        <v>43988.75</v>
      </c>
      <c r="B2122">
        <v>34.351264999999998</v>
      </c>
      <c r="C2122">
        <v>283.27539100000001</v>
      </c>
      <c r="D2122">
        <v>111.12114</v>
      </c>
      <c r="E2122">
        <v>130.04299900000001</v>
      </c>
      <c r="F2122">
        <v>1643.380005</v>
      </c>
      <c r="H2122" s="50">
        <f t="shared" si="273"/>
        <v>1.5680450038828258E-3</v>
      </c>
      <c r="I2122" s="50">
        <f t="shared" si="274"/>
        <v>-5.7919248332772401E-3</v>
      </c>
      <c r="J2122" s="50">
        <f t="shared" si="275"/>
        <v>6.0001426419692781E-3</v>
      </c>
      <c r="K2122" s="50">
        <f t="shared" si="276"/>
        <v>-1.7598058775018344E-2</v>
      </c>
      <c r="L2122" s="50">
        <f t="shared" si="277"/>
        <v>3.469335952002913E-4</v>
      </c>
      <c r="P2122" s="50">
        <f t="shared" si="272"/>
        <v>3.469335952002913E-4</v>
      </c>
      <c r="Q2122" s="51">
        <f t="shared" si="278"/>
        <v>72.318162558804076</v>
      </c>
      <c r="R2122" s="51">
        <f t="shared" si="279"/>
        <v>25.950885320016834</v>
      </c>
    </row>
    <row r="2123" spans="1:18" x14ac:dyDescent="0.15">
      <c r="A2123" s="59">
        <v>43991.75</v>
      </c>
      <c r="B2123">
        <v>34.297485000000002</v>
      </c>
      <c r="C2123">
        <v>284.925659</v>
      </c>
      <c r="D2123">
        <v>110.45837400000001</v>
      </c>
      <c r="E2123">
        <v>132.37249800000001</v>
      </c>
      <c r="F2123">
        <v>1642.8100589999999</v>
      </c>
      <c r="H2123" s="50">
        <f t="shared" si="273"/>
        <v>8.9101832594700725E-3</v>
      </c>
      <c r="I2123" s="50">
        <f t="shared" si="274"/>
        <v>2.1607010913161456E-2</v>
      </c>
      <c r="J2123" s="50">
        <f t="shared" si="275"/>
        <v>1.6862939937092824E-2</v>
      </c>
      <c r="K2123" s="50">
        <f t="shared" si="276"/>
        <v>3.4984869935772211E-2</v>
      </c>
      <c r="L2123" s="50">
        <f t="shared" si="277"/>
        <v>1.0257515665237311E-2</v>
      </c>
      <c r="P2123" s="50">
        <f t="shared" si="272"/>
        <v>1.0257515665237311E-2</v>
      </c>
      <c r="Q2123" s="51">
        <f t="shared" si="278"/>
        <v>73.059967244132196</v>
      </c>
      <c r="R2123" s="51">
        <f t="shared" si="279"/>
        <v>26.182112463963673</v>
      </c>
    </row>
    <row r="2124" spans="1:18" x14ac:dyDescent="0.15">
      <c r="A2124" s="59">
        <v>43992.75</v>
      </c>
      <c r="B2124">
        <v>33.994587000000003</v>
      </c>
      <c r="C2124">
        <v>278.899475</v>
      </c>
      <c r="D2124">
        <v>108.62661</v>
      </c>
      <c r="E2124">
        <v>127.898003</v>
      </c>
      <c r="F2124">
        <v>1626.130005</v>
      </c>
      <c r="H2124" s="50">
        <f t="shared" si="273"/>
        <v>1.9959280942623676E-2</v>
      </c>
      <c r="I2124" s="50">
        <f t="shared" si="274"/>
        <v>7.1304864330962127E-3</v>
      </c>
      <c r="J2124" s="50">
        <f t="shared" si="275"/>
        <v>9.4952576218806251E-3</v>
      </c>
      <c r="K2124" s="50">
        <f t="shared" si="276"/>
        <v>5.0844708889083825E-3</v>
      </c>
      <c r="L2124" s="50">
        <f t="shared" si="277"/>
        <v>8.4401959859078529E-3</v>
      </c>
      <c r="P2124" s="50">
        <f t="shared" si="272"/>
        <v>8.4401959859078529E-3</v>
      </c>
      <c r="Q2124" s="51">
        <f t="shared" si="278"/>
        <v>73.676607686396693</v>
      </c>
      <c r="R2124" s="51">
        <f t="shared" si="279"/>
        <v>26.704688602303293</v>
      </c>
    </row>
    <row r="2125" spans="1:18" x14ac:dyDescent="0.15">
      <c r="A2125" s="59">
        <v>43993.75</v>
      </c>
      <c r="B2125">
        <v>33.329357000000002</v>
      </c>
      <c r="C2125">
        <v>276.92486600000001</v>
      </c>
      <c r="D2125">
        <v>107.604874</v>
      </c>
      <c r="E2125">
        <v>127.25099899999999</v>
      </c>
      <c r="F2125">
        <v>1612.5200199999999</v>
      </c>
      <c r="H2125" s="50">
        <f t="shared" si="273"/>
        <v>-2.8793797042158328E-3</v>
      </c>
      <c r="I2125" s="50">
        <f t="shared" si="274"/>
        <v>5.1149222480576509E-3</v>
      </c>
      <c r="J2125" s="50">
        <f t="shared" si="275"/>
        <v>-1.0579806521208589E-2</v>
      </c>
      <c r="K2125" s="50">
        <f t="shared" si="276"/>
        <v>-1.0751465147205392E-2</v>
      </c>
      <c r="L2125" s="50">
        <f t="shared" si="277"/>
        <v>-1.4568900008881676E-2</v>
      </c>
      <c r="P2125" s="50">
        <f t="shared" si="272"/>
        <v>-1.4568900008881676E-2</v>
      </c>
      <c r="Q2125" s="51">
        <f t="shared" si="278"/>
        <v>72.603220556019977</v>
      </c>
      <c r="R2125" s="51">
        <f t="shared" si="279"/>
        <v>26.627795663934418</v>
      </c>
    </row>
    <row r="2126" spans="1:18" x14ac:dyDescent="0.15">
      <c r="A2126" s="59">
        <v>43994.75</v>
      </c>
      <c r="B2126">
        <v>33.425601999999998</v>
      </c>
      <c r="C2126">
        <v>275.515625</v>
      </c>
      <c r="D2126">
        <v>108.755486</v>
      </c>
      <c r="E2126">
        <v>128.63400300000001</v>
      </c>
      <c r="F2126">
        <v>1636.3599850000001</v>
      </c>
      <c r="H2126" s="50">
        <f t="shared" si="273"/>
        <v>-1.3121774859590665E-2</v>
      </c>
      <c r="I2126" s="50">
        <f t="shared" si="274"/>
        <v>-1.3870331603428347E-2</v>
      </c>
      <c r="J2126" s="50">
        <f t="shared" si="275"/>
        <v>-8.8919370240421024E-3</v>
      </c>
      <c r="K2126" s="50">
        <f t="shared" si="276"/>
        <v>-1.6285132585618114E-2</v>
      </c>
      <c r="L2126" s="50">
        <f t="shared" si="277"/>
        <v>5.9198546276254052E-3</v>
      </c>
      <c r="P2126" s="50">
        <f t="shared" si="272"/>
        <v>5.9198546276254052E-3</v>
      </c>
      <c r="Q2126" s="51">
        <f t="shared" si="278"/>
        <v>73.033021067209035</v>
      </c>
      <c r="R2126" s="51">
        <f t="shared" si="279"/>
        <v>26.278391724225084</v>
      </c>
    </row>
    <row r="2127" spans="1:18" x14ac:dyDescent="0.15">
      <c r="A2127" s="59">
        <v>43995.75</v>
      </c>
      <c r="B2127">
        <v>33.870037000000004</v>
      </c>
      <c r="C2127">
        <v>279.39086900000001</v>
      </c>
      <c r="D2127">
        <v>109.73120900000001</v>
      </c>
      <c r="E2127">
        <v>130.76350400000001</v>
      </c>
      <c r="F2127">
        <v>1626.7299800000001</v>
      </c>
      <c r="H2127" s="50">
        <f t="shared" si="273"/>
        <v>5.2089771385102216E-3</v>
      </c>
      <c r="I2127" s="50">
        <f t="shared" si="274"/>
        <v>5.8407452070501336E-3</v>
      </c>
      <c r="J2127" s="50">
        <f t="shared" si="275"/>
        <v>7.9479860111258301E-3</v>
      </c>
      <c r="K2127" s="50">
        <f t="shared" si="276"/>
        <v>-9.7349623165629874E-3</v>
      </c>
      <c r="L2127" s="50">
        <f t="shared" si="277"/>
        <v>-7.5105297656489463E-3</v>
      </c>
      <c r="P2127" s="50">
        <f t="shared" si="272"/>
        <v>-7.5105297656489463E-3</v>
      </c>
      <c r="Q2127" s="51">
        <f t="shared" si="278"/>
        <v>72.484504388608499</v>
      </c>
      <c r="R2127" s="51">
        <f t="shared" si="279"/>
        <v>26.41527526595339</v>
      </c>
    </row>
    <row r="2128" spans="1:18" x14ac:dyDescent="0.15">
      <c r="A2128" s="59">
        <v>43998.75</v>
      </c>
      <c r="B2128">
        <v>33.694522999999997</v>
      </c>
      <c r="C2128">
        <v>277.76849399999998</v>
      </c>
      <c r="D2128">
        <v>108.865944</v>
      </c>
      <c r="E2128">
        <v>132.04899599999999</v>
      </c>
      <c r="F2128">
        <v>1639.040039</v>
      </c>
      <c r="H2128" s="50">
        <f t="shared" si="273"/>
        <v>8.8139763506943272E-3</v>
      </c>
      <c r="I2128" s="50">
        <f t="shared" si="274"/>
        <v>1.3350668306625948E-4</v>
      </c>
      <c r="J2128" s="50">
        <f t="shared" si="275"/>
        <v>8.2693578165726495E-3</v>
      </c>
      <c r="K2128" s="50">
        <f t="shared" si="276"/>
        <v>-4.89837131785586E-3</v>
      </c>
      <c r="L2128" s="50">
        <f t="shared" si="277"/>
        <v>-7.7309251935000671E-3</v>
      </c>
      <c r="P2128" s="50">
        <f t="shared" si="272"/>
        <v>-7.7309251935000671E-3</v>
      </c>
      <c r="Q2128" s="51">
        <f t="shared" si="278"/>
        <v>71.924132107492241</v>
      </c>
      <c r="R2128" s="51">
        <f t="shared" si="279"/>
        <v>26.648098877444582</v>
      </c>
    </row>
    <row r="2129" spans="1:18" x14ac:dyDescent="0.15">
      <c r="A2129" s="59">
        <v>43999.75</v>
      </c>
      <c r="B2129">
        <v>33.400134999999999</v>
      </c>
      <c r="C2129">
        <v>277.73141500000003</v>
      </c>
      <c r="D2129">
        <v>107.97307600000001</v>
      </c>
      <c r="E2129">
        <v>132.699005</v>
      </c>
      <c r="F2129">
        <v>1651.8100589999999</v>
      </c>
      <c r="H2129" s="50">
        <f t="shared" si="273"/>
        <v>-1.5519128666030682E-2</v>
      </c>
      <c r="I2129" s="50">
        <f t="shared" si="274"/>
        <v>-1.1003521490855746E-3</v>
      </c>
      <c r="J2129" s="50">
        <f t="shared" si="275"/>
        <v>-2.7040335251605038E-2</v>
      </c>
      <c r="K2129" s="50">
        <f t="shared" si="276"/>
        <v>-7.8616451419129367E-3</v>
      </c>
      <c r="L2129" s="50">
        <f t="shared" si="277"/>
        <v>1.4046032820019407E-2</v>
      </c>
      <c r="P2129" s="50">
        <f t="shared" si="272"/>
        <v>1.4046032820019407E-2</v>
      </c>
      <c r="Q2129" s="51">
        <f t="shared" si="278"/>
        <v>72.934380827625489</v>
      </c>
      <c r="R2129" s="51">
        <f t="shared" si="279"/>
        <v>26.234543602260413</v>
      </c>
    </row>
    <row r="2130" spans="1:18" x14ac:dyDescent="0.15">
      <c r="A2130" s="59">
        <v>44000.75</v>
      </c>
      <c r="B2130">
        <v>33.926647000000003</v>
      </c>
      <c r="C2130">
        <v>278.03735399999999</v>
      </c>
      <c r="D2130">
        <v>110.97384599999999</v>
      </c>
      <c r="E2130">
        <v>133.75050400000001</v>
      </c>
      <c r="F2130">
        <v>1628.9300539999999</v>
      </c>
      <c r="H2130" s="50">
        <f t="shared" si="273"/>
        <v>-1.5039421913546694E-2</v>
      </c>
      <c r="I2130" s="50">
        <f t="shared" si="274"/>
        <v>-1.8306336168319298E-3</v>
      </c>
      <c r="J2130" s="50">
        <f t="shared" si="275"/>
        <v>-1.5274072107444601E-2</v>
      </c>
      <c r="K2130" s="50">
        <f t="shared" si="276"/>
        <v>-1.4300801717172055E-2</v>
      </c>
      <c r="L2130" s="50">
        <f t="shared" si="277"/>
        <v>2.5651914766786597E-2</v>
      </c>
      <c r="P2130" s="50">
        <f t="shared" si="272"/>
        <v>2.5651914766786597E-2</v>
      </c>
      <c r="Q2130" s="51">
        <f t="shared" si="278"/>
        <v>74.805287348184095</v>
      </c>
      <c r="R2130" s="51">
        <f t="shared" si="279"/>
        <v>25.839991232316681</v>
      </c>
    </row>
    <row r="2131" spans="1:18" x14ac:dyDescent="0.15">
      <c r="A2131" s="59">
        <v>44001.75</v>
      </c>
      <c r="B2131">
        <v>34.444674999999997</v>
      </c>
      <c r="C2131">
        <v>278.54727200000002</v>
      </c>
      <c r="D2131">
        <v>112.69516</v>
      </c>
      <c r="E2131">
        <v>135.69099399999999</v>
      </c>
      <c r="F2131">
        <v>1588.1899410000001</v>
      </c>
      <c r="H2131" s="50">
        <f t="shared" si="273"/>
        <v>5.0382815384323642E-3</v>
      </c>
      <c r="I2131" s="50">
        <f t="shared" si="274"/>
        <v>-2.7877323166649384E-3</v>
      </c>
      <c r="J2131" s="50">
        <f t="shared" si="275"/>
        <v>7.6541459412500287E-3</v>
      </c>
      <c r="K2131" s="50">
        <f t="shared" si="276"/>
        <v>-1.8300548098851278E-2</v>
      </c>
      <c r="L2131" s="50">
        <f t="shared" si="277"/>
        <v>-2.6626682844556747E-3</v>
      </c>
      <c r="P2131" s="50">
        <f t="shared" si="272"/>
        <v>-2.6626682844556747E-3</v>
      </c>
      <c r="Q2131" s="51">
        <f t="shared" si="278"/>
        <v>74.606105682052487</v>
      </c>
      <c r="R2131" s="51">
        <f t="shared" si="279"/>
        <v>25.97018038309572</v>
      </c>
    </row>
    <row r="2132" spans="1:18" x14ac:dyDescent="0.15">
      <c r="A2132" s="59">
        <v>44002.75</v>
      </c>
      <c r="B2132">
        <v>34.272002999999998</v>
      </c>
      <c r="C2132">
        <v>279.32595800000001</v>
      </c>
      <c r="D2132">
        <v>111.839127</v>
      </c>
      <c r="E2132">
        <v>138.220505</v>
      </c>
      <c r="F2132">
        <v>1592.4300539999999</v>
      </c>
      <c r="H2132" s="50">
        <f t="shared" si="273"/>
        <v>6.4005329881719735E-3</v>
      </c>
      <c r="I2132" s="50">
        <f t="shared" si="274"/>
        <v>1.0972414339197878E-2</v>
      </c>
      <c r="J2132" s="50">
        <f t="shared" si="275"/>
        <v>1.4868097015722784E-2</v>
      </c>
      <c r="K2132" s="50">
        <f t="shared" si="276"/>
        <v>1.0975014548164073E-2</v>
      </c>
      <c r="L2132" s="50">
        <f t="shared" si="277"/>
        <v>1.2294330532904768E-2</v>
      </c>
      <c r="P2132" s="50">
        <f t="shared" si="272"/>
        <v>1.2294330532904768E-2</v>
      </c>
      <c r="Q2132" s="51">
        <f t="shared" si="278"/>
        <v>75.523337805080473</v>
      </c>
      <c r="R2132" s="51">
        <f t="shared" si="279"/>
        <v>26.1364033793465</v>
      </c>
    </row>
    <row r="2133" spans="1:18" x14ac:dyDescent="0.15">
      <c r="A2133" s="59">
        <v>44005.75</v>
      </c>
      <c r="B2133">
        <v>34.054039000000003</v>
      </c>
      <c r="C2133">
        <v>276.29434199999997</v>
      </c>
      <c r="D2133">
        <v>110.200653</v>
      </c>
      <c r="E2133">
        <v>136.720001</v>
      </c>
      <c r="F2133">
        <v>1573.089966</v>
      </c>
      <c r="H2133" s="50">
        <f t="shared" si="273"/>
        <v>4.9287013139545279E-3</v>
      </c>
      <c r="I2133" s="50">
        <f t="shared" si="274"/>
        <v>-8.3520397512612619E-3</v>
      </c>
      <c r="J2133" s="50">
        <f t="shared" si="275"/>
        <v>-7.5122751135728338E-4</v>
      </c>
      <c r="K2133" s="50">
        <f t="shared" si="276"/>
        <v>-7.3260022994140507E-3</v>
      </c>
      <c r="L2133" s="50">
        <f t="shared" si="277"/>
        <v>-9.407922222609312E-3</v>
      </c>
      <c r="P2133" s="50">
        <f t="shared" si="272"/>
        <v>-9.407922222609312E-3</v>
      </c>
      <c r="Q2133" s="51">
        <f t="shared" si="278"/>
        <v>74.812820117018418</v>
      </c>
      <c r="R2133" s="51">
        <f t="shared" si="279"/>
        <v>26.26522190502433</v>
      </c>
    </row>
    <row r="2134" spans="1:18" x14ac:dyDescent="0.15">
      <c r="A2134" s="59">
        <v>44006.75</v>
      </c>
      <c r="B2134">
        <v>33.88702</v>
      </c>
      <c r="C2134">
        <v>278.621399</v>
      </c>
      <c r="D2134">
        <v>110.283501</v>
      </c>
      <c r="E2134">
        <v>137.729004</v>
      </c>
      <c r="F2134">
        <v>1588.030029</v>
      </c>
      <c r="H2134" s="50">
        <f t="shared" si="273"/>
        <v>1.1747876650370444E-2</v>
      </c>
      <c r="I2134" s="50">
        <f t="shared" si="274"/>
        <v>1.338678236167073E-2</v>
      </c>
      <c r="J2134" s="50">
        <f t="shared" si="275"/>
        <v>2.3842186180143766E-2</v>
      </c>
      <c r="K2134" s="50">
        <f t="shared" si="276"/>
        <v>2.2916146249145907E-2</v>
      </c>
      <c r="L2134" s="50">
        <f t="shared" si="277"/>
        <v>-9.4993830726183663E-3</v>
      </c>
      <c r="P2134" s="50">
        <f t="shared" si="272"/>
        <v>-9.4993830726183663E-3</v>
      </c>
      <c r="Q2134" s="51">
        <f t="shared" si="278"/>
        <v>74.102144479983977</v>
      </c>
      <c r="R2134" s="51">
        <f t="shared" si="279"/>
        <v>26.573782492159165</v>
      </c>
    </row>
    <row r="2135" spans="1:18" x14ac:dyDescent="0.15">
      <c r="A2135" s="59">
        <v>44007.75</v>
      </c>
      <c r="B2135">
        <v>33.493541999999998</v>
      </c>
      <c r="C2135">
        <v>274.94082600000002</v>
      </c>
      <c r="D2135">
        <v>107.715332</v>
      </c>
      <c r="E2135">
        <v>134.643494</v>
      </c>
      <c r="F2135">
        <v>1603.26001</v>
      </c>
      <c r="H2135" s="50">
        <f t="shared" si="273"/>
        <v>-6.2153484296273475E-3</v>
      </c>
      <c r="I2135" s="50">
        <f t="shared" si="274"/>
        <v>-1.66783286297074E-2</v>
      </c>
      <c r="J2135" s="50">
        <f t="shared" si="275"/>
        <v>-1.3072481936162231E-2</v>
      </c>
      <c r="K2135" s="50">
        <f t="shared" si="276"/>
        <v>4.6597647645429769E-3</v>
      </c>
      <c r="L2135" s="50">
        <f t="shared" si="277"/>
        <v>-6.161629867294789E-3</v>
      </c>
      <c r="P2135" s="50">
        <f t="shared" si="272"/>
        <v>-6.161629867294789E-3</v>
      </c>
      <c r="Q2135" s="51">
        <f t="shared" si="278"/>
        <v>73.64555449332552</v>
      </c>
      <c r="R2135" s="51">
        <f t="shared" si="279"/>
        <v>26.408617174877264</v>
      </c>
    </row>
    <row r="2136" spans="1:18" x14ac:dyDescent="0.15">
      <c r="A2136" s="59">
        <v>44008.75</v>
      </c>
      <c r="B2136">
        <v>33.703018</v>
      </c>
      <c r="C2136">
        <v>279.60415599999999</v>
      </c>
      <c r="D2136">
        <v>109.14209</v>
      </c>
      <c r="E2136">
        <v>134.01899700000001</v>
      </c>
      <c r="F2136">
        <v>1613.1999510000001</v>
      </c>
      <c r="H2136" s="50">
        <f t="shared" si="273"/>
        <v>-6.0110595993717172E-3</v>
      </c>
      <c r="I2136" s="50">
        <f t="shared" si="274"/>
        <v>-5.3426888925587387E-3</v>
      </c>
      <c r="J2136" s="50">
        <f t="shared" si="275"/>
        <v>-1.1339807650304274E-2</v>
      </c>
      <c r="K2136" s="50">
        <f t="shared" si="276"/>
        <v>-2.8432425244086443E-2</v>
      </c>
      <c r="L2136" s="50">
        <f t="shared" si="277"/>
        <v>4.3080421066481692E-3</v>
      </c>
      <c r="P2136" s="50">
        <f t="shared" si="272"/>
        <v>4.3080421066481692E-3</v>
      </c>
      <c r="Q2136" s="51">
        <f t="shared" si="278"/>
        <v>73.962822643050217</v>
      </c>
      <c r="R2136" s="51">
        <f t="shared" si="279"/>
        <v>26.249873403102086</v>
      </c>
    </row>
    <row r="2137" spans="1:18" x14ac:dyDescent="0.15">
      <c r="A2137" s="59">
        <v>44009.75</v>
      </c>
      <c r="B2137">
        <v>33.906834000000003</v>
      </c>
      <c r="C2137">
        <v>281.10601800000001</v>
      </c>
      <c r="D2137">
        <v>110.393936</v>
      </c>
      <c r="E2137">
        <v>137.94099399999999</v>
      </c>
      <c r="F2137">
        <v>1606.280029</v>
      </c>
      <c r="H2137" s="50">
        <f t="shared" si="273"/>
        <v>7.5188837614217701E-4</v>
      </c>
      <c r="I2137" s="50">
        <f t="shared" si="274"/>
        <v>-5.0534310794260731E-3</v>
      </c>
      <c r="J2137" s="50">
        <f t="shared" si="275"/>
        <v>8.1538280310889926E-3</v>
      </c>
      <c r="K2137" s="50">
        <f t="shared" si="276"/>
        <v>-4.1643825916473892E-2</v>
      </c>
      <c r="L2137" s="50">
        <f t="shared" si="277"/>
        <v>-5.3747041472318015E-3</v>
      </c>
      <c r="P2137" s="50">
        <f t="shared" si="272"/>
        <v>-5.3747041472318015E-3</v>
      </c>
      <c r="Q2137" s="51">
        <f t="shared" si="278"/>
        <v>73.565294353449644</v>
      </c>
      <c r="R2137" s="51">
        <f t="shared" si="279"/>
        <v>26.269610377789082</v>
      </c>
    </row>
    <row r="2138" spans="1:18" x14ac:dyDescent="0.15">
      <c r="A2138" s="59">
        <v>44012.75</v>
      </c>
      <c r="B2138">
        <v>33.881359000000003</v>
      </c>
      <c r="C2138">
        <v>282.53378300000003</v>
      </c>
      <c r="D2138">
        <v>109.50108299999999</v>
      </c>
      <c r="E2138">
        <v>143.93499800000001</v>
      </c>
      <c r="F2138">
        <v>1614.959961</v>
      </c>
      <c r="H2138" s="50">
        <f t="shared" si="273"/>
        <v>4.0265837083959906E-3</v>
      </c>
      <c r="I2138" s="50">
        <f t="shared" si="274"/>
        <v>-3.2381080327532237E-3</v>
      </c>
      <c r="J2138" s="50">
        <f t="shared" si="275"/>
        <v>-1.3431209373193462E-3</v>
      </c>
      <c r="K2138" s="50">
        <f t="shared" si="276"/>
        <v>-4.0134311594880309E-3</v>
      </c>
      <c r="L2138" s="50">
        <f t="shared" si="277"/>
        <v>5.4520533306218861E-4</v>
      </c>
      <c r="P2138" s="50">
        <f t="shared" si="272"/>
        <v>5.4520533306218861E-4</v>
      </c>
      <c r="Q2138" s="51">
        <f t="shared" si="278"/>
        <v>73.605402544259434</v>
      </c>
      <c r="R2138" s="51">
        <f t="shared" si="279"/>
        <v>26.375387162962195</v>
      </c>
    </row>
    <row r="2139" spans="1:18" x14ac:dyDescent="0.15">
      <c r="A2139" s="59">
        <v>44013.75</v>
      </c>
      <c r="B2139">
        <v>33.745480000000001</v>
      </c>
      <c r="C2139">
        <v>283.45163000000002</v>
      </c>
      <c r="D2139">
        <v>109.648354</v>
      </c>
      <c r="E2139">
        <v>144.51499899999999</v>
      </c>
      <c r="F2139">
        <v>1614.079956</v>
      </c>
      <c r="H2139" s="50">
        <f t="shared" si="273"/>
        <v>2.6915548929344417E-3</v>
      </c>
      <c r="I2139" s="50">
        <f t="shared" si="274"/>
        <v>-1.8459398452424166E-2</v>
      </c>
      <c r="J2139" s="50">
        <f t="shared" si="275"/>
        <v>-1.0063702220101324E-3</v>
      </c>
      <c r="K2139" s="50">
        <f t="shared" si="276"/>
        <v>-5.4542994054935706E-2</v>
      </c>
      <c r="L2139" s="50">
        <f t="shared" si="277"/>
        <v>-8.233686630672233E-4</v>
      </c>
      <c r="P2139" s="50">
        <f t="shared" si="272"/>
        <v>-8.233686630672233E-4</v>
      </c>
      <c r="Q2139" s="51">
        <f t="shared" si="278"/>
        <v>73.544798162372047</v>
      </c>
      <c r="R2139" s="51">
        <f t="shared" si="279"/>
        <v>26.446377965333706</v>
      </c>
    </row>
    <row r="2140" spans="1:18" x14ac:dyDescent="0.15">
      <c r="A2140" s="59">
        <v>44014.75</v>
      </c>
      <c r="B2140">
        <v>33.654896000000001</v>
      </c>
      <c r="C2140">
        <v>288.78237899999999</v>
      </c>
      <c r="D2140">
        <v>109.75881200000001</v>
      </c>
      <c r="E2140">
        <v>152.85200499999999</v>
      </c>
      <c r="F2140">
        <v>1615.410034</v>
      </c>
      <c r="H2140" s="50">
        <f t="shared" si="273"/>
        <v>-6.3489695558217041E-2</v>
      </c>
      <c r="I2140" s="50">
        <f t="shared" si="274"/>
        <v>-1.4989348922464694E-2</v>
      </c>
      <c r="J2140" s="50">
        <f t="shared" si="275"/>
        <v>9.9950564366151767E-3</v>
      </c>
      <c r="K2140" s="50">
        <f t="shared" si="276"/>
        <v>1.8972628140993479E-2</v>
      </c>
      <c r="L2140" s="50">
        <f t="shared" si="277"/>
        <v>-1.0098708153441304E-2</v>
      </c>
      <c r="P2140" s="50">
        <f t="shared" si="272"/>
        <v>-1.0098708153441304E-2</v>
      </c>
      <c r="Q2140" s="51">
        <f t="shared" si="278"/>
        <v>72.80209070952651</v>
      </c>
      <c r="R2140" s="51">
        <f t="shared" si="279"/>
        <v>24.767305479697129</v>
      </c>
    </row>
    <row r="2141" spans="1:18" x14ac:dyDescent="0.15">
      <c r="A2141" s="59">
        <v>44016.75</v>
      </c>
      <c r="B2141">
        <v>35.936492999999999</v>
      </c>
      <c r="C2141">
        <v>293.17691000000002</v>
      </c>
      <c r="D2141">
        <v>108.672623</v>
      </c>
      <c r="E2141">
        <v>150.00599700000001</v>
      </c>
      <c r="F2141">
        <v>1631.8900149999999</v>
      </c>
      <c r="H2141" s="50">
        <f t="shared" si="273"/>
        <v>2.0170402116097733E-2</v>
      </c>
      <c r="I2141" s="50">
        <f t="shared" si="274"/>
        <v>-2.8440602336518204E-4</v>
      </c>
      <c r="J2141" s="50">
        <f t="shared" si="275"/>
        <v>3.0584838207027699E-3</v>
      </c>
      <c r="K2141" s="50">
        <f t="shared" si="276"/>
        <v>-2.6285975542216275E-2</v>
      </c>
      <c r="L2141" s="50">
        <f t="shared" si="277"/>
        <v>-5.2241116538900229E-3</v>
      </c>
      <c r="P2141" s="50">
        <f t="shared" si="272"/>
        <v>-5.2241116538900229E-3</v>
      </c>
      <c r="Q2141" s="51">
        <f t="shared" si="278"/>
        <v>72.421764459023308</v>
      </c>
      <c r="R2141" s="51">
        <f t="shared" si="279"/>
        <v>25.266871990554851</v>
      </c>
    </row>
    <row r="2142" spans="1:18" x14ac:dyDescent="0.15">
      <c r="A2142" s="59">
        <v>44019.75</v>
      </c>
      <c r="B2142">
        <v>35.225971000000001</v>
      </c>
      <c r="C2142">
        <v>293.26031499999999</v>
      </c>
      <c r="D2142">
        <v>108.341263</v>
      </c>
      <c r="E2142">
        <v>154.05549600000001</v>
      </c>
      <c r="F2142">
        <v>1640.459961</v>
      </c>
      <c r="H2142" s="50">
        <f t="shared" si="273"/>
        <v>-2.5910185449421093E-2</v>
      </c>
      <c r="I2142" s="50">
        <f t="shared" si="274"/>
        <v>-2.8322232745719676E-2</v>
      </c>
      <c r="J2142" s="50">
        <f t="shared" si="275"/>
        <v>-1.6964236417056186E-3</v>
      </c>
      <c r="K2142" s="50">
        <f t="shared" si="276"/>
        <v>-3.189817226633309E-2</v>
      </c>
      <c r="L2142" s="50">
        <f t="shared" si="277"/>
        <v>-7.1777775416384465E-3</v>
      </c>
      <c r="P2142" s="50">
        <f t="shared" si="272"/>
        <v>-7.1777775416384465E-3</v>
      </c>
      <c r="Q2142" s="51">
        <f t="shared" si="278"/>
        <v>71.901937144563504</v>
      </c>
      <c r="R2142" s="51">
        <f t="shared" si="279"/>
        <v>24.612202651552789</v>
      </c>
    </row>
    <row r="2143" spans="1:18" x14ac:dyDescent="0.15">
      <c r="A2143" s="59">
        <v>44020.75</v>
      </c>
      <c r="B2143">
        <v>36.162959999999998</v>
      </c>
      <c r="C2143">
        <v>301.80819700000001</v>
      </c>
      <c r="D2143">
        <v>108.525368</v>
      </c>
      <c r="E2143">
        <v>159.13149999999999</v>
      </c>
      <c r="F2143">
        <v>1652.3199460000001</v>
      </c>
      <c r="H2143" s="50">
        <f t="shared" si="273"/>
        <v>-2.2420819391377616E-2</v>
      </c>
      <c r="I2143" s="50">
        <f t="shared" si="274"/>
        <v>-2.1151047413764607E-3</v>
      </c>
      <c r="J2143" s="50">
        <f t="shared" si="275"/>
        <v>-8.0765827906746912E-3</v>
      </c>
      <c r="K2143" s="50">
        <f t="shared" si="276"/>
        <v>-5.4281250000000726E-3</v>
      </c>
      <c r="L2143" s="50">
        <f t="shared" si="277"/>
        <v>-1.8155958472470526E-4</v>
      </c>
      <c r="P2143" s="50">
        <f t="shared" si="272"/>
        <v>-1.8155958472470526E-4</v>
      </c>
      <c r="Q2143" s="51">
        <f t="shared" si="278"/>
        <v>71.888882658714635</v>
      </c>
      <c r="R2143" s="51">
        <f t="shared" si="279"/>
        <v>24.060376901078339</v>
      </c>
    </row>
    <row r="2144" spans="1:18" x14ac:dyDescent="0.15">
      <c r="A2144" s="59">
        <v>44021.75</v>
      </c>
      <c r="B2144">
        <v>36.992359</v>
      </c>
      <c r="C2144">
        <v>302.44790599999999</v>
      </c>
      <c r="D2144">
        <v>109.409019</v>
      </c>
      <c r="E2144">
        <v>160</v>
      </c>
      <c r="F2144">
        <v>1652.619995</v>
      </c>
      <c r="H2144" s="50">
        <f t="shared" si="273"/>
        <v>8.9561719823729544E-3</v>
      </c>
      <c r="I2144" s="50">
        <f t="shared" si="274"/>
        <v>1.0250295260176999E-2</v>
      </c>
      <c r="J2144" s="50">
        <f t="shared" si="275"/>
        <v>1.0948824295429914E-3</v>
      </c>
      <c r="K2144" s="50">
        <f t="shared" si="276"/>
        <v>3.0927854979275572E-2</v>
      </c>
      <c r="L2144" s="50">
        <f t="shared" si="277"/>
        <v>-1.3372989416568237E-2</v>
      </c>
      <c r="P2144" s="50">
        <f t="shared" si="272"/>
        <v>-1.3372989416568237E-2</v>
      </c>
      <c r="Q2144" s="51">
        <f t="shared" si="278"/>
        <v>70.927513391750722</v>
      </c>
      <c r="R2144" s="51">
        <f t="shared" si="279"/>
        <v>24.275865774565112</v>
      </c>
    </row>
    <row r="2145" spans="1:18" x14ac:dyDescent="0.15">
      <c r="A2145" s="59">
        <v>44022.75</v>
      </c>
      <c r="B2145">
        <v>36.663989999999998</v>
      </c>
      <c r="C2145">
        <v>299.37918100000002</v>
      </c>
      <c r="D2145">
        <v>109.28936</v>
      </c>
      <c r="E2145">
        <v>155.199997</v>
      </c>
      <c r="F2145">
        <v>1675.0200199999999</v>
      </c>
      <c r="H2145" s="50">
        <f t="shared" si="273"/>
        <v>-1.8862444230969132E-2</v>
      </c>
      <c r="I2145" s="50">
        <f t="shared" si="274"/>
        <v>-1.5487663166397386E-2</v>
      </c>
      <c r="J2145" s="50">
        <f t="shared" si="275"/>
        <v>-1.1242677190891543E-2</v>
      </c>
      <c r="K2145" s="50">
        <f t="shared" si="276"/>
        <v>6.4850844322649369E-3</v>
      </c>
      <c r="L2145" s="50">
        <f t="shared" si="277"/>
        <v>-3.076986044163062E-3</v>
      </c>
      <c r="P2145" s="50">
        <f t="shared" si="272"/>
        <v>-3.076986044163062E-3</v>
      </c>
      <c r="Q2145" s="51">
        <f t="shared" si="278"/>
        <v>70.70927042289712</v>
      </c>
      <c r="R2145" s="51">
        <f t="shared" si="279"/>
        <v>23.817963610233885</v>
      </c>
    </row>
    <row r="2146" spans="1:18" x14ac:dyDescent="0.15">
      <c r="A2146" s="59">
        <v>44023.75</v>
      </c>
      <c r="B2146">
        <v>37.368858000000003</v>
      </c>
      <c r="C2146">
        <v>304.08880599999998</v>
      </c>
      <c r="D2146">
        <v>110.53203600000001</v>
      </c>
      <c r="E2146">
        <v>154.199997</v>
      </c>
      <c r="F2146">
        <v>1680.1899410000001</v>
      </c>
      <c r="H2146" s="50">
        <f t="shared" si="273"/>
        <v>7.5844301764619194E-5</v>
      </c>
      <c r="I2146" s="50">
        <f t="shared" si="274"/>
        <v>3.9790862764622218E-3</v>
      </c>
      <c r="J2146" s="50">
        <f t="shared" si="275"/>
        <v>-1.3068031477451426E-2</v>
      </c>
      <c r="K2146" s="50">
        <f t="shared" si="276"/>
        <v>2.4969507322739171E-2</v>
      </c>
      <c r="L2146" s="50">
        <f t="shared" si="277"/>
        <v>-1.372991976225801E-3</v>
      </c>
      <c r="P2146" s="50">
        <f t="shared" si="272"/>
        <v>-1.372991976225801E-3</v>
      </c>
      <c r="Q2146" s="51">
        <f t="shared" si="278"/>
        <v>70.6121871619617</v>
      </c>
      <c r="R2146" s="51">
        <f t="shared" si="279"/>
        <v>23.819770067053359</v>
      </c>
    </row>
    <row r="2147" spans="1:18" x14ac:dyDescent="0.15">
      <c r="A2147" s="59">
        <v>44026.75</v>
      </c>
      <c r="B2147">
        <v>37.366024000000003</v>
      </c>
      <c r="C2147">
        <v>302.88360599999999</v>
      </c>
      <c r="D2147">
        <v>111.995598</v>
      </c>
      <c r="E2147">
        <v>150.44349700000001</v>
      </c>
      <c r="F2147">
        <v>1682.5</v>
      </c>
      <c r="H2147" s="50">
        <f t="shared" si="273"/>
        <v>-1.5128276098546598E-3</v>
      </c>
      <c r="I2147" s="50">
        <f t="shared" si="274"/>
        <v>1.3178207837324272E-3</v>
      </c>
      <c r="J2147" s="50">
        <f t="shared" si="275"/>
        <v>-2.2960919951942492E-3</v>
      </c>
      <c r="K2147" s="50">
        <f t="shared" si="276"/>
        <v>2.9901131034406787E-3</v>
      </c>
      <c r="L2147" s="50">
        <f t="shared" si="277"/>
        <v>3.7225668826878682E-3</v>
      </c>
      <c r="P2147" s="50">
        <f t="shared" si="272"/>
        <v>3.7225668826878682E-3</v>
      </c>
      <c r="Q2147" s="51">
        <f t="shared" si="278"/>
        <v>70.875045751404983</v>
      </c>
      <c r="R2147" s="51">
        <f t="shared" si="279"/>
        <v>23.783734861235533</v>
      </c>
    </row>
    <row r="2148" spans="1:18" x14ac:dyDescent="0.15">
      <c r="A2148" s="59">
        <v>44027.75</v>
      </c>
      <c r="B2148">
        <v>37.422637999999999</v>
      </c>
      <c r="C2148">
        <v>302.48498499999999</v>
      </c>
      <c r="D2148">
        <v>112.253342</v>
      </c>
      <c r="E2148">
        <v>149.99499499999999</v>
      </c>
      <c r="F2148">
        <v>1676.26001</v>
      </c>
      <c r="H2148" s="50">
        <f t="shared" si="273"/>
        <v>3.4914051603227741E-3</v>
      </c>
      <c r="I2148" s="50">
        <f t="shared" si="274"/>
        <v>4.5568662439098911E-3</v>
      </c>
      <c r="J2148" s="50">
        <f t="shared" si="275"/>
        <v>2.3013761665882835E-3</v>
      </c>
      <c r="K2148" s="50">
        <f t="shared" si="276"/>
        <v>1.2805666931321447E-2</v>
      </c>
      <c r="L2148" s="50">
        <f t="shared" si="277"/>
        <v>-2.7663729205866768E-3</v>
      </c>
      <c r="P2148" s="50">
        <f t="shared" si="272"/>
        <v>-2.7663729205866768E-3</v>
      </c>
      <c r="Q2148" s="51">
        <f t="shared" si="278"/>
        <v>70.678978944092961</v>
      </c>
      <c r="R2148" s="51">
        <f t="shared" si="279"/>
        <v>23.866773515861798</v>
      </c>
    </row>
    <row r="2149" spans="1:18" x14ac:dyDescent="0.15">
      <c r="A2149" s="59">
        <v>44028.75</v>
      </c>
      <c r="B2149">
        <v>37.292434999999998</v>
      </c>
      <c r="C2149">
        <v>301.11285400000003</v>
      </c>
      <c r="D2149">
        <v>111.995598</v>
      </c>
      <c r="E2149">
        <v>148.09849500000001</v>
      </c>
      <c r="F2149">
        <v>1680.910034</v>
      </c>
      <c r="H2149" s="50">
        <f t="shared" si="273"/>
        <v>2.0538209372312037E-3</v>
      </c>
      <c r="I2149" s="50">
        <f t="shared" si="274"/>
        <v>-5.2678054598838033E-3</v>
      </c>
      <c r="J2149" s="50">
        <f t="shared" si="275"/>
        <v>1.5439862226957696E-2</v>
      </c>
      <c r="K2149" s="50">
        <f t="shared" si="276"/>
        <v>-7.3469428356421493E-2</v>
      </c>
      <c r="L2149" s="50">
        <f t="shared" si="277"/>
        <v>-5.0077608960966665E-3</v>
      </c>
      <c r="P2149" s="50">
        <f t="shared" si="272"/>
        <v>-5.0077608960966665E-3</v>
      </c>
      <c r="Q2149" s="51">
        <f t="shared" si="278"/>
        <v>70.325035517160686</v>
      </c>
      <c r="R2149" s="51">
        <f t="shared" si="279"/>
        <v>23.915791595012831</v>
      </c>
    </row>
    <row r="2150" spans="1:18" x14ac:dyDescent="0.15">
      <c r="A2150" s="59">
        <v>44029.75</v>
      </c>
      <c r="B2150">
        <v>37.216000000000001</v>
      </c>
      <c r="C2150">
        <v>302.70745799999997</v>
      </c>
      <c r="D2150">
        <v>110.292694</v>
      </c>
      <c r="E2150">
        <v>159.841995</v>
      </c>
      <c r="F2150">
        <v>1689.369995</v>
      </c>
      <c r="H2150" s="50">
        <f t="shared" si="273"/>
        <v>-6.4986297844587902E-3</v>
      </c>
      <c r="I2150" s="50">
        <f t="shared" si="274"/>
        <v>-3.7530334799946172E-3</v>
      </c>
      <c r="J2150" s="50">
        <f t="shared" si="275"/>
        <v>-3.1614708733002841E-3</v>
      </c>
      <c r="K2150" s="50">
        <f t="shared" si="276"/>
        <v>1.8656592645785078E-2</v>
      </c>
      <c r="L2150" s="50">
        <f t="shared" si="277"/>
        <v>-1.6074624013224523E-3</v>
      </c>
      <c r="P2150" s="50">
        <f t="shared" si="272"/>
        <v>-1.6074624013224523E-3</v>
      </c>
      <c r="Q2150" s="51">
        <f t="shared" si="278"/>
        <v>70.211990666695186</v>
      </c>
      <c r="R2150" s="51">
        <f t="shared" si="279"/>
        <v>23.76037171943457</v>
      </c>
    </row>
    <row r="2151" spans="1:18" x14ac:dyDescent="0.15">
      <c r="A2151" s="59">
        <v>44030.75</v>
      </c>
      <c r="B2151">
        <v>37.459434999999999</v>
      </c>
      <c r="C2151">
        <v>303.84780899999998</v>
      </c>
      <c r="D2151">
        <v>110.642487</v>
      </c>
      <c r="E2151">
        <v>156.91450499999999</v>
      </c>
      <c r="F2151">
        <v>1692.089966</v>
      </c>
      <c r="H2151" s="50">
        <f t="shared" si="273"/>
        <v>-2.4877202415709556E-3</v>
      </c>
      <c r="I2151" s="50">
        <f t="shared" si="274"/>
        <v>-1.7056188654495511E-3</v>
      </c>
      <c r="J2151" s="50">
        <f t="shared" si="275"/>
        <v>-2.3875190320870765E-2</v>
      </c>
      <c r="K2151" s="50">
        <f t="shared" si="276"/>
        <v>1.2381043400492528E-2</v>
      </c>
      <c r="L2151" s="50">
        <f t="shared" si="277"/>
        <v>-2.0289012528011139E-3</v>
      </c>
      <c r="P2151" s="50">
        <f t="shared" si="272"/>
        <v>-2.0289012528011139E-3</v>
      </c>
      <c r="Q2151" s="51">
        <f t="shared" si="278"/>
        <v>70.069537470869875</v>
      </c>
      <c r="R2151" s="51">
        <f t="shared" si="279"/>
        <v>23.701262561760881</v>
      </c>
    </row>
    <row r="2152" spans="1:18" x14ac:dyDescent="0.15">
      <c r="A2152" s="59">
        <v>44033.75</v>
      </c>
      <c r="B2152">
        <v>37.552855999999998</v>
      </c>
      <c r="C2152">
        <v>304.36694299999999</v>
      </c>
      <c r="D2152">
        <v>113.348709</v>
      </c>
      <c r="E2152">
        <v>154.995499</v>
      </c>
      <c r="F2152">
        <v>1695.530029</v>
      </c>
      <c r="H2152" s="50">
        <f t="shared" si="273"/>
        <v>7.7483108283082063E-3</v>
      </c>
      <c r="I2152" s="50">
        <f t="shared" si="274"/>
        <v>6.7154752006892493E-3</v>
      </c>
      <c r="J2152" s="50">
        <f t="shared" si="275"/>
        <v>6.4568471628546637E-3</v>
      </c>
      <c r="K2152" s="50">
        <f t="shared" si="276"/>
        <v>3.7956840086098322E-2</v>
      </c>
      <c r="L2152" s="50">
        <f t="shared" si="277"/>
        <v>1.8553725631618458E-3</v>
      </c>
      <c r="P2152" s="50">
        <f t="shared" si="272"/>
        <v>1.8553725631618458E-3</v>
      </c>
      <c r="Q2152" s="51">
        <f t="shared" si="278"/>
        <v>70.199542568206766</v>
      </c>
      <c r="R2152" s="51">
        <f t="shared" si="279"/>
        <v>23.884907311112752</v>
      </c>
    </row>
    <row r="2153" spans="1:18" x14ac:dyDescent="0.15">
      <c r="A2153" s="59">
        <v>44034.75</v>
      </c>
      <c r="B2153">
        <v>37.264122</v>
      </c>
      <c r="C2153">
        <v>302.33660900000001</v>
      </c>
      <c r="D2153">
        <v>112.621529</v>
      </c>
      <c r="E2153">
        <v>149.32749899999999</v>
      </c>
      <c r="F2153">
        <v>1692.3900149999999</v>
      </c>
      <c r="H2153" s="50">
        <f t="shared" si="273"/>
        <v>3.0479756782120192E-3</v>
      </c>
      <c r="I2153" s="50">
        <f t="shared" si="274"/>
        <v>1.0127380051270576E-3</v>
      </c>
      <c r="J2153" s="50">
        <f t="shared" si="275"/>
        <v>-1.0993446317879929E-2</v>
      </c>
      <c r="K2153" s="50">
        <f t="shared" si="276"/>
        <v>-7.4312427405603598E-3</v>
      </c>
      <c r="L2153" s="50">
        <f t="shared" si="277"/>
        <v>3.825802950118173E-3</v>
      </c>
      <c r="P2153" s="50">
        <f t="shared" si="272"/>
        <v>3.825802950118173E-3</v>
      </c>
      <c r="Q2153" s="51">
        <f t="shared" si="278"/>
        <v>70.468112185261162</v>
      </c>
      <c r="R2153" s="51">
        <f t="shared" si="279"/>
        <v>23.957707927673372</v>
      </c>
    </row>
    <row r="2154" spans="1:18" x14ac:dyDescent="0.15">
      <c r="A2154" s="59">
        <v>44035.75</v>
      </c>
      <c r="B2154">
        <v>37.150886999999997</v>
      </c>
      <c r="C2154">
        <v>302.030731</v>
      </c>
      <c r="D2154">
        <v>113.87339</v>
      </c>
      <c r="E2154">
        <v>150.44549599999999</v>
      </c>
      <c r="F2154">
        <v>1685.9399410000001</v>
      </c>
      <c r="H2154" s="50">
        <f t="shared" si="273"/>
        <v>2.2874133224201536E-4</v>
      </c>
      <c r="I2154" s="50">
        <f t="shared" si="274"/>
        <v>-5.5553377548231636E-3</v>
      </c>
      <c r="J2154" s="50">
        <f t="shared" si="275"/>
        <v>8.3137049917595025E-3</v>
      </c>
      <c r="K2154" s="50">
        <f t="shared" si="276"/>
        <v>-1.5154454393046171E-2</v>
      </c>
      <c r="L2154" s="50">
        <f t="shared" si="277"/>
        <v>-2.5499535571660466E-3</v>
      </c>
      <c r="P2154" s="50">
        <f t="shared" si="272"/>
        <v>-2.5499535571660466E-3</v>
      </c>
      <c r="Q2154" s="51">
        <f t="shared" si="278"/>
        <v>70.288421771927574</v>
      </c>
      <c r="R2154" s="51">
        <f t="shared" si="279"/>
        <v>23.963188045702211</v>
      </c>
    </row>
    <row r="2155" spans="1:18" x14ac:dyDescent="0.15">
      <c r="A2155" s="59">
        <v>44036.75</v>
      </c>
      <c r="B2155">
        <v>37.142391000000003</v>
      </c>
      <c r="C2155">
        <v>303.71798699999999</v>
      </c>
      <c r="D2155">
        <v>112.93448600000001</v>
      </c>
      <c r="E2155">
        <v>152.76049800000001</v>
      </c>
      <c r="F2155">
        <v>1690.25</v>
      </c>
      <c r="H2155" s="50">
        <f t="shared" si="273"/>
        <v>-4.1741826925138052E-3</v>
      </c>
      <c r="I2155" s="50">
        <f t="shared" si="274"/>
        <v>9.1646039694600644E-5</v>
      </c>
      <c r="J2155" s="50">
        <f t="shared" si="275"/>
        <v>-4.8667160339378032E-3</v>
      </c>
      <c r="K2155" s="50">
        <f t="shared" si="276"/>
        <v>1.829134189543637E-2</v>
      </c>
      <c r="L2155" s="50">
        <f t="shared" si="277"/>
        <v>-8.2760853612592758E-4</v>
      </c>
      <c r="P2155" s="50">
        <f t="shared" si="272"/>
        <v>-8.2760853612592758E-4</v>
      </c>
      <c r="Q2155" s="51">
        <f t="shared" si="278"/>
        <v>70.230250474078304</v>
      </c>
      <c r="R2155" s="51">
        <f t="shared" si="279"/>
        <v>23.863161320904386</v>
      </c>
    </row>
    <row r="2156" spans="1:18" x14ac:dyDescent="0.15">
      <c r="A2156" s="59">
        <v>44037.75</v>
      </c>
      <c r="B2156">
        <v>37.298079999999999</v>
      </c>
      <c r="C2156">
        <v>303.690155</v>
      </c>
      <c r="D2156">
        <v>113.486794</v>
      </c>
      <c r="E2156">
        <v>150.01649499999999</v>
      </c>
      <c r="F2156">
        <v>1691.650024</v>
      </c>
      <c r="H2156" s="50">
        <f t="shared" si="273"/>
        <v>8.1871988071530906E-3</v>
      </c>
      <c r="I2156" s="50">
        <f t="shared" si="274"/>
        <v>4.3842878090232578E-3</v>
      </c>
      <c r="J2156" s="50">
        <f t="shared" si="275"/>
        <v>-3.1531256621897619E-3</v>
      </c>
      <c r="K2156" s="50">
        <f t="shared" si="276"/>
        <v>-1.0944365289868556E-2</v>
      </c>
      <c r="L2156" s="50">
        <f t="shared" si="277"/>
        <v>3.7500478630310371E-3</v>
      </c>
      <c r="P2156" s="50">
        <f t="shared" si="272"/>
        <v>3.7500478630310371E-3</v>
      </c>
      <c r="Q2156" s="51">
        <f t="shared" si="278"/>
        <v>70.493617274788747</v>
      </c>
      <c r="R2156" s="51">
        <f t="shared" si="279"/>
        <v>24.058533766805798</v>
      </c>
    </row>
    <row r="2157" spans="1:18" x14ac:dyDescent="0.15">
      <c r="A2157" s="59">
        <v>44040.75</v>
      </c>
      <c r="B2157">
        <v>36.995193</v>
      </c>
      <c r="C2157">
        <v>302.36450200000002</v>
      </c>
      <c r="D2157">
        <v>113.845764</v>
      </c>
      <c r="E2157">
        <v>151.67649800000001</v>
      </c>
      <c r="F2157">
        <v>1685.329956</v>
      </c>
      <c r="H2157" s="50">
        <f t="shared" si="273"/>
        <v>4.3804823732348204E-3</v>
      </c>
      <c r="I2157" s="50">
        <f t="shared" si="274"/>
        <v>1.9089899319554204E-3</v>
      </c>
      <c r="J2157" s="50">
        <f t="shared" si="275"/>
        <v>-7.2244743751266188E-3</v>
      </c>
      <c r="K2157" s="50">
        <f t="shared" si="276"/>
        <v>-6.0126612846898801E-3</v>
      </c>
      <c r="L2157" s="50">
        <f t="shared" si="277"/>
        <v>-3.7367732008671516E-4</v>
      </c>
      <c r="P2157" s="50">
        <f t="shared" si="272"/>
        <v>-3.7367732008671516E-4</v>
      </c>
      <c r="Q2157" s="51">
        <f t="shared" si="278"/>
        <v>70.46727540880228</v>
      </c>
      <c r="R2157" s="51">
        <f t="shared" si="279"/>
        <v>24.163921749897163</v>
      </c>
    </row>
    <row r="2158" spans="1:18" x14ac:dyDescent="0.15">
      <c r="A2158" s="59">
        <v>44041.75</v>
      </c>
      <c r="B2158">
        <v>36.833843000000002</v>
      </c>
      <c r="C2158">
        <v>301.78839099999999</v>
      </c>
      <c r="D2158">
        <v>114.67422500000001</v>
      </c>
      <c r="E2158">
        <v>152.59399400000001</v>
      </c>
      <c r="F2158">
        <v>1685.959961</v>
      </c>
      <c r="H2158" s="50">
        <f t="shared" si="273"/>
        <v>5.5641508109138963E-3</v>
      </c>
      <c r="I2158" s="50">
        <f t="shared" si="274"/>
        <v>-2.1811974411873099E-3</v>
      </c>
      <c r="J2158" s="50">
        <f t="shared" si="275"/>
        <v>-1.0327094046807284E-2</v>
      </c>
      <c r="K2158" s="50">
        <f t="shared" si="276"/>
        <v>-3.5643415535602206E-2</v>
      </c>
      <c r="L2158" s="50">
        <f t="shared" si="277"/>
        <v>1.3642813661055757E-4</v>
      </c>
      <c r="P2158" s="50">
        <f t="shared" si="272"/>
        <v>1.3642813661055757E-4</v>
      </c>
      <c r="Q2158" s="51">
        <f t="shared" si="278"/>
        <v>70.476889127878323</v>
      </c>
      <c r="R2158" s="51">
        <f t="shared" si="279"/>
        <v>24.298373454696712</v>
      </c>
    </row>
    <row r="2159" spans="1:18" x14ac:dyDescent="0.15">
      <c r="A2159" s="59">
        <v>44042.75</v>
      </c>
      <c r="B2159">
        <v>36.630028000000003</v>
      </c>
      <c r="C2159">
        <v>302.44808999999998</v>
      </c>
      <c r="D2159">
        <v>115.870834</v>
      </c>
      <c r="E2159">
        <v>158.233994</v>
      </c>
      <c r="F2159">
        <v>1685.7299800000001</v>
      </c>
      <c r="H2159" s="50">
        <f t="shared" si="273"/>
        <v>7.7332425033660663E-4</v>
      </c>
      <c r="I2159" s="50">
        <f t="shared" si="274"/>
        <v>-1.1508473741469559E-2</v>
      </c>
      <c r="J2159" s="50">
        <f t="shared" si="275"/>
        <v>-1.533192032313938E-2</v>
      </c>
      <c r="K2159" s="50">
        <f t="shared" si="276"/>
        <v>1.6963941745549438E-2</v>
      </c>
      <c r="L2159" s="50">
        <f t="shared" si="277"/>
        <v>-1.2385251988684674E-2</v>
      </c>
      <c r="P2159" s="50">
        <f t="shared" si="272"/>
        <v>-1.2385251988684674E-2</v>
      </c>
      <c r="Q2159" s="51">
        <f t="shared" si="278"/>
        <v>69.604015096650954</v>
      </c>
      <c r="R2159" s="51">
        <f t="shared" si="279"/>
        <v>24.317163976132967</v>
      </c>
    </row>
    <row r="2160" spans="1:18" x14ac:dyDescent="0.15">
      <c r="A2160" s="59">
        <v>44043.75</v>
      </c>
      <c r="B2160">
        <v>36.601723</v>
      </c>
      <c r="C2160">
        <v>305.96933000000001</v>
      </c>
      <c r="D2160">
        <v>117.67501799999999</v>
      </c>
      <c r="E2160">
        <v>155.59449799999999</v>
      </c>
      <c r="F2160">
        <v>1706.869995</v>
      </c>
      <c r="H2160" s="50">
        <f t="shared" si="273"/>
        <v>-1.777578443952069E-2</v>
      </c>
      <c r="I2160" s="50">
        <f t="shared" si="274"/>
        <v>-3.0813001428943276E-2</v>
      </c>
      <c r="J2160" s="50">
        <f t="shared" si="275"/>
        <v>-2.0007508652601591E-2</v>
      </c>
      <c r="K2160" s="50">
        <f t="shared" si="276"/>
        <v>-8.5828159993732722E-3</v>
      </c>
      <c r="L2160" s="50">
        <f t="shared" si="277"/>
        <v>-1.6377715745950945E-3</v>
      </c>
      <c r="P2160" s="50">
        <f t="shared" si="272"/>
        <v>-1.6377715745950945E-3</v>
      </c>
      <c r="Q2160" s="51">
        <f t="shared" si="278"/>
        <v>69.490019619247974</v>
      </c>
      <c r="R2160" s="51">
        <f t="shared" si="279"/>
        <v>23.884907311112752</v>
      </c>
    </row>
    <row r="2161" spans="1:18" x14ac:dyDescent="0.15">
      <c r="A2161" s="59">
        <v>44044.75</v>
      </c>
      <c r="B2161">
        <v>37.264122</v>
      </c>
      <c r="C2161">
        <v>315.69689899999997</v>
      </c>
      <c r="D2161">
        <v>120.07746899999999</v>
      </c>
      <c r="E2161">
        <v>156.941498</v>
      </c>
      <c r="F2161">
        <v>1709.670044</v>
      </c>
      <c r="H2161" s="50">
        <f t="shared" si="273"/>
        <v>1.409771914211495E-2</v>
      </c>
      <c r="I2161" s="50">
        <f t="shared" si="274"/>
        <v>-5.2965167179114194E-4</v>
      </c>
      <c r="J2161" s="50">
        <f t="shared" si="275"/>
        <v>8.3481448085636293E-3</v>
      </c>
      <c r="K2161" s="50">
        <f t="shared" si="276"/>
        <v>-2.0655014794089814E-2</v>
      </c>
      <c r="L2161" s="50">
        <f t="shared" si="277"/>
        <v>1.4820278230078352E-3</v>
      </c>
      <c r="P2161" s="50">
        <f t="shared" si="272"/>
        <v>1.4820278230078352E-3</v>
      </c>
      <c r="Q2161" s="51">
        <f t="shared" si="278"/>
        <v>69.593005761745061</v>
      </c>
      <c r="R2161" s="51">
        <f t="shared" si="279"/>
        <v>24.22163002612027</v>
      </c>
    </row>
    <row r="2162" spans="1:18" x14ac:dyDescent="0.15">
      <c r="A2162" s="59">
        <v>44047.75</v>
      </c>
      <c r="B2162">
        <v>36.746085999999998</v>
      </c>
      <c r="C2162">
        <v>315.86419699999999</v>
      </c>
      <c r="D2162">
        <v>119.083344</v>
      </c>
      <c r="E2162">
        <v>160.25149500000001</v>
      </c>
      <c r="F2162">
        <v>1707.1400149999999</v>
      </c>
      <c r="H2162" s="50">
        <f t="shared" si="273"/>
        <v>3.5561351462991293E-3</v>
      </c>
      <c r="I2162" s="50">
        <f t="shared" si="274"/>
        <v>-9.7288319237738494E-3</v>
      </c>
      <c r="J2162" s="50">
        <f t="shared" si="275"/>
        <v>2.790615157293425E-3</v>
      </c>
      <c r="K2162" s="50">
        <f t="shared" si="276"/>
        <v>-6.1922790697674073E-3</v>
      </c>
      <c r="L2162" s="50">
        <f t="shared" si="277"/>
        <v>5.7559754377535886E-3</v>
      </c>
      <c r="P2162" s="50">
        <f t="shared" si="272"/>
        <v>5.7559754377535886E-3</v>
      </c>
      <c r="Q2162" s="51">
        <f t="shared" si="278"/>
        <v>69.993581393549107</v>
      </c>
      <c r="R2162" s="51">
        <f t="shared" si="279"/>
        <v>24.307765415956812</v>
      </c>
    </row>
    <row r="2163" spans="1:18" x14ac:dyDescent="0.15">
      <c r="A2163" s="59">
        <v>44048.75</v>
      </c>
      <c r="B2163">
        <v>36.615875000000003</v>
      </c>
      <c r="C2163">
        <v>318.967377</v>
      </c>
      <c r="D2163">
        <v>118.751953</v>
      </c>
      <c r="E2163">
        <v>161.25</v>
      </c>
      <c r="F2163">
        <v>1697.369995</v>
      </c>
      <c r="H2163" s="50">
        <f t="shared" si="273"/>
        <v>-4.7704372974695809E-3</v>
      </c>
      <c r="I2163" s="50">
        <f t="shared" si="274"/>
        <v>7.0400848440063113E-3</v>
      </c>
      <c r="J2163" s="50">
        <f t="shared" si="275"/>
        <v>-2.0797215946746522E-2</v>
      </c>
      <c r="K2163" s="50">
        <f t="shared" si="276"/>
        <v>1.816596883202341E-2</v>
      </c>
      <c r="L2163" s="50">
        <f t="shared" si="277"/>
        <v>3.8204049122107352E-3</v>
      </c>
      <c r="P2163" s="50">
        <f t="shared" si="272"/>
        <v>3.8204049122107352E-3</v>
      </c>
      <c r="Q2163" s="51">
        <f t="shared" si="278"/>
        <v>70.260985215728255</v>
      </c>
      <c r="R2163" s="51">
        <f t="shared" si="279"/>
        <v>24.191806745198388</v>
      </c>
    </row>
    <row r="2164" spans="1:18" x14ac:dyDescent="0.15">
      <c r="A2164" s="59">
        <v>44049.75</v>
      </c>
      <c r="B2164">
        <v>36.791386000000003</v>
      </c>
      <c r="C2164">
        <v>316.73751800000002</v>
      </c>
      <c r="D2164">
        <v>121.274117</v>
      </c>
      <c r="E2164">
        <v>158.37300099999999</v>
      </c>
      <c r="F2164">
        <v>1690.910034</v>
      </c>
      <c r="H2164" s="50">
        <f t="shared" si="273"/>
        <v>-1.4482674861661686E-2</v>
      </c>
      <c r="I2164" s="50">
        <f t="shared" si="274"/>
        <v>2.6764173897768201E-3</v>
      </c>
      <c r="J2164" s="50">
        <f t="shared" si="275"/>
        <v>-8.9512436908694617E-3</v>
      </c>
      <c r="K2164" s="50">
        <f t="shared" si="276"/>
        <v>6.130539549116229E-3</v>
      </c>
      <c r="L2164" s="50">
        <f t="shared" si="277"/>
        <v>-3.8704114790208436E-3</v>
      </c>
      <c r="P2164" s="50">
        <f t="shared" si="272"/>
        <v>-3.8704114790208436E-3</v>
      </c>
      <c r="Q2164" s="51">
        <f t="shared" si="278"/>
        <v>69.989046292021982</v>
      </c>
      <c r="R2164" s="51">
        <f t="shared" si="279"/>
        <v>23.841444673791525</v>
      </c>
    </row>
    <row r="2165" spans="1:18" x14ac:dyDescent="0.15">
      <c r="A2165" s="59">
        <v>44050.75</v>
      </c>
      <c r="B2165">
        <v>37.332053999999999</v>
      </c>
      <c r="C2165">
        <v>315.89205900000002</v>
      </c>
      <c r="D2165">
        <v>122.36947600000001</v>
      </c>
      <c r="E2165">
        <v>157.408005</v>
      </c>
      <c r="F2165">
        <v>1697.4799800000001</v>
      </c>
      <c r="H2165" s="50">
        <f t="shared" si="273"/>
        <v>1.2903210227279612E-2</v>
      </c>
      <c r="I2165" s="50">
        <f t="shared" si="274"/>
        <v>2.2771576282727714E-2</v>
      </c>
      <c r="J2165" s="50">
        <f t="shared" si="275"/>
        <v>9.2619417345975903E-3</v>
      </c>
      <c r="K2165" s="50">
        <f t="shared" si="276"/>
        <v>2.1907650954847917E-2</v>
      </c>
      <c r="L2165" s="50">
        <f t="shared" si="277"/>
        <v>3.582750495062779E-3</v>
      </c>
      <c r="P2165" s="50">
        <f t="shared" si="272"/>
        <v>3.582750495062779E-3</v>
      </c>
      <c r="Q2165" s="51">
        <f t="shared" si="278"/>
        <v>70.23979958227369</v>
      </c>
      <c r="R2165" s="51">
        <f t="shared" si="279"/>
        <v>24.149075846539514</v>
      </c>
    </row>
    <row r="2166" spans="1:18" x14ac:dyDescent="0.15">
      <c r="A2166" s="59">
        <v>44051.75</v>
      </c>
      <c r="B2166">
        <v>36.856487000000001</v>
      </c>
      <c r="C2166">
        <v>308.858856</v>
      </c>
      <c r="D2166">
        <v>121.246498</v>
      </c>
      <c r="E2166">
        <v>154.03349299999999</v>
      </c>
      <c r="F2166">
        <v>1691.420044</v>
      </c>
      <c r="H2166" s="50">
        <f t="shared" si="273"/>
        <v>-1.2813699573468581E-2</v>
      </c>
      <c r="I2166" s="50">
        <f t="shared" si="274"/>
        <v>-1.2857825342088628E-2</v>
      </c>
      <c r="J2166" s="50">
        <f t="shared" si="275"/>
        <v>-2.1396727306012803E-2</v>
      </c>
      <c r="K2166" s="50">
        <f t="shared" si="276"/>
        <v>-2.5795050344059919E-2</v>
      </c>
      <c r="L2166" s="50">
        <f t="shared" si="277"/>
        <v>1.1542513530712378E-3</v>
      </c>
      <c r="P2166" s="50">
        <f t="shared" si="272"/>
        <v>1.1542513530712378E-3</v>
      </c>
      <c r="Q2166" s="51">
        <f t="shared" si="278"/>
        <v>70.320873965980994</v>
      </c>
      <c r="R2166" s="51">
        <f t="shared" si="279"/>
        <v>23.839636843665051</v>
      </c>
    </row>
    <row r="2167" spans="1:18" x14ac:dyDescent="0.15">
      <c r="A2167" s="59">
        <v>44054.75</v>
      </c>
      <c r="B2167">
        <v>37.334885</v>
      </c>
      <c r="C2167">
        <v>312.88183600000002</v>
      </c>
      <c r="D2167">
        <v>123.897499</v>
      </c>
      <c r="E2167">
        <v>158.11199999999999</v>
      </c>
      <c r="F2167">
        <v>1689.469971</v>
      </c>
      <c r="H2167" s="50">
        <f t="shared" si="273"/>
        <v>-1.1983550421518021E-2</v>
      </c>
      <c r="I2167" s="50">
        <f t="shared" si="274"/>
        <v>3.1577545893348227E-3</v>
      </c>
      <c r="J2167" s="50">
        <f t="shared" si="275"/>
        <v>-1.5576579051515597E-3</v>
      </c>
      <c r="K2167" s="50">
        <f t="shared" si="276"/>
        <v>3.8598301769624687E-4</v>
      </c>
      <c r="L2167" s="50">
        <f t="shared" si="277"/>
        <v>-2.7683707004506099E-3</v>
      </c>
      <c r="P2167" s="50">
        <f t="shared" si="272"/>
        <v>-2.7683707004506099E-3</v>
      </c>
      <c r="Q2167" s="51">
        <f t="shared" si="278"/>
        <v>70.126199718863489</v>
      </c>
      <c r="R2167" s="51">
        <f t="shared" si="279"/>
        <v>23.553953353518313</v>
      </c>
    </row>
    <row r="2168" spans="1:18" x14ac:dyDescent="0.15">
      <c r="A2168" s="59">
        <v>44055.75</v>
      </c>
      <c r="B2168">
        <v>37.787716000000003</v>
      </c>
      <c r="C2168">
        <v>311.89694200000002</v>
      </c>
      <c r="D2168">
        <v>124.09079</v>
      </c>
      <c r="E2168">
        <v>158.050995</v>
      </c>
      <c r="F2168">
        <v>1694.160034</v>
      </c>
      <c r="H2168" s="50">
        <f t="shared" si="273"/>
        <v>-5.6559989657565301E-3</v>
      </c>
      <c r="I2168" s="50">
        <f t="shared" si="274"/>
        <v>-1.7248660694675561E-3</v>
      </c>
      <c r="J2168" s="50">
        <f t="shared" si="275"/>
        <v>-1.2597902196475493E-2</v>
      </c>
      <c r="K2168" s="50">
        <f t="shared" si="276"/>
        <v>4.1295417174633618E-3</v>
      </c>
      <c r="L2168" s="50">
        <f t="shared" si="277"/>
        <v>5.2035546205606584E-3</v>
      </c>
      <c r="P2168" s="50">
        <f t="shared" si="272"/>
        <v>5.2035546205606584E-3</v>
      </c>
      <c r="Q2168" s="51">
        <f t="shared" si="278"/>
        <v>70.491105229432947</v>
      </c>
      <c r="R2168" s="51">
        <f t="shared" si="279"/>
        <v>23.420732217711336</v>
      </c>
    </row>
    <row r="2169" spans="1:18" x14ac:dyDescent="0.15">
      <c r="A2169" s="59">
        <v>44056.75</v>
      </c>
      <c r="B2169">
        <v>38.002659000000001</v>
      </c>
      <c r="C2169">
        <v>312.43585200000001</v>
      </c>
      <c r="D2169">
        <v>125.674019</v>
      </c>
      <c r="E2169">
        <v>157.40100100000001</v>
      </c>
      <c r="F2169">
        <v>1685.3900149999999</v>
      </c>
      <c r="H2169" s="50">
        <f t="shared" si="273"/>
        <v>-2.2123952555744716E-2</v>
      </c>
      <c r="I2169" s="50">
        <f t="shared" si="274"/>
        <v>-1.0824708177938012E-2</v>
      </c>
      <c r="J2169" s="50">
        <f t="shared" si="275"/>
        <v>-1.2369877978966808E-2</v>
      </c>
      <c r="K2169" s="50">
        <f t="shared" si="276"/>
        <v>-1.0806263245818425E-2</v>
      </c>
      <c r="L2169" s="50">
        <f t="shared" si="277"/>
        <v>1.4488521044940176E-2</v>
      </c>
      <c r="P2169" s="50">
        <f t="shared" si="272"/>
        <v>1.4488521044940176E-2</v>
      </c>
      <c r="Q2169" s="51">
        <f t="shared" si="278"/>
        <v>71.51241709103067</v>
      </c>
      <c r="R2169" s="51">
        <f t="shared" si="279"/>
        <v>22.902573049305889</v>
      </c>
    </row>
    <row r="2170" spans="1:18" x14ac:dyDescent="0.15">
      <c r="A2170" s="59">
        <v>44057.75</v>
      </c>
      <c r="B2170">
        <v>38.862450000000003</v>
      </c>
      <c r="C2170">
        <v>315.85488900000001</v>
      </c>
      <c r="D2170">
        <v>127.248062</v>
      </c>
      <c r="E2170">
        <v>159.120499</v>
      </c>
      <c r="F2170">
        <v>1661.3199460000001</v>
      </c>
      <c r="H2170" s="50">
        <f t="shared" si="273"/>
        <v>6.6069765121543264E-3</v>
      </c>
      <c r="I2170" s="50">
        <f t="shared" si="274"/>
        <v>-2.3183948537267396E-3</v>
      </c>
      <c r="J2170" s="50">
        <f t="shared" si="275"/>
        <v>4.8208762837957282E-3</v>
      </c>
      <c r="K2170" s="50">
        <f t="shared" si="276"/>
        <v>-3.9269535346993588E-2</v>
      </c>
      <c r="L2170" s="50">
        <f t="shared" si="277"/>
        <v>3.3155518053690981E-3</v>
      </c>
      <c r="P2170" s="50">
        <f t="shared" si="272"/>
        <v>3.3155518053690981E-3</v>
      </c>
      <c r="Q2170" s="51">
        <f t="shared" si="278"/>
        <v>71.749520214623146</v>
      </c>
      <c r="R2170" s="51">
        <f t="shared" si="279"/>
        <v>23.053889811510555</v>
      </c>
    </row>
    <row r="2171" spans="1:18" x14ac:dyDescent="0.15">
      <c r="A2171" s="59">
        <v>44058.75</v>
      </c>
      <c r="B2171">
        <v>38.607371999999998</v>
      </c>
      <c r="C2171">
        <v>316.58886699999999</v>
      </c>
      <c r="D2171">
        <v>126.637558</v>
      </c>
      <c r="E2171">
        <v>165.62449599999999</v>
      </c>
      <c r="F2171">
        <v>1655.829956</v>
      </c>
      <c r="H2171" s="50">
        <f t="shared" si="273"/>
        <v>1.7370202816449524E-2</v>
      </c>
      <c r="I2171" s="50">
        <f t="shared" si="274"/>
        <v>-4.4013753353900378E-4</v>
      </c>
      <c r="J2171" s="50">
        <f t="shared" si="275"/>
        <v>-0.11230698227762136</v>
      </c>
      <c r="K2171" s="50">
        <f t="shared" si="276"/>
        <v>1.5951602022381942E-2</v>
      </c>
      <c r="L2171" s="50">
        <f t="shared" si="277"/>
        <v>5.9353223149922309E-3</v>
      </c>
      <c r="P2171" s="50">
        <f t="shared" si="272"/>
        <v>5.9353223149922309E-3</v>
      </c>
      <c r="Q2171" s="51">
        <f t="shared" si="278"/>
        <v>72.175376743042989</v>
      </c>
      <c r="R2171" s="51">
        <f t="shared" si="279"/>
        <v>23.454340553244574</v>
      </c>
    </row>
    <row r="2172" spans="1:18" x14ac:dyDescent="0.15">
      <c r="A2172" s="59">
        <v>44061.75</v>
      </c>
      <c r="B2172">
        <v>37.948203999999997</v>
      </c>
      <c r="C2172">
        <v>316.72827100000001</v>
      </c>
      <c r="D2172">
        <v>142.65917999999999</v>
      </c>
      <c r="E2172">
        <v>163.024002</v>
      </c>
      <c r="F2172">
        <v>1646.0600589999999</v>
      </c>
      <c r="H2172" s="50">
        <f t="shared" si="273"/>
        <v>1.4092138546025961E-2</v>
      </c>
      <c r="I2172" s="50">
        <f t="shared" si="274"/>
        <v>8.807378183806885E-5</v>
      </c>
      <c r="J2172" s="50">
        <f t="shared" si="275"/>
        <v>1.3005565093732149E-2</v>
      </c>
      <c r="K2172" s="50">
        <f t="shared" si="276"/>
        <v>-1.1187692009086123E-2</v>
      </c>
      <c r="L2172" s="50">
        <f t="shared" si="277"/>
        <v>-3.8066493729292492E-3</v>
      </c>
      <c r="P2172" s="50">
        <f t="shared" si="272"/>
        <v>-3.8066493729292492E-3</v>
      </c>
      <c r="Q2172" s="51">
        <f t="shared" si="278"/>
        <v>71.900630390423146</v>
      </c>
      <c r="R2172" s="51">
        <f t="shared" si="279"/>
        <v>23.784862369826573</v>
      </c>
    </row>
    <row r="2173" spans="1:18" x14ac:dyDescent="0.15">
      <c r="A2173" s="59">
        <v>44062.75</v>
      </c>
      <c r="B2173">
        <v>37.420864000000002</v>
      </c>
      <c r="C2173">
        <v>316.700378</v>
      </c>
      <c r="D2173">
        <v>140.82763700000001</v>
      </c>
      <c r="E2173">
        <v>164.86850000000001</v>
      </c>
      <c r="F2173">
        <v>1652.349976</v>
      </c>
      <c r="H2173" s="50">
        <f t="shared" si="273"/>
        <v>-8.0529554952372372E-3</v>
      </c>
      <c r="I2173" s="50">
        <f t="shared" si="274"/>
        <v>-1.0852787207537642E-2</v>
      </c>
      <c r="J2173" s="50">
        <f t="shared" si="275"/>
        <v>-9.0474647208328082E-3</v>
      </c>
      <c r="K2173" s="50">
        <f t="shared" si="276"/>
        <v>3.8512142941237956E-3</v>
      </c>
      <c r="L2173" s="50">
        <f t="shared" si="277"/>
        <v>5.8132010683912671E-3</v>
      </c>
      <c r="P2173" s="50">
        <f t="shared" si="272"/>
        <v>5.8132010683912671E-3</v>
      </c>
      <c r="Q2173" s="51">
        <f t="shared" si="278"/>
        <v>72.318603211826769</v>
      </c>
      <c r="R2173" s="51">
        <f t="shared" si="279"/>
        <v>23.593323931702017</v>
      </c>
    </row>
    <row r="2174" spans="1:18" x14ac:dyDescent="0.15">
      <c r="A2174" s="59">
        <v>44063.75</v>
      </c>
      <c r="B2174">
        <v>37.724659000000003</v>
      </c>
      <c r="C2174">
        <v>320.17517099999998</v>
      </c>
      <c r="D2174">
        <v>142.11340300000001</v>
      </c>
      <c r="E2174">
        <v>164.23599200000001</v>
      </c>
      <c r="F2174">
        <v>1642.8000489999999</v>
      </c>
      <c r="H2174" s="50">
        <f t="shared" si="273"/>
        <v>2.2843255927147764E-3</v>
      </c>
      <c r="I2174" s="50">
        <f t="shared" si="274"/>
        <v>1.3947833819803559E-3</v>
      </c>
      <c r="J2174" s="50">
        <f t="shared" si="275"/>
        <v>2.5451239439129294E-3</v>
      </c>
      <c r="K2174" s="50">
        <f t="shared" si="276"/>
        <v>-6.8754209763658928E-3</v>
      </c>
      <c r="L2174" s="50">
        <f t="shared" si="277"/>
        <v>-8.5457176596194628E-3</v>
      </c>
      <c r="P2174" s="50">
        <f t="shared" si="272"/>
        <v>-8.5457176596194628E-3</v>
      </c>
      <c r="Q2174" s="51">
        <f t="shared" si="278"/>
        <v>71.700588847240454</v>
      </c>
      <c r="R2174" s="51">
        <f t="shared" si="279"/>
        <v>23.647218765376412</v>
      </c>
    </row>
    <row r="2175" spans="1:18" x14ac:dyDescent="0.15">
      <c r="A2175" s="59">
        <v>44064.75</v>
      </c>
      <c r="B2175">
        <v>37.638680000000001</v>
      </c>
      <c r="C2175">
        <v>319.729218</v>
      </c>
      <c r="D2175">
        <v>141.75262499999999</v>
      </c>
      <c r="E2175">
        <v>165.37300099999999</v>
      </c>
      <c r="F2175">
        <v>1656.959961</v>
      </c>
      <c r="H2175" s="50">
        <f t="shared" si="273"/>
        <v>5.3589058170307189E-3</v>
      </c>
      <c r="I2175" s="50">
        <f t="shared" si="274"/>
        <v>-1.6824905671362601E-3</v>
      </c>
      <c r="J2175" s="50">
        <f t="shared" si="275"/>
        <v>2.5513061424435432E-3</v>
      </c>
      <c r="K2175" s="50">
        <f t="shared" si="276"/>
        <v>-1.1662918948751884E-2</v>
      </c>
      <c r="L2175" s="50">
        <f t="shared" si="277"/>
        <v>-3.9314932371505738E-3</v>
      </c>
      <c r="P2175" s="50">
        <f t="shared" si="272"/>
        <v>-3.9314932371505738E-3</v>
      </c>
      <c r="Q2175" s="51">
        <f t="shared" si="278"/>
        <v>71.418698467087808</v>
      </c>
      <c r="R2175" s="51">
        <f t="shared" si="279"/>
        <v>23.773941983574783</v>
      </c>
    </row>
    <row r="2176" spans="1:18" x14ac:dyDescent="0.15">
      <c r="A2176" s="59">
        <v>44065.75</v>
      </c>
      <c r="B2176">
        <v>37.438052999999996</v>
      </c>
      <c r="C2176">
        <v>320.26806599999998</v>
      </c>
      <c r="D2176">
        <v>141.39189099999999</v>
      </c>
      <c r="E2176">
        <v>167.32449299999999</v>
      </c>
      <c r="F2176">
        <v>1663.5</v>
      </c>
      <c r="H2176" s="50">
        <f t="shared" si="273"/>
        <v>-5.3587838323795379E-4</v>
      </c>
      <c r="I2176" s="50">
        <f t="shared" si="274"/>
        <v>1.2781027785366344E-3</v>
      </c>
      <c r="J2176" s="50">
        <f t="shared" si="275"/>
        <v>9.1684710808518765E-4</v>
      </c>
      <c r="K2176" s="50">
        <f t="shared" si="276"/>
        <v>-2.7706065213220093E-2</v>
      </c>
      <c r="L2176" s="50">
        <f t="shared" si="277"/>
        <v>4.0560429763606158E-3</v>
      </c>
      <c r="P2176" s="50">
        <f t="shared" si="272"/>
        <v>4.0560429763606158E-3</v>
      </c>
      <c r="Q2176" s="51">
        <f t="shared" si="278"/>
        <v>71.708375777386053</v>
      </c>
      <c r="R2176" s="51">
        <f t="shared" si="279"/>
        <v>23.761202041981431</v>
      </c>
    </row>
    <row r="2177" spans="1:18" x14ac:dyDescent="0.15">
      <c r="A2177" s="59">
        <v>44068.75</v>
      </c>
      <c r="B2177">
        <v>37.458126</v>
      </c>
      <c r="C2177">
        <v>319.85925300000002</v>
      </c>
      <c r="D2177">
        <v>141.26237499999999</v>
      </c>
      <c r="E2177">
        <v>172.092499</v>
      </c>
      <c r="F2177">
        <v>1656.780029</v>
      </c>
      <c r="H2177" s="50">
        <f t="shared" si="273"/>
        <v>-4.3401727402586979E-2</v>
      </c>
      <c r="I2177" s="50">
        <f t="shared" si="274"/>
        <v>-6.0342649061164893E-3</v>
      </c>
      <c r="J2177" s="50">
        <f t="shared" si="275"/>
        <v>1.5967035121014422E-2</v>
      </c>
      <c r="K2177" s="50">
        <f t="shared" si="276"/>
        <v>1.2308817647058845E-2</v>
      </c>
      <c r="L2177" s="50">
        <f t="shared" si="277"/>
        <v>1.6130249572276222E-2</v>
      </c>
      <c r="P2177" s="50">
        <f t="shared" ref="P2177:P2240" si="280">(F2177-F2178)/F2178</f>
        <v>1.6130249572276222E-2</v>
      </c>
      <c r="Q2177" s="51">
        <f t="shared" si="278"/>
        <v>72.865049775097859</v>
      </c>
      <c r="R2177" s="51">
        <f t="shared" si="279"/>
        <v>22.729924828197561</v>
      </c>
    </row>
    <row r="2178" spans="1:18" x14ac:dyDescent="0.15">
      <c r="A2178" s="59">
        <v>44069.75</v>
      </c>
      <c r="B2178">
        <v>39.157634999999999</v>
      </c>
      <c r="C2178">
        <v>321.801086</v>
      </c>
      <c r="D2178">
        <v>139.042282</v>
      </c>
      <c r="E2178">
        <v>170</v>
      </c>
      <c r="F2178">
        <v>1630.4799800000001</v>
      </c>
      <c r="H2178" s="50">
        <f t="shared" ref="H2178:H2241" si="281">(B2178-B2179)/B2179</f>
        <v>-2.6158209308152141E-2</v>
      </c>
      <c r="I2178" s="50">
        <f t="shared" ref="I2178:I2241" si="282">(C2178-C2179)/C2179</f>
        <v>-5.7698644301651713E-3</v>
      </c>
      <c r="J2178" s="50">
        <f t="shared" ref="J2178:J2241" si="283">(D2178-D2179)/D2179</f>
        <v>-3.5796587221747335E-3</v>
      </c>
      <c r="K2178" s="50">
        <f t="shared" ref="K2178:K2241" si="284">(E2178-E2179)/E2179</f>
        <v>-5.2910813167409039E-4</v>
      </c>
      <c r="L2178" s="50">
        <f t="shared" ref="L2178:L2241" si="285">(F2178-F2179)/F2179</f>
        <v>-2.7401166431377535E-3</v>
      </c>
      <c r="P2178" s="50">
        <f t="shared" si="280"/>
        <v>-2.7401166431377535E-3</v>
      </c>
      <c r="Q2178" s="51">
        <f t="shared" si="278"/>
        <v>72.665391039506048</v>
      </c>
      <c r="R2178" s="51">
        <f t="shared" si="279"/>
        <v>22.135350696983004</v>
      </c>
    </row>
    <row r="2179" spans="1:18" x14ac:dyDescent="0.15">
      <c r="A2179" s="59">
        <v>44070.75</v>
      </c>
      <c r="B2179">
        <v>40.209442000000003</v>
      </c>
      <c r="C2179">
        <v>323.66861</v>
      </c>
      <c r="D2179">
        <v>139.54179400000001</v>
      </c>
      <c r="E2179">
        <v>170.08999600000001</v>
      </c>
      <c r="F2179">
        <v>1634.959961</v>
      </c>
      <c r="H2179" s="50">
        <f t="shared" si="281"/>
        <v>1.0442862068237661E-2</v>
      </c>
      <c r="I2179" s="50">
        <f t="shared" si="282"/>
        <v>2.0422592511386592E-3</v>
      </c>
      <c r="J2179" s="50">
        <f t="shared" si="283"/>
        <v>-2.3807576149418122E-3</v>
      </c>
      <c r="K2179" s="50">
        <f t="shared" si="284"/>
        <v>-1.4245357483242625E-2</v>
      </c>
      <c r="L2179" s="50">
        <f t="shared" si="285"/>
        <v>-1.9595542060833462E-3</v>
      </c>
      <c r="P2179" s="50">
        <f t="shared" si="280"/>
        <v>-1.9595542060833462E-3</v>
      </c>
      <c r="Q2179" s="51">
        <f t="shared" ref="Q2179:Q2242" si="286">Q2178*(1+P2179)</f>
        <v>72.522999266857894</v>
      </c>
      <c r="R2179" s="51">
        <f t="shared" ref="R2179:R2242" si="287">R2178*(1+H2179)</f>
        <v>22.366507111143669</v>
      </c>
    </row>
    <row r="2180" spans="1:18" x14ac:dyDescent="0.15">
      <c r="A2180" s="59">
        <v>44071.75</v>
      </c>
      <c r="B2180">
        <v>39.793880000000001</v>
      </c>
      <c r="C2180">
        <v>323.00894199999999</v>
      </c>
      <c r="D2180">
        <v>139.87480199999999</v>
      </c>
      <c r="E2180">
        <v>172.54800399999999</v>
      </c>
      <c r="F2180">
        <v>1638.170044</v>
      </c>
      <c r="H2180" s="50">
        <f t="shared" si="281"/>
        <v>-5.921806775801703E-2</v>
      </c>
      <c r="I2180" s="50">
        <f t="shared" si="282"/>
        <v>-1.0586756382991454E-2</v>
      </c>
      <c r="J2180" s="50">
        <f t="shared" si="283"/>
        <v>4.3837868940665332E-3</v>
      </c>
      <c r="K2180" s="50">
        <f t="shared" si="284"/>
        <v>-1.3763403841997047E-2</v>
      </c>
      <c r="L2180" s="50">
        <f t="shared" si="285"/>
        <v>3.1844265922511411E-3</v>
      </c>
      <c r="P2180" s="50">
        <f t="shared" si="280"/>
        <v>3.1844265922511411E-3</v>
      </c>
      <c r="Q2180" s="51">
        <f t="shared" si="286"/>
        <v>72.753943434273083</v>
      </c>
      <c r="R2180" s="51">
        <f t="shared" si="287"/>
        <v>21.042005777525791</v>
      </c>
    </row>
    <row r="2181" spans="1:18" x14ac:dyDescent="0.15">
      <c r="A2181" s="59">
        <v>44072.75</v>
      </c>
      <c r="B2181">
        <v>42.298729000000002</v>
      </c>
      <c r="C2181">
        <v>326.465149</v>
      </c>
      <c r="D2181">
        <v>139.264297</v>
      </c>
      <c r="E2181">
        <v>174.955994</v>
      </c>
      <c r="F2181">
        <v>1632.969971</v>
      </c>
      <c r="H2181" s="50">
        <f t="shared" si="281"/>
        <v>-6.097172715540945E-4</v>
      </c>
      <c r="I2181" s="50">
        <f t="shared" si="282"/>
        <v>-2.084402321892936E-2</v>
      </c>
      <c r="J2181" s="50">
        <f t="shared" si="283"/>
        <v>4.7385531769717579E-3</v>
      </c>
      <c r="K2181" s="50">
        <f t="shared" si="284"/>
        <v>-9.154885646261041E-3</v>
      </c>
      <c r="L2181" s="50">
        <f t="shared" si="285"/>
        <v>-4.1469528757453102E-3</v>
      </c>
      <c r="P2181" s="50">
        <f t="shared" si="280"/>
        <v>-4.1469528757453102E-3</v>
      </c>
      <c r="Q2181" s="51">
        <f t="shared" si="286"/>
        <v>72.452236259326511</v>
      </c>
      <c r="R2181" s="51">
        <f t="shared" si="287"/>
        <v>21.029176103175093</v>
      </c>
    </row>
    <row r="2182" spans="1:18" x14ac:dyDescent="0.15">
      <c r="A2182" s="59">
        <v>44076.75</v>
      </c>
      <c r="B2182">
        <v>42.324534999999997</v>
      </c>
      <c r="C2182">
        <v>333.41485599999999</v>
      </c>
      <c r="D2182">
        <v>138.60749799999999</v>
      </c>
      <c r="E2182">
        <v>176.572495</v>
      </c>
      <c r="F2182">
        <v>1639.7700199999999</v>
      </c>
      <c r="H2182" s="50">
        <f t="shared" si="281"/>
        <v>2.17242075714493E-2</v>
      </c>
      <c r="I2182" s="50">
        <f t="shared" si="282"/>
        <v>3.0318919929264287E-2</v>
      </c>
      <c r="J2182" s="50">
        <f t="shared" si="283"/>
        <v>2.6090363763409844E-2</v>
      </c>
      <c r="K2182" s="50">
        <f t="shared" si="284"/>
        <v>4.8530292702979622E-2</v>
      </c>
      <c r="L2182" s="50">
        <f t="shared" si="285"/>
        <v>-8.0515984430701709E-3</v>
      </c>
      <c r="P2182" s="50">
        <f t="shared" si="280"/>
        <v>-8.0515984430701709E-3</v>
      </c>
      <c r="Q2182" s="51">
        <f t="shared" si="286"/>
        <v>71.868879946663967</v>
      </c>
      <c r="R2182" s="51">
        <f t="shared" si="287"/>
        <v>21.486018289897029</v>
      </c>
    </row>
    <row r="2183" spans="1:18" x14ac:dyDescent="0.15">
      <c r="A2183" s="59">
        <v>44077.75</v>
      </c>
      <c r="B2183">
        <v>41.424618000000002</v>
      </c>
      <c r="C2183">
        <v>323.60354599999999</v>
      </c>
      <c r="D2183">
        <v>135.08313000000001</v>
      </c>
      <c r="E2183">
        <v>168.39999399999999</v>
      </c>
      <c r="F2183">
        <v>1653.079956</v>
      </c>
      <c r="H2183" s="50">
        <f t="shared" si="281"/>
        <v>1.1972236649050021E-2</v>
      </c>
      <c r="I2183" s="50">
        <f t="shared" si="282"/>
        <v>4.9917667355444647E-3</v>
      </c>
      <c r="J2183" s="50">
        <f t="shared" si="283"/>
        <v>-8.1504165983781827E-3</v>
      </c>
      <c r="K2183" s="50">
        <f t="shared" si="284"/>
        <v>2.2272619805514118E-2</v>
      </c>
      <c r="L2183" s="50">
        <f t="shared" si="285"/>
        <v>-1.2084008345032485E-3</v>
      </c>
      <c r="P2183" s="50">
        <f t="shared" si="280"/>
        <v>-1.2084008345032485E-3</v>
      </c>
      <c r="Q2183" s="51">
        <f t="shared" si="286"/>
        <v>71.782033532161606</v>
      </c>
      <c r="R2183" s="51">
        <f t="shared" si="287"/>
        <v>21.743253985509494</v>
      </c>
    </row>
    <row r="2184" spans="1:18" x14ac:dyDescent="0.15">
      <c r="A2184" s="59">
        <v>44078.75</v>
      </c>
      <c r="B2184">
        <v>40.934539999999998</v>
      </c>
      <c r="C2184">
        <v>321.996216</v>
      </c>
      <c r="D2184">
        <v>136.193161</v>
      </c>
      <c r="E2184">
        <v>164.73100299999999</v>
      </c>
      <c r="F2184">
        <v>1655.079956</v>
      </c>
      <c r="H2184" s="50">
        <f t="shared" si="281"/>
        <v>3.1636060615568583E-2</v>
      </c>
      <c r="I2184" s="50">
        <f t="shared" si="282"/>
        <v>2.2752800989157249E-2</v>
      </c>
      <c r="J2184" s="50">
        <f t="shared" si="283"/>
        <v>2.2430442654961177E-2</v>
      </c>
      <c r="K2184" s="50">
        <f t="shared" si="284"/>
        <v>4.5964231936498678E-2</v>
      </c>
      <c r="L2184" s="50">
        <f t="shared" si="285"/>
        <v>-5.4428244594259548E-5</v>
      </c>
      <c r="P2184" s="50">
        <f t="shared" si="280"/>
        <v>-5.4428244594259548E-5</v>
      </c>
      <c r="Q2184" s="51">
        <f t="shared" si="286"/>
        <v>71.778126562083045</v>
      </c>
      <c r="R2184" s="51">
        <f t="shared" si="287"/>
        <v>22.431124886574775</v>
      </c>
    </row>
    <row r="2185" spans="1:18" x14ac:dyDescent="0.15">
      <c r="A2185" s="59">
        <v>44079.75</v>
      </c>
      <c r="B2185">
        <v>39.679245000000002</v>
      </c>
      <c r="C2185">
        <v>314.83288599999997</v>
      </c>
      <c r="D2185">
        <v>133.205307</v>
      </c>
      <c r="E2185">
        <v>157.49200400000001</v>
      </c>
      <c r="F2185">
        <v>1655.170044</v>
      </c>
      <c r="H2185" s="50">
        <f t="shared" si="281"/>
        <v>-1.0293764268141499E-2</v>
      </c>
      <c r="I2185" s="50">
        <f t="shared" si="282"/>
        <v>-2.1851423883481356E-2</v>
      </c>
      <c r="J2185" s="50">
        <f t="shared" si="283"/>
        <v>-2.4059706351704784E-2</v>
      </c>
      <c r="K2185" s="50">
        <f t="shared" si="284"/>
        <v>-3.6336498666687006E-2</v>
      </c>
      <c r="L2185" s="50">
        <f t="shared" si="285"/>
        <v>-9.8940111537685928E-3</v>
      </c>
      <c r="P2185" s="50">
        <f t="shared" si="280"/>
        <v>-9.8940111537685928E-3</v>
      </c>
      <c r="Q2185" s="51">
        <f t="shared" si="286"/>
        <v>71.06795297728118</v>
      </c>
      <c r="R2185" s="51">
        <f t="shared" si="287"/>
        <v>22.200224174723132</v>
      </c>
    </row>
    <row r="2186" spans="1:18" x14ac:dyDescent="0.15">
      <c r="A2186" s="59">
        <v>44082.75</v>
      </c>
      <c r="B2186">
        <v>40.091942000000003</v>
      </c>
      <c r="C2186">
        <v>321.86611900000003</v>
      </c>
      <c r="D2186">
        <v>136.48919699999999</v>
      </c>
      <c r="E2186">
        <v>163.43049600000001</v>
      </c>
      <c r="F2186">
        <v>1671.709961</v>
      </c>
      <c r="H2186" s="50">
        <f t="shared" si="281"/>
        <v>2.2512992796975696E-2</v>
      </c>
      <c r="I2186" s="50">
        <f t="shared" si="282"/>
        <v>2.032226094448308E-2</v>
      </c>
      <c r="J2186" s="50">
        <f t="shared" si="283"/>
        <v>1.0339739599074424E-2</v>
      </c>
      <c r="K2186" s="50">
        <f t="shared" si="284"/>
        <v>2.9447818854368736E-2</v>
      </c>
      <c r="L2186" s="50">
        <f t="shared" si="285"/>
        <v>-7.2922220873771421E-3</v>
      </c>
      <c r="P2186" s="50">
        <f t="shared" si="280"/>
        <v>-7.2922220873771421E-3</v>
      </c>
      <c r="Q2186" s="51">
        <f t="shared" si="286"/>
        <v>70.549709680875566</v>
      </c>
      <c r="R2186" s="51">
        <f t="shared" si="287"/>
        <v>22.700017661659917</v>
      </c>
    </row>
    <row r="2187" spans="1:18" x14ac:dyDescent="0.15">
      <c r="A2187" s="59">
        <v>44083.75</v>
      </c>
      <c r="B2187">
        <v>39.209225000000004</v>
      </c>
      <c r="C2187">
        <v>315.455353</v>
      </c>
      <c r="D2187">
        <v>135.092377</v>
      </c>
      <c r="E2187">
        <v>158.755493</v>
      </c>
      <c r="F2187">
        <v>1683.98999</v>
      </c>
      <c r="H2187" s="50">
        <f t="shared" si="281"/>
        <v>8.0466694063209489E-4</v>
      </c>
      <c r="I2187" s="50">
        <f t="shared" si="282"/>
        <v>1.1795055986867932E-3</v>
      </c>
      <c r="J2187" s="50">
        <f t="shared" si="283"/>
        <v>-1.090423565980609E-2</v>
      </c>
      <c r="K2187" s="50">
        <f t="shared" si="284"/>
        <v>1.8897817904454228E-2</v>
      </c>
      <c r="L2187" s="50">
        <f t="shared" si="285"/>
        <v>-3.0429954975549371E-3</v>
      </c>
      <c r="P2187" s="50">
        <f t="shared" si="280"/>
        <v>-3.0429954975549371E-3</v>
      </c>
      <c r="Q2187" s="51">
        <f t="shared" si="286"/>
        <v>70.335027231962854</v>
      </c>
      <c r="R2187" s="51">
        <f t="shared" si="287"/>
        <v>22.718283615424021</v>
      </c>
    </row>
    <row r="2188" spans="1:18" x14ac:dyDescent="0.15">
      <c r="A2188" s="59">
        <v>44084.75</v>
      </c>
      <c r="B2188">
        <v>39.177700000000002</v>
      </c>
      <c r="C2188">
        <v>315.08371</v>
      </c>
      <c r="D2188">
        <v>136.58169599999999</v>
      </c>
      <c r="E2188">
        <v>155.81100499999999</v>
      </c>
      <c r="F2188">
        <v>1689.130005</v>
      </c>
      <c r="H2188" s="50">
        <f t="shared" si="281"/>
        <v>-4.514884049539771E-3</v>
      </c>
      <c r="I2188" s="50">
        <f t="shared" si="282"/>
        <v>-1.1052246130554406E-2</v>
      </c>
      <c r="J2188" s="50">
        <f t="shared" si="283"/>
        <v>-5.3219711605360419E-3</v>
      </c>
      <c r="K2188" s="50">
        <f t="shared" si="284"/>
        <v>4.2701412148370681E-3</v>
      </c>
      <c r="L2188" s="50">
        <f t="shared" si="285"/>
        <v>3.3918813194314212E-3</v>
      </c>
      <c r="P2188" s="50">
        <f t="shared" si="280"/>
        <v>3.3918813194314212E-3</v>
      </c>
      <c r="Q2188" s="51">
        <f t="shared" si="286"/>
        <v>70.573595296932652</v>
      </c>
      <c r="R2188" s="51">
        <f t="shared" si="287"/>
        <v>22.615713199095822</v>
      </c>
    </row>
    <row r="2189" spans="1:18" x14ac:dyDescent="0.15">
      <c r="A2189" s="59">
        <v>44085.75</v>
      </c>
      <c r="B2189">
        <v>39.355384999999998</v>
      </c>
      <c r="C2189">
        <v>318.60501099999999</v>
      </c>
      <c r="D2189">
        <v>137.31246899999999</v>
      </c>
      <c r="E2189">
        <v>155.14849899999999</v>
      </c>
      <c r="F2189">
        <v>1683.420044</v>
      </c>
      <c r="H2189" s="50">
        <f t="shared" si="281"/>
        <v>-2.9138725226114659E-4</v>
      </c>
      <c r="I2189" s="50">
        <f t="shared" si="282"/>
        <v>-2.8788400547423605E-3</v>
      </c>
      <c r="J2189" s="50">
        <f t="shared" si="283"/>
        <v>-4.2261359390139142E-3</v>
      </c>
      <c r="K2189" s="50">
        <f t="shared" si="284"/>
        <v>-1.6843437687735881E-2</v>
      </c>
      <c r="L2189" s="50">
        <f t="shared" si="285"/>
        <v>-2.707330035766428E-3</v>
      </c>
      <c r="P2189" s="50">
        <f t="shared" si="280"/>
        <v>-2.707330035766428E-3</v>
      </c>
      <c r="Q2189" s="51">
        <f t="shared" si="286"/>
        <v>70.382529282653238</v>
      </c>
      <c r="R2189" s="51">
        <f t="shared" si="287"/>
        <v>22.609123268568812</v>
      </c>
    </row>
    <row r="2190" spans="1:18" x14ac:dyDescent="0.15">
      <c r="A2190" s="59">
        <v>44086.75</v>
      </c>
      <c r="B2190">
        <v>39.366855999999999</v>
      </c>
      <c r="C2190">
        <v>319.52487200000002</v>
      </c>
      <c r="D2190">
        <v>137.89523299999999</v>
      </c>
      <c r="E2190">
        <v>157.80650299999999</v>
      </c>
      <c r="F2190">
        <v>1687.98999</v>
      </c>
      <c r="H2190" s="50">
        <f t="shared" si="281"/>
        <v>8.0728578635885801E-3</v>
      </c>
      <c r="I2190" s="50">
        <f t="shared" si="282"/>
        <v>5.2385793737278516E-4</v>
      </c>
      <c r="J2190" s="50">
        <f t="shared" si="283"/>
        <v>7.2976673349831531E-3</v>
      </c>
      <c r="K2190" s="50">
        <f t="shared" si="284"/>
        <v>2.5350079759267525E-2</v>
      </c>
      <c r="L2190" s="50">
        <f t="shared" si="285"/>
        <v>-5.6609249150931509E-3</v>
      </c>
      <c r="P2190" s="50">
        <f t="shared" si="280"/>
        <v>-5.6609249150931509E-3</v>
      </c>
      <c r="Q2190" s="51">
        <f t="shared" si="286"/>
        <v>69.98409906904979</v>
      </c>
      <c r="R2190" s="51">
        <f t="shared" si="287"/>
        <v>22.791643507136325</v>
      </c>
    </row>
    <row r="2191" spans="1:18" x14ac:dyDescent="0.15">
      <c r="A2191" s="59">
        <v>44089.75</v>
      </c>
      <c r="B2191">
        <v>39.051597999999998</v>
      </c>
      <c r="C2191">
        <v>319.357574</v>
      </c>
      <c r="D2191">
        <v>136.89621</v>
      </c>
      <c r="E2191">
        <v>153.904999</v>
      </c>
      <c r="F2191">
        <v>1697.599976</v>
      </c>
      <c r="H2191" s="50">
        <f t="shared" si="281"/>
        <v>-3.1458205248344542E-3</v>
      </c>
      <c r="I2191" s="50">
        <f t="shared" si="282"/>
        <v>1.4311640700544468E-2</v>
      </c>
      <c r="J2191" s="50">
        <f t="shared" si="283"/>
        <v>2.5746008291412242E-3</v>
      </c>
      <c r="K2191" s="50">
        <f t="shared" si="284"/>
        <v>2.3056280632652016E-2</v>
      </c>
      <c r="L2191" s="50">
        <f t="shared" si="285"/>
        <v>-4.2000246122619904E-3</v>
      </c>
      <c r="P2191" s="50">
        <f t="shared" si="280"/>
        <v>-4.2000246122619904E-3</v>
      </c>
      <c r="Q2191" s="51">
        <f t="shared" si="286"/>
        <v>69.690164130492803</v>
      </c>
      <c r="R2191" s="51">
        <f t="shared" si="287"/>
        <v>22.719945087196866</v>
      </c>
    </row>
    <row r="2192" spans="1:18" x14ac:dyDescent="0.15">
      <c r="A2192" s="59">
        <v>44090.75</v>
      </c>
      <c r="B2192">
        <v>39.174835000000002</v>
      </c>
      <c r="C2192">
        <v>314.85153200000002</v>
      </c>
      <c r="D2192">
        <v>136.54466199999999</v>
      </c>
      <c r="E2192">
        <v>150.43649300000001</v>
      </c>
      <c r="F2192">
        <v>1704.76001</v>
      </c>
      <c r="H2192" s="50">
        <f t="shared" si="281"/>
        <v>1.0348201371459049E-2</v>
      </c>
      <c r="I2192" s="50">
        <f t="shared" si="282"/>
        <v>8.6917925715980105E-3</v>
      </c>
      <c r="J2192" s="50">
        <f t="shared" si="283"/>
        <v>-8.1307330586883574E-3</v>
      </c>
      <c r="K2192" s="50">
        <f t="shared" si="284"/>
        <v>1.8213712216031824E-2</v>
      </c>
      <c r="L2192" s="50">
        <f t="shared" si="285"/>
        <v>-1.2031161481395021E-2</v>
      </c>
      <c r="P2192" s="50">
        <f t="shared" si="280"/>
        <v>-1.2031161481395021E-2</v>
      </c>
      <c r="Q2192" s="51">
        <f t="shared" si="286"/>
        <v>68.851710512173923</v>
      </c>
      <c r="R2192" s="51">
        <f t="shared" si="287"/>
        <v>22.955055654107671</v>
      </c>
    </row>
    <row r="2193" spans="1:18" x14ac:dyDescent="0.15">
      <c r="A2193" s="59">
        <v>44091.75</v>
      </c>
      <c r="B2193">
        <v>38.773598</v>
      </c>
      <c r="C2193">
        <v>312.13848899999999</v>
      </c>
      <c r="D2193">
        <v>137.663971</v>
      </c>
      <c r="E2193">
        <v>147.745499</v>
      </c>
      <c r="F2193">
        <v>1725.5200199999999</v>
      </c>
      <c r="H2193" s="50">
        <f t="shared" si="281"/>
        <v>-1.2986110462341134E-2</v>
      </c>
      <c r="I2193" s="50">
        <f t="shared" si="282"/>
        <v>-1.0631295853217359E-2</v>
      </c>
      <c r="J2193" s="50">
        <f t="shared" si="283"/>
        <v>-6.939794493251065E-3</v>
      </c>
      <c r="K2193" s="50">
        <f t="shared" si="284"/>
        <v>-1.8780801823904433E-3</v>
      </c>
      <c r="L2193" s="50">
        <f t="shared" si="285"/>
        <v>1.8463567372156812E-3</v>
      </c>
      <c r="P2193" s="50">
        <f t="shared" si="280"/>
        <v>1.8463567372156812E-3</v>
      </c>
      <c r="Q2193" s="51">
        <f t="shared" si="286"/>
        <v>68.978835331746907</v>
      </c>
      <c r="R2193" s="51">
        <f t="shared" si="287"/>
        <v>22.65695876571424</v>
      </c>
    </row>
    <row r="2194" spans="1:18" x14ac:dyDescent="0.15">
      <c r="A2194" s="59">
        <v>44092.75</v>
      </c>
      <c r="B2194">
        <v>39.283740999999999</v>
      </c>
      <c r="C2194">
        <v>315.49258400000002</v>
      </c>
      <c r="D2194">
        <v>138.62600699999999</v>
      </c>
      <c r="E2194">
        <v>148.02349899999999</v>
      </c>
      <c r="F2194">
        <v>1722.339966</v>
      </c>
      <c r="H2194" s="50">
        <f t="shared" si="281"/>
        <v>-8.9653104794108745E-3</v>
      </c>
      <c r="I2194" s="50">
        <f t="shared" si="282"/>
        <v>-1.4167468292864964E-2</v>
      </c>
      <c r="J2194" s="50">
        <f t="shared" si="283"/>
        <v>-2.7388478349049544E-2</v>
      </c>
      <c r="K2194" s="50">
        <f t="shared" si="284"/>
        <v>-5.3857598630888522E-2</v>
      </c>
      <c r="L2194" s="50">
        <f t="shared" si="285"/>
        <v>7.2693485346258914E-3</v>
      </c>
      <c r="P2194" s="50">
        <f t="shared" si="280"/>
        <v>7.2693485346258914E-3</v>
      </c>
      <c r="Q2194" s="51">
        <f t="shared" si="286"/>
        <v>69.480266527285934</v>
      </c>
      <c r="R2194" s="51">
        <f t="shared" si="287"/>
        <v>22.453832095860403</v>
      </c>
    </row>
    <row r="2195" spans="1:18" x14ac:dyDescent="0.15">
      <c r="A2195" s="59">
        <v>44093.75</v>
      </c>
      <c r="B2195">
        <v>39.639118000000003</v>
      </c>
      <c r="C2195">
        <v>320.02654999999999</v>
      </c>
      <c r="D2195">
        <v>142.52967799999999</v>
      </c>
      <c r="E2195">
        <v>156.44949299999999</v>
      </c>
      <c r="F2195">
        <v>1709.910034</v>
      </c>
      <c r="H2195" s="50">
        <f t="shared" si="281"/>
        <v>1.7059839344075303E-2</v>
      </c>
      <c r="I2195" s="50">
        <f t="shared" si="282"/>
        <v>-5.2220256287577793E-4</v>
      </c>
      <c r="J2195" s="50">
        <f t="shared" si="283"/>
        <v>2.0329858863571606E-2</v>
      </c>
      <c r="K2195" s="50">
        <f t="shared" si="284"/>
        <v>4.3045323262960788E-2</v>
      </c>
      <c r="L2195" s="50">
        <f t="shared" si="285"/>
        <v>4.7419664370486362E-3</v>
      </c>
      <c r="P2195" s="50">
        <f t="shared" si="280"/>
        <v>4.7419664370486362E-3</v>
      </c>
      <c r="Q2195" s="51">
        <f t="shared" si="286"/>
        <v>69.809739619195526</v>
      </c>
      <c r="R2195" s="51">
        <f t="shared" si="287"/>
        <v>22.836890864074622</v>
      </c>
    </row>
    <row r="2196" spans="1:18" x14ac:dyDescent="0.15">
      <c r="A2196" s="59">
        <v>44096.75</v>
      </c>
      <c r="B2196">
        <v>38.974224</v>
      </c>
      <c r="C2196">
        <v>320.19375600000001</v>
      </c>
      <c r="D2196">
        <v>139.68980400000001</v>
      </c>
      <c r="E2196">
        <v>149.99299600000001</v>
      </c>
      <c r="F2196">
        <v>1701.839966</v>
      </c>
      <c r="H2196" s="50">
        <f t="shared" si="281"/>
        <v>-5.1936688473290154E-3</v>
      </c>
      <c r="I2196" s="50">
        <f t="shared" si="282"/>
        <v>-6.8298189870174214E-3</v>
      </c>
      <c r="J2196" s="50">
        <f t="shared" si="283"/>
        <v>-6.5132680413893676E-3</v>
      </c>
      <c r="K2196" s="50">
        <f t="shared" si="284"/>
        <v>-6.5998363250445212E-3</v>
      </c>
      <c r="L2196" s="50">
        <f t="shared" si="285"/>
        <v>2.6039058603222445E-3</v>
      </c>
      <c r="P2196" s="50">
        <f t="shared" si="280"/>
        <v>2.6039058603222445E-3</v>
      </c>
      <c r="Q2196" s="51">
        <f t="shared" si="286"/>
        <v>69.991517609297517</v>
      </c>
      <c r="R2196" s="51">
        <f t="shared" si="287"/>
        <v>22.718283615424028</v>
      </c>
    </row>
    <row r="2197" spans="1:18" x14ac:dyDescent="0.15">
      <c r="A2197" s="59">
        <v>44097.75</v>
      </c>
      <c r="B2197">
        <v>39.177700000000002</v>
      </c>
      <c r="C2197">
        <v>322.39566000000002</v>
      </c>
      <c r="D2197">
        <v>140.60560599999999</v>
      </c>
      <c r="E2197">
        <v>150.98950199999999</v>
      </c>
      <c r="F2197">
        <v>1697.420044</v>
      </c>
      <c r="H2197" s="50">
        <f t="shared" si="281"/>
        <v>-4.1523286982349701E-3</v>
      </c>
      <c r="I2197" s="50">
        <f t="shared" si="282"/>
        <v>1.2902098995465711E-2</v>
      </c>
      <c r="J2197" s="50">
        <f t="shared" si="283"/>
        <v>-1.5225077863805052E-2</v>
      </c>
      <c r="K2197" s="50">
        <f t="shared" si="284"/>
        <v>-2.4341452539957942E-2</v>
      </c>
      <c r="L2197" s="50">
        <f t="shared" si="285"/>
        <v>2.7469909940867399E-3</v>
      </c>
      <c r="P2197" s="50">
        <f t="shared" si="280"/>
        <v>2.7469909940867399E-3</v>
      </c>
      <c r="Q2197" s="51">
        <f t="shared" si="286"/>
        <v>70.183783677832722</v>
      </c>
      <c r="R2197" s="51">
        <f t="shared" si="287"/>
        <v>22.623949834393059</v>
      </c>
    </row>
    <row r="2198" spans="1:18" x14ac:dyDescent="0.15">
      <c r="A2198" s="59">
        <v>44098.75</v>
      </c>
      <c r="B2198">
        <v>39.341056999999999</v>
      </c>
      <c r="C2198">
        <v>318.289063</v>
      </c>
      <c r="D2198">
        <v>142.77943400000001</v>
      </c>
      <c r="E2198">
        <v>154.75649999999999</v>
      </c>
      <c r="F2198">
        <v>1692.7700199999999</v>
      </c>
      <c r="H2198" s="50">
        <f t="shared" si="281"/>
        <v>1.4546717347135019E-4</v>
      </c>
      <c r="I2198" s="50">
        <f t="shared" si="282"/>
        <v>-2.0136085701356263E-2</v>
      </c>
      <c r="J2198" s="50">
        <f t="shared" si="283"/>
        <v>-1.3485774775366837E-2</v>
      </c>
      <c r="K2198" s="50">
        <f t="shared" si="284"/>
        <v>-2.4864126430674545E-2</v>
      </c>
      <c r="L2198" s="50">
        <f t="shared" si="285"/>
        <v>-3.4733196248676714E-3</v>
      </c>
      <c r="P2198" s="50">
        <f t="shared" si="280"/>
        <v>-3.4733196248676714E-3</v>
      </c>
      <c r="Q2198" s="51">
        <f t="shared" si="286"/>
        <v>69.940012964637035</v>
      </c>
      <c r="R2198" s="51">
        <f t="shared" si="287"/>
        <v>22.627240876428225</v>
      </c>
    </row>
    <row r="2199" spans="1:18" x14ac:dyDescent="0.15">
      <c r="A2199" s="59">
        <v>44099.75</v>
      </c>
      <c r="B2199">
        <v>39.335335000000001</v>
      </c>
      <c r="C2199">
        <v>324.82986499999998</v>
      </c>
      <c r="D2199">
        <v>144.731247</v>
      </c>
      <c r="E2199">
        <v>158.70249899999999</v>
      </c>
      <c r="F2199">
        <v>1698.670044</v>
      </c>
      <c r="H2199" s="50">
        <f t="shared" si="281"/>
        <v>8.0228879638675013E-4</v>
      </c>
      <c r="I2199" s="50">
        <f t="shared" si="282"/>
        <v>-7.1564023871366475E-3</v>
      </c>
      <c r="J2199" s="50">
        <f t="shared" si="283"/>
        <v>-3.0585854982829474E-3</v>
      </c>
      <c r="K2199" s="50">
        <f t="shared" si="284"/>
        <v>9.2753680405859209E-3</v>
      </c>
      <c r="L2199" s="50">
        <f t="shared" si="285"/>
        <v>4.0904649032067163E-3</v>
      </c>
      <c r="P2199" s="50">
        <f t="shared" si="280"/>
        <v>4.0904649032067163E-3</v>
      </c>
      <c r="Q2199" s="51">
        <f t="shared" si="286"/>
        <v>70.22610013299871</v>
      </c>
      <c r="R2199" s="51">
        <f t="shared" si="287"/>
        <v>22.645394458276527</v>
      </c>
    </row>
    <row r="2200" spans="1:18" x14ac:dyDescent="0.15">
      <c r="A2200" s="59">
        <v>44100.75</v>
      </c>
      <c r="B2200">
        <v>39.303801999999997</v>
      </c>
      <c r="C2200">
        <v>327.17123400000003</v>
      </c>
      <c r="D2200">
        <v>145.17527799999999</v>
      </c>
      <c r="E2200">
        <v>157.24400299999999</v>
      </c>
      <c r="F2200">
        <v>1691.75</v>
      </c>
      <c r="H2200" s="50">
        <f t="shared" si="281"/>
        <v>-1.9798406251614942E-2</v>
      </c>
      <c r="I2200" s="50">
        <f t="shared" si="282"/>
        <v>-8.0563908643407744E-3</v>
      </c>
      <c r="J2200" s="50">
        <f t="shared" si="283"/>
        <v>-3.0491495381728532E-3</v>
      </c>
      <c r="K2200" s="50">
        <f t="shared" si="284"/>
        <v>-1.2226517266236405E-3</v>
      </c>
      <c r="L2200" s="50">
        <f t="shared" si="285"/>
        <v>6.0658028026378749E-3</v>
      </c>
      <c r="P2200" s="50">
        <f t="shared" si="280"/>
        <v>6.0658028026378749E-3</v>
      </c>
      <c r="Q2200" s="51">
        <f t="shared" si="286"/>
        <v>70.652077808003781</v>
      </c>
      <c r="R2200" s="51">
        <f t="shared" si="287"/>
        <v>22.197051739063497</v>
      </c>
    </row>
    <row r="2201" spans="1:18" x14ac:dyDescent="0.15">
      <c r="A2201" s="59">
        <v>44103.75</v>
      </c>
      <c r="B2201">
        <v>40.097672000000003</v>
      </c>
      <c r="C2201">
        <v>329.828461</v>
      </c>
      <c r="D2201">
        <v>145.619293</v>
      </c>
      <c r="E2201">
        <v>157.43649300000001</v>
      </c>
      <c r="F2201">
        <v>1681.5500489999999</v>
      </c>
      <c r="H2201" s="50">
        <f t="shared" si="281"/>
        <v>-2.2155487572313354E-2</v>
      </c>
      <c r="I2201" s="50">
        <f t="shared" si="282"/>
        <v>-9.6522945134448063E-3</v>
      </c>
      <c r="J2201" s="50">
        <f t="shared" si="283"/>
        <v>-7.4400641899439179E-3</v>
      </c>
      <c r="K2201" s="50">
        <f t="shared" si="284"/>
        <v>-2.2516101835527626E-2</v>
      </c>
      <c r="L2201" s="50">
        <f t="shared" si="285"/>
        <v>-7.9350743362832186E-3</v>
      </c>
      <c r="P2201" s="50">
        <f t="shared" si="280"/>
        <v>-7.9350743362832186E-3</v>
      </c>
      <c r="Q2201" s="51">
        <f t="shared" si="286"/>
        <v>70.091448318584398</v>
      </c>
      <c r="R2201" s="51">
        <f t="shared" si="287"/>
        <v>21.705265235116681</v>
      </c>
    </row>
    <row r="2202" spans="1:18" x14ac:dyDescent="0.15">
      <c r="A2202" s="59">
        <v>44104.75</v>
      </c>
      <c r="B2202">
        <v>41.006183999999998</v>
      </c>
      <c r="C2202">
        <v>333.043091</v>
      </c>
      <c r="D2202">
        <v>146.71083100000001</v>
      </c>
      <c r="E2202">
        <v>161.06300400000001</v>
      </c>
      <c r="F2202">
        <v>1695</v>
      </c>
      <c r="H2202" s="50">
        <f t="shared" si="281"/>
        <v>1.8363085663555406E-2</v>
      </c>
      <c r="I2202" s="50">
        <f t="shared" si="282"/>
        <v>9.7179692640264291E-3</v>
      </c>
      <c r="J2202" s="50">
        <f t="shared" si="283"/>
        <v>-3.1428172093904794E-3</v>
      </c>
      <c r="K2202" s="50">
        <f t="shared" si="284"/>
        <v>3.0803225600000043E-2</v>
      </c>
      <c r="L2202" s="50">
        <f t="shared" si="285"/>
        <v>6.6711436139464935E-4</v>
      </c>
      <c r="P2202" s="50">
        <f t="shared" si="280"/>
        <v>6.6711436139464935E-4</v>
      </c>
      <c r="Q2202" s="51">
        <f t="shared" si="286"/>
        <v>70.138207330368672</v>
      </c>
      <c r="R2202" s="51">
        <f t="shared" si="287"/>
        <v>22.10384087997932</v>
      </c>
    </row>
    <row r="2203" spans="1:18" x14ac:dyDescent="0.15">
      <c r="A2203" s="59">
        <v>44105.75</v>
      </c>
      <c r="B2203">
        <v>40.266762</v>
      </c>
      <c r="C2203">
        <v>329.837738</v>
      </c>
      <c r="D2203">
        <v>147.17337000000001</v>
      </c>
      <c r="E2203">
        <v>156.25</v>
      </c>
      <c r="F2203">
        <v>1693.869995</v>
      </c>
      <c r="H2203" s="50">
        <f t="shared" si="281"/>
        <v>-9.1678902553016355E-3</v>
      </c>
      <c r="I2203" s="50">
        <f t="shared" si="282"/>
        <v>-9.9559303100967209E-3</v>
      </c>
      <c r="J2203" s="50">
        <f t="shared" si="283"/>
        <v>-1.4799531725533478E-2</v>
      </c>
      <c r="K2203" s="50">
        <f t="shared" si="284"/>
        <v>-2.3193341070558909E-2</v>
      </c>
      <c r="L2203" s="50">
        <f t="shared" si="285"/>
        <v>9.0607750777010644E-3</v>
      </c>
      <c r="P2203" s="50">
        <f t="shared" si="280"/>
        <v>9.0607750777010644E-3</v>
      </c>
      <c r="Q2203" s="51">
        <f t="shared" si="286"/>
        <v>70.773713851342308</v>
      </c>
      <c r="R2203" s="51">
        <f t="shared" si="287"/>
        <v>21.901195292571021</v>
      </c>
    </row>
    <row r="2204" spans="1:18" x14ac:dyDescent="0.15">
      <c r="A2204" s="59">
        <v>44106.75</v>
      </c>
      <c r="B2204">
        <v>40.639339</v>
      </c>
      <c r="C2204">
        <v>333.15460200000001</v>
      </c>
      <c r="D2204">
        <v>149.384186</v>
      </c>
      <c r="E2204">
        <v>159.96000699999999</v>
      </c>
      <c r="F2204">
        <v>1678.660034</v>
      </c>
      <c r="H2204" s="50">
        <f t="shared" si="281"/>
        <v>8.3196407386022138E-3</v>
      </c>
      <c r="I2204" s="50">
        <f t="shared" si="282"/>
        <v>6.4180756538912602E-4</v>
      </c>
      <c r="J2204" s="50">
        <f t="shared" si="283"/>
        <v>1.9443271137867216E-2</v>
      </c>
      <c r="K2204" s="50">
        <f t="shared" si="284"/>
        <v>3.2013354804491981E-2</v>
      </c>
      <c r="L2204" s="50">
        <f t="shared" si="285"/>
        <v>-7.0038249038745955E-3</v>
      </c>
      <c r="P2204" s="50">
        <f t="shared" si="280"/>
        <v>-7.0038249038745955E-3</v>
      </c>
      <c r="Q2204" s="51">
        <f t="shared" si="286"/>
        <v>70.278027151730583</v>
      </c>
      <c r="R2204" s="51">
        <f t="shared" si="287"/>
        <v>22.083405369151176</v>
      </c>
    </row>
    <row r="2205" spans="1:18" x14ac:dyDescent="0.15">
      <c r="A2205" s="59">
        <v>44107.75</v>
      </c>
      <c r="B2205">
        <v>40.304023999999998</v>
      </c>
      <c r="C2205">
        <v>332.94091800000001</v>
      </c>
      <c r="D2205">
        <v>146.535065</v>
      </c>
      <c r="E2205">
        <v>154.99800099999999</v>
      </c>
      <c r="F2205">
        <v>1690.5</v>
      </c>
      <c r="H2205" s="50">
        <f t="shared" si="281"/>
        <v>-1.8453368393544179E-3</v>
      </c>
      <c r="I2205" s="50">
        <f t="shared" si="282"/>
        <v>-1.2864208229752811E-2</v>
      </c>
      <c r="J2205" s="50">
        <f t="shared" si="283"/>
        <v>-1.4127489288299971E-2</v>
      </c>
      <c r="K2205" s="50">
        <f t="shared" si="284"/>
        <v>-2.9955965691290585E-2</v>
      </c>
      <c r="L2205" s="50">
        <f t="shared" si="285"/>
        <v>8.5793410035657873E-3</v>
      </c>
      <c r="P2205" s="50">
        <f t="shared" si="280"/>
        <v>8.5793410035657873E-3</v>
      </c>
      <c r="Q2205" s="51">
        <f t="shared" si="286"/>
        <v>70.880966311723128</v>
      </c>
      <c r="R2205" s="51">
        <f t="shared" si="287"/>
        <v>22.042654047685083</v>
      </c>
    </row>
    <row r="2206" spans="1:18" x14ac:dyDescent="0.15">
      <c r="A2206" s="59">
        <v>44110.75</v>
      </c>
      <c r="B2206">
        <v>40.378535999999997</v>
      </c>
      <c r="C2206">
        <v>337.27975500000002</v>
      </c>
      <c r="D2206">
        <v>148.63490300000001</v>
      </c>
      <c r="E2206">
        <v>159.78450000000001</v>
      </c>
      <c r="F2206">
        <v>1676.119995</v>
      </c>
      <c r="H2206" s="50">
        <f t="shared" si="281"/>
        <v>-3.3249623252803655E-3</v>
      </c>
      <c r="I2206" s="50">
        <f t="shared" si="282"/>
        <v>-5.6700814471415291E-3</v>
      </c>
      <c r="J2206" s="50">
        <f t="shared" si="283"/>
        <v>-7.2905137171254113E-3</v>
      </c>
      <c r="K2206" s="50">
        <f t="shared" si="284"/>
        <v>1.6110326209846288E-3</v>
      </c>
      <c r="L2206" s="50">
        <f t="shared" si="285"/>
        <v>1.2486057937006131E-2</v>
      </c>
      <c r="P2206" s="50">
        <f t="shared" si="280"/>
        <v>1.2486057937006131E-2</v>
      </c>
      <c r="Q2206" s="51">
        <f t="shared" si="286"/>
        <v>71.765990163722279</v>
      </c>
      <c r="R2206" s="51">
        <f t="shared" si="287"/>
        <v>21.96936305342734</v>
      </c>
    </row>
    <row r="2207" spans="1:18" x14ac:dyDescent="0.15">
      <c r="A2207" s="59">
        <v>44111.75</v>
      </c>
      <c r="B2207">
        <v>40.513241000000001</v>
      </c>
      <c r="C2207">
        <v>339.20306399999998</v>
      </c>
      <c r="D2207">
        <v>149.72648599999999</v>
      </c>
      <c r="E2207">
        <v>159.52749600000001</v>
      </c>
      <c r="F2207">
        <v>1655.4499510000001</v>
      </c>
      <c r="H2207" s="50">
        <f t="shared" si="281"/>
        <v>-9.9453795542779645E-3</v>
      </c>
      <c r="I2207" s="50">
        <f t="shared" si="282"/>
        <v>-1.1827919671879274E-2</v>
      </c>
      <c r="J2207" s="50">
        <f t="shared" si="283"/>
        <v>-1.1300376213889627E-2</v>
      </c>
      <c r="K2207" s="50">
        <f t="shared" si="284"/>
        <v>-2.9239547156172992E-2</v>
      </c>
      <c r="L2207" s="50">
        <f t="shared" si="285"/>
        <v>-5.7357702622200322E-4</v>
      </c>
      <c r="P2207" s="50">
        <f t="shared" si="280"/>
        <v>-5.7357702622200322E-4</v>
      </c>
      <c r="Q2207" s="51">
        <f t="shared" si="286"/>
        <v>71.724826840500299</v>
      </c>
      <c r="R2207" s="51">
        <f t="shared" si="287"/>
        <v>21.750869399295272</v>
      </c>
    </row>
    <row r="2208" spans="1:18" x14ac:dyDescent="0.15">
      <c r="A2208" s="59">
        <v>44112.75</v>
      </c>
      <c r="B2208">
        <v>40.920208000000002</v>
      </c>
      <c r="C2208">
        <v>343.26315299999999</v>
      </c>
      <c r="D2208">
        <v>151.43779000000001</v>
      </c>
      <c r="E2208">
        <v>164.332504</v>
      </c>
      <c r="F2208">
        <v>1656.400024</v>
      </c>
      <c r="H2208" s="50">
        <f t="shared" si="281"/>
        <v>-1.0190606761442626E-2</v>
      </c>
      <c r="I2208" s="50">
        <f t="shared" si="282"/>
        <v>-1.8646595491286042E-2</v>
      </c>
      <c r="J2208" s="50">
        <f t="shared" si="283"/>
        <v>-5.2255455396707775E-3</v>
      </c>
      <c r="K2208" s="50">
        <f t="shared" si="284"/>
        <v>-4.5391547315803707E-2</v>
      </c>
      <c r="L2208" s="50">
        <f t="shared" si="285"/>
        <v>-2.1364107470055738E-2</v>
      </c>
      <c r="P2208" s="50">
        <f t="shared" si="280"/>
        <v>-2.1364107470055738E-2</v>
      </c>
      <c r="Q2208" s="51">
        <f t="shared" si="286"/>
        <v>70.192489931608719</v>
      </c>
      <c r="R2208" s="51">
        <f t="shared" si="287"/>
        <v>21.529214842527558</v>
      </c>
    </row>
    <row r="2209" spans="1:18" x14ac:dyDescent="0.15">
      <c r="A2209" s="59">
        <v>44113.75</v>
      </c>
      <c r="B2209">
        <v>41.341503000000003</v>
      </c>
      <c r="C2209">
        <v>349.785461</v>
      </c>
      <c r="D2209">
        <v>152.23329200000001</v>
      </c>
      <c r="E2209">
        <v>172.1465</v>
      </c>
      <c r="F2209">
        <v>1692.5600589999999</v>
      </c>
      <c r="H2209" s="50">
        <f t="shared" si="281"/>
        <v>-1.3540183938717717E-2</v>
      </c>
      <c r="I2209" s="50">
        <f t="shared" si="282"/>
        <v>-1.1032789267360843E-2</v>
      </c>
      <c r="J2209" s="50">
        <f t="shared" si="283"/>
        <v>-6.459907197151683E-3</v>
      </c>
      <c r="K2209" s="50">
        <f t="shared" si="284"/>
        <v>-2.03291290818788E-4</v>
      </c>
      <c r="L2209" s="50">
        <f t="shared" si="285"/>
        <v>-6.2470011191305772E-3</v>
      </c>
      <c r="P2209" s="50">
        <f t="shared" si="280"/>
        <v>-6.2470011191305772E-3</v>
      </c>
      <c r="Q2209" s="51">
        <f t="shared" si="286"/>
        <v>69.753997368451394</v>
      </c>
      <c r="R2209" s="51">
        <f t="shared" si="287"/>
        <v>21.237705313503564</v>
      </c>
    </row>
    <row r="2210" spans="1:18" x14ac:dyDescent="0.15">
      <c r="A2210" s="59">
        <v>44114.75</v>
      </c>
      <c r="B2210">
        <v>41.908957999999998</v>
      </c>
      <c r="C2210">
        <v>353.68762199999998</v>
      </c>
      <c r="D2210">
        <v>153.22309899999999</v>
      </c>
      <c r="E2210">
        <v>172.18150299999999</v>
      </c>
      <c r="F2210">
        <v>1703.1999510000001</v>
      </c>
      <c r="H2210" s="50">
        <f t="shared" si="281"/>
        <v>1.5909253267771106E-2</v>
      </c>
      <c r="I2210" s="50">
        <f t="shared" si="282"/>
        <v>6.1848881785637189E-3</v>
      </c>
      <c r="J2210" s="50">
        <f t="shared" si="283"/>
        <v>1.0184919833077127E-2</v>
      </c>
      <c r="K2210" s="50">
        <f t="shared" si="284"/>
        <v>2.3759491610397525E-2</v>
      </c>
      <c r="L2210" s="50">
        <f t="shared" si="285"/>
        <v>-4.0581846744284812E-3</v>
      </c>
      <c r="P2210" s="50">
        <f t="shared" si="280"/>
        <v>-4.0581846744284812E-3</v>
      </c>
      <c r="Q2210" s="51">
        <f t="shared" si="286"/>
        <v>69.470922765350622</v>
      </c>
      <c r="R2210" s="51">
        <f t="shared" si="287"/>
        <v>21.57558134616238</v>
      </c>
    </row>
    <row r="2211" spans="1:18" x14ac:dyDescent="0.15">
      <c r="A2211" s="59">
        <v>44117.75</v>
      </c>
      <c r="B2211">
        <v>41.252659000000001</v>
      </c>
      <c r="C2211">
        <v>351.51355000000001</v>
      </c>
      <c r="D2211">
        <v>151.678268</v>
      </c>
      <c r="E2211">
        <v>168.18550099999999</v>
      </c>
      <c r="F2211">
        <v>1710.1400149999999</v>
      </c>
      <c r="H2211" s="50">
        <f t="shared" si="281"/>
        <v>-4.0819626582087884E-3</v>
      </c>
      <c r="I2211" s="50">
        <f t="shared" si="282"/>
        <v>4.6737794790221339E-3</v>
      </c>
      <c r="J2211" s="50">
        <f t="shared" si="283"/>
        <v>-9.0053421089106595E-3</v>
      </c>
      <c r="K2211" s="50">
        <f t="shared" si="284"/>
        <v>7.5060640530173542E-3</v>
      </c>
      <c r="L2211" s="50">
        <f t="shared" si="285"/>
        <v>7.1139745240306829E-3</v>
      </c>
      <c r="P2211" s="50">
        <f t="shared" si="280"/>
        <v>7.1139745240306829E-3</v>
      </c>
      <c r="Q2211" s="51">
        <f t="shared" si="286"/>
        <v>69.965137140064229</v>
      </c>
      <c r="R2211" s="51">
        <f t="shared" si="287"/>
        <v>21.4875106287782</v>
      </c>
    </row>
    <row r="2212" spans="1:18" x14ac:dyDescent="0.15">
      <c r="A2212" s="59">
        <v>44118.75</v>
      </c>
      <c r="B2212">
        <v>41.421740999999997</v>
      </c>
      <c r="C2212">
        <v>349.87829599999998</v>
      </c>
      <c r="D2212">
        <v>153.05659499999999</v>
      </c>
      <c r="E2212">
        <v>166.93249499999999</v>
      </c>
      <c r="F2212">
        <v>1698.0600589999999</v>
      </c>
      <c r="H2212" s="50">
        <f t="shared" si="281"/>
        <v>-1.2441245687984173E-3</v>
      </c>
      <c r="I2212" s="50">
        <f t="shared" si="282"/>
        <v>-1.2999946855537512E-2</v>
      </c>
      <c r="J2212" s="50">
        <f t="shared" si="283"/>
        <v>3.2744602112888942E-3</v>
      </c>
      <c r="K2212" s="50">
        <f t="shared" si="284"/>
        <v>2.0148421585150039E-2</v>
      </c>
      <c r="L2212" s="50">
        <f t="shared" si="285"/>
        <v>-1.3638939245141814E-2</v>
      </c>
      <c r="P2212" s="50">
        <f t="shared" si="280"/>
        <v>-1.3638939245141814E-2</v>
      </c>
      <c r="Q2212" s="51">
        <f t="shared" si="286"/>
        <v>69.01088688533288</v>
      </c>
      <c r="R2212" s="51">
        <f t="shared" si="287"/>
        <v>21.46077748888262</v>
      </c>
    </row>
    <row r="2213" spans="1:18" x14ac:dyDescent="0.15">
      <c r="A2213" s="59">
        <v>44119.75</v>
      </c>
      <c r="B2213">
        <v>41.473339000000003</v>
      </c>
      <c r="C2213">
        <v>354.486603</v>
      </c>
      <c r="D2213">
        <v>152.557053</v>
      </c>
      <c r="E2213">
        <v>163.63549800000001</v>
      </c>
      <c r="F2213">
        <v>1721.540039</v>
      </c>
      <c r="H2213" s="50">
        <f t="shared" si="281"/>
        <v>1.2312112167942023E-2</v>
      </c>
      <c r="I2213" s="50">
        <f t="shared" si="282"/>
        <v>1.5922936974375912E-2</v>
      </c>
      <c r="J2213" s="50">
        <f t="shared" si="283"/>
        <v>5.3033477762155232E-3</v>
      </c>
      <c r="K2213" s="50">
        <f t="shared" si="284"/>
        <v>2.04226971000292E-2</v>
      </c>
      <c r="L2213" s="50">
        <f t="shared" si="285"/>
        <v>-6.6987767009372588E-3</v>
      </c>
      <c r="P2213" s="50">
        <f t="shared" si="280"/>
        <v>-6.6987767009372588E-3</v>
      </c>
      <c r="Q2213" s="51">
        <f t="shared" si="286"/>
        <v>68.548598364154401</v>
      </c>
      <c r="R2213" s="51">
        <f t="shared" si="287"/>
        <v>21.725004988536984</v>
      </c>
    </row>
    <row r="2214" spans="1:18" x14ac:dyDescent="0.15">
      <c r="A2214" s="59">
        <v>44120.75</v>
      </c>
      <c r="B2214">
        <v>40.968924999999999</v>
      </c>
      <c r="C2214">
        <v>348.93060300000002</v>
      </c>
      <c r="D2214">
        <v>151.75225800000001</v>
      </c>
      <c r="E2214">
        <v>160.36050399999999</v>
      </c>
      <c r="F2214">
        <v>1733.150024</v>
      </c>
      <c r="H2214" s="50">
        <f t="shared" si="281"/>
        <v>-6.6019904028494173E-3</v>
      </c>
      <c r="I2214" s="50">
        <f t="shared" si="282"/>
        <v>-7.2692980470608053E-3</v>
      </c>
      <c r="J2214" s="50">
        <f t="shared" si="283"/>
        <v>-4.9737132391860662E-3</v>
      </c>
      <c r="K2214" s="50">
        <f t="shared" si="284"/>
        <v>-3.0462449185888478E-3</v>
      </c>
      <c r="L2214" s="50">
        <f t="shared" si="285"/>
        <v>-6.5061484666093265E-3</v>
      </c>
      <c r="P2214" s="50">
        <f t="shared" si="280"/>
        <v>-6.5061484666093265E-3</v>
      </c>
      <c r="Q2214" s="51">
        <f t="shared" si="286"/>
        <v>68.102611006019231</v>
      </c>
      <c r="R2214" s="51">
        <f t="shared" si="287"/>
        <v>21.581576714100809</v>
      </c>
    </row>
    <row r="2215" spans="1:18" x14ac:dyDescent="0.15">
      <c r="A2215" s="59">
        <v>44121.75</v>
      </c>
      <c r="B2215">
        <v>41.241199000000002</v>
      </c>
      <c r="C2215">
        <v>351.485657</v>
      </c>
      <c r="D2215">
        <v>152.51080300000001</v>
      </c>
      <c r="E2215">
        <v>160.850494</v>
      </c>
      <c r="F2215">
        <v>1744.5</v>
      </c>
      <c r="H2215" s="50">
        <f t="shared" si="281"/>
        <v>-3.4623601834184465E-3</v>
      </c>
      <c r="I2215" s="50">
        <f t="shared" si="282"/>
        <v>1.2968420008128475E-3</v>
      </c>
      <c r="J2215" s="50">
        <f t="shared" si="283"/>
        <v>9.6757623865895981E-3</v>
      </c>
      <c r="K2215" s="50">
        <f t="shared" si="284"/>
        <v>1.0069263850594234E-2</v>
      </c>
      <c r="L2215" s="50">
        <f t="shared" si="285"/>
        <v>-9.1727899350731621E-5</v>
      </c>
      <c r="P2215" s="50">
        <f t="shared" si="280"/>
        <v>-9.1727899350731621E-5</v>
      </c>
      <c r="Q2215" s="51">
        <f t="shared" si="286"/>
        <v>68.096364096571349</v>
      </c>
      <c r="R2215" s="51">
        <f t="shared" si="287"/>
        <v>21.506853522190514</v>
      </c>
    </row>
    <row r="2216" spans="1:18" x14ac:dyDescent="0.15">
      <c r="A2216" s="59">
        <v>44124.75</v>
      </c>
      <c r="B2216">
        <v>41.384487</v>
      </c>
      <c r="C2216">
        <v>351.03042599999998</v>
      </c>
      <c r="D2216">
        <v>151.049286</v>
      </c>
      <c r="E2216">
        <v>159.246994</v>
      </c>
      <c r="F2216">
        <v>1744.660034</v>
      </c>
      <c r="H2216" s="50">
        <f t="shared" si="281"/>
        <v>5.9211902204143263E-3</v>
      </c>
      <c r="I2216" s="50">
        <f t="shared" si="282"/>
        <v>5.5091367121165797E-3</v>
      </c>
      <c r="J2216" s="50">
        <f t="shared" si="283"/>
        <v>2.3120547457222165E-2</v>
      </c>
      <c r="K2216" s="50">
        <f t="shared" si="284"/>
        <v>2.6884962925357186E-3</v>
      </c>
      <c r="L2216" s="50">
        <f t="shared" si="285"/>
        <v>-5.7047819527259024E-3</v>
      </c>
      <c r="P2216" s="50">
        <f t="shared" si="280"/>
        <v>-5.7047819527259024E-3</v>
      </c>
      <c r="Q2216" s="51">
        <f t="shared" si="286"/>
        <v>67.707889187626975</v>
      </c>
      <c r="R2216" s="51">
        <f t="shared" si="287"/>
        <v>21.634199692937994</v>
      </c>
    </row>
    <row r="2217" spans="1:18" x14ac:dyDescent="0.15">
      <c r="A2217" s="59">
        <v>44125.75</v>
      </c>
      <c r="B2217">
        <v>41.140884</v>
      </c>
      <c r="C2217">
        <v>349.107147</v>
      </c>
      <c r="D2217">
        <v>147.635864</v>
      </c>
      <c r="E2217">
        <v>158.820007</v>
      </c>
      <c r="F2217">
        <v>1754.670044</v>
      </c>
      <c r="H2217" s="50">
        <f t="shared" si="281"/>
        <v>-2.0857027932098685E-3</v>
      </c>
      <c r="I2217" s="50">
        <f t="shared" si="282"/>
        <v>3.0698307892615736E-3</v>
      </c>
      <c r="J2217" s="50">
        <f t="shared" si="283"/>
        <v>-3.9320956278423797E-3</v>
      </c>
      <c r="K2217" s="50">
        <f t="shared" si="284"/>
        <v>-8.7379477672078678E-3</v>
      </c>
      <c r="L2217" s="50">
        <f t="shared" si="285"/>
        <v>4.7469846060222039E-3</v>
      </c>
      <c r="P2217" s="50">
        <f t="shared" si="280"/>
        <v>4.7469846060222039E-3</v>
      </c>
      <c r="Q2217" s="51">
        <f t="shared" si="286"/>
        <v>68.029297495306892</v>
      </c>
      <c r="R2217" s="51">
        <f t="shared" si="287"/>
        <v>21.589077182209575</v>
      </c>
    </row>
    <row r="2218" spans="1:18" x14ac:dyDescent="0.15">
      <c r="A2218" s="59">
        <v>44126.75</v>
      </c>
      <c r="B2218">
        <v>41.226871000000003</v>
      </c>
      <c r="C2218">
        <v>348.03872699999999</v>
      </c>
      <c r="D2218">
        <v>148.21867399999999</v>
      </c>
      <c r="E2218">
        <v>160.220001</v>
      </c>
      <c r="F2218">
        <v>1746.380005</v>
      </c>
      <c r="H2218" s="50">
        <f t="shared" si="281"/>
        <v>1.1888195613643515E-2</v>
      </c>
      <c r="I2218" s="50">
        <f t="shared" si="282"/>
        <v>1.0493436689889626E-2</v>
      </c>
      <c r="J2218" s="50">
        <f t="shared" si="283"/>
        <v>1.4306572503976248E-2</v>
      </c>
      <c r="K2218" s="50">
        <f t="shared" si="284"/>
        <v>-8.2321390368642359E-4</v>
      </c>
      <c r="L2218" s="50">
        <f t="shared" si="285"/>
        <v>-3.2475535654214625E-3</v>
      </c>
      <c r="P2218" s="50">
        <f t="shared" si="280"/>
        <v>-3.2475535654214625E-3</v>
      </c>
      <c r="Q2218" s="51">
        <f t="shared" si="286"/>
        <v>67.808368707672884</v>
      </c>
      <c r="R2218" s="51">
        <f t="shared" si="287"/>
        <v>21.845732354869728</v>
      </c>
    </row>
    <row r="2219" spans="1:18" x14ac:dyDescent="0.15">
      <c r="A2219" s="59">
        <v>44127.75</v>
      </c>
      <c r="B2219">
        <v>40.742516000000002</v>
      </c>
      <c r="C2219">
        <v>344.42453</v>
      </c>
      <c r="D2219">
        <v>146.12808200000001</v>
      </c>
      <c r="E2219">
        <v>160.35200499999999</v>
      </c>
      <c r="F2219">
        <v>1752.0699460000001</v>
      </c>
      <c r="H2219" s="50">
        <f t="shared" si="281"/>
        <v>-4.9693752687685498E-3</v>
      </c>
      <c r="I2219" s="50">
        <f t="shared" si="282"/>
        <v>-5.3929132471313328E-3</v>
      </c>
      <c r="J2219" s="50">
        <f t="shared" si="283"/>
        <v>5.9863478983408526E-3</v>
      </c>
      <c r="K2219" s="50">
        <f t="shared" si="284"/>
        <v>-2.4127175592556779E-2</v>
      </c>
      <c r="L2219" s="50">
        <f t="shared" si="285"/>
        <v>-4.3756138088997896E-3</v>
      </c>
      <c r="P2219" s="50">
        <f t="shared" si="280"/>
        <v>-4.3756138088997896E-3</v>
      </c>
      <c r="Q2219" s="51">
        <f t="shared" si="286"/>
        <v>67.511665473196615</v>
      </c>
      <c r="R2219" s="51">
        <f t="shared" si="287"/>
        <v>21.737172712777301</v>
      </c>
    </row>
    <row r="2220" spans="1:18" x14ac:dyDescent="0.15">
      <c r="A2220" s="59">
        <v>44128.75</v>
      </c>
      <c r="B2220">
        <v>40.945991999999997</v>
      </c>
      <c r="C2220">
        <v>346.29205300000001</v>
      </c>
      <c r="D2220">
        <v>145.25851399999999</v>
      </c>
      <c r="E2220">
        <v>164.316498</v>
      </c>
      <c r="F2220">
        <v>1759.7700199999999</v>
      </c>
      <c r="H2220" s="50">
        <f t="shared" si="281"/>
        <v>2.0208382075164944E-2</v>
      </c>
      <c r="I2220" s="50">
        <f t="shared" si="282"/>
        <v>2.1262988736537852E-2</v>
      </c>
      <c r="J2220" s="50">
        <f t="shared" si="283"/>
        <v>1.1726021762668005E-2</v>
      </c>
      <c r="K2220" s="50">
        <f t="shared" si="284"/>
        <v>3.9063669856838901E-2</v>
      </c>
      <c r="L2220" s="50">
        <f t="shared" si="285"/>
        <v>-1.3279335682330408E-3</v>
      </c>
      <c r="P2220" s="50">
        <f t="shared" si="280"/>
        <v>-1.3279335682330408E-3</v>
      </c>
      <c r="Q2220" s="51">
        <f t="shared" si="286"/>
        <v>67.422014466367443</v>
      </c>
      <c r="R2220" s="51">
        <f t="shared" si="287"/>
        <v>22.176445804190951</v>
      </c>
    </row>
    <row r="2221" spans="1:18" x14ac:dyDescent="0.15">
      <c r="A2221" s="59">
        <v>44131.75</v>
      </c>
      <c r="B2221">
        <v>40.134929999999997</v>
      </c>
      <c r="C2221">
        <v>339.08215300000001</v>
      </c>
      <c r="D2221">
        <v>143.574951</v>
      </c>
      <c r="E2221">
        <v>158.13900799999999</v>
      </c>
      <c r="F2221">
        <v>1762.1099850000001</v>
      </c>
      <c r="H2221" s="50">
        <f t="shared" si="281"/>
        <v>8.5769427121869214E-4</v>
      </c>
      <c r="I2221" s="50">
        <f t="shared" si="282"/>
        <v>-1.6445731387382211E-3</v>
      </c>
      <c r="J2221" s="50">
        <f t="shared" si="283"/>
        <v>6.2236328319373096E-3</v>
      </c>
      <c r="K2221" s="50">
        <f t="shared" si="284"/>
        <v>-1.5020189254214066E-2</v>
      </c>
      <c r="L2221" s="50">
        <f t="shared" si="285"/>
        <v>-5.5531850628438E-3</v>
      </c>
      <c r="P2221" s="50">
        <f t="shared" si="280"/>
        <v>-5.5531850628438E-3</v>
      </c>
      <c r="Q2221" s="51">
        <f t="shared" si="286"/>
        <v>67.04760754272597</v>
      </c>
      <c r="R2221" s="51">
        <f t="shared" si="287"/>
        <v>22.195466414713195</v>
      </c>
    </row>
    <row r="2222" spans="1:18" x14ac:dyDescent="0.15">
      <c r="A2222" s="59">
        <v>44132.75</v>
      </c>
      <c r="B2222">
        <v>40.100535999999998</v>
      </c>
      <c r="C2222">
        <v>339.640717</v>
      </c>
      <c r="D2222">
        <v>142.68691999999999</v>
      </c>
      <c r="E2222">
        <v>160.55050700000001</v>
      </c>
      <c r="F2222">
        <v>1771.9499510000001</v>
      </c>
      <c r="H2222" s="50">
        <f t="shared" si="281"/>
        <v>8.432368576550886E-3</v>
      </c>
      <c r="I2222" s="50">
        <f t="shared" si="282"/>
        <v>2.02447503833833E-2</v>
      </c>
      <c r="J2222" s="50">
        <f t="shared" si="283"/>
        <v>1.333594945218616E-2</v>
      </c>
      <c r="K2222" s="50">
        <f t="shared" si="284"/>
        <v>5.7592755878094308E-2</v>
      </c>
      <c r="L2222" s="50">
        <f t="shared" si="285"/>
        <v>4.8998143893649428E-3</v>
      </c>
      <c r="P2222" s="50">
        <f t="shared" si="280"/>
        <v>4.8998143893649428E-3</v>
      </c>
      <c r="Q2222" s="51">
        <f t="shared" si="286"/>
        <v>67.376128374936314</v>
      </c>
      <c r="R2222" s="51">
        <f t="shared" si="287"/>
        <v>22.38262676825051</v>
      </c>
    </row>
    <row r="2223" spans="1:18" x14ac:dyDescent="0.15">
      <c r="A2223" s="59">
        <v>44133.75</v>
      </c>
      <c r="B2223">
        <v>39.765220999999997</v>
      </c>
      <c r="C2223">
        <v>332.90121499999998</v>
      </c>
      <c r="D2223">
        <v>140.80909700000001</v>
      </c>
      <c r="E2223">
        <v>151.80749499999999</v>
      </c>
      <c r="F2223">
        <v>1763.3100589999999</v>
      </c>
      <c r="H2223" s="50">
        <f t="shared" si="281"/>
        <v>-1.1752070214445031E-2</v>
      </c>
      <c r="I2223" s="50">
        <f t="shared" si="282"/>
        <v>-1.8579015619064956E-2</v>
      </c>
      <c r="J2223" s="50">
        <f t="shared" si="283"/>
        <v>-1.4055281401742304E-2</v>
      </c>
      <c r="K2223" s="50">
        <f t="shared" si="284"/>
        <v>1.0540898994440939E-2</v>
      </c>
      <c r="L2223" s="50">
        <f t="shared" si="285"/>
        <v>3.8541791531573116E-3</v>
      </c>
      <c r="P2223" s="50">
        <f t="shared" si="280"/>
        <v>3.8541791531573116E-3</v>
      </c>
      <c r="Q2223" s="51">
        <f t="shared" si="286"/>
        <v>67.635808044339441</v>
      </c>
      <c r="R2223" s="51">
        <f t="shared" si="287"/>
        <v>22.119584566886314</v>
      </c>
    </row>
    <row r="2224" spans="1:18" x14ac:dyDescent="0.15">
      <c r="A2224" s="59">
        <v>44134.75</v>
      </c>
      <c r="B2224">
        <v>40.238101999999998</v>
      </c>
      <c r="C2224">
        <v>339.20327800000001</v>
      </c>
      <c r="D2224">
        <v>142.81642199999999</v>
      </c>
      <c r="E2224">
        <v>150.22399899999999</v>
      </c>
      <c r="F2224">
        <v>1756.540039</v>
      </c>
      <c r="H2224" s="50">
        <f t="shared" si="281"/>
        <v>-1.6669172356113256E-2</v>
      </c>
      <c r="I2224" s="50">
        <f t="shared" si="282"/>
        <v>-2.0351455973704389E-2</v>
      </c>
      <c r="J2224" s="50">
        <f t="shared" si="283"/>
        <v>-1.4930202793858278E-2</v>
      </c>
      <c r="K2224" s="50">
        <f t="shared" si="284"/>
        <v>-1.4410810692645579E-2</v>
      </c>
      <c r="L2224" s="50">
        <f t="shared" si="285"/>
        <v>-2.8950159831604245E-3</v>
      </c>
      <c r="P2224" s="50">
        <f t="shared" si="280"/>
        <v>-2.8950159831604245E-3</v>
      </c>
      <c r="Q2224" s="51">
        <f t="shared" si="286"/>
        <v>67.440001299017112</v>
      </c>
      <c r="R2224" s="51">
        <f t="shared" si="287"/>
        <v>21.750869399295265</v>
      </c>
    </row>
    <row r="2225" spans="1:18" x14ac:dyDescent="0.15">
      <c r="A2225" s="59">
        <v>44135.75</v>
      </c>
      <c r="B2225">
        <v>40.920208000000002</v>
      </c>
      <c r="C2225">
        <v>346.24996900000002</v>
      </c>
      <c r="D2225">
        <v>144.98101800000001</v>
      </c>
      <c r="E2225">
        <v>152.420502</v>
      </c>
      <c r="F2225">
        <v>1761.6400149999999</v>
      </c>
      <c r="H2225" s="50">
        <f t="shared" si="281"/>
        <v>5.776549441039963E-3</v>
      </c>
      <c r="I2225" s="50">
        <f t="shared" si="282"/>
        <v>-1.1191759603512007E-2</v>
      </c>
      <c r="J2225" s="50">
        <f t="shared" si="283"/>
        <v>7.0238488315832839E-4</v>
      </c>
      <c r="K2225" s="50">
        <f t="shared" si="284"/>
        <v>-5.9469431064615309E-2</v>
      </c>
      <c r="L2225" s="50">
        <f t="shared" si="285"/>
        <v>-3.5578551231529544E-3</v>
      </c>
      <c r="P2225" s="50">
        <f t="shared" si="280"/>
        <v>-3.5578551231529544E-3</v>
      </c>
      <c r="Q2225" s="51">
        <f t="shared" si="286"/>
        <v>67.200059544889953</v>
      </c>
      <c r="R2225" s="51">
        <f t="shared" si="287"/>
        <v>21.876514371765897</v>
      </c>
    </row>
    <row r="2226" spans="1:18" x14ac:dyDescent="0.15">
      <c r="A2226" s="59">
        <v>44138.75</v>
      </c>
      <c r="B2226">
        <v>40.685187999999997</v>
      </c>
      <c r="C2226">
        <v>350.16897599999999</v>
      </c>
      <c r="D2226">
        <v>144.879257</v>
      </c>
      <c r="E2226">
        <v>162.057999</v>
      </c>
      <c r="F2226">
        <v>1767.9300539999999</v>
      </c>
      <c r="H2226" s="50">
        <f t="shared" si="281"/>
        <v>-1.0525181184806824E-2</v>
      </c>
      <c r="I2226" s="50">
        <f t="shared" si="282"/>
        <v>-2.3518605183059264E-2</v>
      </c>
      <c r="J2226" s="50">
        <f t="shared" si="283"/>
        <v>-1.2671137482964371E-2</v>
      </c>
      <c r="K2226" s="50">
        <f t="shared" si="284"/>
        <v>-2.4334779373819001E-2</v>
      </c>
      <c r="L2226" s="50">
        <f t="shared" si="285"/>
        <v>2.8134812739813481E-3</v>
      </c>
      <c r="P2226" s="50">
        <f t="shared" si="280"/>
        <v>2.8134812739813481E-3</v>
      </c>
      <c r="Q2226" s="51">
        <f t="shared" si="286"/>
        <v>67.389125654029925</v>
      </c>
      <c r="R2226" s="51">
        <f t="shared" si="287"/>
        <v>21.646260094311028</v>
      </c>
    </row>
    <row r="2227" spans="1:18" x14ac:dyDescent="0.15">
      <c r="A2227" s="59">
        <v>44139.75</v>
      </c>
      <c r="B2227">
        <v>41.117961999999999</v>
      </c>
      <c r="C2227">
        <v>358.60281400000002</v>
      </c>
      <c r="D2227">
        <v>146.73860199999999</v>
      </c>
      <c r="E2227">
        <v>166.10000600000001</v>
      </c>
      <c r="F2227">
        <v>1762.969971</v>
      </c>
      <c r="H2227" s="50">
        <f t="shared" si="281"/>
        <v>-1.5778107857395553E-2</v>
      </c>
      <c r="I2227" s="50">
        <f t="shared" si="282"/>
        <v>-1.1149430744997969E-3</v>
      </c>
      <c r="J2227" s="50">
        <f t="shared" si="283"/>
        <v>-1.7770832894893892E-2</v>
      </c>
      <c r="K2227" s="50">
        <f t="shared" si="284"/>
        <v>3.210206105814923E-3</v>
      </c>
      <c r="L2227" s="50">
        <f t="shared" si="285"/>
        <v>-4.2474224889574481E-3</v>
      </c>
      <c r="P2227" s="50">
        <f t="shared" si="280"/>
        <v>-4.2474224889574481E-3</v>
      </c>
      <c r="Q2227" s="51">
        <f t="shared" si="286"/>
        <v>67.102895566215821</v>
      </c>
      <c r="R2227" s="51">
        <f t="shared" si="287"/>
        <v>21.304723067833752</v>
      </c>
    </row>
    <row r="2228" spans="1:18" x14ac:dyDescent="0.15">
      <c r="A2228" s="59">
        <v>44140.75</v>
      </c>
      <c r="B2228">
        <v>41.777126000000003</v>
      </c>
      <c r="C2228">
        <v>359.00308200000001</v>
      </c>
      <c r="D2228">
        <v>149.39344800000001</v>
      </c>
      <c r="E2228">
        <v>165.56849700000001</v>
      </c>
      <c r="F2228">
        <v>1770.48999</v>
      </c>
      <c r="H2228" s="50">
        <f t="shared" si="281"/>
        <v>1.5535751651222127E-2</v>
      </c>
      <c r="I2228" s="50">
        <f t="shared" si="282"/>
        <v>5.660289363611104E-2</v>
      </c>
      <c r="J2228" s="50">
        <f t="shared" si="283"/>
        <v>4.2540723154428355E-2</v>
      </c>
      <c r="K2228" s="50">
        <f t="shared" si="284"/>
        <v>5.3321847311084275E-2</v>
      </c>
      <c r="L2228" s="50">
        <f t="shared" si="285"/>
        <v>1.3358879134239707E-2</v>
      </c>
      <c r="P2228" s="50">
        <f t="shared" si="280"/>
        <v>1.3358879134239707E-2</v>
      </c>
      <c r="Q2228" s="51">
        <f t="shared" si="286"/>
        <v>67.999315037642404</v>
      </c>
      <c r="R2228" s="51">
        <f t="shared" si="287"/>
        <v>21.635707954413682</v>
      </c>
    </row>
    <row r="2229" spans="1:18" x14ac:dyDescent="0.15">
      <c r="A2229" s="59">
        <v>44141.75</v>
      </c>
      <c r="B2229">
        <v>41.138016</v>
      </c>
      <c r="C2229">
        <v>339.77105699999998</v>
      </c>
      <c r="D2229">
        <v>143.29747</v>
      </c>
      <c r="E2229">
        <v>157.18699599999999</v>
      </c>
      <c r="F2229">
        <v>1747.150024</v>
      </c>
      <c r="H2229" s="50">
        <f t="shared" si="281"/>
        <v>-1.3877573876093416E-2</v>
      </c>
      <c r="I2229" s="50">
        <f t="shared" si="282"/>
        <v>-4.4189251717063295E-3</v>
      </c>
      <c r="J2229" s="50">
        <f t="shared" si="283"/>
        <v>-1.9991004548566629E-2</v>
      </c>
      <c r="K2229" s="50">
        <f t="shared" si="284"/>
        <v>3.5821765584725294E-2</v>
      </c>
      <c r="L2229" s="50">
        <f t="shared" si="285"/>
        <v>-1.3249649103272181E-2</v>
      </c>
      <c r="P2229" s="50">
        <f t="shared" si="280"/>
        <v>-1.3249649103272181E-2</v>
      </c>
      <c r="Q2229" s="51">
        <f t="shared" si="286"/>
        <v>67.098347974130775</v>
      </c>
      <c r="R2229" s="51">
        <f t="shared" si="287"/>
        <v>21.335456818914725</v>
      </c>
    </row>
    <row r="2230" spans="1:18" x14ac:dyDescent="0.15">
      <c r="A2230" s="59">
        <v>44142.75</v>
      </c>
      <c r="B2230">
        <v>41.716946</v>
      </c>
      <c r="C2230">
        <v>341.27914399999997</v>
      </c>
      <c r="D2230">
        <v>146.22056599999999</v>
      </c>
      <c r="E2230">
        <v>151.75100699999999</v>
      </c>
      <c r="F2230">
        <v>1770.6099850000001</v>
      </c>
      <c r="H2230" s="50">
        <f t="shared" si="281"/>
        <v>-1.6353425471044247E-2</v>
      </c>
      <c r="I2230" s="50">
        <f t="shared" si="282"/>
        <v>-1.6893676562629863E-2</v>
      </c>
      <c r="J2230" s="50">
        <f t="shared" si="283"/>
        <v>-1.0144590900476433E-2</v>
      </c>
      <c r="K2230" s="50">
        <f t="shared" si="284"/>
        <v>-3.2629030956284014E-2</v>
      </c>
      <c r="L2230" s="50">
        <f t="shared" si="285"/>
        <v>-7.2240939853137384E-4</v>
      </c>
      <c r="P2230" s="50">
        <f t="shared" si="280"/>
        <v>-7.2240939853137384E-4</v>
      </c>
      <c r="Q2230" s="51">
        <f t="shared" si="286"/>
        <v>67.049875496928337</v>
      </c>
      <c r="R2230" s="51">
        <f t="shared" si="287"/>
        <v>20.986549015935921</v>
      </c>
    </row>
    <row r="2231" spans="1:18" x14ac:dyDescent="0.15">
      <c r="A2231" s="59">
        <v>44145.75</v>
      </c>
      <c r="B2231">
        <v>42.410502999999999</v>
      </c>
      <c r="C2231">
        <v>347.14367700000003</v>
      </c>
      <c r="D2231">
        <v>147.71911600000001</v>
      </c>
      <c r="E2231">
        <v>156.869507</v>
      </c>
      <c r="F2231">
        <v>1771.8900149999999</v>
      </c>
      <c r="H2231" s="50">
        <f t="shared" si="281"/>
        <v>-1.6865436027474988E-3</v>
      </c>
      <c r="I2231" s="50">
        <f t="shared" si="282"/>
        <v>-7.4258905338968392E-3</v>
      </c>
      <c r="J2231" s="50">
        <f t="shared" si="283"/>
        <v>1.002872370943152E-3</v>
      </c>
      <c r="K2231" s="50">
        <f t="shared" si="284"/>
        <v>8.7162501785691803E-3</v>
      </c>
      <c r="L2231" s="50">
        <f t="shared" si="285"/>
        <v>2.3760241559239934E-3</v>
      </c>
      <c r="P2231" s="50">
        <f t="shared" si="280"/>
        <v>2.3760241559239934E-3</v>
      </c>
      <c r="Q2231" s="51">
        <f t="shared" si="286"/>
        <v>67.209187620760744</v>
      </c>
      <c r="R2231" s="51">
        <f t="shared" si="287"/>
        <v>20.95115428594935</v>
      </c>
    </row>
    <row r="2232" spans="1:18" x14ac:dyDescent="0.15">
      <c r="A2232" s="59">
        <v>44146.75</v>
      </c>
      <c r="B2232">
        <v>42.482151000000002</v>
      </c>
      <c r="C2232">
        <v>349.740814</v>
      </c>
      <c r="D2232">
        <v>147.57112100000001</v>
      </c>
      <c r="E2232">
        <v>155.51400799999999</v>
      </c>
      <c r="F2232">
        <v>1767.6899410000001</v>
      </c>
      <c r="H2232" s="50">
        <f t="shared" si="281"/>
        <v>-1.5344937706105339E-2</v>
      </c>
      <c r="I2232" s="50">
        <f t="shared" si="282"/>
        <v>-8.2620983575764535E-3</v>
      </c>
      <c r="J2232" s="50">
        <f t="shared" si="283"/>
        <v>-2.0567312943084975E-2</v>
      </c>
      <c r="K2232" s="50">
        <f t="shared" si="284"/>
        <v>-5.9223664234377337E-3</v>
      </c>
      <c r="L2232" s="50">
        <f t="shared" si="285"/>
        <v>-8.0303361391694215E-3</v>
      </c>
      <c r="P2232" s="50">
        <f t="shared" si="280"/>
        <v>-8.0303361391694215E-3</v>
      </c>
      <c r="Q2232" s="51">
        <f t="shared" si="286"/>
        <v>66.66947525252553</v>
      </c>
      <c r="R2232" s="51">
        <f t="shared" si="287"/>
        <v>20.629660128560456</v>
      </c>
    </row>
    <row r="2233" spans="1:18" x14ac:dyDescent="0.15">
      <c r="A2233" s="59">
        <v>44147.75</v>
      </c>
      <c r="B2233">
        <v>43.144196000000001</v>
      </c>
      <c r="C2233">
        <v>352.65447999999998</v>
      </c>
      <c r="D2233">
        <v>150.66999799999999</v>
      </c>
      <c r="E2233">
        <v>156.440506</v>
      </c>
      <c r="F2233">
        <v>1782</v>
      </c>
      <c r="H2233" s="50">
        <f t="shared" si="281"/>
        <v>-1.2463833632132711E-2</v>
      </c>
      <c r="I2233" s="50">
        <f t="shared" si="282"/>
        <v>-2.5015607972214858E-3</v>
      </c>
      <c r="J2233" s="50">
        <f t="shared" si="283"/>
        <v>-1.3924167135189567E-2</v>
      </c>
      <c r="K2233" s="50">
        <f t="shared" si="284"/>
        <v>-7.1852985449778902E-4</v>
      </c>
      <c r="L2233" s="50">
        <f t="shared" si="285"/>
        <v>-4.8139722688621137E-3</v>
      </c>
      <c r="P2233" s="50">
        <f t="shared" si="280"/>
        <v>-4.8139722688621137E-3</v>
      </c>
      <c r="Q2233" s="51">
        <f t="shared" si="286"/>
        <v>66.348530247480284</v>
      </c>
      <c r="R2233" s="51">
        <f t="shared" si="287"/>
        <v>20.372535476830638</v>
      </c>
    </row>
    <row r="2234" spans="1:18" x14ac:dyDescent="0.15">
      <c r="A2234" s="59">
        <v>44148.75</v>
      </c>
      <c r="B2234">
        <v>43.688724999999998</v>
      </c>
      <c r="C2234">
        <v>353.53887900000001</v>
      </c>
      <c r="D2234">
        <v>152.79757699999999</v>
      </c>
      <c r="E2234">
        <v>156.55299400000001</v>
      </c>
      <c r="F2234">
        <v>1790.619995</v>
      </c>
      <c r="H2234" s="50">
        <f t="shared" si="281"/>
        <v>2.0552957288577259E-2</v>
      </c>
      <c r="I2234" s="50">
        <f t="shared" si="282"/>
        <v>-5.5770389018544881E-3</v>
      </c>
      <c r="J2234" s="50">
        <f t="shared" si="283"/>
        <v>8.9547807557998817E-3</v>
      </c>
      <c r="K2234" s="50">
        <f t="shared" si="284"/>
        <v>-1.4670658978630396E-3</v>
      </c>
      <c r="L2234" s="50">
        <f t="shared" si="285"/>
        <v>-4.2042836495615526E-3</v>
      </c>
      <c r="P2234" s="50">
        <f t="shared" si="280"/>
        <v>-4.2042836495615526E-3</v>
      </c>
      <c r="Q2234" s="51">
        <f t="shared" si="286"/>
        <v>66.069582206588365</v>
      </c>
      <c r="R2234" s="51">
        <f t="shared" si="287"/>
        <v>20.791251328345961</v>
      </c>
    </row>
    <row r="2235" spans="1:18" x14ac:dyDescent="0.15">
      <c r="A2235" s="59">
        <v>44149.75</v>
      </c>
      <c r="B2235">
        <v>42.808875999999998</v>
      </c>
      <c r="C2235">
        <v>355.521637</v>
      </c>
      <c r="D2235">
        <v>151.441452</v>
      </c>
      <c r="E2235">
        <v>156.783005</v>
      </c>
      <c r="F2235">
        <v>1798.1800539999999</v>
      </c>
      <c r="H2235" s="50">
        <f t="shared" si="281"/>
        <v>1.8781320045254788E-3</v>
      </c>
      <c r="I2235" s="50">
        <f t="shared" si="282"/>
        <v>-8.1086219715773456E-4</v>
      </c>
      <c r="J2235" s="50">
        <f t="shared" si="283"/>
        <v>-2.28347596384967E-2</v>
      </c>
      <c r="K2235" s="50">
        <f t="shared" si="284"/>
        <v>9.7248719907798136E-3</v>
      </c>
      <c r="L2235" s="50">
        <f t="shared" si="285"/>
        <v>3.711924942565344E-3</v>
      </c>
      <c r="P2235" s="50">
        <f t="shared" si="280"/>
        <v>3.711924942565344E-3</v>
      </c>
      <c r="Q2235" s="51">
        <f t="shared" si="286"/>
        <v>66.314827536725872</v>
      </c>
      <c r="R2235" s="51">
        <f t="shared" si="287"/>
        <v>20.830300042879863</v>
      </c>
    </row>
    <row r="2236" spans="1:18" x14ac:dyDescent="0.15">
      <c r="A2236" s="59">
        <v>44152.75</v>
      </c>
      <c r="B2236">
        <v>42.728625999999998</v>
      </c>
      <c r="C2236">
        <v>355.81015000000002</v>
      </c>
      <c r="D2236">
        <v>154.98039199999999</v>
      </c>
      <c r="E2236">
        <v>155.27299500000001</v>
      </c>
      <c r="F2236">
        <v>1791.530029</v>
      </c>
      <c r="H2236" s="50">
        <f t="shared" si="281"/>
        <v>-1.9918475146874767E-2</v>
      </c>
      <c r="I2236" s="50">
        <f t="shared" si="282"/>
        <v>-3.4154649800267859E-3</v>
      </c>
      <c r="J2236" s="50">
        <f t="shared" si="283"/>
        <v>-2.6375715446816109E-2</v>
      </c>
      <c r="K2236" s="50">
        <f t="shared" si="284"/>
        <v>-3.7086897576362994E-3</v>
      </c>
      <c r="L2236" s="50">
        <f t="shared" si="285"/>
        <v>2.0471477289935704E-3</v>
      </c>
      <c r="P2236" s="50">
        <f t="shared" si="280"/>
        <v>2.0471477289935704E-3</v>
      </c>
      <c r="Q2236" s="51">
        <f t="shared" si="286"/>
        <v>66.450583785316283</v>
      </c>
      <c r="R2236" s="51">
        <f t="shared" si="287"/>
        <v>20.415392229173815</v>
      </c>
    </row>
    <row r="2237" spans="1:18" x14ac:dyDescent="0.15">
      <c r="A2237" s="59">
        <v>44153.75</v>
      </c>
      <c r="B2237">
        <v>43.597011999999999</v>
      </c>
      <c r="C2237">
        <v>357.02957199999997</v>
      </c>
      <c r="D2237">
        <v>159.17884799999999</v>
      </c>
      <c r="E2237">
        <v>155.850998</v>
      </c>
      <c r="F2237">
        <v>1787.869995</v>
      </c>
      <c r="H2237" s="50">
        <f t="shared" si="281"/>
        <v>1.2513292470202943E-2</v>
      </c>
      <c r="I2237" s="50">
        <f t="shared" si="282"/>
        <v>6.3495850177792672E-3</v>
      </c>
      <c r="J2237" s="50">
        <f t="shared" si="283"/>
        <v>-5.4553462057300734E-3</v>
      </c>
      <c r="K2237" s="50">
        <f t="shared" si="284"/>
        <v>5.6849518894951014E-3</v>
      </c>
      <c r="L2237" s="50">
        <f t="shared" si="285"/>
        <v>3.648876998178023E-3</v>
      </c>
      <c r="P2237" s="50">
        <f t="shared" si="280"/>
        <v>3.648876998178023E-3</v>
      </c>
      <c r="Q2237" s="51">
        <f t="shared" si="286"/>
        <v>66.693053792006026</v>
      </c>
      <c r="R2237" s="51">
        <f t="shared" si="287"/>
        <v>20.670856003031375</v>
      </c>
    </row>
    <row r="2238" spans="1:18" x14ac:dyDescent="0.15">
      <c r="A2238" s="59">
        <v>44154.75</v>
      </c>
      <c r="B2238">
        <v>43.058211999999997</v>
      </c>
      <c r="C2238">
        <v>354.77688599999999</v>
      </c>
      <c r="D2238">
        <v>160.051987</v>
      </c>
      <c r="E2238">
        <v>154.970001</v>
      </c>
      <c r="F2238">
        <v>1781.369995</v>
      </c>
      <c r="H2238" s="50">
        <f t="shared" si="281"/>
        <v>-4.5716241381939257E-3</v>
      </c>
      <c r="I2238" s="50">
        <f t="shared" si="282"/>
        <v>-1.5456056588922489E-3</v>
      </c>
      <c r="J2238" s="50">
        <f t="shared" si="283"/>
        <v>-2.956760154919956E-2</v>
      </c>
      <c r="K2238" s="50">
        <f t="shared" si="284"/>
        <v>3.2601448900917469E-4</v>
      </c>
      <c r="L2238" s="50">
        <f t="shared" si="285"/>
        <v>-8.0630237455870599E-3</v>
      </c>
      <c r="P2238" s="50">
        <f t="shared" si="280"/>
        <v>-8.0630237455870599E-3</v>
      </c>
      <c r="Q2238" s="51">
        <f t="shared" si="286"/>
        <v>66.15530611561536</v>
      </c>
      <c r="R2238" s="51">
        <f t="shared" si="287"/>
        <v>20.576356618770788</v>
      </c>
    </row>
    <row r="2239" spans="1:18" x14ac:dyDescent="0.15">
      <c r="A2239" s="59">
        <v>44155.75</v>
      </c>
      <c r="B2239">
        <v>43.255961999999997</v>
      </c>
      <c r="C2239">
        <v>355.32607999999999</v>
      </c>
      <c r="D2239">
        <v>164.928528</v>
      </c>
      <c r="E2239">
        <v>154.91949500000001</v>
      </c>
      <c r="F2239">
        <v>1795.849976</v>
      </c>
      <c r="H2239" s="50">
        <f t="shared" si="281"/>
        <v>-2.8410387613383762E-3</v>
      </c>
      <c r="I2239" s="50">
        <f t="shared" si="282"/>
        <v>-6.5327434656726737E-3</v>
      </c>
      <c r="J2239" s="50">
        <f t="shared" si="283"/>
        <v>-1.6864283430658201E-3</v>
      </c>
      <c r="K2239" s="50">
        <f t="shared" si="284"/>
        <v>-6.308441787521598E-3</v>
      </c>
      <c r="L2239" s="50">
        <f t="shared" si="285"/>
        <v>-4.9369633361944871E-3</v>
      </c>
      <c r="P2239" s="50">
        <f t="shared" si="280"/>
        <v>-4.9369633361944871E-3</v>
      </c>
      <c r="Q2239" s="51">
        <f t="shared" si="286"/>
        <v>65.828699794827841</v>
      </c>
      <c r="R2239" s="51">
        <f t="shared" si="287"/>
        <v>20.517898392049741</v>
      </c>
    </row>
    <row r="2240" spans="1:18" x14ac:dyDescent="0.15">
      <c r="A2240" s="59">
        <v>44156.75</v>
      </c>
      <c r="B2240">
        <v>43.379204000000001</v>
      </c>
      <c r="C2240">
        <v>357.662598</v>
      </c>
      <c r="D2240">
        <v>165.20713799999999</v>
      </c>
      <c r="E2240">
        <v>155.90299999999999</v>
      </c>
      <c r="F2240">
        <v>1804.76001</v>
      </c>
      <c r="H2240" s="50">
        <f t="shared" si="281"/>
        <v>-3.0955851928251379E-3</v>
      </c>
      <c r="I2240" s="50">
        <f t="shared" si="282"/>
        <v>-9.1038167959910134E-3</v>
      </c>
      <c r="J2240" s="50">
        <f t="shared" si="283"/>
        <v>-1.0899908982176567E-2</v>
      </c>
      <c r="K2240" s="50">
        <f t="shared" si="284"/>
        <v>-2.1038747193829217E-2</v>
      </c>
      <c r="L2240" s="50">
        <f t="shared" si="285"/>
        <v>1.2649405404213682E-3</v>
      </c>
      <c r="P2240" s="50">
        <f t="shared" si="280"/>
        <v>1.2649405404213682E-3</v>
      </c>
      <c r="Q2240" s="51">
        <f t="shared" si="286"/>
        <v>65.911969185921549</v>
      </c>
      <c r="R2240" s="51">
        <f t="shared" si="287"/>
        <v>20.454383489599422</v>
      </c>
    </row>
    <row r="2241" spans="1:18" x14ac:dyDescent="0.15">
      <c r="A2241" s="59">
        <v>44159.75</v>
      </c>
      <c r="B2241">
        <v>43.513905000000001</v>
      </c>
      <c r="C2241">
        <v>360.94860799999998</v>
      </c>
      <c r="D2241">
        <v>167.027725</v>
      </c>
      <c r="E2241">
        <v>159.25349399999999</v>
      </c>
      <c r="F2241">
        <v>1802.4799800000001</v>
      </c>
      <c r="H2241" s="50">
        <f t="shared" si="281"/>
        <v>1.517262608024876E-3</v>
      </c>
      <c r="I2241" s="50">
        <f t="shared" si="282"/>
        <v>-1.6477480928189802E-3</v>
      </c>
      <c r="J2241" s="50">
        <f t="shared" si="283"/>
        <v>2.7816292242152418E-4</v>
      </c>
      <c r="K2241" s="50">
        <f t="shared" si="284"/>
        <v>-3.214080544969692E-3</v>
      </c>
      <c r="L2241" s="50">
        <f t="shared" si="285"/>
        <v>-1.497822770766503E-4</v>
      </c>
      <c r="P2241" s="50">
        <f t="shared" ref="P2241:P2304" si="288">(F2241-F2242)/F2242</f>
        <v>-1.497822770766503E-4</v>
      </c>
      <c r="Q2241" s="51">
        <f t="shared" si="286"/>
        <v>65.902096741090276</v>
      </c>
      <c r="R2241" s="51">
        <f t="shared" si="287"/>
        <v>20.485418160838393</v>
      </c>
    </row>
    <row r="2242" spans="1:18" x14ac:dyDescent="0.15">
      <c r="A2242" s="59">
        <v>44160.75</v>
      </c>
      <c r="B2242">
        <v>43.447983000000001</v>
      </c>
      <c r="C2242">
        <v>361.54434199999997</v>
      </c>
      <c r="D2242">
        <v>166.98127700000001</v>
      </c>
      <c r="E2242">
        <v>159.766998</v>
      </c>
      <c r="F2242">
        <v>1802.75</v>
      </c>
      <c r="H2242" s="50">
        <f t="shared" ref="H2242:H2305" si="289">(B2242-B2243)/B2243</f>
        <v>-7.7884571643419328E-3</v>
      </c>
      <c r="I2242" s="50">
        <f t="shared" ref="I2242:I2305" si="290">(C2242-C2243)/C2243</f>
        <v>-8.6275649421147099E-3</v>
      </c>
      <c r="J2242" s="50">
        <f t="shared" ref="J2242:J2305" si="291">(D2242-D2243)/D2243</f>
        <v>1.336844625834648E-3</v>
      </c>
      <c r="K2242" s="50">
        <f t="shared" ref="K2242:K2305" si="292">(E2242-E2243)/E2243</f>
        <v>8.6173473840066919E-3</v>
      </c>
      <c r="L2242" s="50">
        <f t="shared" ref="L2242:L2305" si="293">(F2242-F2243)/F2243</f>
        <v>-2.4789208067476109E-3</v>
      </c>
      <c r="P2242" s="50">
        <f t="shared" si="288"/>
        <v>-2.4789208067476109E-3</v>
      </c>
      <c r="Q2242" s="51">
        <f t="shared" si="286"/>
        <v>65.738730662270498</v>
      </c>
      <c r="R2242" s="51">
        <f t="shared" si="287"/>
        <v>20.32586835899907</v>
      </c>
    </row>
    <row r="2243" spans="1:18" x14ac:dyDescent="0.15">
      <c r="A2243" s="59">
        <v>44161.75</v>
      </c>
      <c r="B2243">
        <v>43.789031999999999</v>
      </c>
      <c r="C2243">
        <v>364.69073500000002</v>
      </c>
      <c r="D2243">
        <v>166.75834699999999</v>
      </c>
      <c r="E2243">
        <v>158.401993</v>
      </c>
      <c r="F2243">
        <v>1807.2299800000001</v>
      </c>
      <c r="H2243" s="50">
        <f t="shared" si="289"/>
        <v>9.8258018644328793E-4</v>
      </c>
      <c r="I2243" s="50">
        <f t="shared" si="290"/>
        <v>-1.4939629013112051E-2</v>
      </c>
      <c r="J2243" s="50">
        <f t="shared" si="291"/>
        <v>2.680869088090271E-3</v>
      </c>
      <c r="K2243" s="50">
        <f t="shared" si="292"/>
        <v>-1.6161120421369857E-2</v>
      </c>
      <c r="L2243" s="50">
        <f t="shared" si="293"/>
        <v>7.8630695012656289E-4</v>
      </c>
      <c r="P2243" s="50">
        <f t="shared" si="288"/>
        <v>7.8630695012656289E-4</v>
      </c>
      <c r="Q2243" s="51">
        <f t="shared" ref="Q2243:Q2306" si="294">Q2242*(1+P2243)</f>
        <v>65.790421483082739</v>
      </c>
      <c r="R2243" s="51">
        <f t="shared" ref="R2243:R2306" si="295">R2242*(1+H2243)</f>
        <v>20.345840154520879</v>
      </c>
    </row>
    <row r="2244" spans="1:18" x14ac:dyDescent="0.15">
      <c r="A2244" s="59">
        <v>44163.75</v>
      </c>
      <c r="B2244">
        <v>43.746048000000002</v>
      </c>
      <c r="C2244">
        <v>370.22170999999997</v>
      </c>
      <c r="D2244">
        <v>166.31248500000001</v>
      </c>
      <c r="E2244">
        <v>161.003998</v>
      </c>
      <c r="F2244">
        <v>1805.8100589999999</v>
      </c>
      <c r="H2244" s="50">
        <f t="shared" si="289"/>
        <v>1.4084742118945635E-2</v>
      </c>
      <c r="I2244" s="50">
        <f t="shared" si="290"/>
        <v>1.0586672224949566E-2</v>
      </c>
      <c r="J2244" s="50">
        <f t="shared" si="291"/>
        <v>1.4965058102601132E-2</v>
      </c>
      <c r="K2244" s="50">
        <f t="shared" si="292"/>
        <v>5.1661761265375293E-3</v>
      </c>
      <c r="L2244" s="50">
        <f t="shared" si="293"/>
        <v>2.7264339688852597E-3</v>
      </c>
      <c r="P2244" s="50">
        <f t="shared" si="288"/>
        <v>2.7264339688852597E-3</v>
      </c>
      <c r="Q2244" s="51">
        <f t="shared" si="294"/>
        <v>65.969794723041488</v>
      </c>
      <c r="R2244" s="51">
        <f t="shared" si="295"/>
        <v>20.632406066290592</v>
      </c>
    </row>
    <row r="2245" spans="1:18" x14ac:dyDescent="0.15">
      <c r="A2245" s="59">
        <v>44166.75</v>
      </c>
      <c r="B2245">
        <v>43.138454000000003</v>
      </c>
      <c r="C2245">
        <v>366.34335299999998</v>
      </c>
      <c r="D2245">
        <v>163.86030600000001</v>
      </c>
      <c r="E2245">
        <v>160.17649800000001</v>
      </c>
      <c r="F2245">
        <v>1800.900024</v>
      </c>
      <c r="H2245" s="50">
        <f t="shared" si="289"/>
        <v>8.1714594192823491E-3</v>
      </c>
      <c r="I2245" s="50">
        <f t="shared" si="290"/>
        <v>2.5264050443671374E-2</v>
      </c>
      <c r="J2245" s="50">
        <f t="shared" si="291"/>
        <v>8.5182768331093176E-3</v>
      </c>
      <c r="K2245" s="50">
        <f t="shared" si="292"/>
        <v>5.2718365814257272E-3</v>
      </c>
      <c r="L2245" s="50">
        <f t="shared" si="293"/>
        <v>3.2030749091308259E-3</v>
      </c>
      <c r="P2245" s="50">
        <f t="shared" si="288"/>
        <v>3.2030749091308259E-3</v>
      </c>
      <c r="Q2245" s="51">
        <f t="shared" si="294"/>
        <v>66.181100917279366</v>
      </c>
      <c r="R2245" s="51">
        <f t="shared" si="295"/>
        <v>20.80100293518344</v>
      </c>
    </row>
    <row r="2246" spans="1:18" x14ac:dyDescent="0.15">
      <c r="A2246" s="59">
        <v>44167.75</v>
      </c>
      <c r="B2246">
        <v>42.788806999999998</v>
      </c>
      <c r="C2246">
        <v>357.316101</v>
      </c>
      <c r="D2246">
        <v>162.47628800000001</v>
      </c>
      <c r="E2246">
        <v>159.336502</v>
      </c>
      <c r="F2246">
        <v>1795.150024</v>
      </c>
      <c r="H2246" s="50">
        <f t="shared" si="289"/>
        <v>2.6189023418681425E-3</v>
      </c>
      <c r="I2246" s="50">
        <f t="shared" si="290"/>
        <v>1.6603461093273456E-3</v>
      </c>
      <c r="J2246" s="50">
        <f t="shared" si="291"/>
        <v>-6.2863789281943159E-4</v>
      </c>
      <c r="K2246" s="50">
        <f t="shared" si="292"/>
        <v>7.6361958607996756E-3</v>
      </c>
      <c r="L2246" s="50">
        <f t="shared" si="293"/>
        <v>1.3051940378476649E-3</v>
      </c>
      <c r="P2246" s="50">
        <f t="shared" si="288"/>
        <v>1.3051940378476649E-3</v>
      </c>
      <c r="Q2246" s="51">
        <f t="shared" si="294"/>
        <v>66.2674800956148</v>
      </c>
      <c r="R2246" s="51">
        <f t="shared" si="295"/>
        <v>20.855478730483597</v>
      </c>
    </row>
    <row r="2247" spans="1:18" x14ac:dyDescent="0.15">
      <c r="A2247" s="59">
        <v>44168.75</v>
      </c>
      <c r="B2247">
        <v>42.677039999999998</v>
      </c>
      <c r="C2247">
        <v>356.723816</v>
      </c>
      <c r="D2247">
        <v>162.57849100000001</v>
      </c>
      <c r="E2247">
        <v>158.128998</v>
      </c>
      <c r="F2247">
        <v>1792.8100589999999</v>
      </c>
      <c r="H2247" s="50">
        <f t="shared" si="289"/>
        <v>5.4013444524111283E-3</v>
      </c>
      <c r="I2247" s="50">
        <f t="shared" si="290"/>
        <v>2.6775775517052971E-4</v>
      </c>
      <c r="J2247" s="50">
        <f t="shared" si="291"/>
        <v>1.2260665032166202E-2</v>
      </c>
      <c r="K2247" s="50">
        <f t="shared" si="292"/>
        <v>1.4503103780992121E-3</v>
      </c>
      <c r="L2247" s="50">
        <f t="shared" si="293"/>
        <v>4.3584869013987308E-3</v>
      </c>
      <c r="P2247" s="50">
        <f t="shared" si="288"/>
        <v>4.3584869013987308E-3</v>
      </c>
      <c r="Q2247" s="51">
        <f t="shared" si="294"/>
        <v>66.556306039600244</v>
      </c>
      <c r="R2247" s="51">
        <f t="shared" si="295"/>
        <v>20.968126354826872</v>
      </c>
    </row>
    <row r="2248" spans="1:18" x14ac:dyDescent="0.15">
      <c r="A2248" s="59">
        <v>44169.75</v>
      </c>
      <c r="B2248">
        <v>42.447764999999997</v>
      </c>
      <c r="C2248">
        <v>356.62832600000002</v>
      </c>
      <c r="D2248">
        <v>160.60931400000001</v>
      </c>
      <c r="E2248">
        <v>157.89999399999999</v>
      </c>
      <c r="F2248">
        <v>1785.030029</v>
      </c>
      <c r="H2248" s="50">
        <f t="shared" si="289"/>
        <v>-8.9661649070941814E-3</v>
      </c>
      <c r="I2248" s="50">
        <f t="shared" si="290"/>
        <v>-1.1308197207832767E-2</v>
      </c>
      <c r="J2248" s="50">
        <f t="shared" si="291"/>
        <v>1.1001365206979186E-3</v>
      </c>
      <c r="K2248" s="50">
        <f t="shared" si="292"/>
        <v>-6.0712619109837083E-3</v>
      </c>
      <c r="L2248" s="50">
        <f t="shared" si="293"/>
        <v>-1.1112984603449949E-2</v>
      </c>
      <c r="P2248" s="50">
        <f t="shared" si="288"/>
        <v>-1.1112984603449949E-2</v>
      </c>
      <c r="Q2248" s="51">
        <f t="shared" si="294"/>
        <v>65.816666835319666</v>
      </c>
      <c r="R2248" s="51">
        <f t="shared" si="295"/>
        <v>20.780122676136706</v>
      </c>
    </row>
    <row r="2249" spans="1:18" x14ac:dyDescent="0.15">
      <c r="A2249" s="59">
        <v>44170.75</v>
      </c>
      <c r="B2249">
        <v>42.831802000000003</v>
      </c>
      <c r="C2249">
        <v>360.70727499999998</v>
      </c>
      <c r="D2249">
        <v>160.432816</v>
      </c>
      <c r="E2249">
        <v>158.86450199999999</v>
      </c>
      <c r="F2249">
        <v>1805.089966</v>
      </c>
      <c r="H2249" s="50">
        <f t="shared" si="289"/>
        <v>7.9584656688918651E-3</v>
      </c>
      <c r="I2249" s="50">
        <f t="shared" si="290"/>
        <v>8.8433389909833501E-3</v>
      </c>
      <c r="J2249" s="50">
        <f t="shared" si="291"/>
        <v>-7.7556239316459693E-3</v>
      </c>
      <c r="K2249" s="50">
        <f t="shared" si="292"/>
        <v>2.3545485697967897E-2</v>
      </c>
      <c r="L2249" s="50">
        <f t="shared" si="293"/>
        <v>-1.8138041490784705E-3</v>
      </c>
      <c r="P2249" s="50">
        <f t="shared" si="288"/>
        <v>-1.8138041490784705E-3</v>
      </c>
      <c r="Q2249" s="51">
        <f t="shared" si="294"/>
        <v>65.697288291935251</v>
      </c>
      <c r="R2249" s="51">
        <f t="shared" si="295"/>
        <v>20.9455005690501</v>
      </c>
    </row>
    <row r="2250" spans="1:18" x14ac:dyDescent="0.15">
      <c r="A2250" s="59">
        <v>44173.75</v>
      </c>
      <c r="B2250">
        <v>42.493617999999998</v>
      </c>
      <c r="C2250">
        <v>357.54538000000002</v>
      </c>
      <c r="D2250">
        <v>161.68679800000001</v>
      </c>
      <c r="E2250">
        <v>155.21000699999999</v>
      </c>
      <c r="F2250">
        <v>1808.369995</v>
      </c>
      <c r="H2250" s="50">
        <f t="shared" si="289"/>
        <v>-2.6522403642382036E-3</v>
      </c>
      <c r="I2250" s="50">
        <f t="shared" si="290"/>
        <v>4.023793528795362E-3</v>
      </c>
      <c r="J2250" s="50">
        <f t="shared" si="291"/>
        <v>9.686941890875659E-3</v>
      </c>
      <c r="K2250" s="50">
        <f t="shared" si="292"/>
        <v>8.7386389198125958E-4</v>
      </c>
      <c r="L2250" s="50">
        <f t="shared" si="293"/>
        <v>3.1898015199814758E-3</v>
      </c>
      <c r="P2250" s="50">
        <f t="shared" si="288"/>
        <v>3.1898015199814758E-3</v>
      </c>
      <c r="Q2250" s="51">
        <f t="shared" si="294"/>
        <v>65.906849601987517</v>
      </c>
      <c r="R2250" s="51">
        <f t="shared" si="295"/>
        <v>20.889948066991693</v>
      </c>
    </row>
    <row r="2251" spans="1:18" x14ac:dyDescent="0.15">
      <c r="A2251" s="59">
        <v>44174.75</v>
      </c>
      <c r="B2251">
        <v>42.606620999999997</v>
      </c>
      <c r="C2251">
        <v>356.11245700000001</v>
      </c>
      <c r="D2251">
        <v>160.13557399999999</v>
      </c>
      <c r="E2251">
        <v>155.07449299999999</v>
      </c>
      <c r="F2251">
        <v>1802.619995</v>
      </c>
      <c r="H2251" s="50">
        <f t="shared" si="289"/>
        <v>2.71980049506159E-4</v>
      </c>
      <c r="I2251" s="50">
        <f t="shared" si="290"/>
        <v>-6.1583791221725163E-3</v>
      </c>
      <c r="J2251" s="50">
        <f t="shared" si="291"/>
        <v>4.0184104221319301E-3</v>
      </c>
      <c r="K2251" s="50">
        <f t="shared" si="292"/>
        <v>-4.7907920292566651E-3</v>
      </c>
      <c r="L2251" s="50">
        <f t="shared" si="293"/>
        <v>1.1446411964822512E-2</v>
      </c>
      <c r="P2251" s="50">
        <f t="shared" si="288"/>
        <v>1.1446411964822512E-2</v>
      </c>
      <c r="Q2251" s="51">
        <f t="shared" si="294"/>
        <v>66.661246553835468</v>
      </c>
      <c r="R2251" s="51">
        <f t="shared" si="295"/>
        <v>20.895629716101134</v>
      </c>
    </row>
    <row r="2252" spans="1:18" x14ac:dyDescent="0.15">
      <c r="A2252" s="59">
        <v>44175.75</v>
      </c>
      <c r="B2252">
        <v>42.595036</v>
      </c>
      <c r="C2252">
        <v>358.31912199999999</v>
      </c>
      <c r="D2252">
        <v>159.49465900000001</v>
      </c>
      <c r="E2252">
        <v>155.820999</v>
      </c>
      <c r="F2252">
        <v>1782.219971</v>
      </c>
      <c r="H2252" s="50">
        <f t="shared" si="289"/>
        <v>9.2687973992519462E-3</v>
      </c>
      <c r="I2252" s="50">
        <f t="shared" si="290"/>
        <v>1.9232236308879204E-3</v>
      </c>
      <c r="J2252" s="50">
        <f t="shared" si="291"/>
        <v>4.2106609352252876E-3</v>
      </c>
      <c r="K2252" s="50">
        <f t="shared" si="292"/>
        <v>-1.2844569724912571E-2</v>
      </c>
      <c r="L2252" s="50">
        <f t="shared" si="293"/>
        <v>3.7848330047873763E-3</v>
      </c>
      <c r="P2252" s="50">
        <f t="shared" si="288"/>
        <v>3.7848330047873763E-3</v>
      </c>
      <c r="Q2252" s="51">
        <f t="shared" si="294"/>
        <v>66.913548239932695</v>
      </c>
      <c r="R2252" s="51">
        <f t="shared" si="295"/>
        <v>21.089307074469463</v>
      </c>
    </row>
    <row r="2253" spans="1:18" x14ac:dyDescent="0.15">
      <c r="A2253" s="59">
        <v>44176.75</v>
      </c>
      <c r="B2253">
        <v>42.203856999999999</v>
      </c>
      <c r="C2253">
        <v>357.63131700000002</v>
      </c>
      <c r="D2253">
        <v>158.825897</v>
      </c>
      <c r="E2253">
        <v>157.84849500000001</v>
      </c>
      <c r="F2253">
        <v>1775.5</v>
      </c>
      <c r="H2253" s="50">
        <f t="shared" si="289"/>
        <v>4.8080325102843201E-4</v>
      </c>
      <c r="I2253" s="50">
        <f t="shared" si="290"/>
        <v>6.7224989348494343E-3</v>
      </c>
      <c r="J2253" s="50">
        <f t="shared" si="291"/>
        <v>-2.4502685248020866E-3</v>
      </c>
      <c r="K2253" s="50">
        <f t="shared" si="292"/>
        <v>-2.5749545529070461E-3</v>
      </c>
      <c r="L2253" s="50">
        <f t="shared" si="293"/>
        <v>1.0142059204911751E-4</v>
      </c>
      <c r="P2253" s="50">
        <f t="shared" si="288"/>
        <v>1.0142059204911751E-4</v>
      </c>
      <c r="Q2253" s="51">
        <f t="shared" si="294"/>
        <v>66.920334651611299</v>
      </c>
      <c r="R2253" s="51">
        <f t="shared" si="295"/>
        <v>21.099446881872804</v>
      </c>
    </row>
    <row r="2254" spans="1:18" x14ac:dyDescent="0.15">
      <c r="A2254" s="59">
        <v>44177.75</v>
      </c>
      <c r="B2254">
        <v>42.183574999999998</v>
      </c>
      <c r="C2254">
        <v>355.24319500000001</v>
      </c>
      <c r="D2254">
        <v>159.21601899999999</v>
      </c>
      <c r="E2254">
        <v>158.25599700000001</v>
      </c>
      <c r="F2254">
        <v>1775.3199460000001</v>
      </c>
      <c r="H2254" s="50">
        <f t="shared" si="289"/>
        <v>1.0313450979273725E-3</v>
      </c>
      <c r="I2254" s="50">
        <f t="shared" si="290"/>
        <v>6.6045888549427795E-3</v>
      </c>
      <c r="J2254" s="50">
        <f t="shared" si="291"/>
        <v>-1.630777388828573E-3</v>
      </c>
      <c r="K2254" s="50">
        <f t="shared" si="292"/>
        <v>-2.3400516553107216E-2</v>
      </c>
      <c r="L2254" s="50">
        <f t="shared" si="293"/>
        <v>-6.2803479099635823E-3</v>
      </c>
      <c r="P2254" s="50">
        <f t="shared" si="288"/>
        <v>-6.2803479099635823E-3</v>
      </c>
      <c r="Q2254" s="51">
        <f t="shared" si="294"/>
        <v>66.500051667747982</v>
      </c>
      <c r="R2254" s="51">
        <f t="shared" si="295"/>
        <v>21.121207692983404</v>
      </c>
    </row>
    <row r="2255" spans="1:18" x14ac:dyDescent="0.15">
      <c r="A2255" s="59">
        <v>44180.75</v>
      </c>
      <c r="B2255">
        <v>42.140113999999997</v>
      </c>
      <c r="C2255">
        <v>352.91235399999999</v>
      </c>
      <c r="D2255">
        <v>159.476089</v>
      </c>
      <c r="E2255">
        <v>162.04800399999999</v>
      </c>
      <c r="F2255">
        <v>1786.540039</v>
      </c>
      <c r="H2255" s="50">
        <f t="shared" si="289"/>
        <v>-4.5858139783789935E-3</v>
      </c>
      <c r="I2255" s="50">
        <f t="shared" si="290"/>
        <v>-2.2954317552350725E-3</v>
      </c>
      <c r="J2255" s="50">
        <f t="shared" si="291"/>
        <v>2.6277690027534141E-3</v>
      </c>
      <c r="K2255" s="50">
        <f t="shared" si="292"/>
        <v>1.5080158617338034E-3</v>
      </c>
      <c r="L2255" s="50">
        <f t="shared" si="293"/>
        <v>3.1106339135317119E-3</v>
      </c>
      <c r="P2255" s="50">
        <f t="shared" si="288"/>
        <v>3.1106339135317119E-3</v>
      </c>
      <c r="Q2255" s="51">
        <f t="shared" si="294"/>
        <v>66.706908983717284</v>
      </c>
      <c r="R2255" s="51">
        <f t="shared" si="295"/>
        <v>21.024349763504674</v>
      </c>
    </row>
    <row r="2256" spans="1:18" x14ac:dyDescent="0.15">
      <c r="A2256" s="59">
        <v>44181.75</v>
      </c>
      <c r="B2256">
        <v>42.334251000000002</v>
      </c>
      <c r="C2256">
        <v>353.72430400000002</v>
      </c>
      <c r="D2256">
        <v>159.058121</v>
      </c>
      <c r="E2256">
        <v>161.804001</v>
      </c>
      <c r="F2256">
        <v>1781</v>
      </c>
      <c r="H2256" s="50">
        <f t="shared" si="289"/>
        <v>1.0276468936228497E-3</v>
      </c>
      <c r="I2256" s="50">
        <f t="shared" si="290"/>
        <v>8.9645115113772544E-3</v>
      </c>
      <c r="J2256" s="50">
        <f t="shared" si="291"/>
        <v>4.8118840238816577E-3</v>
      </c>
      <c r="K2256" s="50">
        <f t="shared" si="292"/>
        <v>1.075381104733344E-2</v>
      </c>
      <c r="L2256" s="50">
        <f t="shared" si="293"/>
        <v>-1.6375347862365271E-2</v>
      </c>
      <c r="P2256" s="50">
        <f t="shared" si="288"/>
        <v>-1.6375347862365271E-2</v>
      </c>
      <c r="Q2256" s="51">
        <f t="shared" si="294"/>
        <v>65.614560144285775</v>
      </c>
      <c r="R2256" s="51">
        <f t="shared" si="295"/>
        <v>21.045955371229578</v>
      </c>
    </row>
    <row r="2257" spans="1:18" x14ac:dyDescent="0.15">
      <c r="A2257" s="59">
        <v>44182.75</v>
      </c>
      <c r="B2257">
        <v>42.290790999999999</v>
      </c>
      <c r="C2257">
        <v>350.58151199999998</v>
      </c>
      <c r="D2257">
        <v>158.29641699999999</v>
      </c>
      <c r="E2257">
        <v>160.082504</v>
      </c>
      <c r="F2257">
        <v>1810.650024</v>
      </c>
      <c r="H2257" s="50">
        <f t="shared" si="289"/>
        <v>-1.3679593977546962E-4</v>
      </c>
      <c r="I2257" s="50">
        <f t="shared" si="290"/>
        <v>5.5620841501134791E-3</v>
      </c>
      <c r="J2257" s="50">
        <f t="shared" si="291"/>
        <v>-7.8016883761501026E-3</v>
      </c>
      <c r="K2257" s="50">
        <f t="shared" si="292"/>
        <v>-1.4129087669597965E-3</v>
      </c>
      <c r="L2257" s="50">
        <f t="shared" si="293"/>
        <v>5.8026525968524916E-4</v>
      </c>
      <c r="P2257" s="50">
        <f t="shared" si="288"/>
        <v>5.8026525968524916E-4</v>
      </c>
      <c r="Q2257" s="51">
        <f t="shared" si="294"/>
        <v>65.652633994067045</v>
      </c>
      <c r="R2257" s="51">
        <f t="shared" si="295"/>
        <v>21.0430763699861</v>
      </c>
    </row>
    <row r="2258" spans="1:18" x14ac:dyDescent="0.15">
      <c r="A2258" s="59">
        <v>44183.75</v>
      </c>
      <c r="B2258">
        <v>42.296576999999999</v>
      </c>
      <c r="C2258">
        <v>348.64233400000001</v>
      </c>
      <c r="D2258">
        <v>159.54110700000001</v>
      </c>
      <c r="E2258">
        <v>160.30900600000001</v>
      </c>
      <c r="F2258">
        <v>1809.599976</v>
      </c>
      <c r="H2258" s="50">
        <f t="shared" si="289"/>
        <v>1.2274401598690119E-2</v>
      </c>
      <c r="I2258" s="50">
        <f t="shared" si="290"/>
        <v>8.1207801110460172E-3</v>
      </c>
      <c r="J2258" s="50">
        <f t="shared" si="291"/>
        <v>-3.4231185155372103E-3</v>
      </c>
      <c r="K2258" s="50">
        <f t="shared" si="292"/>
        <v>-1.060214785868483E-4</v>
      </c>
      <c r="L2258" s="50">
        <f t="shared" si="293"/>
        <v>-4.7956191753726176E-3</v>
      </c>
      <c r="P2258" s="50">
        <f t="shared" si="288"/>
        <v>-4.7956191753726176E-3</v>
      </c>
      <c r="Q2258" s="51">
        <f t="shared" si="294"/>
        <v>65.33778896357137</v>
      </c>
      <c r="R2258" s="51">
        <f t="shared" si="295"/>
        <v>21.301367540223218</v>
      </c>
    </row>
    <row r="2259" spans="1:18" x14ac:dyDescent="0.15">
      <c r="A2259" s="59">
        <v>44184.75</v>
      </c>
      <c r="B2259">
        <v>41.783707</v>
      </c>
      <c r="C2259">
        <v>345.83389299999999</v>
      </c>
      <c r="D2259">
        <v>160.089111</v>
      </c>
      <c r="E2259">
        <v>160.32600400000001</v>
      </c>
      <c r="F2259">
        <v>1818.3199460000001</v>
      </c>
      <c r="H2259" s="50">
        <f t="shared" si="289"/>
        <v>6.8427910126554461E-3</v>
      </c>
      <c r="I2259" s="50">
        <f t="shared" si="290"/>
        <v>3.8700885088532931E-4</v>
      </c>
      <c r="J2259" s="50">
        <f t="shared" si="291"/>
        <v>-1.4636105013205879E-2</v>
      </c>
      <c r="K2259" s="50">
        <f t="shared" si="292"/>
        <v>6.6713338166916126E-3</v>
      </c>
      <c r="L2259" s="50">
        <f t="shared" si="293"/>
        <v>-5.2899873921081822E-3</v>
      </c>
      <c r="P2259" s="50">
        <f t="shared" si="288"/>
        <v>-5.2899873921081822E-3</v>
      </c>
      <c r="Q2259" s="51">
        <f t="shared" si="294"/>
        <v>64.992152883725851</v>
      </c>
      <c r="R2259" s="51">
        <f t="shared" si="295"/>
        <v>21.447128346584726</v>
      </c>
    </row>
    <row r="2260" spans="1:18" x14ac:dyDescent="0.15">
      <c r="A2260" s="59">
        <v>44187.75</v>
      </c>
      <c r="B2260">
        <v>41.499732999999999</v>
      </c>
      <c r="C2260">
        <v>345.70010400000001</v>
      </c>
      <c r="D2260">
        <v>162.466995</v>
      </c>
      <c r="E2260">
        <v>159.26350400000001</v>
      </c>
      <c r="F2260">
        <v>1827.98999</v>
      </c>
      <c r="H2260" s="50">
        <f t="shared" si="289"/>
        <v>-1.951161957577389E-3</v>
      </c>
      <c r="I2260" s="50">
        <f t="shared" si="290"/>
        <v>-7.3783067202693418E-3</v>
      </c>
      <c r="J2260" s="50">
        <f t="shared" si="291"/>
        <v>-1.598393904857709E-3</v>
      </c>
      <c r="K2260" s="50">
        <f t="shared" si="292"/>
        <v>3.9650768036559722E-3</v>
      </c>
      <c r="L2260" s="50">
        <f t="shared" si="293"/>
        <v>-2.9072699566865664E-3</v>
      </c>
      <c r="P2260" s="50">
        <f t="shared" si="288"/>
        <v>-2.9072699566865664E-3</v>
      </c>
      <c r="Q2260" s="51">
        <f t="shared" si="294"/>
        <v>64.803203150226622</v>
      </c>
      <c r="R2260" s="51">
        <f t="shared" si="295"/>
        <v>21.405281525655592</v>
      </c>
    </row>
    <row r="2261" spans="1:18" x14ac:dyDescent="0.15">
      <c r="A2261" s="59">
        <v>44188.75</v>
      </c>
      <c r="B2261">
        <v>41.580863999999998</v>
      </c>
      <c r="C2261">
        <v>348.269745</v>
      </c>
      <c r="D2261">
        <v>162.72709699999999</v>
      </c>
      <c r="E2261">
        <v>158.63450599999999</v>
      </c>
      <c r="F2261">
        <v>1833.3199460000001</v>
      </c>
      <c r="H2261" s="50">
        <f t="shared" si="289"/>
        <v>-1.1844078794742904E-2</v>
      </c>
      <c r="I2261" s="50">
        <f t="shared" si="290"/>
        <v>-1.7463539715972826E-2</v>
      </c>
      <c r="J2261" s="50">
        <f t="shared" si="291"/>
        <v>-6.803053539702628E-3</v>
      </c>
      <c r="K2261" s="50">
        <f t="shared" si="292"/>
        <v>-3.388282480764488E-2</v>
      </c>
      <c r="L2261" s="50">
        <f t="shared" si="293"/>
        <v>-4.723115875798059E-3</v>
      </c>
      <c r="P2261" s="50">
        <f t="shared" si="288"/>
        <v>-4.723115875798059E-3</v>
      </c>
      <c r="Q2261" s="51">
        <f t="shared" si="294"/>
        <v>64.497130112625214</v>
      </c>
      <c r="R2261" s="51">
        <f t="shared" si="295"/>
        <v>21.151755684642072</v>
      </c>
    </row>
    <row r="2262" spans="1:18" x14ac:dyDescent="0.15">
      <c r="A2262" s="59">
        <v>44190.75</v>
      </c>
      <c r="B2262">
        <v>42.079253999999999</v>
      </c>
      <c r="C2262">
        <v>354.45986900000003</v>
      </c>
      <c r="D2262">
        <v>163.84172100000001</v>
      </c>
      <c r="E2262">
        <v>164.19799800000001</v>
      </c>
      <c r="F2262">
        <v>1842.0200199999999</v>
      </c>
      <c r="H2262" s="50">
        <f t="shared" si="289"/>
        <v>6.3755547809366446E-3</v>
      </c>
      <c r="I2262" s="50">
        <f t="shared" si="290"/>
        <v>-4.4537105111703227E-3</v>
      </c>
      <c r="J2262" s="50">
        <f t="shared" si="291"/>
        <v>7.7125612283971638E-3</v>
      </c>
      <c r="K2262" s="50">
        <f t="shared" si="292"/>
        <v>-1.1450980922902525E-2</v>
      </c>
      <c r="L2262" s="50">
        <f t="shared" si="293"/>
        <v>3.3669816005166996E-4</v>
      </c>
      <c r="P2262" s="50">
        <f t="shared" si="288"/>
        <v>3.3669816005166996E-4</v>
      </c>
      <c r="Q2262" s="51">
        <f t="shared" si="294"/>
        <v>64.518846177662752</v>
      </c>
      <c r="R2262" s="51">
        <f t="shared" si="295"/>
        <v>21.286609861722493</v>
      </c>
    </row>
    <row r="2263" spans="1:18" x14ac:dyDescent="0.15">
      <c r="A2263" s="59">
        <v>44191.75</v>
      </c>
      <c r="B2263">
        <v>41.812674999999999</v>
      </c>
      <c r="C2263">
        <v>356.045593</v>
      </c>
      <c r="D2263">
        <v>162.58775299999999</v>
      </c>
      <c r="E2263">
        <v>166.10000600000001</v>
      </c>
      <c r="F2263">
        <v>1841.400024</v>
      </c>
      <c r="H2263" s="50">
        <f t="shared" si="289"/>
        <v>8.3209041179458894E-4</v>
      </c>
      <c r="I2263" s="50">
        <f t="shared" si="290"/>
        <v>-4.6201488980325556E-3</v>
      </c>
      <c r="J2263" s="50">
        <f t="shared" si="291"/>
        <v>6.6711101397247813E-3</v>
      </c>
      <c r="K2263" s="50">
        <f t="shared" si="292"/>
        <v>1.1001780629104374E-2</v>
      </c>
      <c r="L2263" s="50">
        <f t="shared" si="293"/>
        <v>1.7928596396736665E-4</v>
      </c>
      <c r="P2263" s="50">
        <f t="shared" si="288"/>
        <v>1.7928596396736665E-4</v>
      </c>
      <c r="Q2263" s="51">
        <f t="shared" si="294"/>
        <v>64.530413501193777</v>
      </c>
      <c r="R2263" s="51">
        <f t="shared" si="295"/>
        <v>21.304322245688045</v>
      </c>
    </row>
    <row r="2264" spans="1:18" x14ac:dyDescent="0.15">
      <c r="A2264" s="59">
        <v>44194.75</v>
      </c>
      <c r="B2264">
        <v>41.777912000000001</v>
      </c>
      <c r="C2264">
        <v>357.69821200000001</v>
      </c>
      <c r="D2264">
        <v>161.5103</v>
      </c>
      <c r="E2264">
        <v>164.292496</v>
      </c>
      <c r="F2264">
        <v>1841.0699460000001</v>
      </c>
      <c r="H2264" s="50">
        <f t="shared" si="289"/>
        <v>2.0821554822129064E-4</v>
      </c>
      <c r="I2264" s="50">
        <f t="shared" si="290"/>
        <v>-6.184080339113566E-3</v>
      </c>
      <c r="J2264" s="50">
        <f t="shared" si="291"/>
        <v>-1.5011553421594678E-2</v>
      </c>
      <c r="K2264" s="50">
        <f t="shared" si="292"/>
        <v>8.8795216761709071E-3</v>
      </c>
      <c r="L2264" s="50">
        <f t="shared" si="293"/>
        <v>-3.9440580077262271E-3</v>
      </c>
      <c r="P2264" s="50">
        <f t="shared" si="288"/>
        <v>-3.9440580077262271E-3</v>
      </c>
      <c r="Q2264" s="51">
        <f t="shared" si="294"/>
        <v>64.275901807082505</v>
      </c>
      <c r="R2264" s="51">
        <f t="shared" si="295"/>
        <v>21.308758136823915</v>
      </c>
    </row>
    <row r="2265" spans="1:18" x14ac:dyDescent="0.15">
      <c r="A2265" s="59">
        <v>44195.75</v>
      </c>
      <c r="B2265">
        <v>41.769215000000003</v>
      </c>
      <c r="C2265">
        <v>359.92401100000001</v>
      </c>
      <c r="D2265">
        <v>163.97177099999999</v>
      </c>
      <c r="E2265">
        <v>162.846497</v>
      </c>
      <c r="F2265">
        <v>1848.3599850000001</v>
      </c>
      <c r="H2265" s="50">
        <f t="shared" si="289"/>
        <v>-1.6242362869627526E-2</v>
      </c>
      <c r="I2265" s="50">
        <f t="shared" si="290"/>
        <v>-8.8646775495630319E-3</v>
      </c>
      <c r="J2265" s="50">
        <f t="shared" si="291"/>
        <v>-6.1926312679623343E-3</v>
      </c>
      <c r="K2265" s="50">
        <f t="shared" si="292"/>
        <v>2.206092371052025E-2</v>
      </c>
      <c r="L2265" s="50">
        <f t="shared" si="293"/>
        <v>8.9411484725941074E-3</v>
      </c>
      <c r="P2265" s="50">
        <f t="shared" si="288"/>
        <v>8.9411484725941074E-3</v>
      </c>
      <c r="Q2265" s="51">
        <f t="shared" si="294"/>
        <v>64.850602188349512</v>
      </c>
      <c r="R2265" s="51">
        <f t="shared" si="295"/>
        <v>20.962653554864492</v>
      </c>
    </row>
    <row r="2266" spans="1:18" x14ac:dyDescent="0.15">
      <c r="A2266" s="59">
        <v>44197.75</v>
      </c>
      <c r="B2266">
        <v>42.458846999999999</v>
      </c>
      <c r="C2266">
        <v>363.14315800000003</v>
      </c>
      <c r="D2266">
        <v>164.993515</v>
      </c>
      <c r="E2266">
        <v>159.33149700000001</v>
      </c>
      <c r="F2266">
        <v>1831.9799800000001</v>
      </c>
      <c r="H2266" s="50">
        <f t="shared" si="289"/>
        <v>5.3515944490015004E-3</v>
      </c>
      <c r="I2266" s="50">
        <f t="shared" si="290"/>
        <v>1.1736664537833072E-2</v>
      </c>
      <c r="J2266" s="50">
        <f t="shared" si="291"/>
        <v>-1.5190971913939179E-2</v>
      </c>
      <c r="K2266" s="50">
        <f t="shared" si="292"/>
        <v>-9.9052662919371579E-3</v>
      </c>
      <c r="L2266" s="50">
        <f t="shared" si="293"/>
        <v>3.3307578570438003E-4</v>
      </c>
      <c r="P2266" s="50">
        <f t="shared" si="288"/>
        <v>3.3307578570438003E-4</v>
      </c>
      <c r="Q2266" s="51">
        <f t="shared" si="294"/>
        <v>64.87220235362679</v>
      </c>
      <c r="R2266" s="51">
        <f t="shared" si="295"/>
        <v>21.074837175265046</v>
      </c>
    </row>
    <row r="2267" spans="1:18" x14ac:dyDescent="0.15">
      <c r="A2267" s="59">
        <v>44198.75</v>
      </c>
      <c r="B2267">
        <v>42.232833999999997</v>
      </c>
      <c r="C2267">
        <v>358.93051100000002</v>
      </c>
      <c r="D2267">
        <v>167.538589</v>
      </c>
      <c r="E2267">
        <v>160.92550700000001</v>
      </c>
      <c r="F2267">
        <v>1831.369995</v>
      </c>
      <c r="H2267" s="50">
        <f t="shared" si="289"/>
        <v>-6.2047208438020156E-3</v>
      </c>
      <c r="I2267" s="50">
        <f t="shared" si="290"/>
        <v>1.5458729496670478E-2</v>
      </c>
      <c r="J2267" s="50">
        <f t="shared" si="291"/>
        <v>-4.5257250374596041E-2</v>
      </c>
      <c r="K2267" s="50">
        <f t="shared" si="292"/>
        <v>2.5532286382186326E-2</v>
      </c>
      <c r="L2267" s="50">
        <f t="shared" si="293"/>
        <v>2.5180920146697428E-3</v>
      </c>
      <c r="P2267" s="50">
        <f t="shared" si="288"/>
        <v>2.5180920146697428E-3</v>
      </c>
      <c r="Q2267" s="51">
        <f t="shared" si="294"/>
        <v>65.035556528347499</v>
      </c>
      <c r="R2267" s="51">
        <f t="shared" si="295"/>
        <v>20.944073693763947</v>
      </c>
    </row>
    <row r="2268" spans="1:18" x14ac:dyDescent="0.15">
      <c r="A2268" s="59">
        <v>44201.75</v>
      </c>
      <c r="B2268">
        <v>42.496513</v>
      </c>
      <c r="C2268">
        <v>353.46636999999998</v>
      </c>
      <c r="D2268">
        <v>175.48034699999999</v>
      </c>
      <c r="E2268">
        <v>156.919006</v>
      </c>
      <c r="F2268">
        <v>1826.7700199999999</v>
      </c>
      <c r="H2268" s="50">
        <f t="shared" si="289"/>
        <v>6.8222015665679052E-5</v>
      </c>
      <c r="I2268" s="50">
        <f t="shared" si="290"/>
        <v>5.7076479732032781E-3</v>
      </c>
      <c r="J2268" s="50">
        <f t="shared" si="291"/>
        <v>-1.1407733899521211E-2</v>
      </c>
      <c r="K2268" s="50">
        <f t="shared" si="292"/>
        <v>-7.5201506878823446E-3</v>
      </c>
      <c r="L2268" s="50">
        <f t="shared" si="293"/>
        <v>-6.0450002011965152E-3</v>
      </c>
      <c r="P2268" s="50">
        <f t="shared" si="288"/>
        <v>-6.0450002011965152E-3</v>
      </c>
      <c r="Q2268" s="51">
        <f t="shared" si="294"/>
        <v>64.642416576048717</v>
      </c>
      <c r="R2268" s="51">
        <f t="shared" si="295"/>
        <v>20.945502540687585</v>
      </c>
    </row>
    <row r="2269" spans="1:18" x14ac:dyDescent="0.15">
      <c r="A2269" s="59">
        <v>44202.75</v>
      </c>
      <c r="B2269">
        <v>42.493614000000001</v>
      </c>
      <c r="C2269">
        <v>351.46035799999999</v>
      </c>
      <c r="D2269">
        <v>177.50528</v>
      </c>
      <c r="E2269">
        <v>158.108002</v>
      </c>
      <c r="F2269">
        <v>1837.880005</v>
      </c>
      <c r="H2269" s="50">
        <f t="shared" si="289"/>
        <v>1.36203717831886E-4</v>
      </c>
      <c r="I2269" s="50">
        <f t="shared" si="290"/>
        <v>-5.4602457657865503E-3</v>
      </c>
      <c r="J2269" s="50">
        <f t="shared" si="291"/>
        <v>-1.2913257430715338E-2</v>
      </c>
      <c r="K2269" s="50">
        <f t="shared" si="292"/>
        <v>-6.4535962061644863E-3</v>
      </c>
      <c r="L2269" s="50">
        <f t="shared" si="293"/>
        <v>2.1225421750457998E-4</v>
      </c>
      <c r="P2269" s="50">
        <f t="shared" si="288"/>
        <v>2.1225421750457998E-4</v>
      </c>
      <c r="Q2269" s="51">
        <f t="shared" si="294"/>
        <v>64.656137201596664</v>
      </c>
      <c r="R2269" s="51">
        <f t="shared" si="295"/>
        <v>20.948355396005482</v>
      </c>
    </row>
    <row r="2270" spans="1:18" x14ac:dyDescent="0.15">
      <c r="A2270" s="59">
        <v>44203.75</v>
      </c>
      <c r="B2270">
        <v>42.487827000000003</v>
      </c>
      <c r="C2270">
        <v>353.38995399999999</v>
      </c>
      <c r="D2270">
        <v>179.827438</v>
      </c>
      <c r="E2270">
        <v>159.134995</v>
      </c>
      <c r="F2270">
        <v>1837.48999</v>
      </c>
      <c r="H2270" s="50">
        <f t="shared" si="289"/>
        <v>-4.4806752763848446E-3</v>
      </c>
      <c r="I2270" s="50">
        <f t="shared" si="290"/>
        <v>1.6290746789311309E-2</v>
      </c>
      <c r="J2270" s="50">
        <f t="shared" si="291"/>
        <v>-8.6030313682844591E-3</v>
      </c>
      <c r="K2270" s="50">
        <f t="shared" si="292"/>
        <v>2.1992737226864473E-2</v>
      </c>
      <c r="L2270" s="50">
        <f t="shared" si="293"/>
        <v>-3.4818810326745549E-4</v>
      </c>
      <c r="P2270" s="50">
        <f t="shared" si="288"/>
        <v>-3.4818810326745549E-4</v>
      </c>
      <c r="Q2270" s="51">
        <f t="shared" si="294"/>
        <v>64.633624703819848</v>
      </c>
      <c r="R2270" s="51">
        <f t="shared" si="295"/>
        <v>20.854492617901677</v>
      </c>
    </row>
    <row r="2271" spans="1:18" x14ac:dyDescent="0.15">
      <c r="A2271" s="59">
        <v>44204.75</v>
      </c>
      <c r="B2271">
        <v>42.679057999999998</v>
      </c>
      <c r="C2271">
        <v>347.72525000000002</v>
      </c>
      <c r="D2271">
        <v>181.387924</v>
      </c>
      <c r="E2271">
        <v>155.71049500000001</v>
      </c>
      <c r="F2271">
        <v>1838.130005</v>
      </c>
      <c r="H2271" s="50">
        <f t="shared" si="289"/>
        <v>-1.1277637490751684E-2</v>
      </c>
      <c r="I2271" s="50">
        <f t="shared" si="290"/>
        <v>-5.2165704246866771E-4</v>
      </c>
      <c r="J2271" s="50">
        <f t="shared" si="291"/>
        <v>-1.9186099858141837E-2</v>
      </c>
      <c r="K2271" s="50">
        <f t="shared" si="292"/>
        <v>-2.121288192659272E-3</v>
      </c>
      <c r="L2271" s="50">
        <f t="shared" si="293"/>
        <v>-2.3013781224764432E-3</v>
      </c>
      <c r="P2271" s="50">
        <f t="shared" si="288"/>
        <v>-2.3013781224764432E-3</v>
      </c>
      <c r="Q2271" s="51">
        <f t="shared" si="294"/>
        <v>64.484878293950118</v>
      </c>
      <c r="R2271" s="51">
        <f t="shared" si="295"/>
        <v>20.619303210103425</v>
      </c>
    </row>
    <row r="2272" spans="1:18" x14ac:dyDescent="0.15">
      <c r="A2272" s="59">
        <v>44205.75</v>
      </c>
      <c r="B2272">
        <v>43.165866999999999</v>
      </c>
      <c r="C2272">
        <v>347.90673800000002</v>
      </c>
      <c r="D2272">
        <v>184.936127</v>
      </c>
      <c r="E2272">
        <v>156.041504</v>
      </c>
      <c r="F2272">
        <v>1842.369995</v>
      </c>
      <c r="H2272" s="50">
        <f t="shared" si="289"/>
        <v>1.0308544583401401E-2</v>
      </c>
      <c r="I2272" s="50">
        <f t="shared" si="290"/>
        <v>-7.4943253966595893E-3</v>
      </c>
      <c r="J2272" s="50">
        <f t="shared" si="291"/>
        <v>1.1584000707500128E-2</v>
      </c>
      <c r="K2272" s="50">
        <f t="shared" si="292"/>
        <v>-1.4232908099552095E-2</v>
      </c>
      <c r="L2272" s="50">
        <f t="shared" si="293"/>
        <v>1.2736392163634112E-2</v>
      </c>
      <c r="P2272" s="50">
        <f t="shared" si="288"/>
        <v>1.2736392163634112E-2</v>
      </c>
      <c r="Q2272" s="51">
        <f t="shared" si="294"/>
        <v>65.306182992526075</v>
      </c>
      <c r="R2272" s="51">
        <f t="shared" si="295"/>
        <v>20.83185821652345</v>
      </c>
    </row>
    <row r="2273" spans="1:18" x14ac:dyDescent="0.15">
      <c r="A2273" s="59">
        <v>44208.75</v>
      </c>
      <c r="B2273">
        <v>42.725430000000003</v>
      </c>
      <c r="C2273">
        <v>350.53375199999999</v>
      </c>
      <c r="D2273">
        <v>182.81835899999999</v>
      </c>
      <c r="E2273">
        <v>158.29449500000001</v>
      </c>
      <c r="F2273">
        <v>1819.1999510000001</v>
      </c>
      <c r="H2273" s="50">
        <f t="shared" si="289"/>
        <v>3.2659294131504963E-3</v>
      </c>
      <c r="I2273" s="50">
        <f t="shared" si="290"/>
        <v>1.2694955848526826E-2</v>
      </c>
      <c r="J2273" s="50">
        <f t="shared" si="291"/>
        <v>-6.0096504378262519E-3</v>
      </c>
      <c r="K2273" s="50">
        <f t="shared" si="292"/>
        <v>1.2284625838629232E-2</v>
      </c>
      <c r="L2273" s="50">
        <f t="shared" si="293"/>
        <v>-1.0702195872753496E-2</v>
      </c>
      <c r="P2273" s="50">
        <f t="shared" si="288"/>
        <v>-1.0702195872753496E-2</v>
      </c>
      <c r="Q2273" s="51">
        <f t="shared" si="294"/>
        <v>64.607263430438181</v>
      </c>
      <c r="R2273" s="51">
        <f t="shared" si="295"/>
        <v>20.899893595003377</v>
      </c>
    </row>
    <row r="2274" spans="1:18" x14ac:dyDescent="0.15">
      <c r="A2274" s="59">
        <v>44209.75</v>
      </c>
      <c r="B2274">
        <v>42.586345999999999</v>
      </c>
      <c r="C2274">
        <v>346.13952599999999</v>
      </c>
      <c r="D2274">
        <v>183.923676</v>
      </c>
      <c r="E2274">
        <v>156.37350499999999</v>
      </c>
      <c r="F2274">
        <v>1838.880005</v>
      </c>
      <c r="H2274" s="50">
        <f t="shared" si="289"/>
        <v>1.610910917975749E-2</v>
      </c>
      <c r="I2274" s="50">
        <f t="shared" si="290"/>
        <v>5.2468217472214935E-4</v>
      </c>
      <c r="J2274" s="50">
        <f t="shared" si="291"/>
        <v>1.6478364478765946E-2</v>
      </c>
      <c r="K2274" s="50">
        <f t="shared" si="292"/>
        <v>7.4801388089286297E-3</v>
      </c>
      <c r="L2274" s="50">
        <f t="shared" si="293"/>
        <v>-5.1396357752744679E-3</v>
      </c>
      <c r="P2274" s="50">
        <f t="shared" si="288"/>
        <v>-5.1396357752744679E-3</v>
      </c>
      <c r="Q2274" s="51">
        <f t="shared" si="294"/>
        <v>64.275205627968518</v>
      </c>
      <c r="R2274" s="51">
        <f t="shared" si="295"/>
        <v>21.236572262770597</v>
      </c>
    </row>
    <row r="2275" spans="1:18" x14ac:dyDescent="0.15">
      <c r="A2275" s="59">
        <v>44210.75</v>
      </c>
      <c r="B2275">
        <v>41.911194000000002</v>
      </c>
      <c r="C2275">
        <v>345.95800800000001</v>
      </c>
      <c r="D2275">
        <v>180.942047</v>
      </c>
      <c r="E2275">
        <v>155.21249399999999</v>
      </c>
      <c r="F2275">
        <v>1848.380005</v>
      </c>
      <c r="H2275" s="50">
        <f t="shared" si="289"/>
        <v>8.717467802829091E-3</v>
      </c>
      <c r="I2275" s="50">
        <f t="shared" si="290"/>
        <v>2.1694286311910265E-2</v>
      </c>
      <c r="J2275" s="50">
        <f t="shared" si="291"/>
        <v>3.5289195873590244E-2</v>
      </c>
      <c r="K2275" s="50">
        <f t="shared" si="292"/>
        <v>-5.2903781882764093E-3</v>
      </c>
      <c r="L2275" s="50">
        <f t="shared" si="293"/>
        <v>1.348937358003984E-3</v>
      </c>
      <c r="P2275" s="50">
        <f t="shared" si="288"/>
        <v>1.348937358003984E-3</v>
      </c>
      <c r="Q2275" s="51">
        <f t="shared" si="294"/>
        <v>64.361908854033473</v>
      </c>
      <c r="R2275" s="51">
        <f t="shared" si="295"/>
        <v>21.42170139771375</v>
      </c>
    </row>
    <row r="2276" spans="1:18" x14ac:dyDescent="0.15">
      <c r="A2276" s="59">
        <v>44211.75</v>
      </c>
      <c r="B2276">
        <v>41.548991999999998</v>
      </c>
      <c r="C2276">
        <v>338.61206099999998</v>
      </c>
      <c r="D2276">
        <v>174.77439899999999</v>
      </c>
      <c r="E2276">
        <v>156.037994</v>
      </c>
      <c r="F2276">
        <v>1845.8900149999999</v>
      </c>
      <c r="H2276" s="50">
        <f t="shared" si="289"/>
        <v>-1.4569451983915557E-2</v>
      </c>
      <c r="I2276" s="50">
        <f t="shared" si="290"/>
        <v>-1.8903952220296189E-2</v>
      </c>
      <c r="J2276" s="50">
        <f t="shared" si="291"/>
        <v>-7.4372594687121976E-4</v>
      </c>
      <c r="K2276" s="50">
        <f t="shared" si="292"/>
        <v>-4.3703226334540511E-2</v>
      </c>
      <c r="L2276" s="50">
        <f t="shared" si="293"/>
        <v>3.9104063695055225E-3</v>
      </c>
      <c r="P2276" s="50">
        <f t="shared" si="288"/>
        <v>3.9104063695055225E-3</v>
      </c>
      <c r="Q2276" s="51">
        <f t="shared" si="294"/>
        <v>64.613590072369817</v>
      </c>
      <c r="R2276" s="51">
        <f t="shared" si="295"/>
        <v>21.109598947785983</v>
      </c>
    </row>
    <row r="2277" spans="1:18" x14ac:dyDescent="0.15">
      <c r="A2277" s="59">
        <v>44212.75</v>
      </c>
      <c r="B2277">
        <v>42.163288000000001</v>
      </c>
      <c r="C2277">
        <v>345.136505</v>
      </c>
      <c r="D2277">
        <v>174.90448000000001</v>
      </c>
      <c r="E2277">
        <v>163.169006</v>
      </c>
      <c r="F2277">
        <v>1838.6999510000001</v>
      </c>
      <c r="H2277" s="50">
        <f t="shared" si="289"/>
        <v>4.5565093068380986E-3</v>
      </c>
      <c r="I2277" s="50">
        <f t="shared" si="290"/>
        <v>-4.1344133110714767E-3</v>
      </c>
      <c r="J2277" s="50">
        <f t="shared" si="291"/>
        <v>-1.5527768883451285E-2</v>
      </c>
      <c r="K2277" s="50">
        <f t="shared" si="292"/>
        <v>-1.3187200205857301E-2</v>
      </c>
      <c r="L2277" s="50">
        <f t="shared" si="293"/>
        <v>-2.7660797616129626E-3</v>
      </c>
      <c r="P2277" s="50">
        <f t="shared" si="288"/>
        <v>-2.7660797616129626E-3</v>
      </c>
      <c r="Q2277" s="51">
        <f t="shared" si="294"/>
        <v>64.43486372854548</v>
      </c>
      <c r="R2277" s="51">
        <f t="shared" si="295"/>
        <v>21.205785031855189</v>
      </c>
    </row>
    <row r="2278" spans="1:18" x14ac:dyDescent="0.15">
      <c r="A2278" s="59">
        <v>44216.75</v>
      </c>
      <c r="B2278">
        <v>41.972042000000002</v>
      </c>
      <c r="C2278">
        <v>346.569366</v>
      </c>
      <c r="D2278">
        <v>177.66319300000001</v>
      </c>
      <c r="E2278">
        <v>165.349503</v>
      </c>
      <c r="F2278">
        <v>1843.8000489999999</v>
      </c>
      <c r="H2278" s="50">
        <f t="shared" si="289"/>
        <v>-1.0114127321383939E-2</v>
      </c>
      <c r="I2278" s="50">
        <f t="shared" si="290"/>
        <v>1.3800676246137713E-3</v>
      </c>
      <c r="J2278" s="50">
        <f t="shared" si="291"/>
        <v>-3.3347910548239866E-3</v>
      </c>
      <c r="K2278" s="50">
        <f t="shared" si="292"/>
        <v>4.4833260005122024E-3</v>
      </c>
      <c r="L2278" s="50">
        <f t="shared" si="293"/>
        <v>-5.7453465770742869E-4</v>
      </c>
      <c r="P2278" s="50">
        <f t="shared" si="288"/>
        <v>-5.7453465770742869E-4</v>
      </c>
      <c r="Q2278" s="51">
        <f t="shared" si="294"/>
        <v>64.397843666168782</v>
      </c>
      <c r="R2278" s="51">
        <f t="shared" si="295"/>
        <v>20.991307022093107</v>
      </c>
    </row>
    <row r="2279" spans="1:18" x14ac:dyDescent="0.15">
      <c r="A2279" s="59">
        <v>44217.75</v>
      </c>
      <c r="B2279">
        <v>42.400889999999997</v>
      </c>
      <c r="C2279">
        <v>346.09173600000003</v>
      </c>
      <c r="D2279">
        <v>178.257645</v>
      </c>
      <c r="E2279">
        <v>164.61149599999999</v>
      </c>
      <c r="F2279">
        <v>1844.8599850000001</v>
      </c>
      <c r="H2279" s="50">
        <f t="shared" si="289"/>
        <v>8.8912024259519119E-4</v>
      </c>
      <c r="I2279" s="50">
        <f t="shared" si="290"/>
        <v>1.1605292585491333E-3</v>
      </c>
      <c r="J2279" s="50">
        <f t="shared" si="291"/>
        <v>9.2558579439514892E-3</v>
      </c>
      <c r="K2279" s="50">
        <f t="shared" si="292"/>
        <v>-5.3734670074103244E-4</v>
      </c>
      <c r="L2279" s="50">
        <f t="shared" si="293"/>
        <v>8.9693098836196115E-3</v>
      </c>
      <c r="P2279" s="50">
        <f t="shared" si="288"/>
        <v>8.9693098836196115E-3</v>
      </c>
      <c r="Q2279" s="51">
        <f t="shared" si="294"/>
        <v>64.975447881847543</v>
      </c>
      <c r="R2279" s="51">
        <f t="shared" si="295"/>
        <v>21.00997081808498</v>
      </c>
    </row>
    <row r="2280" spans="1:18" x14ac:dyDescent="0.15">
      <c r="A2280" s="59">
        <v>44218.75</v>
      </c>
      <c r="B2280">
        <v>42.363224000000002</v>
      </c>
      <c r="C2280">
        <v>345.69055200000003</v>
      </c>
      <c r="D2280">
        <v>176.622849</v>
      </c>
      <c r="E2280">
        <v>164.699997</v>
      </c>
      <c r="F2280">
        <v>1828.459961</v>
      </c>
      <c r="H2280" s="50">
        <f t="shared" si="289"/>
        <v>-8.8809533652445833E-3</v>
      </c>
      <c r="I2280" s="50">
        <f t="shared" si="290"/>
        <v>-8.49366981482488E-3</v>
      </c>
      <c r="J2280" s="50">
        <f t="shared" si="291"/>
        <v>1.3052763808791414E-2</v>
      </c>
      <c r="K2280" s="50">
        <f t="shared" si="292"/>
        <v>-9.6599108935625684E-3</v>
      </c>
      <c r="L2280" s="50">
        <f t="shared" si="293"/>
        <v>2.1320524143294998E-2</v>
      </c>
      <c r="P2280" s="50">
        <f t="shared" si="288"/>
        <v>2.1320524143294998E-2</v>
      </c>
      <c r="Q2280" s="51">
        <f t="shared" si="294"/>
        <v>66.360758487133879</v>
      </c>
      <c r="R2280" s="51">
        <f t="shared" si="295"/>
        <v>20.823382247044417</v>
      </c>
    </row>
    <row r="2281" spans="1:18" x14ac:dyDescent="0.15">
      <c r="A2281" s="59">
        <v>44219.75</v>
      </c>
      <c r="B2281">
        <v>42.742820999999999</v>
      </c>
      <c r="C2281">
        <v>348.65188599999999</v>
      </c>
      <c r="D2281">
        <v>174.347137</v>
      </c>
      <c r="E2281">
        <v>166.30650299999999</v>
      </c>
      <c r="F2281">
        <v>1790.290039</v>
      </c>
      <c r="H2281" s="50">
        <f t="shared" si="289"/>
        <v>2.5514651295486895E-2</v>
      </c>
      <c r="I2281" s="50">
        <f t="shared" si="290"/>
        <v>2.4102838555383081E-2</v>
      </c>
      <c r="J2281" s="50">
        <f t="shared" si="291"/>
        <v>5.2838295754410416E-2</v>
      </c>
      <c r="K2281" s="50">
        <f t="shared" si="292"/>
        <v>2.8939763643155151E-2</v>
      </c>
      <c r="L2281" s="50">
        <f t="shared" si="293"/>
        <v>4.9001884364764312E-3</v>
      </c>
      <c r="P2281" s="50">
        <f t="shared" si="288"/>
        <v>4.9001884364764312E-3</v>
      </c>
      <c r="Q2281" s="51">
        <f t="shared" si="294"/>
        <v>66.685938708508331</v>
      </c>
      <c r="R2281" s="51">
        <f t="shared" si="295"/>
        <v>21.35468358387039</v>
      </c>
    </row>
    <row r="2282" spans="1:18" x14ac:dyDescent="0.15">
      <c r="A2282" s="59">
        <v>44222.75</v>
      </c>
      <c r="B2282">
        <v>41.679386000000001</v>
      </c>
      <c r="C2282">
        <v>340.446167</v>
      </c>
      <c r="D2282">
        <v>165.59726000000001</v>
      </c>
      <c r="E2282">
        <v>161.628998</v>
      </c>
      <c r="F2282">
        <v>1781.5600589999999</v>
      </c>
      <c r="H2282" s="50">
        <f t="shared" si="289"/>
        <v>6.2633697399749454E-4</v>
      </c>
      <c r="I2282" s="50">
        <f t="shared" si="290"/>
        <v>-1.8764026037267182E-3</v>
      </c>
      <c r="J2282" s="50">
        <f t="shared" si="291"/>
        <v>-2.8870315934883723E-2</v>
      </c>
      <c r="K2282" s="50">
        <f t="shared" si="292"/>
        <v>-1.5566929081862035E-3</v>
      </c>
      <c r="L2282" s="50">
        <f t="shared" si="293"/>
        <v>-6.1031748953975394E-3</v>
      </c>
      <c r="P2282" s="50">
        <f t="shared" si="288"/>
        <v>-6.1031748953975394E-3</v>
      </c>
      <c r="Q2282" s="51">
        <f t="shared" si="294"/>
        <v>66.278942761506542</v>
      </c>
      <c r="R2282" s="51">
        <f t="shared" si="295"/>
        <v>21.368058811766982</v>
      </c>
    </row>
    <row r="2283" spans="1:18" x14ac:dyDescent="0.15">
      <c r="A2283" s="59">
        <v>44223.75</v>
      </c>
      <c r="B2283">
        <v>41.653297000000002</v>
      </c>
      <c r="C2283">
        <v>341.08618200000001</v>
      </c>
      <c r="D2283">
        <v>170.52023299999999</v>
      </c>
      <c r="E2283">
        <v>161.88099700000001</v>
      </c>
      <c r="F2283">
        <v>1792.5</v>
      </c>
      <c r="H2283" s="50">
        <f t="shared" si="289"/>
        <v>2.3204138222389842E-2</v>
      </c>
      <c r="I2283" s="50">
        <f t="shared" si="290"/>
        <v>1.3137404641373192E-2</v>
      </c>
      <c r="J2283" s="50">
        <f t="shared" si="291"/>
        <v>1.3302434584128778E-2</v>
      </c>
      <c r="K2283" s="50">
        <f t="shared" si="292"/>
        <v>9.7997568436124644E-3</v>
      </c>
      <c r="L2283" s="50">
        <f t="shared" si="293"/>
        <v>1.0314535850192876E-2</v>
      </c>
      <c r="P2283" s="50">
        <f t="shared" si="288"/>
        <v>1.0314535850192876E-2</v>
      </c>
      <c r="Q2283" s="51">
        <f t="shared" si="294"/>
        <v>66.962579292732983</v>
      </c>
      <c r="R2283" s="51">
        <f t="shared" si="295"/>
        <v>21.863886201979376</v>
      </c>
    </row>
    <row r="2284" spans="1:18" x14ac:dyDescent="0.15">
      <c r="A2284" s="59">
        <v>44224.75</v>
      </c>
      <c r="B2284">
        <v>40.708686999999998</v>
      </c>
      <c r="C2284">
        <v>336.66329999999999</v>
      </c>
      <c r="D2284">
        <v>168.281677</v>
      </c>
      <c r="E2284">
        <v>160.30999800000001</v>
      </c>
      <c r="F2284">
        <v>1774.1999510000001</v>
      </c>
      <c r="H2284" s="50">
        <f t="shared" si="289"/>
        <v>8.7598165519408248E-3</v>
      </c>
      <c r="I2284" s="50">
        <f t="shared" si="290"/>
        <v>5.448779527328188E-3</v>
      </c>
      <c r="J2284" s="50">
        <f t="shared" si="291"/>
        <v>-1.3074110029621741E-2</v>
      </c>
      <c r="K2284" s="50">
        <f t="shared" si="292"/>
        <v>-4.0886894669630316E-2</v>
      </c>
      <c r="L2284" s="50">
        <f t="shared" si="293"/>
        <v>-1.1141512692272993E-2</v>
      </c>
      <c r="P2284" s="50">
        <f t="shared" si="288"/>
        <v>-1.1141512692272993E-2</v>
      </c>
      <c r="Q2284" s="51">
        <f t="shared" si="294"/>
        <v>66.216514865635659</v>
      </c>
      <c r="R2284" s="51">
        <f t="shared" si="295"/>
        <v>22.055409834221226</v>
      </c>
    </row>
    <row r="2285" spans="1:18" x14ac:dyDescent="0.15">
      <c r="A2285" s="59">
        <v>44225.75</v>
      </c>
      <c r="B2285">
        <v>40.355182999999997</v>
      </c>
      <c r="C2285">
        <v>334.83883700000001</v>
      </c>
      <c r="D2285">
        <v>170.51095599999999</v>
      </c>
      <c r="E2285">
        <v>167.14399700000001</v>
      </c>
      <c r="F2285">
        <v>1794.1899410000001</v>
      </c>
      <c r="H2285" s="50">
        <f t="shared" si="289"/>
        <v>-1.0655477795953886E-2</v>
      </c>
      <c r="I2285" s="50">
        <f t="shared" si="290"/>
        <v>-1.4229965479999931E-2</v>
      </c>
      <c r="J2285" s="50">
        <f t="shared" si="291"/>
        <v>-1.0884020162468975E-2</v>
      </c>
      <c r="K2285" s="50">
        <f t="shared" si="292"/>
        <v>-1.0982266272189272E-2</v>
      </c>
      <c r="L2285" s="50">
        <f t="shared" si="293"/>
        <v>6.5073714209384738E-3</v>
      </c>
      <c r="P2285" s="50">
        <f t="shared" si="288"/>
        <v>6.5073714209384738E-3</v>
      </c>
      <c r="Q2285" s="51">
        <f t="shared" si="294"/>
        <v>66.647410322066449</v>
      </c>
      <c r="R2285" s="51">
        <f t="shared" si="295"/>
        <v>21.82039890445202</v>
      </c>
    </row>
    <row r="2286" spans="1:18" x14ac:dyDescent="0.15">
      <c r="A2286" s="59">
        <v>44226.75</v>
      </c>
      <c r="B2286">
        <v>40.789817999999997</v>
      </c>
      <c r="C2286">
        <v>339.67236300000002</v>
      </c>
      <c r="D2286">
        <v>172.38722200000001</v>
      </c>
      <c r="E2286">
        <v>169</v>
      </c>
      <c r="F2286">
        <v>1782.589966</v>
      </c>
      <c r="H2286" s="50">
        <f t="shared" si="289"/>
        <v>-3.0453568481741645E-3</v>
      </c>
      <c r="I2286" s="50">
        <f t="shared" si="290"/>
        <v>1.0412973270574472E-3</v>
      </c>
      <c r="J2286" s="50">
        <f t="shared" si="291"/>
        <v>2.592924236608033E-3</v>
      </c>
      <c r="K2286" s="50">
        <f t="shared" si="292"/>
        <v>2.036814822411109E-2</v>
      </c>
      <c r="L2286" s="50">
        <f t="shared" si="293"/>
        <v>2.3365396580449459E-2</v>
      </c>
      <c r="P2286" s="50">
        <f t="shared" si="288"/>
        <v>2.3365396580449459E-2</v>
      </c>
      <c r="Q2286" s="51">
        <f t="shared" si="294"/>
        <v>68.204653495301471</v>
      </c>
      <c r="R2286" s="51">
        <f t="shared" si="295"/>
        <v>21.753948003218454</v>
      </c>
    </row>
    <row r="2287" spans="1:18" x14ac:dyDescent="0.15">
      <c r="A2287" s="59">
        <v>44229.75</v>
      </c>
      <c r="B2287">
        <v>40.914417</v>
      </c>
      <c r="C2287">
        <v>339.319031</v>
      </c>
      <c r="D2287">
        <v>171.94139100000001</v>
      </c>
      <c r="E2287">
        <v>165.62649500000001</v>
      </c>
      <c r="F2287">
        <v>1741.8900149999999</v>
      </c>
      <c r="H2287" s="50">
        <f t="shared" si="289"/>
        <v>-9.3312807324451939E-3</v>
      </c>
      <c r="I2287" s="50">
        <f t="shared" si="290"/>
        <v>-3.7654906474988881E-3</v>
      </c>
      <c r="J2287" s="50">
        <f t="shared" si="291"/>
        <v>-1.8452655363504506E-2</v>
      </c>
      <c r="K2287" s="50">
        <f t="shared" si="292"/>
        <v>-5.544929350736777E-3</v>
      </c>
      <c r="L2287" s="50">
        <f t="shared" si="293"/>
        <v>-7.5831451524465696E-3</v>
      </c>
      <c r="P2287" s="50">
        <f t="shared" si="288"/>
        <v>-7.5831451524465696E-3</v>
      </c>
      <c r="Q2287" s="51">
        <f t="shared" si="294"/>
        <v>67.687447707774268</v>
      </c>
      <c r="R2287" s="51">
        <f t="shared" si="295"/>
        <v>21.550955807361408</v>
      </c>
    </row>
    <row r="2288" spans="1:18" x14ac:dyDescent="0.15">
      <c r="A2288" s="59">
        <v>44230.75</v>
      </c>
      <c r="B2288">
        <v>41.299796999999998</v>
      </c>
      <c r="C2288">
        <v>340.601563</v>
      </c>
      <c r="D2288">
        <v>175.173813</v>
      </c>
      <c r="E2288">
        <v>166.550003</v>
      </c>
      <c r="F2288">
        <v>1755.1999510000001</v>
      </c>
      <c r="H2288" s="50">
        <f t="shared" si="289"/>
        <v>-1.2676577864735989E-2</v>
      </c>
      <c r="I2288" s="50">
        <f t="shared" si="290"/>
        <v>1.914807492498672E-3</v>
      </c>
      <c r="J2288" s="50">
        <f t="shared" si="291"/>
        <v>-1.4298105687400931E-3</v>
      </c>
      <c r="K2288" s="50">
        <f t="shared" si="292"/>
        <v>-6.3093537736598681E-3</v>
      </c>
      <c r="L2288" s="50">
        <f t="shared" si="293"/>
        <v>2.0323445282791779E-3</v>
      </c>
      <c r="P2288" s="50">
        <f t="shared" si="288"/>
        <v>2.0323445282791779E-3</v>
      </c>
      <c r="Q2288" s="51">
        <f t="shared" si="294"/>
        <v>67.825011921756357</v>
      </c>
      <c r="R2288" s="51">
        <f t="shared" si="295"/>
        <v>21.277763438009906</v>
      </c>
    </row>
    <row r="2289" spans="1:18" x14ac:dyDescent="0.15">
      <c r="A2289" s="59">
        <v>44231.75</v>
      </c>
      <c r="B2289">
        <v>41.830058999999999</v>
      </c>
      <c r="C2289">
        <v>339.95062300000001</v>
      </c>
      <c r="D2289">
        <v>175.42463699999999</v>
      </c>
      <c r="E2289">
        <v>167.60749799999999</v>
      </c>
      <c r="F2289">
        <v>1751.6400149999999</v>
      </c>
      <c r="H2289" s="50">
        <f t="shared" si="289"/>
        <v>-4.6198376535579091E-3</v>
      </c>
      <c r="I2289" s="50">
        <f t="shared" si="290"/>
        <v>-1.2950681769785585E-2</v>
      </c>
      <c r="J2289" s="50">
        <f t="shared" si="291"/>
        <v>-2.6243649713296357E-2</v>
      </c>
      <c r="K2289" s="50">
        <f t="shared" si="292"/>
        <v>8.7903782411289134E-3</v>
      </c>
      <c r="L2289" s="50">
        <f t="shared" si="293"/>
        <v>-1.2286945826170136E-2</v>
      </c>
      <c r="P2289" s="50">
        <f t="shared" si="288"/>
        <v>-1.2286945826170136E-2</v>
      </c>
      <c r="Q2289" s="51">
        <f t="shared" si="294"/>
        <v>66.991649674614393</v>
      </c>
      <c r="R2289" s="51">
        <f t="shared" si="295"/>
        <v>21.17946362529549</v>
      </c>
    </row>
    <row r="2290" spans="1:18" x14ac:dyDescent="0.15">
      <c r="A2290" s="59">
        <v>44232.75</v>
      </c>
      <c r="B2290">
        <v>42.024203999999997</v>
      </c>
      <c r="C2290">
        <v>344.41098</v>
      </c>
      <c r="D2290">
        <v>180.15249600000001</v>
      </c>
      <c r="E2290">
        <v>166.14700300000001</v>
      </c>
      <c r="F2290">
        <v>1773.4300539999999</v>
      </c>
      <c r="H2290" s="50">
        <f t="shared" si="289"/>
        <v>-5.4858934169280177E-3</v>
      </c>
      <c r="I2290" s="50">
        <f t="shared" si="290"/>
        <v>7.5089664378112815E-4</v>
      </c>
      <c r="J2290" s="50">
        <f t="shared" si="291"/>
        <v>-1.7500411969805058E-3</v>
      </c>
      <c r="K2290" s="50">
        <f t="shared" si="292"/>
        <v>5.4281573373676983E-3</v>
      </c>
      <c r="L2290" s="50">
        <f t="shared" si="293"/>
        <v>-1.3127269444666512E-2</v>
      </c>
      <c r="P2290" s="50">
        <f t="shared" si="288"/>
        <v>-1.3127269444666512E-2</v>
      </c>
      <c r="Q2290" s="51">
        <f t="shared" si="294"/>
        <v>66.112232238793027</v>
      </c>
      <c r="R2290" s="51">
        <f t="shared" si="295"/>
        <v>21.063275345219413</v>
      </c>
    </row>
    <row r="2291" spans="1:18" x14ac:dyDescent="0.15">
      <c r="A2291" s="59">
        <v>44233.75</v>
      </c>
      <c r="B2291">
        <v>42.256016000000002</v>
      </c>
      <c r="C2291">
        <v>344.152557</v>
      </c>
      <c r="D2291">
        <v>180.468323</v>
      </c>
      <c r="E2291">
        <v>165.25</v>
      </c>
      <c r="F2291">
        <v>1797.0200199999999</v>
      </c>
      <c r="H2291" s="50">
        <f t="shared" si="289"/>
        <v>1.1794915263165682E-2</v>
      </c>
      <c r="I2291" s="50">
        <f t="shared" si="290"/>
        <v>9.6596914706510127E-3</v>
      </c>
      <c r="J2291" s="50">
        <f t="shared" si="291"/>
        <v>9.613340343573409E-3</v>
      </c>
      <c r="K2291" s="50">
        <f t="shared" si="292"/>
        <v>5.6046408608536073E-3</v>
      </c>
      <c r="L2291" s="50">
        <f t="shared" si="293"/>
        <v>-1.5667759652360517E-3</v>
      </c>
      <c r="P2291" s="50">
        <f t="shared" si="288"/>
        <v>-1.5667759652360517E-3</v>
      </c>
      <c r="Q2291" s="51">
        <f t="shared" si="294"/>
        <v>66.008649182313178</v>
      </c>
      <c r="R2291" s="51">
        <f t="shared" si="295"/>
        <v>21.311714893081007</v>
      </c>
    </row>
    <row r="2292" spans="1:18" x14ac:dyDescent="0.15">
      <c r="A2292" s="59">
        <v>44236.75</v>
      </c>
      <c r="B2292">
        <v>41.763420000000004</v>
      </c>
      <c r="C2292">
        <v>340.85995500000001</v>
      </c>
      <c r="D2292">
        <v>178.74993900000001</v>
      </c>
      <c r="E2292">
        <v>164.32899499999999</v>
      </c>
      <c r="F2292">
        <v>1799.839966</v>
      </c>
      <c r="H2292" s="50">
        <f t="shared" si="289"/>
        <v>7.639066096313947E-4</v>
      </c>
      <c r="I2292" s="50">
        <f t="shared" si="290"/>
        <v>1.1129917779369248E-2</v>
      </c>
      <c r="J2292" s="50">
        <f t="shared" si="291"/>
        <v>1.0661221499195453E-2</v>
      </c>
      <c r="K2292" s="50">
        <f t="shared" si="292"/>
        <v>7.4950351765857579E-3</v>
      </c>
      <c r="L2292" s="50">
        <f t="shared" si="293"/>
        <v>-1.0941082016760542E-2</v>
      </c>
      <c r="P2292" s="50">
        <f t="shared" si="288"/>
        <v>-1.0941082016760542E-2</v>
      </c>
      <c r="Q2292" s="51">
        <f t="shared" si="294"/>
        <v>65.28644313779391</v>
      </c>
      <c r="R2292" s="51">
        <f t="shared" si="295"/>
        <v>21.327995052950413</v>
      </c>
    </row>
    <row r="2293" spans="1:18" x14ac:dyDescent="0.15">
      <c r="A2293" s="59">
        <v>44237.75</v>
      </c>
      <c r="B2293">
        <v>41.731541</v>
      </c>
      <c r="C2293">
        <v>337.10797100000002</v>
      </c>
      <c r="D2293">
        <v>176.864349</v>
      </c>
      <c r="E2293">
        <v>163.106506</v>
      </c>
      <c r="F2293">
        <v>1819.75</v>
      </c>
      <c r="H2293" s="50">
        <f t="shared" si="289"/>
        <v>-3.1148584029859717E-3</v>
      </c>
      <c r="I2293" s="50">
        <f t="shared" si="290"/>
        <v>-1.5588966746825843E-3</v>
      </c>
      <c r="J2293" s="50">
        <f t="shared" si="291"/>
        <v>-5.328297056669113E-3</v>
      </c>
      <c r="K2293" s="50">
        <f t="shared" si="292"/>
        <v>-4.7532698713831072E-3</v>
      </c>
      <c r="L2293" s="50">
        <f t="shared" si="293"/>
        <v>2.6933478299236309E-4</v>
      </c>
      <c r="P2293" s="50">
        <f t="shared" si="288"/>
        <v>2.6933478299236309E-4</v>
      </c>
      <c r="Q2293" s="51">
        <f t="shared" si="294"/>
        <v>65.304027047788765</v>
      </c>
      <c r="R2293" s="51">
        <f t="shared" si="295"/>
        <v>21.261561368340889</v>
      </c>
    </row>
    <row r="2294" spans="1:18" x14ac:dyDescent="0.15">
      <c r="A2294" s="59">
        <v>44238.75</v>
      </c>
      <c r="B2294">
        <v>41.861935000000003</v>
      </c>
      <c r="C2294">
        <v>337.63430799999998</v>
      </c>
      <c r="D2294">
        <v>177.81178299999999</v>
      </c>
      <c r="E2294">
        <v>163.88549800000001</v>
      </c>
      <c r="F2294">
        <v>1819.26001</v>
      </c>
      <c r="H2294" s="50">
        <f t="shared" si="289"/>
        <v>-8.1695473081374887E-3</v>
      </c>
      <c r="I2294" s="50">
        <f t="shared" si="290"/>
        <v>-3.5312697699147761E-3</v>
      </c>
      <c r="J2294" s="50">
        <f t="shared" si="291"/>
        <v>8.3936602569930285E-4</v>
      </c>
      <c r="K2294" s="50">
        <f t="shared" si="292"/>
        <v>2.6797779923149571E-3</v>
      </c>
      <c r="L2294" s="50">
        <f t="shared" si="293"/>
        <v>-5.7764635262097944E-3</v>
      </c>
      <c r="P2294" s="50">
        <f t="shared" si="288"/>
        <v>-5.7764635262097944E-3</v>
      </c>
      <c r="Q2294" s="51">
        <f t="shared" si="294"/>
        <v>64.926800717432599</v>
      </c>
      <c r="R2294" s="51">
        <f t="shared" si="295"/>
        <v>21.087864036897361</v>
      </c>
    </row>
    <row r="2295" spans="1:18" x14ac:dyDescent="0.15">
      <c r="A2295" s="59">
        <v>44239.75</v>
      </c>
      <c r="B2295">
        <v>42.206744999999998</v>
      </c>
      <c r="C2295">
        <v>338.83081099999998</v>
      </c>
      <c r="D2295">
        <v>177.66265899999999</v>
      </c>
      <c r="E2295">
        <v>163.447495</v>
      </c>
      <c r="F2295">
        <v>1829.829956</v>
      </c>
      <c r="H2295" s="50">
        <f t="shared" si="289"/>
        <v>-1.0462174420230596E-2</v>
      </c>
      <c r="I2295" s="50">
        <f t="shared" si="290"/>
        <v>-1.1283477441711695E-2</v>
      </c>
      <c r="J2295" s="50">
        <f t="shared" si="291"/>
        <v>-1.5547402392578655E-2</v>
      </c>
      <c r="K2295" s="50">
        <f t="shared" si="292"/>
        <v>-1.1995937400433008E-2</v>
      </c>
      <c r="L2295" s="50">
        <f t="shared" si="293"/>
        <v>-4.7861989503428914E-3</v>
      </c>
      <c r="P2295" s="50">
        <f t="shared" si="288"/>
        <v>-4.7861989503428914E-3</v>
      </c>
      <c r="Q2295" s="51">
        <f t="shared" si="294"/>
        <v>64.6160481319897</v>
      </c>
      <c r="R2295" s="51">
        <f t="shared" si="295"/>
        <v>20.867239125193233</v>
      </c>
    </row>
    <row r="2296" spans="1:18" x14ac:dyDescent="0.15">
      <c r="A2296" s="59">
        <v>44240.75</v>
      </c>
      <c r="B2296">
        <v>42.652988000000001</v>
      </c>
      <c r="C2296">
        <v>342.697632</v>
      </c>
      <c r="D2296">
        <v>180.46847500000001</v>
      </c>
      <c r="E2296">
        <v>165.432007</v>
      </c>
      <c r="F2296">
        <v>1838.630005</v>
      </c>
      <c r="H2296" s="50">
        <f t="shared" si="289"/>
        <v>6.9301180032208115E-2</v>
      </c>
      <c r="I2296" s="50">
        <f t="shared" si="290"/>
        <v>3.137911419242754E-3</v>
      </c>
      <c r="J2296" s="50">
        <f t="shared" si="291"/>
        <v>1.1441332499438848E-2</v>
      </c>
      <c r="K2296" s="50">
        <f t="shared" si="292"/>
        <v>-5.8859634453505725E-3</v>
      </c>
      <c r="L2296" s="50">
        <f t="shared" si="293"/>
        <v>-1.1571334603254354E-3</v>
      </c>
      <c r="P2296" s="50">
        <f t="shared" si="288"/>
        <v>-1.1571334603254354E-3</v>
      </c>
      <c r="Q2296" s="51">
        <f t="shared" si="294"/>
        <v>64.541278740622175</v>
      </c>
      <c r="R2296" s="51">
        <f t="shared" si="295"/>
        <v>22.313363420583386</v>
      </c>
    </row>
    <row r="2297" spans="1:18" x14ac:dyDescent="0.15">
      <c r="A2297" s="59">
        <v>44244.75</v>
      </c>
      <c r="B2297">
        <v>39.888657000000002</v>
      </c>
      <c r="C2297">
        <v>341.62564099999997</v>
      </c>
      <c r="D2297">
        <v>178.427032</v>
      </c>
      <c r="E2297">
        <v>166.41149899999999</v>
      </c>
      <c r="F2297">
        <v>1840.76001</v>
      </c>
      <c r="H2297" s="50">
        <f t="shared" si="289"/>
        <v>-4.9153696806488317E-3</v>
      </c>
      <c r="I2297" s="50">
        <f t="shared" si="290"/>
        <v>6.0602363392661856E-3</v>
      </c>
      <c r="J2297" s="50">
        <f t="shared" si="291"/>
        <v>1.3716742309593771E-2</v>
      </c>
      <c r="K2297" s="50">
        <f t="shared" si="292"/>
        <v>2.4102305427930279E-2</v>
      </c>
      <c r="L2297" s="50">
        <f t="shared" si="293"/>
        <v>6.5673328776486486E-3</v>
      </c>
      <c r="P2297" s="50">
        <f t="shared" si="288"/>
        <v>6.5673328776486486E-3</v>
      </c>
      <c r="Q2297" s="51">
        <f t="shared" si="294"/>
        <v>64.965142802460946</v>
      </c>
      <c r="R2297" s="51">
        <f t="shared" si="295"/>
        <v>22.203684990552549</v>
      </c>
    </row>
    <row r="2298" spans="1:18" x14ac:dyDescent="0.15">
      <c r="A2298" s="59">
        <v>44245.75</v>
      </c>
      <c r="B2298">
        <v>40.085692999999999</v>
      </c>
      <c r="C2298">
        <v>339.56778000000003</v>
      </c>
      <c r="D2298">
        <v>176.012711</v>
      </c>
      <c r="E2298">
        <v>162.49499499999999</v>
      </c>
      <c r="F2298">
        <v>1828.75</v>
      </c>
      <c r="H2298" s="50">
        <f t="shared" si="289"/>
        <v>4.7206894693506245E-3</v>
      </c>
      <c r="I2298" s="50">
        <f t="shared" si="290"/>
        <v>1.3020557047289138E-2</v>
      </c>
      <c r="J2298" s="50">
        <f t="shared" si="291"/>
        <v>-8.9956253232512042E-4</v>
      </c>
      <c r="K2298" s="50">
        <f t="shared" si="292"/>
        <v>2.174331718260555E-2</v>
      </c>
      <c r="L2298" s="50">
        <f t="shared" si="293"/>
        <v>-5.9952977128441328E-3</v>
      </c>
      <c r="P2298" s="50">
        <f t="shared" si="288"/>
        <v>-5.9952977128441328E-3</v>
      </c>
      <c r="Q2298" s="51">
        <f t="shared" si="294"/>
        <v>64.575657430402757</v>
      </c>
      <c r="R2298" s="51">
        <f t="shared" si="295"/>
        <v>22.308501692468226</v>
      </c>
    </row>
    <row r="2299" spans="1:18" x14ac:dyDescent="0.15">
      <c r="A2299" s="59">
        <v>44246.75</v>
      </c>
      <c r="B2299">
        <v>39.897350000000003</v>
      </c>
      <c r="C2299">
        <v>335.20324699999998</v>
      </c>
      <c r="D2299">
        <v>176.171188</v>
      </c>
      <c r="E2299">
        <v>159.037003</v>
      </c>
      <c r="F2299">
        <v>1839.780029</v>
      </c>
      <c r="H2299" s="50">
        <f t="shared" si="289"/>
        <v>1.6387392922590189E-2</v>
      </c>
      <c r="I2299" s="50">
        <f t="shared" si="290"/>
        <v>2.3557131565843048E-2</v>
      </c>
      <c r="J2299" s="50">
        <f t="shared" si="291"/>
        <v>1.411256748585228E-2</v>
      </c>
      <c r="K2299" s="50">
        <f t="shared" si="292"/>
        <v>-4.3074219699826399E-3</v>
      </c>
      <c r="L2299" s="50">
        <f t="shared" si="293"/>
        <v>1.9224119809394217E-3</v>
      </c>
      <c r="P2299" s="50">
        <f t="shared" si="288"/>
        <v>1.9224119809394217E-3</v>
      </c>
      <c r="Q2299" s="51">
        <f t="shared" si="294"/>
        <v>64.699798447923996</v>
      </c>
      <c r="R2299" s="51">
        <f t="shared" si="295"/>
        <v>22.674079875216972</v>
      </c>
    </row>
    <row r="2300" spans="1:18" x14ac:dyDescent="0.15">
      <c r="A2300" s="59">
        <v>44247.75</v>
      </c>
      <c r="B2300">
        <v>39.254078</v>
      </c>
      <c r="C2300">
        <v>327.48855600000002</v>
      </c>
      <c r="D2300">
        <v>173.719559</v>
      </c>
      <c r="E2300">
        <v>159.72500600000001</v>
      </c>
      <c r="F2300">
        <v>1836.25</v>
      </c>
      <c r="H2300" s="50">
        <f t="shared" si="289"/>
        <v>1.6965865803104874E-2</v>
      </c>
      <c r="I2300" s="50">
        <f t="shared" si="290"/>
        <v>4.2558877241076687E-3</v>
      </c>
      <c r="J2300" s="50">
        <f t="shared" si="291"/>
        <v>-3.8486735636846241E-3</v>
      </c>
      <c r="K2300" s="50">
        <f t="shared" si="292"/>
        <v>1.1068133481447308E-2</v>
      </c>
      <c r="L2300" s="50">
        <f t="shared" si="293"/>
        <v>-6.148475648122269E-3</v>
      </c>
      <c r="P2300" s="50">
        <f t="shared" si="288"/>
        <v>-6.148475648122269E-3</v>
      </c>
      <c r="Q2300" s="51">
        <f t="shared" si="294"/>
        <v>64.301993312728513</v>
      </c>
      <c r="R2300" s="51">
        <f t="shared" si="295"/>
        <v>23.058765271588783</v>
      </c>
    </row>
    <row r="2301" spans="1:18" x14ac:dyDescent="0.15">
      <c r="A2301" s="59">
        <v>44250.75</v>
      </c>
      <c r="B2301">
        <v>38.599209000000002</v>
      </c>
      <c r="C2301">
        <v>326.100708</v>
      </c>
      <c r="D2301">
        <v>174.39073200000001</v>
      </c>
      <c r="E2301">
        <v>157.97650100000001</v>
      </c>
      <c r="F2301">
        <v>1847.6099850000001</v>
      </c>
      <c r="H2301" s="50">
        <f t="shared" si="289"/>
        <v>9.5490916121281754E-3</v>
      </c>
      <c r="I2301" s="50">
        <f t="shared" si="290"/>
        <v>2.0365547839159118E-2</v>
      </c>
      <c r="J2301" s="50">
        <f t="shared" si="291"/>
        <v>1.080626128294941E-2</v>
      </c>
      <c r="K2301" s="50">
        <f t="shared" si="292"/>
        <v>3.3485319270364494E-2</v>
      </c>
      <c r="L2301" s="50">
        <f t="shared" si="293"/>
        <v>1.3495003071602584E-3</v>
      </c>
      <c r="P2301" s="50">
        <f t="shared" si="288"/>
        <v>1.3495003071602584E-3</v>
      </c>
      <c r="Q2301" s="51">
        <f t="shared" si="294"/>
        <v>64.388768872455046</v>
      </c>
      <c r="R2301" s="51">
        <f t="shared" si="295"/>
        <v>23.278955533629741</v>
      </c>
    </row>
    <row r="2302" spans="1:18" x14ac:dyDescent="0.15">
      <c r="A2302" s="59">
        <v>44251.75</v>
      </c>
      <c r="B2302">
        <v>38.234107999999999</v>
      </c>
      <c r="C2302">
        <v>319.59204099999999</v>
      </c>
      <c r="D2302">
        <v>172.52636699999999</v>
      </c>
      <c r="E2302">
        <v>152.858002</v>
      </c>
      <c r="F2302">
        <v>1845.119995</v>
      </c>
      <c r="H2302" s="50">
        <f t="shared" si="289"/>
        <v>1.562462105772195E-2</v>
      </c>
      <c r="I2302" s="50">
        <f t="shared" si="290"/>
        <v>8.7610204125603986E-3</v>
      </c>
      <c r="J2302" s="50">
        <f t="shared" si="291"/>
        <v>8.9399883565651362E-3</v>
      </c>
      <c r="K2302" s="50">
        <f t="shared" si="292"/>
        <v>-1.1565072601061157E-2</v>
      </c>
      <c r="L2302" s="50">
        <f t="shared" si="293"/>
        <v>-2.1699472816556161E-5</v>
      </c>
      <c r="P2302" s="50">
        <f t="shared" si="288"/>
        <v>-2.1699472816556161E-5</v>
      </c>
      <c r="Q2302" s="51">
        <f t="shared" si="294"/>
        <v>64.387371670115201</v>
      </c>
      <c r="R2302" s="51">
        <f t="shared" si="295"/>
        <v>23.642680392462267</v>
      </c>
    </row>
    <row r="2303" spans="1:18" x14ac:dyDescent="0.15">
      <c r="A2303" s="59">
        <v>44252.75</v>
      </c>
      <c r="B2303">
        <v>37.645904999999999</v>
      </c>
      <c r="C2303">
        <v>316.81640599999997</v>
      </c>
      <c r="D2303">
        <v>170.99764999999999</v>
      </c>
      <c r="E2303">
        <v>154.6465</v>
      </c>
      <c r="F2303">
        <v>1845.160034</v>
      </c>
      <c r="H2303" s="50">
        <f t="shared" si="289"/>
        <v>-1.1037392763710335E-2</v>
      </c>
      <c r="I2303" s="50">
        <f t="shared" si="290"/>
        <v>-2.3205804112629356E-3</v>
      </c>
      <c r="J2303" s="50">
        <f t="shared" si="291"/>
        <v>-1.4240273184868662E-2</v>
      </c>
      <c r="K2303" s="50">
        <f t="shared" si="292"/>
        <v>-1.6912832115609417E-2</v>
      </c>
      <c r="L2303" s="50">
        <f t="shared" si="293"/>
        <v>-4.9237200265195317E-3</v>
      </c>
      <c r="P2303" s="50">
        <f t="shared" si="288"/>
        <v>-4.9237200265195317E-3</v>
      </c>
      <c r="Q2303" s="51">
        <f t="shared" si="294"/>
        <v>64.070346278768099</v>
      </c>
      <c r="R2303" s="51">
        <f t="shared" si="295"/>
        <v>23.381726842983788</v>
      </c>
    </row>
    <row r="2304" spans="1:18" x14ac:dyDescent="0.15">
      <c r="A2304" s="59">
        <v>44253.75</v>
      </c>
      <c r="B2304">
        <v>38.066054999999999</v>
      </c>
      <c r="C2304">
        <v>317.553314</v>
      </c>
      <c r="D2304">
        <v>173.46788000000001</v>
      </c>
      <c r="E2304">
        <v>157.307007</v>
      </c>
      <c r="F2304">
        <v>1854.290039</v>
      </c>
      <c r="H2304" s="50">
        <f t="shared" si="289"/>
        <v>9.6840244749217957E-3</v>
      </c>
      <c r="I2304" s="50">
        <f t="shared" si="290"/>
        <v>1.0077098948127101E-2</v>
      </c>
      <c r="J2304" s="50">
        <f t="shared" si="291"/>
        <v>7.2626626598612423E-2</v>
      </c>
      <c r="K2304" s="50">
        <f t="shared" si="292"/>
        <v>1.6677854041305989E-2</v>
      </c>
      <c r="L2304" s="50">
        <f t="shared" si="293"/>
        <v>-2.774966864381109E-3</v>
      </c>
      <c r="P2304" s="50">
        <f t="shared" si="288"/>
        <v>-2.774966864381109E-3</v>
      </c>
      <c r="Q2304" s="51">
        <f t="shared" si="294"/>
        <v>63.892553190855097</v>
      </c>
      <c r="R2304" s="51">
        <f t="shared" si="295"/>
        <v>23.608156057997181</v>
      </c>
    </row>
    <row r="2305" spans="1:18" x14ac:dyDescent="0.15">
      <c r="A2305" s="59">
        <v>44254.75</v>
      </c>
      <c r="B2305">
        <v>37.700958</v>
      </c>
      <c r="C2305">
        <v>314.385223</v>
      </c>
      <c r="D2305">
        <v>161.72251900000001</v>
      </c>
      <c r="E2305">
        <v>154.72650100000001</v>
      </c>
      <c r="F2305">
        <v>1859.4499510000001</v>
      </c>
      <c r="H2305" s="50">
        <f t="shared" si="289"/>
        <v>1.9750992872770906E-2</v>
      </c>
      <c r="I2305" s="50">
        <f t="shared" si="290"/>
        <v>1.4015710467103005E-2</v>
      </c>
      <c r="J2305" s="50">
        <f t="shared" si="291"/>
        <v>-6.9112020372720561E-4</v>
      </c>
      <c r="K2305" s="50">
        <f t="shared" si="292"/>
        <v>2.9793683860233032E-2</v>
      </c>
      <c r="L2305" s="50">
        <f t="shared" si="293"/>
        <v>7.4333576138802199E-3</v>
      </c>
      <c r="P2305" s="50">
        <f t="shared" ref="P2305:P2368" si="296">(F2305-F2306)/F2306</f>
        <v>7.4333576138802199E-3</v>
      </c>
      <c r="Q2305" s="51">
        <f t="shared" si="294"/>
        <v>64.367489387586588</v>
      </c>
      <c r="R2305" s="51">
        <f t="shared" si="295"/>
        <v>24.074440580037944</v>
      </c>
    </row>
    <row r="2306" spans="1:18" x14ac:dyDescent="0.15">
      <c r="A2306" s="59">
        <v>44257.75</v>
      </c>
      <c r="B2306">
        <v>36.970748999999998</v>
      </c>
      <c r="C2306">
        <v>310.03979500000003</v>
      </c>
      <c r="D2306">
        <v>161.83436599999999</v>
      </c>
      <c r="E2306">
        <v>150.25</v>
      </c>
      <c r="F2306">
        <v>1845.7299800000001</v>
      </c>
      <c r="H2306" s="50">
        <f t="shared" ref="H2306:H2369" si="297">(B2306-B2307)/B2307</f>
        <v>4.7051199292771727E-4</v>
      </c>
      <c r="I2306" s="50">
        <f t="shared" ref="I2306:I2369" si="298">(C2306-C2307)/C2307</f>
        <v>1.5296125421574328E-2</v>
      </c>
      <c r="J2306" s="50">
        <f t="shared" ref="J2306:J2369" si="299">(D2306-D2307)/D2307</f>
        <v>2.2317828578949761E-2</v>
      </c>
      <c r="K2306" s="50">
        <f t="shared" ref="K2306:K2369" si="300">(E2306-E2307)/E2307</f>
        <v>9.2122506290264524E-3</v>
      </c>
      <c r="L2306" s="50">
        <f t="shared" ref="L2306:L2369" si="301">(F2306-F2307)/F2307</f>
        <v>-1.5038104011774521E-2</v>
      </c>
      <c r="P2306" s="50">
        <f t="shared" si="296"/>
        <v>-1.5038104011774521E-2</v>
      </c>
      <c r="Q2306" s="51">
        <f t="shared" si="294"/>
        <v>63.399524387199271</v>
      </c>
      <c r="R2306" s="51">
        <f t="shared" si="295"/>
        <v>24.08576789305388</v>
      </c>
    </row>
    <row r="2307" spans="1:18" x14ac:dyDescent="0.15">
      <c r="A2307" s="59">
        <v>44258.75</v>
      </c>
      <c r="B2307">
        <v>36.953361999999998</v>
      </c>
      <c r="C2307">
        <v>305.36883499999999</v>
      </c>
      <c r="D2307">
        <v>158.301422</v>
      </c>
      <c r="E2307">
        <v>148.87849399999999</v>
      </c>
      <c r="F2307">
        <v>1873.910034</v>
      </c>
      <c r="H2307" s="50">
        <f t="shared" si="297"/>
        <v>-1.2314264821468688E-2</v>
      </c>
      <c r="I2307" s="50">
        <f t="shared" si="298"/>
        <v>5.4204111177341687E-3</v>
      </c>
      <c r="J2307" s="50">
        <f t="shared" si="299"/>
        <v>-1.6163664297150469E-2</v>
      </c>
      <c r="K2307" s="50">
        <f t="shared" si="300"/>
        <v>-7.6288371659292593E-3</v>
      </c>
      <c r="L2307" s="50">
        <f t="shared" si="301"/>
        <v>5.3353860237808588E-5</v>
      </c>
      <c r="P2307" s="50">
        <f t="shared" si="296"/>
        <v>5.3353860237808588E-5</v>
      </c>
      <c r="Q2307" s="51">
        <f t="shared" ref="Q2307:Q2370" si="302">Q2306*(1+P2307)</f>
        <v>63.402906996562571</v>
      </c>
      <c r="R2307" s="51">
        <f t="shared" ref="R2307:R2370" si="303">R2306*(1+H2307)</f>
        <v>23.789169368790386</v>
      </c>
    </row>
    <row r="2308" spans="1:18" x14ac:dyDescent="0.15">
      <c r="A2308" s="59">
        <v>44259.75</v>
      </c>
      <c r="B2308">
        <v>37.414088999999997</v>
      </c>
      <c r="C2308">
        <v>303.722534</v>
      </c>
      <c r="D2308">
        <v>160.90219099999999</v>
      </c>
      <c r="E2308">
        <v>150.02299500000001</v>
      </c>
      <c r="F2308">
        <v>1873.8100589999999</v>
      </c>
      <c r="H2308" s="50">
        <f t="shared" si="297"/>
        <v>9.6968339438034019E-3</v>
      </c>
      <c r="I2308" s="50">
        <f t="shared" si="298"/>
        <v>1.8945081257441279E-2</v>
      </c>
      <c r="J2308" s="50">
        <f t="shared" si="299"/>
        <v>-2.4085407922195851E-2</v>
      </c>
      <c r="K2308" s="50">
        <f t="shared" si="300"/>
        <v>1.6433143747471655E-2</v>
      </c>
      <c r="L2308" s="50">
        <f t="shared" si="301"/>
        <v>-1.7154600354026106E-3</v>
      </c>
      <c r="P2308" s="50">
        <f t="shared" si="296"/>
        <v>-1.7154600354026106E-3</v>
      </c>
      <c r="Q2308" s="51">
        <f t="shared" si="302"/>
        <v>63.294141843481619</v>
      </c>
      <c r="R2308" s="51">
        <f t="shared" si="303"/>
        <v>24.019848993820563</v>
      </c>
    </row>
    <row r="2309" spans="1:18" x14ac:dyDescent="0.15">
      <c r="A2309" s="59">
        <v>44260.75</v>
      </c>
      <c r="B2309">
        <v>37.054774999999999</v>
      </c>
      <c r="C2309">
        <v>298.07547</v>
      </c>
      <c r="D2309">
        <v>164.87323000000001</v>
      </c>
      <c r="E2309">
        <v>147.59750399999999</v>
      </c>
      <c r="F2309">
        <v>1877.030029</v>
      </c>
      <c r="H2309" s="50">
        <f t="shared" si="297"/>
        <v>-7.8364394716575417E-3</v>
      </c>
      <c r="I2309" s="50">
        <f t="shared" si="298"/>
        <v>-2.3087915269653665E-2</v>
      </c>
      <c r="J2309" s="50">
        <f t="shared" si="299"/>
        <v>-1.2892082127062911E-2</v>
      </c>
      <c r="K2309" s="50">
        <f t="shared" si="300"/>
        <v>-3.6208093296007535E-2</v>
      </c>
      <c r="L2309" s="50">
        <f t="shared" si="301"/>
        <v>-5.3780003568921022E-4</v>
      </c>
      <c r="P2309" s="50">
        <f t="shared" si="296"/>
        <v>-5.3780003568921022E-4</v>
      </c>
      <c r="Q2309" s="51">
        <f t="shared" si="302"/>
        <v>63.260102251739276</v>
      </c>
      <c r="R2309" s="51">
        <f t="shared" si="303"/>
        <v>23.831618901062132</v>
      </c>
    </row>
    <row r="2310" spans="1:18" x14ac:dyDescent="0.15">
      <c r="A2310" s="59">
        <v>44261.75</v>
      </c>
      <c r="B2310">
        <v>37.347445999999998</v>
      </c>
      <c r="C2310">
        <v>305.12005599999998</v>
      </c>
      <c r="D2310">
        <v>167.02654999999999</v>
      </c>
      <c r="E2310">
        <v>153.14250200000001</v>
      </c>
      <c r="F2310">
        <v>1878.040039</v>
      </c>
      <c r="H2310" s="50">
        <f t="shared" si="297"/>
        <v>-2.4890261974422363E-2</v>
      </c>
      <c r="I2310" s="50">
        <f t="shared" si="298"/>
        <v>-1.5594452838335011E-2</v>
      </c>
      <c r="J2310" s="50">
        <f t="shared" si="299"/>
        <v>3.3597898878070147E-3</v>
      </c>
      <c r="K2310" s="50">
        <f t="shared" si="300"/>
        <v>1.7039153934691525E-3</v>
      </c>
      <c r="L2310" s="50">
        <f t="shared" si="301"/>
        <v>4.6346094365866473E-4</v>
      </c>
      <c r="P2310" s="50">
        <f t="shared" si="296"/>
        <v>4.6346094365866473E-4</v>
      </c>
      <c r="Q2310" s="51">
        <f t="shared" si="302"/>
        <v>63.28942083842481</v>
      </c>
      <c r="R2310" s="51">
        <f t="shared" si="303"/>
        <v>23.238443663340099</v>
      </c>
    </row>
    <row r="2311" spans="1:18" x14ac:dyDescent="0.15">
      <c r="A2311" s="59">
        <v>44264.75</v>
      </c>
      <c r="B2311">
        <v>38.300761999999999</v>
      </c>
      <c r="C2311">
        <v>309.95361300000002</v>
      </c>
      <c r="D2311">
        <v>166.46725499999999</v>
      </c>
      <c r="E2311">
        <v>152.88200399999999</v>
      </c>
      <c r="F2311">
        <v>1877.170044</v>
      </c>
      <c r="H2311" s="50">
        <f t="shared" si="297"/>
        <v>3.7862140956762866E-4</v>
      </c>
      <c r="I2311" s="50">
        <f t="shared" si="298"/>
        <v>-1.4666171009843788E-2</v>
      </c>
      <c r="J2311" s="50">
        <f t="shared" si="299"/>
        <v>-4.1267712068231103E-3</v>
      </c>
      <c r="K2311" s="50">
        <f t="shared" si="300"/>
        <v>-1.7969610180669726E-2</v>
      </c>
      <c r="L2311" s="50">
        <f t="shared" si="301"/>
        <v>5.1080990209299935E-3</v>
      </c>
      <c r="P2311" s="50">
        <f t="shared" si="296"/>
        <v>5.1080990209299935E-3</v>
      </c>
      <c r="Q2311" s="51">
        <f t="shared" si="302"/>
        <v>63.612709467044795</v>
      </c>
      <c r="R2311" s="51">
        <f t="shared" si="303"/>
        <v>23.247242235636069</v>
      </c>
    </row>
    <row r="2312" spans="1:18" x14ac:dyDescent="0.15">
      <c r="A2312" s="59">
        <v>44265.75</v>
      </c>
      <c r="B2312">
        <v>38.286265999999998</v>
      </c>
      <c r="C2312">
        <v>314.56710800000002</v>
      </c>
      <c r="D2312">
        <v>167.15707399999999</v>
      </c>
      <c r="E2312">
        <v>155.67950400000001</v>
      </c>
      <c r="F2312">
        <v>1867.630005</v>
      </c>
      <c r="H2312" s="50">
        <f t="shared" si="297"/>
        <v>-1.4837444418701638E-2</v>
      </c>
      <c r="I2312" s="50">
        <f t="shared" si="298"/>
        <v>-7.5195699602738147E-3</v>
      </c>
      <c r="J2312" s="50">
        <f t="shared" si="299"/>
        <v>-3.8329681362150713E-3</v>
      </c>
      <c r="K2312" s="50">
        <f t="shared" si="300"/>
        <v>7.800646557186269E-3</v>
      </c>
      <c r="L2312" s="50">
        <f t="shared" si="301"/>
        <v>-3.0507762281815448E-4</v>
      </c>
      <c r="P2312" s="50">
        <f t="shared" si="296"/>
        <v>-3.0507762281815448E-4</v>
      </c>
      <c r="Q2312" s="51">
        <f t="shared" si="302"/>
        <v>63.593302652859563</v>
      </c>
      <c r="R2312" s="51">
        <f t="shared" si="303"/>
        <v>22.902312571076727</v>
      </c>
    </row>
    <row r="2313" spans="1:18" x14ac:dyDescent="0.15">
      <c r="A2313" s="59">
        <v>44266.75</v>
      </c>
      <c r="B2313">
        <v>38.862892000000002</v>
      </c>
      <c r="C2313">
        <v>316.95043900000002</v>
      </c>
      <c r="D2313">
        <v>167.80024700000001</v>
      </c>
      <c r="E2313">
        <v>154.474503</v>
      </c>
      <c r="F2313">
        <v>1868.1999510000001</v>
      </c>
      <c r="H2313" s="50">
        <f t="shared" si="297"/>
        <v>5.1710468964562542E-3</v>
      </c>
      <c r="I2313" s="50">
        <f t="shared" si="298"/>
        <v>1.9062175858735879E-3</v>
      </c>
      <c r="J2313" s="50">
        <f t="shared" si="299"/>
        <v>-6.0188667766914528E-3</v>
      </c>
      <c r="K2313" s="50">
        <f t="shared" si="300"/>
        <v>2.5343513927467832E-3</v>
      </c>
      <c r="L2313" s="50">
        <f t="shared" si="301"/>
        <v>1.1839631596860559E-2</v>
      </c>
      <c r="P2313" s="50">
        <f t="shared" si="296"/>
        <v>1.1839631596860559E-2</v>
      </c>
      <c r="Q2313" s="51">
        <f t="shared" si="302"/>
        <v>64.346223928297078</v>
      </c>
      <c r="R2313" s="51">
        <f t="shared" si="303"/>
        <v>23.020741503419067</v>
      </c>
    </row>
    <row r="2314" spans="1:18" x14ac:dyDescent="0.15">
      <c r="A2314" s="59">
        <v>44267.75</v>
      </c>
      <c r="B2314">
        <v>38.662964000000002</v>
      </c>
      <c r="C2314">
        <v>316.34741200000002</v>
      </c>
      <c r="D2314">
        <v>168.81632999999999</v>
      </c>
      <c r="E2314">
        <v>154.084</v>
      </c>
      <c r="F2314">
        <v>1846.339966</v>
      </c>
      <c r="H2314" s="50">
        <f t="shared" si="297"/>
        <v>2.9983409387119442E-4</v>
      </c>
      <c r="I2314" s="50">
        <f t="shared" si="298"/>
        <v>9.9617813415846419E-3</v>
      </c>
      <c r="J2314" s="50">
        <f t="shared" si="299"/>
        <v>4.938604964642772E-3</v>
      </c>
      <c r="K2314" s="50">
        <f t="shared" si="300"/>
        <v>-3.2925293733542314E-3</v>
      </c>
      <c r="L2314" s="50">
        <f t="shared" si="301"/>
        <v>2.8297626923960871E-3</v>
      </c>
      <c r="P2314" s="50">
        <f t="shared" si="296"/>
        <v>2.8297626923960871E-3</v>
      </c>
      <c r="Q2314" s="51">
        <f t="shared" si="302"/>
        <v>64.528308472165932</v>
      </c>
      <c r="R2314" s="51">
        <f t="shared" si="303"/>
        <v>23.027643906587986</v>
      </c>
    </row>
    <row r="2315" spans="1:18" x14ac:dyDescent="0.15">
      <c r="A2315" s="59">
        <v>44268.75</v>
      </c>
      <c r="B2315">
        <v>38.651375000000002</v>
      </c>
      <c r="C2315">
        <v>313.22711199999998</v>
      </c>
      <c r="D2315">
        <v>167.98670999999999</v>
      </c>
      <c r="E2315">
        <v>154.59300200000001</v>
      </c>
      <c r="F2315">
        <v>1841.130005</v>
      </c>
      <c r="H2315" s="50">
        <f t="shared" si="297"/>
        <v>8.3913963923831492E-3</v>
      </c>
      <c r="I2315" s="50">
        <f t="shared" si="298"/>
        <v>-5.8930680509524129E-3</v>
      </c>
      <c r="J2315" s="50">
        <f t="shared" si="299"/>
        <v>1.0145799082497372E-2</v>
      </c>
      <c r="K2315" s="50">
        <f t="shared" si="300"/>
        <v>-1.3990343645596547E-2</v>
      </c>
      <c r="L2315" s="50">
        <f t="shared" si="301"/>
        <v>-9.5220926168461499E-3</v>
      </c>
      <c r="P2315" s="50">
        <f t="shared" si="296"/>
        <v>-9.5220926168461499E-3</v>
      </c>
      <c r="Q2315" s="51">
        <f t="shared" si="302"/>
        <v>63.913863942485555</v>
      </c>
      <c r="R2315" s="51">
        <f t="shared" si="303"/>
        <v>23.220877994590815</v>
      </c>
    </row>
    <row r="2316" spans="1:18" x14ac:dyDescent="0.15">
      <c r="A2316" s="59">
        <v>44271.75</v>
      </c>
      <c r="B2316">
        <v>38.329734999999999</v>
      </c>
      <c r="C2316">
        <v>315.08392300000003</v>
      </c>
      <c r="D2316">
        <v>166.29946899999999</v>
      </c>
      <c r="E2316">
        <v>156.78649899999999</v>
      </c>
      <c r="F2316">
        <v>1858.829956</v>
      </c>
      <c r="H2316" s="50">
        <f t="shared" si="297"/>
        <v>4.7690027170106796E-3</v>
      </c>
      <c r="I2316" s="50">
        <f t="shared" si="298"/>
        <v>1.9226935892944361E-2</v>
      </c>
      <c r="J2316" s="50">
        <f t="shared" si="299"/>
        <v>-6.7368304515082415E-3</v>
      </c>
      <c r="K2316" s="50">
        <f t="shared" si="300"/>
        <v>3.558131160612895E-2</v>
      </c>
      <c r="L2316" s="50">
        <f t="shared" si="301"/>
        <v>-7.1678696755240814E-3</v>
      </c>
      <c r="P2316" s="50">
        <f t="shared" si="296"/>
        <v>-7.1678696755240814E-3</v>
      </c>
      <c r="Q2316" s="51">
        <f t="shared" si="302"/>
        <v>63.455737695286643</v>
      </c>
      <c r="R2316" s="51">
        <f t="shared" si="303"/>
        <v>23.331618424838393</v>
      </c>
    </row>
    <row r="2317" spans="1:18" x14ac:dyDescent="0.15">
      <c r="A2317" s="59">
        <v>44272.75</v>
      </c>
      <c r="B2317">
        <v>38.147807999999998</v>
      </c>
      <c r="C2317">
        <v>309.140106</v>
      </c>
      <c r="D2317">
        <v>167.42739900000001</v>
      </c>
      <c r="E2317">
        <v>151.399506</v>
      </c>
      <c r="F2317">
        <v>1872.25</v>
      </c>
      <c r="H2317" s="50">
        <f t="shared" si="297"/>
        <v>-1.3132150077620424E-2</v>
      </c>
      <c r="I2317" s="50">
        <f t="shared" si="298"/>
        <v>-1.8029080280265817E-2</v>
      </c>
      <c r="J2317" s="50">
        <f t="shared" si="299"/>
        <v>-4.233528375729468E-2</v>
      </c>
      <c r="K2317" s="50">
        <f t="shared" si="300"/>
        <v>-1.5274962826996273E-2</v>
      </c>
      <c r="L2317" s="50">
        <f t="shared" si="301"/>
        <v>6.1694781604446037E-3</v>
      </c>
      <c r="P2317" s="50">
        <f t="shared" si="296"/>
        <v>6.1694781604446037E-3</v>
      </c>
      <c r="Q2317" s="51">
        <f t="shared" si="302"/>
        <v>63.847226483152618</v>
      </c>
      <c r="R2317" s="51">
        <f t="shared" si="303"/>
        <v>23.025224110129638</v>
      </c>
    </row>
    <row r="2318" spans="1:18" x14ac:dyDescent="0.15">
      <c r="A2318" s="59">
        <v>44273.75</v>
      </c>
      <c r="B2318">
        <v>38.655436999999999</v>
      </c>
      <c r="C2318">
        <v>314.81594799999999</v>
      </c>
      <c r="D2318">
        <v>174.82882699999999</v>
      </c>
      <c r="E2318">
        <v>153.74800099999999</v>
      </c>
      <c r="F2318">
        <v>1860.7700199999999</v>
      </c>
      <c r="H2318" s="50">
        <f t="shared" si="297"/>
        <v>-4.7594129951745714E-3</v>
      </c>
      <c r="I2318" s="50">
        <f t="shared" si="298"/>
        <v>-1.6681985254356529E-2</v>
      </c>
      <c r="J2318" s="50">
        <f t="shared" si="299"/>
        <v>-2.6059582961555521E-3</v>
      </c>
      <c r="K2318" s="50">
        <f t="shared" si="300"/>
        <v>-1.1543407248581763E-2</v>
      </c>
      <c r="L2318" s="50">
        <f t="shared" si="301"/>
        <v>-6.0042360564087124E-3</v>
      </c>
      <c r="P2318" s="50">
        <f t="shared" si="296"/>
        <v>-6.0042360564087124E-3</v>
      </c>
      <c r="Q2318" s="51">
        <f t="shared" si="302"/>
        <v>63.463872663800778</v>
      </c>
      <c r="R2318" s="51">
        <f t="shared" si="303"/>
        <v>22.915637559283081</v>
      </c>
    </row>
    <row r="2319" spans="1:18" x14ac:dyDescent="0.15">
      <c r="A2319" s="59">
        <v>44274.75</v>
      </c>
      <c r="B2319">
        <v>38.840294</v>
      </c>
      <c r="C2319">
        <v>320.15679899999998</v>
      </c>
      <c r="D2319">
        <v>175.28561400000001</v>
      </c>
      <c r="E2319">
        <v>155.54350299999999</v>
      </c>
      <c r="F2319">
        <v>1872.01001</v>
      </c>
      <c r="H2319" s="50">
        <f t="shared" si="297"/>
        <v>-1.1721696015222764E-2</v>
      </c>
      <c r="I2319" s="50">
        <f t="shared" si="298"/>
        <v>-1.7188641843530937E-2</v>
      </c>
      <c r="J2319" s="50">
        <f t="shared" si="299"/>
        <v>-4.6580658242127123E-3</v>
      </c>
      <c r="K2319" s="50">
        <f t="shared" si="300"/>
        <v>-8.4876302788845451E-3</v>
      </c>
      <c r="L2319" s="50">
        <f t="shared" si="301"/>
        <v>2.9412971418329788E-3</v>
      </c>
      <c r="P2319" s="50">
        <f t="shared" si="296"/>
        <v>2.9412971418329788E-3</v>
      </c>
      <c r="Q2319" s="51">
        <f t="shared" si="302"/>
        <v>63.650538771076469</v>
      </c>
      <c r="R2319" s="51">
        <f t="shared" si="303"/>
        <v>22.647027421818144</v>
      </c>
    </row>
    <row r="2320" spans="1:18" x14ac:dyDescent="0.15">
      <c r="A2320" s="59">
        <v>44275.75</v>
      </c>
      <c r="B2320">
        <v>39.300967999999997</v>
      </c>
      <c r="C2320">
        <v>325.75610399999999</v>
      </c>
      <c r="D2320">
        <v>176.10592700000001</v>
      </c>
      <c r="E2320">
        <v>156.875</v>
      </c>
      <c r="F2320">
        <v>1866.5200199999999</v>
      </c>
      <c r="H2320" s="50">
        <f t="shared" si="297"/>
        <v>6.2355624435333958E-3</v>
      </c>
      <c r="I2320" s="50">
        <f t="shared" si="298"/>
        <v>6.8037518154812184E-3</v>
      </c>
      <c r="J2320" s="50">
        <f t="shared" si="299"/>
        <v>3.3993581696533381E-3</v>
      </c>
      <c r="K2320" s="50">
        <f t="shared" si="300"/>
        <v>1.6335878357147737E-2</v>
      </c>
      <c r="L2320" s="50">
        <f t="shared" si="301"/>
        <v>4.8884913043871284E-3</v>
      </c>
      <c r="P2320" s="50">
        <f t="shared" si="296"/>
        <v>4.8884913043871284E-3</v>
      </c>
      <c r="Q2320" s="51">
        <f t="shared" si="302"/>
        <v>63.961693876378433</v>
      </c>
      <c r="R2320" s="51">
        <f t="shared" si="303"/>
        <v>22.788244375467301</v>
      </c>
    </row>
    <row r="2321" spans="1:18" x14ac:dyDescent="0.15">
      <c r="A2321" s="59">
        <v>44278.75</v>
      </c>
      <c r="B2321">
        <v>39.057423</v>
      </c>
      <c r="C2321">
        <v>323.55471799999998</v>
      </c>
      <c r="D2321">
        <v>175.509308</v>
      </c>
      <c r="E2321">
        <v>154.3535</v>
      </c>
      <c r="F2321">
        <v>1857.4399410000001</v>
      </c>
      <c r="H2321" s="50">
        <f t="shared" si="297"/>
        <v>-6.7158172174464365E-3</v>
      </c>
      <c r="I2321" s="50">
        <f t="shared" si="298"/>
        <v>-2.3964703265327882E-2</v>
      </c>
      <c r="J2321" s="50">
        <f t="shared" si="299"/>
        <v>-2.2937423540905538E-2</v>
      </c>
      <c r="K2321" s="50">
        <f t="shared" si="300"/>
        <v>1.3396728752063679E-2</v>
      </c>
      <c r="L2321" s="50">
        <f t="shared" si="301"/>
        <v>-4.384630322318092E-3</v>
      </c>
      <c r="P2321" s="50">
        <f t="shared" si="296"/>
        <v>-4.384630322318092E-3</v>
      </c>
      <c r="Q2321" s="51">
        <f t="shared" si="302"/>
        <v>63.68124549394124</v>
      </c>
      <c r="R2321" s="51">
        <f t="shared" si="303"/>
        <v>22.635202691535159</v>
      </c>
    </row>
    <row r="2322" spans="1:18" x14ac:dyDescent="0.15">
      <c r="A2322" s="59">
        <v>44279.75</v>
      </c>
      <c r="B2322">
        <v>39.321499000000003</v>
      </c>
      <c r="C2322">
        <v>331.49899299999998</v>
      </c>
      <c r="D2322">
        <v>179.629547</v>
      </c>
      <c r="E2322">
        <v>152.31300400000001</v>
      </c>
      <c r="F2322">
        <v>1865.619995</v>
      </c>
      <c r="H2322" s="50">
        <f t="shared" si="297"/>
        <v>-8.2883954871779356E-3</v>
      </c>
      <c r="I2322" s="50">
        <f t="shared" si="298"/>
        <v>-1.6135559397252003E-2</v>
      </c>
      <c r="J2322" s="50">
        <f t="shared" si="299"/>
        <v>-4.1054809058198909E-2</v>
      </c>
      <c r="K2322" s="50">
        <f t="shared" si="300"/>
        <v>-1.8905253101016788E-3</v>
      </c>
      <c r="L2322" s="50">
        <f t="shared" si="301"/>
        <v>7.0496694218106903E-3</v>
      </c>
      <c r="P2322" s="50">
        <f t="shared" si="296"/>
        <v>7.0496694218106903E-3</v>
      </c>
      <c r="Q2322" s="51">
        <f t="shared" si="302"/>
        <v>64.130177223042708</v>
      </c>
      <c r="R2322" s="51">
        <f t="shared" si="303"/>
        <v>22.447593179695282</v>
      </c>
    </row>
    <row r="2323" spans="1:18" x14ac:dyDescent="0.15">
      <c r="A2323" s="59">
        <v>44280.75</v>
      </c>
      <c r="B2323">
        <v>39.650134999999999</v>
      </c>
      <c r="C2323">
        <v>336.93563799999998</v>
      </c>
      <c r="D2323">
        <v>187.319931</v>
      </c>
      <c r="E2323">
        <v>152.60150100000001</v>
      </c>
      <c r="F2323">
        <v>1852.5600589999999</v>
      </c>
      <c r="H2323" s="50">
        <f t="shared" si="297"/>
        <v>-1.1267916531147722E-2</v>
      </c>
      <c r="I2323" s="50">
        <f t="shared" si="298"/>
        <v>-1.1596084094461116E-2</v>
      </c>
      <c r="J2323" s="50">
        <f t="shared" si="299"/>
        <v>1.3823569564342794E-2</v>
      </c>
      <c r="K2323" s="50">
        <f t="shared" si="300"/>
        <v>-7.7054748479577452E-3</v>
      </c>
      <c r="L2323" s="50">
        <f t="shared" si="301"/>
        <v>1.9037013400227032E-3</v>
      </c>
      <c r="P2323" s="50">
        <f t="shared" si="296"/>
        <v>1.9037013400227032E-3</v>
      </c>
      <c r="Q2323" s="51">
        <f t="shared" si="302"/>
        <v>64.252261927358106</v>
      </c>
      <c r="R2323" s="51">
        <f t="shared" si="303"/>
        <v>22.194655573421315</v>
      </c>
    </row>
    <row r="2324" spans="1:18" x14ac:dyDescent="0.15">
      <c r="A2324" s="59">
        <v>44281.75</v>
      </c>
      <c r="B2324">
        <v>40.102001000000001</v>
      </c>
      <c r="C2324">
        <v>340.88861100000003</v>
      </c>
      <c r="D2324">
        <v>184.76580799999999</v>
      </c>
      <c r="E2324">
        <v>153.78649899999999</v>
      </c>
      <c r="F2324">
        <v>1849.040039</v>
      </c>
      <c r="H2324" s="50">
        <f t="shared" si="297"/>
        <v>6.8512684475261374E-3</v>
      </c>
      <c r="I2324" s="50">
        <f t="shared" si="298"/>
        <v>1.8298628179264767E-2</v>
      </c>
      <c r="J2324" s="50">
        <f t="shared" si="299"/>
        <v>-7.2125599417681031E-3</v>
      </c>
      <c r="K2324" s="50">
        <f t="shared" si="300"/>
        <v>6.690055783642187E-3</v>
      </c>
      <c r="L2324" s="50">
        <f t="shared" si="301"/>
        <v>-4.6187896464798973E-3</v>
      </c>
      <c r="P2324" s="50">
        <f t="shared" si="296"/>
        <v>-4.6187896464798973E-3</v>
      </c>
      <c r="Q2324" s="51">
        <f t="shared" si="302"/>
        <v>63.955494245205109</v>
      </c>
      <c r="R2324" s="51">
        <f t="shared" si="303"/>
        <v>22.346717116855206</v>
      </c>
    </row>
    <row r="2325" spans="1:18" x14ac:dyDescent="0.15">
      <c r="A2325" s="59">
        <v>44282.75</v>
      </c>
      <c r="B2325">
        <v>39.829121000000001</v>
      </c>
      <c r="C2325">
        <v>334.76290899999998</v>
      </c>
      <c r="D2325">
        <v>186.108124</v>
      </c>
      <c r="E2325">
        <v>152.76449600000001</v>
      </c>
      <c r="F2325">
        <v>1857.619995</v>
      </c>
      <c r="H2325" s="50">
        <f t="shared" si="297"/>
        <v>-6.6261821132477757E-4</v>
      </c>
      <c r="I2325" s="50">
        <f t="shared" si="298"/>
        <v>-7.7449081462718575E-3</v>
      </c>
      <c r="J2325" s="50">
        <f t="shared" si="299"/>
        <v>7.9769361546789957E-3</v>
      </c>
      <c r="K2325" s="50">
        <f t="shared" si="300"/>
        <v>-1.2536838495993486E-2</v>
      </c>
      <c r="L2325" s="50">
        <f t="shared" si="301"/>
        <v>-7.861804622718814E-3</v>
      </c>
      <c r="P2325" s="50">
        <f t="shared" si="296"/>
        <v>-7.861804622718814E-3</v>
      </c>
      <c r="Q2325" s="51">
        <f t="shared" si="302"/>
        <v>63.452688644899894</v>
      </c>
      <c r="R2325" s="51">
        <f t="shared" si="303"/>
        <v>22.331909775130256</v>
      </c>
    </row>
    <row r="2326" spans="1:18" x14ac:dyDescent="0.15">
      <c r="A2326" s="59">
        <v>44285.75</v>
      </c>
      <c r="B2326">
        <v>39.855530000000002</v>
      </c>
      <c r="C2326">
        <v>337.375854</v>
      </c>
      <c r="D2326">
        <v>184.6353</v>
      </c>
      <c r="E2326">
        <v>154.70399499999999</v>
      </c>
      <c r="F2326">
        <v>1872.339966</v>
      </c>
      <c r="H2326" s="50">
        <f t="shared" si="297"/>
        <v>1.5484529781453326E-3</v>
      </c>
      <c r="I2326" s="50">
        <f t="shared" si="298"/>
        <v>-6.9310985741171515E-3</v>
      </c>
      <c r="J2326" s="50">
        <f t="shared" si="299"/>
        <v>-1.3202578206434706E-2</v>
      </c>
      <c r="K2326" s="50">
        <f t="shared" si="300"/>
        <v>-2.1170565874649251E-2</v>
      </c>
      <c r="L2326" s="50">
        <f t="shared" si="301"/>
        <v>-6.9901426981400748E-3</v>
      </c>
      <c r="P2326" s="50">
        <f t="shared" si="296"/>
        <v>-6.9901426981400748E-3</v>
      </c>
      <c r="Q2326" s="51">
        <f t="shared" si="302"/>
        <v>63.009145296691393</v>
      </c>
      <c r="R2326" s="51">
        <f t="shared" si="303"/>
        <v>22.366489687329228</v>
      </c>
    </row>
    <row r="2327" spans="1:18" x14ac:dyDescent="0.15">
      <c r="A2327" s="59">
        <v>44286.75</v>
      </c>
      <c r="B2327">
        <v>39.793911000000001</v>
      </c>
      <c r="C2327">
        <v>339.73056000000003</v>
      </c>
      <c r="D2327">
        <v>187.10557600000001</v>
      </c>
      <c r="E2327">
        <v>158.050003</v>
      </c>
      <c r="F2327">
        <v>1885.5200199999999</v>
      </c>
      <c r="H2327" s="50">
        <f t="shared" si="297"/>
        <v>-2.7325459721372528E-2</v>
      </c>
      <c r="I2327" s="50">
        <f t="shared" si="298"/>
        <v>-1.6296169527358052E-2</v>
      </c>
      <c r="J2327" s="50">
        <f t="shared" si="299"/>
        <v>-2.2546673886057866E-2</v>
      </c>
      <c r="K2327" s="50">
        <f t="shared" si="300"/>
        <v>-2.037046148428328E-2</v>
      </c>
      <c r="L2327" s="50">
        <f t="shared" si="301"/>
        <v>-2.8452080658496514E-3</v>
      </c>
      <c r="P2327" s="50">
        <f t="shared" si="296"/>
        <v>-2.8452080658496514E-3</v>
      </c>
      <c r="Q2327" s="51">
        <f t="shared" si="302"/>
        <v>62.829871168270955</v>
      </c>
      <c r="R2327" s="51">
        <f t="shared" si="303"/>
        <v>21.755315074269618</v>
      </c>
    </row>
    <row r="2328" spans="1:18" x14ac:dyDescent="0.15">
      <c r="A2328" s="59">
        <v>44287.75</v>
      </c>
      <c r="B2328">
        <v>40.911845999999997</v>
      </c>
      <c r="C2328">
        <v>345.35858200000001</v>
      </c>
      <c r="D2328">
        <v>191.421494</v>
      </c>
      <c r="E2328">
        <v>161.336502</v>
      </c>
      <c r="F2328">
        <v>1890.900024</v>
      </c>
      <c r="H2328" s="50">
        <f t="shared" si="297"/>
        <v>-4.7823269382152329E-3</v>
      </c>
      <c r="I2328" s="50">
        <f t="shared" si="298"/>
        <v>1.9439114624693976E-3</v>
      </c>
      <c r="J2328" s="50">
        <f t="shared" si="299"/>
        <v>-3.8940226149712946E-4</v>
      </c>
      <c r="K2328" s="50">
        <f t="shared" si="300"/>
        <v>9.0270551963968063E-4</v>
      </c>
      <c r="L2328" s="50">
        <f t="shared" si="301"/>
        <v>1.1277201445627028E-3</v>
      </c>
      <c r="P2328" s="50">
        <f t="shared" si="296"/>
        <v>1.1277201445627028E-3</v>
      </c>
      <c r="Q2328" s="51">
        <f t="shared" si="302"/>
        <v>62.900725679667694</v>
      </c>
      <c r="R2328" s="51">
        <f t="shared" si="303"/>
        <v>21.651274044940578</v>
      </c>
    </row>
    <row r="2329" spans="1:18" x14ac:dyDescent="0.15">
      <c r="A2329" s="59">
        <v>44288.75</v>
      </c>
      <c r="B2329">
        <v>41.108440000000002</v>
      </c>
      <c r="C2329">
        <v>344.68853799999999</v>
      </c>
      <c r="D2329">
        <v>191.49606299999999</v>
      </c>
      <c r="E2329">
        <v>161.19099399999999</v>
      </c>
      <c r="F2329">
        <v>1888.7700199999999</v>
      </c>
      <c r="H2329" s="50">
        <f t="shared" si="297"/>
        <v>2.1457605748551626E-3</v>
      </c>
      <c r="I2329" s="50">
        <f t="shared" si="298"/>
        <v>3.6509884957389395E-3</v>
      </c>
      <c r="J2329" s="50">
        <f t="shared" si="299"/>
        <v>4.7933458330795377E-3</v>
      </c>
      <c r="K2329" s="50">
        <f t="shared" si="300"/>
        <v>-1.6945249170671965E-2</v>
      </c>
      <c r="L2329" s="50">
        <f t="shared" si="301"/>
        <v>1.2696467426065134E-2</v>
      </c>
      <c r="P2329" s="50">
        <f t="shared" si="296"/>
        <v>1.2696467426065134E-2</v>
      </c>
      <c r="Q2329" s="51">
        <f t="shared" si="302"/>
        <v>63.699342694335456</v>
      </c>
      <c r="R2329" s="51">
        <f t="shared" si="303"/>
        <v>21.697732495181597</v>
      </c>
    </row>
    <row r="2330" spans="1:18" x14ac:dyDescent="0.15">
      <c r="A2330" s="59">
        <v>44289.75</v>
      </c>
      <c r="B2330">
        <v>41.020420000000001</v>
      </c>
      <c r="C2330">
        <v>343.434662</v>
      </c>
      <c r="D2330">
        <v>190.58253500000001</v>
      </c>
      <c r="E2330">
        <v>163.96949799999999</v>
      </c>
      <c r="F2330">
        <v>1865.089966</v>
      </c>
      <c r="H2330" s="50">
        <f t="shared" si="297"/>
        <v>6.4450896825164923E-4</v>
      </c>
      <c r="I2330" s="50">
        <f t="shared" si="298"/>
        <v>-6.6718421341241275E-3</v>
      </c>
      <c r="J2330" s="50">
        <f t="shared" si="299"/>
        <v>4.8657517107298966E-3</v>
      </c>
      <c r="K2330" s="50">
        <f t="shared" si="300"/>
        <v>-6.0346014253837591E-3</v>
      </c>
      <c r="L2330" s="50">
        <f t="shared" si="301"/>
        <v>1.0866933278514086E-2</v>
      </c>
      <c r="P2330" s="50">
        <f t="shared" si="296"/>
        <v>1.0866933278514086E-2</v>
      </c>
      <c r="Q2330" s="51">
        <f t="shared" si="302"/>
        <v>64.391559201280003</v>
      </c>
      <c r="R2330" s="51">
        <f t="shared" si="303"/>
        <v>21.711716878365468</v>
      </c>
    </row>
    <row r="2331" spans="1:18" x14ac:dyDescent="0.15">
      <c r="A2331" s="59">
        <v>44292.75</v>
      </c>
      <c r="B2331">
        <v>40.993999000000002</v>
      </c>
      <c r="C2331">
        <v>345.74139400000001</v>
      </c>
      <c r="D2331">
        <v>189.65969799999999</v>
      </c>
      <c r="E2331">
        <v>164.96499600000001</v>
      </c>
      <c r="F2331">
        <v>1845.040039</v>
      </c>
      <c r="H2331" s="50">
        <f t="shared" si="297"/>
        <v>-5.0104171570922477E-4</v>
      </c>
      <c r="I2331" s="50">
        <f t="shared" si="298"/>
        <v>-5.4789163502179175E-3</v>
      </c>
      <c r="J2331" s="50">
        <f t="shared" si="299"/>
        <v>-9.2520056475546408E-3</v>
      </c>
      <c r="K2331" s="50">
        <f t="shared" si="300"/>
        <v>-2.1617964405326096E-2</v>
      </c>
      <c r="L2331" s="50">
        <f t="shared" si="301"/>
        <v>-3.736539744770455E-3</v>
      </c>
      <c r="P2331" s="50">
        <f t="shared" si="296"/>
        <v>-3.736539744770455E-3</v>
      </c>
      <c r="Q2331" s="51">
        <f t="shared" si="302"/>
        <v>64.150957581096677</v>
      </c>
      <c r="R2331" s="51">
        <f t="shared" si="303"/>
        <v>21.70083840248974</v>
      </c>
    </row>
    <row r="2332" spans="1:18" x14ac:dyDescent="0.15">
      <c r="A2332" s="59">
        <v>44293.75</v>
      </c>
      <c r="B2332">
        <v>41.014549000000002</v>
      </c>
      <c r="C2332">
        <v>347.646118</v>
      </c>
      <c r="D2332">
        <v>191.43081699999999</v>
      </c>
      <c r="E2332">
        <v>168.61000100000001</v>
      </c>
      <c r="F2332">
        <v>1851.959961</v>
      </c>
      <c r="H2332" s="50">
        <f t="shared" si="297"/>
        <v>-1.4312383929757596E-4</v>
      </c>
      <c r="I2332" s="50">
        <f t="shared" si="298"/>
        <v>-4.3860912366602686E-3</v>
      </c>
      <c r="J2332" s="50">
        <f t="shared" si="299"/>
        <v>1.2676288031838957E-3</v>
      </c>
      <c r="K2332" s="50">
        <f t="shared" si="300"/>
        <v>-2.1275851810838441E-3</v>
      </c>
      <c r="L2332" s="50">
        <f t="shared" si="301"/>
        <v>-1.0800292929517508E-2</v>
      </c>
      <c r="P2332" s="50">
        <f t="shared" si="296"/>
        <v>-1.0800292929517508E-2</v>
      </c>
      <c r="Q2332" s="51">
        <f t="shared" si="302"/>
        <v>63.458108447511783</v>
      </c>
      <c r="R2332" s="51">
        <f t="shared" si="303"/>
        <v>21.697732495181601</v>
      </c>
    </row>
    <row r="2333" spans="1:18" x14ac:dyDescent="0.15">
      <c r="A2333" s="59">
        <v>44294.75</v>
      </c>
      <c r="B2333">
        <v>41.020420000000001</v>
      </c>
      <c r="C2333">
        <v>349.17764299999999</v>
      </c>
      <c r="D2333">
        <v>191.18846099999999</v>
      </c>
      <c r="E2333">
        <v>168.96949799999999</v>
      </c>
      <c r="F2333">
        <v>1872.1800539999999</v>
      </c>
      <c r="H2333" s="50">
        <f t="shared" si="297"/>
        <v>3.0854955835957557E-3</v>
      </c>
      <c r="I2333" s="50">
        <f t="shared" si="298"/>
        <v>-1.0950381468383332E-3</v>
      </c>
      <c r="J2333" s="50">
        <f t="shared" si="299"/>
        <v>7.8067174044928319E-4</v>
      </c>
      <c r="K2333" s="50">
        <f t="shared" si="300"/>
        <v>-6.0617764705883101E-3</v>
      </c>
      <c r="L2333" s="50">
        <f t="shared" si="301"/>
        <v>2.1330274149809036E-2</v>
      </c>
      <c r="P2333" s="50">
        <f t="shared" si="296"/>
        <v>2.1330274149809036E-2</v>
      </c>
      <c r="Q2333" s="51">
        <f t="shared" si="302"/>
        <v>64.811687297725513</v>
      </c>
      <c r="R2333" s="51">
        <f t="shared" si="303"/>
        <v>21.764680752969525</v>
      </c>
    </row>
    <row r="2334" spans="1:18" x14ac:dyDescent="0.15">
      <c r="A2334" s="59">
        <v>44295.75</v>
      </c>
      <c r="B2334">
        <v>40.894241000000001</v>
      </c>
      <c r="C2334">
        <v>349.56042500000001</v>
      </c>
      <c r="D2334">
        <v>191.039322</v>
      </c>
      <c r="E2334">
        <v>170</v>
      </c>
      <c r="F2334">
        <v>1833.079956</v>
      </c>
      <c r="H2334" s="50">
        <f t="shared" si="297"/>
        <v>3.5878553920358546E-4</v>
      </c>
      <c r="I2334" s="50">
        <f t="shared" si="298"/>
        <v>5.617180410676003E-3</v>
      </c>
      <c r="J2334" s="50">
        <f t="shared" si="299"/>
        <v>-3.7430586656826618E-3</v>
      </c>
      <c r="K2334" s="50">
        <f t="shared" si="300"/>
        <v>2.0102046928366573E-2</v>
      </c>
      <c r="L2334" s="50">
        <f t="shared" si="301"/>
        <v>9.5776347091631256E-3</v>
      </c>
      <c r="P2334" s="50">
        <f t="shared" si="296"/>
        <v>9.5776347091631256E-3</v>
      </c>
      <c r="Q2334" s="51">
        <f t="shared" si="302"/>
        <v>65.432429963547634</v>
      </c>
      <c r="R2334" s="51">
        <f t="shared" si="303"/>
        <v>21.772489605689071</v>
      </c>
    </row>
    <row r="2335" spans="1:18" x14ac:dyDescent="0.15">
      <c r="A2335" s="59">
        <v>44296.75</v>
      </c>
      <c r="B2335">
        <v>40.879573999999998</v>
      </c>
      <c r="C2335">
        <v>347.60784899999999</v>
      </c>
      <c r="D2335">
        <v>191.75708</v>
      </c>
      <c r="E2335">
        <v>166.64999399999999</v>
      </c>
      <c r="F2335">
        <v>1815.6899410000001</v>
      </c>
      <c r="H2335" s="50">
        <f t="shared" si="297"/>
        <v>-5.9933535568460856E-3</v>
      </c>
      <c r="I2335" s="50">
        <f t="shared" si="298"/>
        <v>-1.5265680391205606E-2</v>
      </c>
      <c r="J2335" s="50">
        <f t="shared" si="299"/>
        <v>-2.4304015497178018E-4</v>
      </c>
      <c r="K2335" s="50">
        <f t="shared" si="300"/>
        <v>-1.3639790755970336E-2</v>
      </c>
      <c r="L2335" s="50">
        <f t="shared" si="301"/>
        <v>-8.1503128040678538E-3</v>
      </c>
      <c r="P2335" s="50">
        <f t="shared" si="296"/>
        <v>-8.1503128040678538E-3</v>
      </c>
      <c r="Q2335" s="51">
        <f t="shared" si="302"/>
        <v>64.899135191814452</v>
      </c>
      <c r="R2335" s="51">
        <f t="shared" si="303"/>
        <v>21.641999377669421</v>
      </c>
    </row>
    <row r="2336" spans="1:18" x14ac:dyDescent="0.15">
      <c r="A2336" s="59">
        <v>44299.75</v>
      </c>
      <c r="B2336">
        <v>41.126057000000003</v>
      </c>
      <c r="C2336">
        <v>352.99658199999999</v>
      </c>
      <c r="D2336">
        <v>191.803696</v>
      </c>
      <c r="E2336">
        <v>168.954498</v>
      </c>
      <c r="F2336">
        <v>1830.6099850000001</v>
      </c>
      <c r="H2336" s="50">
        <f t="shared" si="297"/>
        <v>-3.2001965384195145E-3</v>
      </c>
      <c r="I2336" s="50">
        <f t="shared" si="298"/>
        <v>-5.179143888900041E-3</v>
      </c>
      <c r="J2336" s="50">
        <f t="shared" si="299"/>
        <v>-1.3378134087609487E-2</v>
      </c>
      <c r="K2336" s="50">
        <f t="shared" si="300"/>
        <v>-5.9862918598357811E-3</v>
      </c>
      <c r="L2336" s="50">
        <f t="shared" si="301"/>
        <v>-6.7119529969066815E-3</v>
      </c>
      <c r="P2336" s="50">
        <f t="shared" si="296"/>
        <v>-6.7119529969066815E-3</v>
      </c>
      <c r="Q2336" s="51">
        <f t="shared" si="302"/>
        <v>64.46353524686711</v>
      </c>
      <c r="R2336" s="51">
        <f t="shared" si="303"/>
        <v>21.572740726176526</v>
      </c>
    </row>
    <row r="2337" spans="1:18" x14ac:dyDescent="0.15">
      <c r="A2337" s="59">
        <v>44300.75</v>
      </c>
      <c r="B2337">
        <v>41.258091</v>
      </c>
      <c r="C2337">
        <v>354.83431999999999</v>
      </c>
      <c r="D2337">
        <v>194.40446499999999</v>
      </c>
      <c r="E2337">
        <v>169.97200000000001</v>
      </c>
      <c r="F2337">
        <v>1842.9799800000001</v>
      </c>
      <c r="H2337" s="50">
        <f t="shared" si="297"/>
        <v>6.442211212426433E-3</v>
      </c>
      <c r="I2337" s="50">
        <f t="shared" si="298"/>
        <v>3.1660369246947497E-3</v>
      </c>
      <c r="J2337" s="50">
        <f t="shared" si="299"/>
        <v>-4.790289609434832E-4</v>
      </c>
      <c r="K2337" s="50">
        <f t="shared" si="300"/>
        <v>8.1346499494836053E-3</v>
      </c>
      <c r="L2337" s="50">
        <f t="shared" si="301"/>
        <v>-1.0379624438252494E-2</v>
      </c>
      <c r="P2337" s="50">
        <f t="shared" si="296"/>
        <v>-1.0379624438252494E-2</v>
      </c>
      <c r="Q2337" s="51">
        <f t="shared" si="302"/>
        <v>63.79442796104258</v>
      </c>
      <c r="R2337" s="51">
        <f t="shared" si="303"/>
        <v>21.711716878365472</v>
      </c>
    </row>
    <row r="2338" spans="1:18" x14ac:dyDescent="0.15">
      <c r="A2338" s="59">
        <v>44301.75</v>
      </c>
      <c r="B2338">
        <v>40.993999000000002</v>
      </c>
      <c r="C2338">
        <v>353.71444700000001</v>
      </c>
      <c r="D2338">
        <v>194.497635</v>
      </c>
      <c r="E2338">
        <v>168.600494</v>
      </c>
      <c r="F2338">
        <v>1862.3100589999999</v>
      </c>
      <c r="H2338" s="50">
        <f t="shared" si="297"/>
        <v>-7.6712432225824129E-3</v>
      </c>
      <c r="I2338" s="50">
        <f t="shared" si="298"/>
        <v>-5.8646223468806135E-3</v>
      </c>
      <c r="J2338" s="50">
        <f t="shared" si="299"/>
        <v>6.6578780828600364E-3</v>
      </c>
      <c r="K2338" s="50">
        <f t="shared" si="300"/>
        <v>1.1191427290538399E-2</v>
      </c>
      <c r="L2338" s="50">
        <f t="shared" si="301"/>
        <v>-1.3619953522738815E-3</v>
      </c>
      <c r="P2338" s="50">
        <f t="shared" si="296"/>
        <v>-1.3619953522738815E-3</v>
      </c>
      <c r="Q2338" s="51">
        <f t="shared" si="302"/>
        <v>63.707540246658667</v>
      </c>
      <c r="R2338" s="51">
        <f t="shared" si="303"/>
        <v>21.545161017411683</v>
      </c>
    </row>
    <row r="2339" spans="1:18" x14ac:dyDescent="0.15">
      <c r="A2339" s="59">
        <v>44302.75</v>
      </c>
      <c r="B2339">
        <v>41.310904999999998</v>
      </c>
      <c r="C2339">
        <v>355.801086</v>
      </c>
      <c r="D2339">
        <v>193.21125799999999</v>
      </c>
      <c r="E2339">
        <v>166.734497</v>
      </c>
      <c r="F2339">
        <v>1864.849976</v>
      </c>
      <c r="H2339" s="50">
        <f t="shared" si="297"/>
        <v>-2.9036325903717326E-3</v>
      </c>
      <c r="I2339" s="50">
        <f t="shared" si="298"/>
        <v>-6.3085834704819065E-3</v>
      </c>
      <c r="J2339" s="50">
        <f t="shared" si="299"/>
        <v>2.417953745350932E-3</v>
      </c>
      <c r="K2339" s="50">
        <f t="shared" si="300"/>
        <v>-8.1290475146375968E-3</v>
      </c>
      <c r="L2339" s="50">
        <f t="shared" si="301"/>
        <v>-3.7609255584388481E-3</v>
      </c>
      <c r="P2339" s="50">
        <f t="shared" si="296"/>
        <v>-3.7609255584388481E-3</v>
      </c>
      <c r="Q2339" s="51">
        <f t="shared" si="302"/>
        <v>63.467940930279738</v>
      </c>
      <c r="R2339" s="51">
        <f t="shared" si="303"/>
        <v>21.482601785716721</v>
      </c>
    </row>
    <row r="2340" spans="1:18" x14ac:dyDescent="0.15">
      <c r="A2340" s="59">
        <v>44306.75</v>
      </c>
      <c r="B2340">
        <v>41.431206000000003</v>
      </c>
      <c r="C2340">
        <v>358.05993699999999</v>
      </c>
      <c r="D2340">
        <v>192.74520899999999</v>
      </c>
      <c r="E2340">
        <v>168.100998</v>
      </c>
      <c r="F2340">
        <v>1871.8900149999999</v>
      </c>
      <c r="H2340" s="50">
        <f t="shared" si="297"/>
        <v>1.0954321640481088E-2</v>
      </c>
      <c r="I2340" s="50">
        <f t="shared" si="298"/>
        <v>7.6227153038763793E-3</v>
      </c>
      <c r="J2340" s="50">
        <f t="shared" si="299"/>
        <v>5.8375093848537195E-3</v>
      </c>
      <c r="K2340" s="50">
        <f t="shared" si="300"/>
        <v>1.6010698353859664E-2</v>
      </c>
      <c r="L2340" s="50">
        <f t="shared" si="301"/>
        <v>-4.0754615734097943E-3</v>
      </c>
      <c r="P2340" s="50">
        <f t="shared" si="296"/>
        <v>-4.0754615734097943E-3</v>
      </c>
      <c r="Q2340" s="51">
        <f t="shared" si="302"/>
        <v>63.20927977587494</v>
      </c>
      <c r="R2340" s="51">
        <f t="shared" si="303"/>
        <v>21.717929115351833</v>
      </c>
    </row>
    <row r="2341" spans="1:18" x14ac:dyDescent="0.15">
      <c r="A2341" s="59">
        <v>44307.75</v>
      </c>
      <c r="B2341">
        <v>40.982272999999999</v>
      </c>
      <c r="C2341">
        <v>355.35119600000002</v>
      </c>
      <c r="D2341">
        <v>191.626587</v>
      </c>
      <c r="E2341">
        <v>165.45199600000001</v>
      </c>
      <c r="F2341">
        <v>1879.5500489999999</v>
      </c>
      <c r="H2341" s="50">
        <f t="shared" si="297"/>
        <v>-1.6441020621726704E-3</v>
      </c>
      <c r="I2341" s="50">
        <f t="shared" si="298"/>
        <v>-5.4114030163073283E-3</v>
      </c>
      <c r="J2341" s="50">
        <f t="shared" si="299"/>
        <v>-2.1357424919258676E-3</v>
      </c>
      <c r="K2341" s="50">
        <f t="shared" si="300"/>
        <v>-9.5304826441960921E-3</v>
      </c>
      <c r="L2341" s="50">
        <f t="shared" si="301"/>
        <v>2.2182233917887187E-3</v>
      </c>
      <c r="P2341" s="50">
        <f t="shared" si="296"/>
        <v>2.2182233917887187E-3</v>
      </c>
      <c r="Q2341" s="51">
        <f t="shared" si="302"/>
        <v>63.349492078851902</v>
      </c>
      <c r="R2341" s="51">
        <f t="shared" si="303"/>
        <v>21.682222623307162</v>
      </c>
    </row>
    <row r="2342" spans="1:18" x14ac:dyDescent="0.15">
      <c r="A2342" s="59">
        <v>44308.75</v>
      </c>
      <c r="B2342">
        <v>41.049762999999999</v>
      </c>
      <c r="C2342">
        <v>357.28460699999999</v>
      </c>
      <c r="D2342">
        <v>192.03672800000001</v>
      </c>
      <c r="E2342">
        <v>167.044006</v>
      </c>
      <c r="F2342">
        <v>1875.3900149999999</v>
      </c>
      <c r="H2342" s="50">
        <f t="shared" si="297"/>
        <v>1.4429747195975144E-2</v>
      </c>
      <c r="I2342" s="50">
        <f t="shared" si="298"/>
        <v>1.2916445985907752E-2</v>
      </c>
      <c r="J2342" s="50">
        <f t="shared" si="299"/>
        <v>1.1687934197818989E-2</v>
      </c>
      <c r="K2342" s="50">
        <f t="shared" si="300"/>
        <v>-1.99823470809448E-2</v>
      </c>
      <c r="L2342" s="50">
        <f t="shared" si="301"/>
        <v>-1.7140172924185234E-3</v>
      </c>
      <c r="P2342" s="50">
        <f t="shared" si="296"/>
        <v>-1.7140172924185234E-3</v>
      </c>
      <c r="Q2342" s="51">
        <f t="shared" si="302"/>
        <v>63.24090995396282</v>
      </c>
      <c r="R2342" s="51">
        <f t="shared" si="303"/>
        <v>21.995091614408338</v>
      </c>
    </row>
    <row r="2343" spans="1:18" x14ac:dyDescent="0.15">
      <c r="A2343" s="59">
        <v>44309.75</v>
      </c>
      <c r="B2343">
        <v>40.465851000000001</v>
      </c>
      <c r="C2343">
        <v>352.72860700000001</v>
      </c>
      <c r="D2343">
        <v>189.81814600000001</v>
      </c>
      <c r="E2343">
        <v>170.449997</v>
      </c>
      <c r="F2343">
        <v>1878.6099850000001</v>
      </c>
      <c r="H2343" s="50">
        <f t="shared" si="297"/>
        <v>-3.3964588501163564E-3</v>
      </c>
      <c r="I2343" s="50">
        <f t="shared" si="298"/>
        <v>-4.5648106838361846E-3</v>
      </c>
      <c r="J2343" s="50">
        <f t="shared" si="299"/>
        <v>-3.5721829450100578E-3</v>
      </c>
      <c r="K2343" s="50">
        <f t="shared" si="300"/>
        <v>-2.4668185460951842E-3</v>
      </c>
      <c r="L2343" s="50">
        <f t="shared" si="301"/>
        <v>8.1624776237525804E-3</v>
      </c>
      <c r="P2343" s="50">
        <f t="shared" si="296"/>
        <v>8.1624776237525804E-3</v>
      </c>
      <c r="Q2343" s="51">
        <f t="shared" si="302"/>
        <v>63.757112466367794</v>
      </c>
      <c r="R2343" s="51">
        <f t="shared" si="303"/>
        <v>21.920386190835462</v>
      </c>
    </row>
    <row r="2344" spans="1:18" x14ac:dyDescent="0.15">
      <c r="A2344" s="59">
        <v>44310.75</v>
      </c>
      <c r="B2344">
        <v>40.603760000000001</v>
      </c>
      <c r="C2344">
        <v>354.34613000000002</v>
      </c>
      <c r="D2344">
        <v>190.49864199999999</v>
      </c>
      <c r="E2344">
        <v>170.87150600000001</v>
      </c>
      <c r="F2344">
        <v>1863.400024</v>
      </c>
      <c r="H2344" s="50">
        <f t="shared" si="297"/>
        <v>3.5536349746094677E-3</v>
      </c>
      <c r="I2344" s="50">
        <f t="shared" si="298"/>
        <v>1.6772220222206703E-3</v>
      </c>
      <c r="J2344" s="50">
        <f t="shared" si="299"/>
        <v>-4.8892442801340798E-4</v>
      </c>
      <c r="K2344" s="50">
        <f t="shared" si="300"/>
        <v>-1.1875072802514238E-2</v>
      </c>
      <c r="L2344" s="50">
        <f t="shared" si="301"/>
        <v>-3.2255980838103598E-3</v>
      </c>
      <c r="P2344" s="50">
        <f t="shared" si="296"/>
        <v>-3.2255980838103598E-3</v>
      </c>
      <c r="Q2344" s="51">
        <f t="shared" si="302"/>
        <v>63.551457646566995</v>
      </c>
      <c r="R2344" s="51">
        <f t="shared" si="303"/>
        <v>21.998283241860161</v>
      </c>
    </row>
    <row r="2345" spans="1:18" x14ac:dyDescent="0.15">
      <c r="A2345" s="59">
        <v>44313.75</v>
      </c>
      <c r="B2345">
        <v>40.459980000000002</v>
      </c>
      <c r="C2345">
        <v>353.75280800000002</v>
      </c>
      <c r="D2345">
        <v>190.59182699999999</v>
      </c>
      <c r="E2345">
        <v>172.925003</v>
      </c>
      <c r="F2345">
        <v>1869.4300539999999</v>
      </c>
      <c r="H2345" s="50">
        <f t="shared" si="297"/>
        <v>-1.2461516550857745E-2</v>
      </c>
      <c r="I2345" s="50">
        <f t="shared" si="298"/>
        <v>-1.2689133908366046E-2</v>
      </c>
      <c r="J2345" s="50">
        <f t="shared" si="299"/>
        <v>-1.4080654516295078E-2</v>
      </c>
      <c r="K2345" s="50">
        <f t="shared" si="300"/>
        <v>-3.6902666593210945E-3</v>
      </c>
      <c r="L2345" s="50">
        <f t="shared" si="301"/>
        <v>-4.7381994689329821E-3</v>
      </c>
      <c r="P2345" s="50">
        <f t="shared" si="296"/>
        <v>-4.7381994689329821E-3</v>
      </c>
      <c r="Q2345" s="51">
        <f t="shared" si="302"/>
        <v>63.250338163696114</v>
      </c>
      <c r="R2345" s="51">
        <f t="shared" si="303"/>
        <v>21.724151271151264</v>
      </c>
    </row>
    <row r="2346" spans="1:18" x14ac:dyDescent="0.15">
      <c r="A2346" s="59">
        <v>44314.75</v>
      </c>
      <c r="B2346">
        <v>40.970534999999998</v>
      </c>
      <c r="C2346">
        <v>358.29931599999998</v>
      </c>
      <c r="D2346">
        <v>193.31381200000001</v>
      </c>
      <c r="E2346">
        <v>173.565506</v>
      </c>
      <c r="F2346">
        <v>1878.329956</v>
      </c>
      <c r="H2346" s="50">
        <f t="shared" si="297"/>
        <v>-2.0011843803947344E-3</v>
      </c>
      <c r="I2346" s="50">
        <f t="shared" si="298"/>
        <v>3.8968194056051833E-3</v>
      </c>
      <c r="J2346" s="50">
        <f t="shared" si="299"/>
        <v>5.7914538323434702E-4</v>
      </c>
      <c r="K2346" s="50">
        <f t="shared" si="300"/>
        <v>1.1218946522555998E-3</v>
      </c>
      <c r="L2346" s="50">
        <f t="shared" si="301"/>
        <v>-2.9830914547474712E-3</v>
      </c>
      <c r="P2346" s="50">
        <f t="shared" si="296"/>
        <v>-2.9830914547474712E-3</v>
      </c>
      <c r="Q2346" s="51">
        <f t="shared" si="302"/>
        <v>63.061656620410105</v>
      </c>
      <c r="R2346" s="51">
        <f t="shared" si="303"/>
        <v>21.680677238950103</v>
      </c>
    </row>
    <row r="2347" spans="1:18" x14ac:dyDescent="0.15">
      <c r="A2347" s="59">
        <v>44315.75</v>
      </c>
      <c r="B2347">
        <v>41.052689000000001</v>
      </c>
      <c r="C2347">
        <v>356.90850799999998</v>
      </c>
      <c r="D2347">
        <v>193.20192</v>
      </c>
      <c r="E2347">
        <v>173.371002</v>
      </c>
      <c r="F2347">
        <v>1883.9499510000001</v>
      </c>
      <c r="H2347" s="50">
        <f t="shared" si="297"/>
        <v>-1.5550430731423315E-2</v>
      </c>
      <c r="I2347" s="50">
        <f t="shared" si="298"/>
        <v>-1.9060386912608543E-2</v>
      </c>
      <c r="J2347" s="50">
        <f t="shared" si="299"/>
        <v>-1.902703071572532E-2</v>
      </c>
      <c r="K2347" s="50">
        <f t="shared" si="300"/>
        <v>2.3897954326076234E-2</v>
      </c>
      <c r="L2347" s="50">
        <f t="shared" si="301"/>
        <v>1.4328176349640755E-4</v>
      </c>
      <c r="P2347" s="50">
        <f t="shared" si="296"/>
        <v>1.4328176349640755E-4</v>
      </c>
      <c r="Q2347" s="51">
        <f t="shared" si="302"/>
        <v>63.070692205779679</v>
      </c>
      <c r="R2347" s="51">
        <f t="shared" si="303"/>
        <v>21.343533369335464</v>
      </c>
    </row>
    <row r="2348" spans="1:18" x14ac:dyDescent="0.15">
      <c r="A2348" s="59">
        <v>44316.75</v>
      </c>
      <c r="B2348">
        <v>41.701160000000002</v>
      </c>
      <c r="C2348">
        <v>363.84350599999999</v>
      </c>
      <c r="D2348">
        <v>196.94927999999999</v>
      </c>
      <c r="E2348">
        <v>169.32449299999999</v>
      </c>
      <c r="F2348">
        <v>1883.6800539999999</v>
      </c>
      <c r="H2348" s="50">
        <f t="shared" si="297"/>
        <v>9.9489801046312495E-3</v>
      </c>
      <c r="I2348" s="50">
        <f t="shared" si="298"/>
        <v>1.0738181311676042E-2</v>
      </c>
      <c r="J2348" s="50">
        <f t="shared" si="299"/>
        <v>-1.5596258376264925E-3</v>
      </c>
      <c r="K2348" s="50">
        <f t="shared" si="300"/>
        <v>2.2530998286853104E-2</v>
      </c>
      <c r="L2348" s="50">
        <f t="shared" si="301"/>
        <v>1.3502657855055935E-3</v>
      </c>
      <c r="P2348" s="50">
        <f t="shared" si="296"/>
        <v>1.3502657855055935E-3</v>
      </c>
      <c r="Q2348" s="51">
        <f t="shared" si="302"/>
        <v>63.155854403533297</v>
      </c>
      <c r="R2348" s="51">
        <f t="shared" si="303"/>
        <v>21.555879758189516</v>
      </c>
    </row>
    <row r="2349" spans="1:18" x14ac:dyDescent="0.15">
      <c r="A2349" s="59">
        <v>44317.75</v>
      </c>
      <c r="B2349">
        <v>41.290362999999999</v>
      </c>
      <c r="C2349">
        <v>359.97799700000002</v>
      </c>
      <c r="D2349">
        <v>197.25692699999999</v>
      </c>
      <c r="E2349">
        <v>165.59350599999999</v>
      </c>
      <c r="F2349">
        <v>1881.1400149999999</v>
      </c>
      <c r="H2349" s="50">
        <f t="shared" si="297"/>
        <v>8.5354192143281089E-4</v>
      </c>
      <c r="I2349" s="50">
        <f t="shared" si="298"/>
        <v>7.4897926649589233E-3</v>
      </c>
      <c r="J2349" s="50">
        <f t="shared" si="299"/>
        <v>-3.7662525282805624E-3</v>
      </c>
      <c r="K2349" s="50">
        <f t="shared" si="300"/>
        <v>1.2637136915982955E-2</v>
      </c>
      <c r="L2349" s="50">
        <f t="shared" si="301"/>
        <v>-1.8677209345439156E-3</v>
      </c>
      <c r="P2349" s="50">
        <f t="shared" si="296"/>
        <v>-1.8677209345439156E-3</v>
      </c>
      <c r="Q2349" s="51">
        <f t="shared" si="302"/>
        <v>63.037896892124813</v>
      </c>
      <c r="R2349" s="51">
        <f t="shared" si="303"/>
        <v>21.574278605216495</v>
      </c>
    </row>
    <row r="2350" spans="1:18" x14ac:dyDescent="0.15">
      <c r="A2350" s="59">
        <v>44320.75</v>
      </c>
      <c r="B2350">
        <v>41.25515</v>
      </c>
      <c r="C2350">
        <v>357.30187999999998</v>
      </c>
      <c r="D2350">
        <v>198.002655</v>
      </c>
      <c r="E2350">
        <v>163.526993</v>
      </c>
      <c r="F2350">
        <v>1884.660034</v>
      </c>
      <c r="H2350" s="50">
        <f t="shared" si="297"/>
        <v>-1.4888442700336794E-2</v>
      </c>
      <c r="I2350" s="50">
        <f t="shared" si="298"/>
        <v>-2.6805177082679568E-2</v>
      </c>
      <c r="J2350" s="50">
        <f t="shared" si="299"/>
        <v>-2.769910454169331E-3</v>
      </c>
      <c r="K2350" s="50">
        <f t="shared" si="300"/>
        <v>-1.0836682116702303E-2</v>
      </c>
      <c r="L2350" s="50">
        <f t="shared" si="301"/>
        <v>9.0699158669541313E-3</v>
      </c>
      <c r="P2350" s="50">
        <f t="shared" si="296"/>
        <v>9.0699158669541313E-3</v>
      </c>
      <c r="Q2350" s="51">
        <f t="shared" si="302"/>
        <v>63.609645313366109</v>
      </c>
      <c r="R2350" s="51">
        <f t="shared" si="303"/>
        <v>21.253071194401628</v>
      </c>
    </row>
    <row r="2351" spans="1:18" x14ac:dyDescent="0.15">
      <c r="A2351" s="59">
        <v>44321.75</v>
      </c>
      <c r="B2351">
        <v>41.878658000000001</v>
      </c>
      <c r="C2351">
        <v>367.14321899999999</v>
      </c>
      <c r="D2351">
        <v>198.552628</v>
      </c>
      <c r="E2351">
        <v>165.31849700000001</v>
      </c>
      <c r="F2351">
        <v>1867.719971</v>
      </c>
      <c r="H2351" s="50">
        <f t="shared" si="297"/>
        <v>6.062803681308516E-3</v>
      </c>
      <c r="I2351" s="50">
        <f t="shared" si="298"/>
        <v>-4.0589977321097183E-3</v>
      </c>
      <c r="J2351" s="50">
        <f t="shared" si="299"/>
        <v>-7.9641314156179421E-3</v>
      </c>
      <c r="K2351" s="50">
        <f t="shared" si="300"/>
        <v>4.4840790833642159E-3</v>
      </c>
      <c r="L2351" s="50">
        <f t="shared" si="301"/>
        <v>-5.5850997587165042E-3</v>
      </c>
      <c r="P2351" s="50">
        <f t="shared" si="296"/>
        <v>-5.5850997587165042E-3</v>
      </c>
      <c r="Q2351" s="51">
        <f t="shared" si="302"/>
        <v>63.254379098674391</v>
      </c>
      <c r="R2351" s="51">
        <f t="shared" si="303"/>
        <v>21.381924392678162</v>
      </c>
    </row>
    <row r="2352" spans="1:18" x14ac:dyDescent="0.15">
      <c r="A2352" s="59">
        <v>44322.75</v>
      </c>
      <c r="B2352">
        <v>41.626286</v>
      </c>
      <c r="C2352">
        <v>368.63952599999999</v>
      </c>
      <c r="D2352">
        <v>200.14662200000001</v>
      </c>
      <c r="E2352">
        <v>164.58050499999999</v>
      </c>
      <c r="F2352">
        <v>1878.209961</v>
      </c>
      <c r="H2352" s="50">
        <f t="shared" si="297"/>
        <v>-4.4028549758624042E-3</v>
      </c>
      <c r="I2352" s="50">
        <f t="shared" si="298"/>
        <v>7.4445889186265145E-3</v>
      </c>
      <c r="J2352" s="50">
        <f t="shared" si="299"/>
        <v>3.1769895914232262E-3</v>
      </c>
      <c r="K2352" s="50">
        <f t="shared" si="300"/>
        <v>3.1694183713692148E-2</v>
      </c>
      <c r="L2352" s="50">
        <f t="shared" si="301"/>
        <v>1.3755143568414169E-3</v>
      </c>
      <c r="P2352" s="50">
        <f t="shared" si="296"/>
        <v>1.3755143568414169E-3</v>
      </c>
      <c r="Q2352" s="51">
        <f t="shared" si="302"/>
        <v>63.341386405257708</v>
      </c>
      <c r="R2352" s="51">
        <f t="shared" si="303"/>
        <v>21.287782880472342</v>
      </c>
    </row>
    <row r="2353" spans="1:18" x14ac:dyDescent="0.15">
      <c r="A2353" s="59">
        <v>44323.75</v>
      </c>
      <c r="B2353">
        <v>41.810371000000004</v>
      </c>
      <c r="C2353">
        <v>365.915436</v>
      </c>
      <c r="D2353">
        <v>199.51277200000001</v>
      </c>
      <c r="E2353">
        <v>159.524506</v>
      </c>
      <c r="F2353">
        <v>1875.630005</v>
      </c>
      <c r="H2353" s="50">
        <f t="shared" si="297"/>
        <v>9.1006750608810007E-3</v>
      </c>
      <c r="I2353" s="50">
        <f t="shared" si="298"/>
        <v>8.7260495319392457E-3</v>
      </c>
      <c r="J2353" s="50">
        <f t="shared" si="299"/>
        <v>2.2892373160801005E-2</v>
      </c>
      <c r="K2353" s="50">
        <f t="shared" si="300"/>
        <v>-1.0366232565207587E-2</v>
      </c>
      <c r="L2353" s="50">
        <f t="shared" si="301"/>
        <v>-1.5171708138194189E-3</v>
      </c>
      <c r="P2353" s="50">
        <f t="shared" si="296"/>
        <v>-1.5171708138194189E-3</v>
      </c>
      <c r="Q2353" s="51">
        <f t="shared" si="302"/>
        <v>63.245286702496792</v>
      </c>
      <c r="R2353" s="51">
        <f t="shared" si="303"/>
        <v>21.481516075234108</v>
      </c>
    </row>
    <row r="2354" spans="1:18" x14ac:dyDescent="0.15">
      <c r="A2354" s="59">
        <v>44324.75</v>
      </c>
      <c r="B2354">
        <v>41.433300000000003</v>
      </c>
      <c r="C2354">
        <v>362.75006100000002</v>
      </c>
      <c r="D2354">
        <v>195.04766799999999</v>
      </c>
      <c r="E2354">
        <v>161.19549599999999</v>
      </c>
      <c r="F2354">
        <v>1878.4799800000001</v>
      </c>
      <c r="H2354" s="50">
        <f t="shared" si="297"/>
        <v>2.6555975598703523E-2</v>
      </c>
      <c r="I2354" s="50">
        <f t="shared" si="298"/>
        <v>1.6066659541269884E-2</v>
      </c>
      <c r="J2354" s="50">
        <f t="shared" si="299"/>
        <v>3.0942274851301948E-2</v>
      </c>
      <c r="K2354" s="50">
        <f t="shared" si="300"/>
        <v>2.2833531095134949E-2</v>
      </c>
      <c r="L2354" s="50">
        <f t="shared" si="301"/>
        <v>-9.5800721113954764E-3</v>
      </c>
      <c r="P2354" s="50">
        <f t="shared" si="296"/>
        <v>-9.5800721113954764E-3</v>
      </c>
      <c r="Q2354" s="51">
        <f t="shared" si="302"/>
        <v>62.63939229518099</v>
      </c>
      <c r="R2354" s="51">
        <f t="shared" si="303"/>
        <v>22.051978691951181</v>
      </c>
    </row>
    <row r="2355" spans="1:18" x14ac:dyDescent="0.15">
      <c r="A2355" s="59">
        <v>44327.75</v>
      </c>
      <c r="B2355">
        <v>40.361462000000003</v>
      </c>
      <c r="C2355">
        <v>357.01403800000003</v>
      </c>
      <c r="D2355">
        <v>189.19358800000001</v>
      </c>
      <c r="E2355">
        <v>157.59700000000001</v>
      </c>
      <c r="F2355">
        <v>1896.650024</v>
      </c>
      <c r="H2355" s="50">
        <f t="shared" si="297"/>
        <v>-1.6637879515362268E-2</v>
      </c>
      <c r="I2355" s="50">
        <f t="shared" si="298"/>
        <v>-1.9313396223894601E-2</v>
      </c>
      <c r="J2355" s="50">
        <f t="shared" si="299"/>
        <v>-2.7084104173758828E-2</v>
      </c>
      <c r="K2355" s="50">
        <f t="shared" si="300"/>
        <v>-3.0144331211184416E-3</v>
      </c>
      <c r="L2355" s="50">
        <f t="shared" si="301"/>
        <v>-4.2158002617062183E-4</v>
      </c>
      <c r="P2355" s="50">
        <f t="shared" si="296"/>
        <v>-4.2158002617062183E-4</v>
      </c>
      <c r="Q2355" s="51">
        <f t="shared" si="302"/>
        <v>62.612984778537871</v>
      </c>
      <c r="R2355" s="51">
        <f t="shared" si="303"/>
        <v>21.685080527399162</v>
      </c>
    </row>
    <row r="2356" spans="1:18" x14ac:dyDescent="0.15">
      <c r="A2356" s="59">
        <v>44328.75</v>
      </c>
      <c r="B2356">
        <v>41.044353000000001</v>
      </c>
      <c r="C2356">
        <v>364.044983</v>
      </c>
      <c r="D2356">
        <v>194.460373</v>
      </c>
      <c r="E2356">
        <v>158.07350199999999</v>
      </c>
      <c r="F2356">
        <v>1897.4499510000001</v>
      </c>
      <c r="H2356" s="50">
        <f t="shared" si="297"/>
        <v>-9.1743046180544161E-3</v>
      </c>
      <c r="I2356" s="50">
        <f t="shared" si="298"/>
        <v>-1.2720557009340739E-2</v>
      </c>
      <c r="J2356" s="50">
        <f t="shared" si="299"/>
        <v>-1.207618462054816E-2</v>
      </c>
      <c r="K2356" s="50">
        <f t="shared" si="300"/>
        <v>-1.9060485424667647E-2</v>
      </c>
      <c r="L2356" s="50">
        <f t="shared" si="301"/>
        <v>4.7232089842507039E-3</v>
      </c>
      <c r="P2356" s="50">
        <f t="shared" si="296"/>
        <v>4.7232089842507039E-3</v>
      </c>
      <c r="Q2356" s="51">
        <f t="shared" si="302"/>
        <v>62.908718990774609</v>
      </c>
      <c r="R2356" s="51">
        <f t="shared" si="303"/>
        <v>21.48613499297376</v>
      </c>
    </row>
    <row r="2357" spans="1:18" x14ac:dyDescent="0.15">
      <c r="A2357" s="59">
        <v>44329.75</v>
      </c>
      <c r="B2357">
        <v>41.424393000000002</v>
      </c>
      <c r="C2357">
        <v>368.73550399999999</v>
      </c>
      <c r="D2357">
        <v>196.83741800000001</v>
      </c>
      <c r="E2357">
        <v>161.145004</v>
      </c>
      <c r="F2357">
        <v>1888.530029</v>
      </c>
      <c r="H2357" s="50">
        <f t="shared" si="297"/>
        <v>4.5359372450353864E-3</v>
      </c>
      <c r="I2357" s="50">
        <f t="shared" si="298"/>
        <v>1.1981017895338168E-3</v>
      </c>
      <c r="J2357" s="50">
        <f t="shared" si="299"/>
        <v>5.4280135717195508E-3</v>
      </c>
      <c r="K2357" s="50">
        <f t="shared" si="300"/>
        <v>-1.4521185457873866E-2</v>
      </c>
      <c r="L2357" s="50">
        <f t="shared" si="301"/>
        <v>9.4502783370161818E-3</v>
      </c>
      <c r="P2357" s="50">
        <f t="shared" si="296"/>
        <v>9.4502783370161818E-3</v>
      </c>
      <c r="Q2357" s="51">
        <f t="shared" si="302"/>
        <v>63.503223895062568</v>
      </c>
      <c r="R2357" s="51">
        <f t="shared" si="303"/>
        <v>21.583594752940247</v>
      </c>
    </row>
    <row r="2358" spans="1:18" x14ac:dyDescent="0.15">
      <c r="A2358" s="59">
        <v>44330.75</v>
      </c>
      <c r="B2358">
        <v>41.237343000000003</v>
      </c>
      <c r="C2358">
        <v>368.29424999999998</v>
      </c>
      <c r="D2358">
        <v>195.77475000000001</v>
      </c>
      <c r="E2358">
        <v>163.51950099999999</v>
      </c>
      <c r="F2358">
        <v>1870.849976</v>
      </c>
      <c r="H2358" s="50">
        <f t="shared" si="297"/>
        <v>-2.1280963269682734E-2</v>
      </c>
      <c r="I2358" s="50">
        <f t="shared" si="298"/>
        <v>3.0042065394977864E-3</v>
      </c>
      <c r="J2358" s="50">
        <f t="shared" si="299"/>
        <v>1.4096968171751075E-2</v>
      </c>
      <c r="K2358" s="50">
        <f t="shared" si="300"/>
        <v>1.1790457655777947E-2</v>
      </c>
      <c r="L2358" s="50">
        <f t="shared" si="301"/>
        <v>-3.7329774615758064E-3</v>
      </c>
      <c r="P2358" s="50">
        <f t="shared" si="296"/>
        <v>-3.7329774615758064E-3</v>
      </c>
      <c r="Q2358" s="51">
        <f t="shared" si="302"/>
        <v>63.266167791524893</v>
      </c>
      <c r="R2358" s="51">
        <f t="shared" si="303"/>
        <v>21.124275065775208</v>
      </c>
    </row>
    <row r="2359" spans="1:18" x14ac:dyDescent="0.15">
      <c r="A2359" s="59">
        <v>44331.75</v>
      </c>
      <c r="B2359">
        <v>42.133994999999999</v>
      </c>
      <c r="C2359">
        <v>367.19113199999998</v>
      </c>
      <c r="D2359">
        <v>193.05328399999999</v>
      </c>
      <c r="E2359">
        <v>161.61399800000001</v>
      </c>
      <c r="F2359">
        <v>1877.8599850000001</v>
      </c>
      <c r="H2359" s="50">
        <f t="shared" si="297"/>
        <v>-7.0436970030392221E-5</v>
      </c>
      <c r="I2359" s="50">
        <f t="shared" si="298"/>
        <v>8.2968302484535961E-3</v>
      </c>
      <c r="J2359" s="50">
        <f t="shared" si="299"/>
        <v>-5.74403831418916E-2</v>
      </c>
      <c r="K2359" s="50">
        <f t="shared" si="300"/>
        <v>1.4853642300972553E-4</v>
      </c>
      <c r="L2359" s="50">
        <f t="shared" si="301"/>
        <v>-3.830060882574037E-3</v>
      </c>
      <c r="P2359" s="50">
        <f t="shared" si="296"/>
        <v>-3.830060882574037E-3</v>
      </c>
      <c r="Q2359" s="51">
        <f t="shared" si="302"/>
        <v>63.023854517076209</v>
      </c>
      <c r="R2359" s="51">
        <f t="shared" si="303"/>
        <v>21.122787135845485</v>
      </c>
    </row>
    <row r="2360" spans="1:18" x14ac:dyDescent="0.15">
      <c r="A2360" s="59">
        <v>44334.75</v>
      </c>
      <c r="B2360">
        <v>42.136963000000002</v>
      </c>
      <c r="C2360">
        <v>364.16967799999998</v>
      </c>
      <c r="D2360">
        <v>204.81811500000001</v>
      </c>
      <c r="E2360">
        <v>161.58999600000001</v>
      </c>
      <c r="F2360">
        <v>1885.079956</v>
      </c>
      <c r="H2360" s="50">
        <f t="shared" si="297"/>
        <v>-3.5108083001375943E-3</v>
      </c>
      <c r="I2360" s="50">
        <f t="shared" si="298"/>
        <v>-1.021945174866251E-2</v>
      </c>
      <c r="J2360" s="50">
        <f t="shared" si="299"/>
        <v>-1.2534372082295308E-2</v>
      </c>
      <c r="K2360" s="50">
        <f t="shared" si="300"/>
        <v>-4.8896873172906904E-3</v>
      </c>
      <c r="L2360" s="50">
        <f t="shared" si="301"/>
        <v>6.5409034924684851E-3</v>
      </c>
      <c r="P2360" s="50">
        <f t="shared" si="296"/>
        <v>6.5409034924684851E-3</v>
      </c>
      <c r="Q2360" s="51">
        <f t="shared" si="302"/>
        <v>63.436087467195776</v>
      </c>
      <c r="R2360" s="51">
        <f t="shared" si="303"/>
        <v>21.048629079446918</v>
      </c>
    </row>
    <row r="2361" spans="1:18" x14ac:dyDescent="0.15">
      <c r="A2361" s="59">
        <v>44335.75</v>
      </c>
      <c r="B2361">
        <v>42.285418999999997</v>
      </c>
      <c r="C2361">
        <v>367.92971799999998</v>
      </c>
      <c r="D2361">
        <v>207.417969</v>
      </c>
      <c r="E2361">
        <v>162.38400300000001</v>
      </c>
      <c r="F2361">
        <v>1872.829956</v>
      </c>
      <c r="H2361" s="50">
        <f t="shared" si="297"/>
        <v>4.7266473225338525E-3</v>
      </c>
      <c r="I2361" s="50">
        <f t="shared" si="298"/>
        <v>7.5121006491147809E-3</v>
      </c>
      <c r="J2361" s="50">
        <f t="shared" si="299"/>
        <v>-1.4660762934236161E-2</v>
      </c>
      <c r="K2361" s="50">
        <f t="shared" si="300"/>
        <v>1.3924072471068425E-2</v>
      </c>
      <c r="L2361" s="50">
        <f t="shared" si="301"/>
        <v>-8.0507580740390734E-3</v>
      </c>
      <c r="P2361" s="50">
        <f t="shared" si="296"/>
        <v>-8.0507580740390734E-3</v>
      </c>
      <c r="Q2361" s="51">
        <f t="shared" si="302"/>
        <v>62.9253788738338</v>
      </c>
      <c r="R2361" s="51">
        <f t="shared" si="303"/>
        <v>21.148118525728293</v>
      </c>
    </row>
    <row r="2362" spans="1:18" x14ac:dyDescent="0.15">
      <c r="A2362" s="59">
        <v>44336.75</v>
      </c>
      <c r="B2362">
        <v>42.086491000000002</v>
      </c>
      <c r="C2362">
        <v>365.18640099999999</v>
      </c>
      <c r="D2362">
        <v>210.50412</v>
      </c>
      <c r="E2362">
        <v>160.15400700000001</v>
      </c>
      <c r="F2362">
        <v>1888.030029</v>
      </c>
      <c r="H2362" s="50">
        <f t="shared" si="297"/>
        <v>-7.0587739990479612E-5</v>
      </c>
      <c r="I2362" s="50">
        <f t="shared" si="298"/>
        <v>-7.1196765012369705E-3</v>
      </c>
      <c r="J2362" s="50">
        <f t="shared" si="299"/>
        <v>-1.4197398689089259E-3</v>
      </c>
      <c r="K2362" s="50">
        <f t="shared" si="300"/>
        <v>-1.2915226559471017E-2</v>
      </c>
      <c r="L2362" s="50">
        <f t="shared" si="301"/>
        <v>-2.3566629274483089E-3</v>
      </c>
      <c r="P2362" s="50">
        <f t="shared" si="296"/>
        <v>-2.3566629274483089E-3</v>
      </c>
      <c r="Q2362" s="51">
        <f t="shared" si="302"/>
        <v>62.7770849662462</v>
      </c>
      <c r="R2362" s="51">
        <f t="shared" si="303"/>
        <v>21.146625727836511</v>
      </c>
    </row>
    <row r="2363" spans="1:18" x14ac:dyDescent="0.15">
      <c r="A2363" s="59">
        <v>44337.75</v>
      </c>
      <c r="B2363">
        <v>42.089461999999997</v>
      </c>
      <c r="C2363">
        <v>367.80505399999998</v>
      </c>
      <c r="D2363">
        <v>210.803406</v>
      </c>
      <c r="E2363">
        <v>162.24949599999999</v>
      </c>
      <c r="F2363">
        <v>1892.48999</v>
      </c>
      <c r="H2363" s="50">
        <f t="shared" si="297"/>
        <v>-4.0746856518786758E-3</v>
      </c>
      <c r="I2363" s="50">
        <f t="shared" si="298"/>
        <v>-5.0078850283202725E-3</v>
      </c>
      <c r="J2363" s="50">
        <f t="shared" si="299"/>
        <v>4.8825221043217575E-4</v>
      </c>
      <c r="K2363" s="50">
        <f t="shared" si="300"/>
        <v>-4.3141590605492676E-3</v>
      </c>
      <c r="L2363" s="50">
        <f t="shared" si="301"/>
        <v>-4.2304193447710997E-3</v>
      </c>
      <c r="P2363" s="50">
        <f t="shared" si="296"/>
        <v>-4.2304193447710997E-3</v>
      </c>
      <c r="Q2363" s="51">
        <f t="shared" si="302"/>
        <v>62.511511571596657</v>
      </c>
      <c r="R2363" s="51">
        <f t="shared" si="303"/>
        <v>21.060459875397648</v>
      </c>
    </row>
    <row r="2364" spans="1:18" x14ac:dyDescent="0.15">
      <c r="A2364" s="59">
        <v>44338.75</v>
      </c>
      <c r="B2364">
        <v>42.261665000000001</v>
      </c>
      <c r="C2364">
        <v>369.65625</v>
      </c>
      <c r="D2364">
        <v>210.70053100000001</v>
      </c>
      <c r="E2364">
        <v>162.95249899999999</v>
      </c>
      <c r="F2364">
        <v>1900.530029</v>
      </c>
      <c r="H2364" s="50">
        <f t="shared" si="297"/>
        <v>1.1955120632553919E-3</v>
      </c>
      <c r="I2364" s="50">
        <f t="shared" si="298"/>
        <v>-6.2250175901929611E-4</v>
      </c>
      <c r="J2364" s="50">
        <f t="shared" si="299"/>
        <v>-7.9696653613739628E-3</v>
      </c>
      <c r="K2364" s="50">
        <f t="shared" si="300"/>
        <v>-1.8712529094134084E-3</v>
      </c>
      <c r="L2364" s="50">
        <f t="shared" si="301"/>
        <v>-5.9521655295627692E-3</v>
      </c>
      <c r="P2364" s="50">
        <f t="shared" si="296"/>
        <v>-5.9521655295627692E-3</v>
      </c>
      <c r="Q2364" s="51">
        <f t="shared" si="302"/>
        <v>62.139432707219335</v>
      </c>
      <c r="R2364" s="51">
        <f t="shared" si="303"/>
        <v>21.085637909236393</v>
      </c>
    </row>
    <row r="2365" spans="1:18" x14ac:dyDescent="0.15">
      <c r="A2365" s="59">
        <v>44342.75</v>
      </c>
      <c r="B2365">
        <v>42.211201000000003</v>
      </c>
      <c r="C2365">
        <v>369.886505</v>
      </c>
      <c r="D2365">
        <v>212.39323400000001</v>
      </c>
      <c r="E2365">
        <v>163.25799599999999</v>
      </c>
      <c r="F2365">
        <v>1911.910034</v>
      </c>
      <c r="H2365" s="50">
        <f t="shared" si="297"/>
        <v>3.3878172550220764E-3</v>
      </c>
      <c r="I2365" s="50">
        <f t="shared" si="298"/>
        <v>-4.8515003741372497E-3</v>
      </c>
      <c r="J2365" s="50">
        <f t="shared" si="299"/>
        <v>-1.143426227069481E-3</v>
      </c>
      <c r="K2365" s="50">
        <f t="shared" si="300"/>
        <v>1.0851042694875957E-2</v>
      </c>
      <c r="L2365" s="50">
        <f t="shared" si="301"/>
        <v>1.1153143124631463E-3</v>
      </c>
      <c r="P2365" s="50">
        <f t="shared" si="296"/>
        <v>1.1153143124631463E-3</v>
      </c>
      <c r="Q2365" s="51">
        <f t="shared" si="302"/>
        <v>62.208737705886037</v>
      </c>
      <c r="R2365" s="51">
        <f t="shared" si="303"/>
        <v>21.157072197178454</v>
      </c>
    </row>
    <row r="2366" spans="1:18" x14ac:dyDescent="0.15">
      <c r="A2366" s="59">
        <v>44343.75</v>
      </c>
      <c r="B2366">
        <v>42.068680000000001</v>
      </c>
      <c r="C2366">
        <v>371.68975799999998</v>
      </c>
      <c r="D2366">
        <v>212.636368</v>
      </c>
      <c r="E2366">
        <v>161.505493</v>
      </c>
      <c r="F2366">
        <v>1909.780029</v>
      </c>
      <c r="H2366" s="50">
        <f t="shared" si="297"/>
        <v>-2.3939502246545451E-3</v>
      </c>
      <c r="I2366" s="50">
        <f t="shared" si="298"/>
        <v>2.4400599307124408E-2</v>
      </c>
      <c r="J2366" s="50">
        <f t="shared" si="299"/>
        <v>1.9829224493108514E-3</v>
      </c>
      <c r="K2366" s="50">
        <f t="shared" si="300"/>
        <v>2.1841908084368521E-3</v>
      </c>
      <c r="L2366" s="50">
        <f t="shared" si="301"/>
        <v>-5.3384581726247573E-3</v>
      </c>
      <c r="P2366" s="50">
        <f t="shared" si="296"/>
        <v>-5.3384581726247573E-3</v>
      </c>
      <c r="Q2366" s="51">
        <f t="shared" si="302"/>
        <v>61.876638961671375</v>
      </c>
      <c r="R2366" s="51">
        <f t="shared" si="303"/>
        <v>21.106423219438987</v>
      </c>
    </row>
    <row r="2367" spans="1:18" x14ac:dyDescent="0.15">
      <c r="A2367" s="59">
        <v>44344.75</v>
      </c>
      <c r="B2367">
        <v>42.169632</v>
      </c>
      <c r="C2367">
        <v>362.83633400000002</v>
      </c>
      <c r="D2367">
        <v>212.21556100000001</v>
      </c>
      <c r="E2367">
        <v>161.153503</v>
      </c>
      <c r="F2367">
        <v>1920.030029</v>
      </c>
      <c r="H2367" s="50">
        <f t="shared" si="297"/>
        <v>2.6118063385019252E-3</v>
      </c>
      <c r="I2367" s="50">
        <f t="shared" si="298"/>
        <v>1.0548292202168684E-4</v>
      </c>
      <c r="J2367" s="50">
        <f t="shared" si="299"/>
        <v>-1.5400703214294587E-3</v>
      </c>
      <c r="K2367" s="50">
        <f t="shared" si="300"/>
        <v>1.3732963004147291E-3</v>
      </c>
      <c r="L2367" s="50">
        <f t="shared" si="301"/>
        <v>-1.8402850425903146E-3</v>
      </c>
      <c r="P2367" s="50">
        <f t="shared" si="296"/>
        <v>-1.8402850425903146E-3</v>
      </c>
      <c r="Q2367" s="51">
        <f t="shared" si="302"/>
        <v>61.762768308504455</v>
      </c>
      <c r="R2367" s="51">
        <f t="shared" si="303"/>
        <v>21.161549109386623</v>
      </c>
    </row>
    <row r="2368" spans="1:18" x14ac:dyDescent="0.15">
      <c r="A2368" s="59">
        <v>44345.75</v>
      </c>
      <c r="B2368">
        <v>42.059780000000003</v>
      </c>
      <c r="C2368">
        <v>362.79806500000001</v>
      </c>
      <c r="D2368">
        <v>212.54289199999999</v>
      </c>
      <c r="E2368">
        <v>160.93249499999999</v>
      </c>
      <c r="F2368">
        <v>1923.5699460000001</v>
      </c>
      <c r="H2368" s="50">
        <f t="shared" si="297"/>
        <v>2.1932324915796848E-3</v>
      </c>
      <c r="I2368" s="50">
        <f t="shared" si="298"/>
        <v>-6.2006262196636856E-3</v>
      </c>
      <c r="J2368" s="50">
        <f t="shared" si="299"/>
        <v>-4.8602462425628504E-3</v>
      </c>
      <c r="K2368" s="50">
        <f t="shared" si="300"/>
        <v>-4.7433543901093181E-3</v>
      </c>
      <c r="L2368" s="50">
        <f t="shared" si="301"/>
        <v>-7.2729705974198503E-4</v>
      </c>
      <c r="P2368" s="50">
        <f t="shared" si="296"/>
        <v>-7.2729705974198503E-4</v>
      </c>
      <c r="Q2368" s="51">
        <f t="shared" si="302"/>
        <v>61.717848428712159</v>
      </c>
      <c r="R2368" s="51">
        <f t="shared" si="303"/>
        <v>21.207961306465489</v>
      </c>
    </row>
    <row r="2369" spans="1:18" x14ac:dyDescent="0.15">
      <c r="A2369" s="59">
        <v>44348.75</v>
      </c>
      <c r="B2369">
        <v>41.967734999999998</v>
      </c>
      <c r="C2369">
        <v>365.06167599999998</v>
      </c>
      <c r="D2369">
        <v>213.58094800000001</v>
      </c>
      <c r="E2369">
        <v>161.69949299999999</v>
      </c>
      <c r="F2369">
        <v>1924.969971</v>
      </c>
      <c r="H2369" s="50">
        <f t="shared" si="297"/>
        <v>-1.7654506005644046E-3</v>
      </c>
      <c r="I2369" s="50">
        <f t="shared" si="298"/>
        <v>-8.5445732818492364E-3</v>
      </c>
      <c r="J2369" s="50">
        <f t="shared" si="299"/>
        <v>-3.4906785547022894E-3</v>
      </c>
      <c r="K2369" s="50">
        <f t="shared" si="300"/>
        <v>1.4741083890207406E-2</v>
      </c>
      <c r="L2369" s="50">
        <f t="shared" si="301"/>
        <v>3.7936068463058625E-4</v>
      </c>
      <c r="P2369" s="50">
        <f t="shared" ref="P2369:P2432" si="304">(F2369-F2370)/F2370</f>
        <v>3.7936068463058625E-4</v>
      </c>
      <c r="Q2369" s="51">
        <f t="shared" si="302"/>
        <v>61.741261753945999</v>
      </c>
      <c r="R2369" s="51">
        <f t="shared" si="303"/>
        <v>21.170519698440241</v>
      </c>
    </row>
    <row r="2370" spans="1:18" x14ac:dyDescent="0.15">
      <c r="A2370" s="59">
        <v>44349.75</v>
      </c>
      <c r="B2370">
        <v>42.041958000000001</v>
      </c>
      <c r="C2370">
        <v>368.207855</v>
      </c>
      <c r="D2370">
        <v>214.32910200000001</v>
      </c>
      <c r="E2370">
        <v>159.350494</v>
      </c>
      <c r="F2370">
        <v>1924.23999</v>
      </c>
      <c r="H2370" s="50">
        <f t="shared" ref="H2370:H2433" si="305">(B2370-B2371)/B2371</f>
        <v>-1.7624103836187037E-3</v>
      </c>
      <c r="I2370" s="50">
        <f t="shared" ref="I2370:I2433" si="306">(C2370-C2371)/C2371</f>
        <v>-9.4188430338004881E-3</v>
      </c>
      <c r="J2370" s="50">
        <f t="shared" ref="J2370:J2433" si="307">(D2370-D2371)/D2371</f>
        <v>-9.3368486576841259E-3</v>
      </c>
      <c r="K2370" s="50">
        <f t="shared" ref="K2370:K2433" si="308">(E2370-E2371)/E2371</f>
        <v>-5.9915474923259125E-3</v>
      </c>
      <c r="L2370" s="50">
        <f t="shared" ref="L2370:L2433" si="309">(F2370-F2371)/F2371</f>
        <v>-1.8880920962712866E-3</v>
      </c>
      <c r="P2370" s="50">
        <f t="shared" si="304"/>
        <v>-1.8880920962712866E-3</v>
      </c>
      <c r="Q2370" s="51">
        <f t="shared" si="302"/>
        <v>61.624688565614555</v>
      </c>
      <c r="R2370" s="51">
        <f t="shared" si="303"/>
        <v>21.133208554697106</v>
      </c>
    </row>
    <row r="2371" spans="1:18" x14ac:dyDescent="0.15">
      <c r="A2371" s="59">
        <v>44350.75</v>
      </c>
      <c r="B2371">
        <v>42.116183999999997</v>
      </c>
      <c r="C2371">
        <v>371.70892300000003</v>
      </c>
      <c r="D2371">
        <v>216.349121</v>
      </c>
      <c r="E2371">
        <v>160.31100499999999</v>
      </c>
      <c r="F2371">
        <v>1927.880005</v>
      </c>
      <c r="H2371" s="50">
        <f t="shared" si="305"/>
        <v>6.7423908167594925E-3</v>
      </c>
      <c r="I2371" s="50">
        <f t="shared" si="306"/>
        <v>1.8717049939912273E-2</v>
      </c>
      <c r="J2371" s="50">
        <f t="shared" si="307"/>
        <v>1.9489665374268705E-3</v>
      </c>
      <c r="K2371" s="50">
        <f t="shared" si="308"/>
        <v>2.5672715701439814E-3</v>
      </c>
      <c r="L2371" s="50">
        <f t="shared" si="309"/>
        <v>-6.4829763318162269E-3</v>
      </c>
      <c r="P2371" s="50">
        <f t="shared" si="304"/>
        <v>-6.4829763318162269E-3</v>
      </c>
      <c r="Q2371" s="51">
        <f t="shared" ref="Q2371:Q2434" si="310">Q2370*(1+P2371)</f>
        <v>61.225177168188125</v>
      </c>
      <c r="R2371" s="51">
        <f t="shared" ref="R2371:R2434" si="311">R2370*(1+H2371)</f>
        <v>21.275696905984958</v>
      </c>
    </row>
    <row r="2372" spans="1:18" x14ac:dyDescent="0.15">
      <c r="A2372" s="59">
        <v>44351.75</v>
      </c>
      <c r="B2372">
        <v>41.834122000000001</v>
      </c>
      <c r="C2372">
        <v>364.879456</v>
      </c>
      <c r="D2372">
        <v>215.92828399999999</v>
      </c>
      <c r="E2372">
        <v>159.900497</v>
      </c>
      <c r="F2372">
        <v>1940.459961</v>
      </c>
      <c r="H2372" s="50">
        <f t="shared" si="305"/>
        <v>7.6521993822686821E-3</v>
      </c>
      <c r="I2372" s="50">
        <f t="shared" si="306"/>
        <v>1.8435013232739716E-3</v>
      </c>
      <c r="J2372" s="50">
        <f t="shared" si="307"/>
        <v>-1.790749149011649E-2</v>
      </c>
      <c r="K2372" s="50">
        <f t="shared" si="308"/>
        <v>-2.025059142459678E-2</v>
      </c>
      <c r="L2372" s="50">
        <f t="shared" si="309"/>
        <v>-4.6064409634459565E-3</v>
      </c>
      <c r="P2372" s="50">
        <f t="shared" si="304"/>
        <v>-4.6064409634459565E-3</v>
      </c>
      <c r="Q2372" s="51">
        <f t="shared" si="310"/>
        <v>60.943147004086349</v>
      </c>
      <c r="R2372" s="51">
        <f t="shared" si="311"/>
        <v>21.438502780706273</v>
      </c>
    </row>
    <row r="2373" spans="1:18" x14ac:dyDescent="0.15">
      <c r="A2373" s="59">
        <v>44352.75</v>
      </c>
      <c r="B2373">
        <v>41.51643</v>
      </c>
      <c r="C2373">
        <v>364.20803799999999</v>
      </c>
      <c r="D2373">
        <v>219.86552399999999</v>
      </c>
      <c r="E2373">
        <v>163.20550499999999</v>
      </c>
      <c r="F2373">
        <v>1949.4399410000001</v>
      </c>
      <c r="H2373" s="50">
        <f t="shared" si="305"/>
        <v>5.3924618867914149E-3</v>
      </c>
      <c r="I2373" s="50">
        <f t="shared" si="306"/>
        <v>-6.8427745146685647E-4</v>
      </c>
      <c r="J2373" s="50">
        <f t="shared" si="307"/>
        <v>1.3624348424675541E-2</v>
      </c>
      <c r="K2373" s="50">
        <f t="shared" si="308"/>
        <v>-5.1932403332136745E-3</v>
      </c>
      <c r="L2373" s="50">
        <f t="shared" si="309"/>
        <v>-9.3789120995147639E-4</v>
      </c>
      <c r="P2373" s="50">
        <f t="shared" si="304"/>
        <v>-9.3789120995147639E-4</v>
      </c>
      <c r="Q2373" s="51">
        <f t="shared" si="310"/>
        <v>60.885988962204436</v>
      </c>
      <c r="R2373" s="51">
        <f t="shared" si="311"/>
        <v>21.5541090898611</v>
      </c>
    </row>
    <row r="2374" spans="1:18" x14ac:dyDescent="0.15">
      <c r="A2374" s="59">
        <v>44355.75</v>
      </c>
      <c r="B2374">
        <v>41.293754999999997</v>
      </c>
      <c r="C2374">
        <v>364.45742799999999</v>
      </c>
      <c r="D2374">
        <v>216.91026299999999</v>
      </c>
      <c r="E2374">
        <v>164.05749499999999</v>
      </c>
      <c r="F2374">
        <v>1951.2700199999999</v>
      </c>
      <c r="H2374" s="50">
        <f t="shared" si="305"/>
        <v>-5.7192071682066001E-3</v>
      </c>
      <c r="I2374" s="50">
        <f t="shared" si="306"/>
        <v>-7.963180873125187E-3</v>
      </c>
      <c r="J2374" s="50">
        <f t="shared" si="307"/>
        <v>1.2086680148079489E-3</v>
      </c>
      <c r="K2374" s="50">
        <f t="shared" si="308"/>
        <v>-2.0449915907034082E-2</v>
      </c>
      <c r="L2374" s="50">
        <f t="shared" si="309"/>
        <v>2.4604441810969921E-4</v>
      </c>
      <c r="P2374" s="50">
        <f t="shared" si="304"/>
        <v>2.4604441810969921E-4</v>
      </c>
      <c r="Q2374" s="51">
        <f t="shared" si="310"/>
        <v>60.900969619929668</v>
      </c>
      <c r="R2374" s="51">
        <f t="shared" si="311"/>
        <v>21.43083667465006</v>
      </c>
    </row>
    <row r="2375" spans="1:18" x14ac:dyDescent="0.15">
      <c r="A2375" s="59">
        <v>44356.75</v>
      </c>
      <c r="B2375">
        <v>41.531281</v>
      </c>
      <c r="C2375">
        <v>367.38296500000001</v>
      </c>
      <c r="D2375">
        <v>216.64840699999999</v>
      </c>
      <c r="E2375">
        <v>167.48249799999999</v>
      </c>
      <c r="F2375">
        <v>1950.790039</v>
      </c>
      <c r="H2375" s="50">
        <f t="shared" si="305"/>
        <v>-6.180966494973913E-3</v>
      </c>
      <c r="I2375" s="50">
        <f t="shared" si="306"/>
        <v>3.090327675140139E-3</v>
      </c>
      <c r="J2375" s="50">
        <f t="shared" si="307"/>
        <v>-5.4950280950064817E-3</v>
      </c>
      <c r="K2375" s="50">
        <f t="shared" si="308"/>
        <v>8.4253454225188395E-4</v>
      </c>
      <c r="L2375" s="50">
        <f t="shared" si="309"/>
        <v>3.5495958859586151E-3</v>
      </c>
      <c r="P2375" s="50">
        <f t="shared" si="304"/>
        <v>3.5495958859586151E-3</v>
      </c>
      <c r="Q2375" s="51">
        <f t="shared" si="310"/>
        <v>61.117143451143463</v>
      </c>
      <c r="R2375" s="51">
        <f t="shared" si="311"/>
        <v>21.298373391204791</v>
      </c>
    </row>
    <row r="2376" spans="1:18" x14ac:dyDescent="0.15">
      <c r="A2376" s="59">
        <v>44357.75</v>
      </c>
      <c r="B2376">
        <v>41.789580999999998</v>
      </c>
      <c r="C2376">
        <v>366.25112899999999</v>
      </c>
      <c r="D2376">
        <v>217.845474</v>
      </c>
      <c r="E2376">
        <v>167.34150700000001</v>
      </c>
      <c r="F2376">
        <v>1943.8900149999999</v>
      </c>
      <c r="H2376" s="50">
        <f t="shared" si="305"/>
        <v>1.3517065681805888E-3</v>
      </c>
      <c r="I2376" s="50">
        <f t="shared" si="306"/>
        <v>-5.0291093491398207E-3</v>
      </c>
      <c r="J2376" s="50">
        <f t="shared" si="307"/>
        <v>-5.5773111128300755E-4</v>
      </c>
      <c r="K2376" s="50">
        <f t="shared" si="308"/>
        <v>-1.0945988071870165E-2</v>
      </c>
      <c r="L2376" s="50">
        <f t="shared" si="309"/>
        <v>7.1395050577907331E-3</v>
      </c>
      <c r="P2376" s="50">
        <f t="shared" si="304"/>
        <v>7.1395050577907331E-3</v>
      </c>
      <c r="Q2376" s="51">
        <f t="shared" si="310"/>
        <v>61.553489605930622</v>
      </c>
      <c r="R2376" s="51">
        <f t="shared" si="311"/>
        <v>21.327162542409244</v>
      </c>
    </row>
    <row r="2377" spans="1:18" x14ac:dyDescent="0.15">
      <c r="A2377" s="59">
        <v>44358.75</v>
      </c>
      <c r="B2377">
        <v>41.733170000000001</v>
      </c>
      <c r="C2377">
        <v>368.10235599999999</v>
      </c>
      <c r="D2377">
        <v>217.96704099999999</v>
      </c>
      <c r="E2377">
        <v>169.19349700000001</v>
      </c>
      <c r="F2377">
        <v>1930.1099850000001</v>
      </c>
      <c r="H2377" s="50">
        <f t="shared" si="305"/>
        <v>4.000009430580184E-3</v>
      </c>
      <c r="I2377" s="50">
        <f t="shared" si="306"/>
        <v>-3.9074396972942657E-4</v>
      </c>
      <c r="J2377" s="50">
        <f t="shared" si="307"/>
        <v>2.1498445069638417E-3</v>
      </c>
      <c r="K2377" s="50">
        <f t="shared" si="308"/>
        <v>2.1875010012916538E-4</v>
      </c>
      <c r="L2377" s="50">
        <f t="shared" si="309"/>
        <v>-3.1247670098327961E-3</v>
      </c>
      <c r="P2377" s="50">
        <f t="shared" si="304"/>
        <v>-3.1247670098327961E-3</v>
      </c>
      <c r="Q2377" s="51">
        <f t="shared" si="310"/>
        <v>61.361149292269928</v>
      </c>
      <c r="R2377" s="51">
        <f t="shared" si="311"/>
        <v>21.412471393706397</v>
      </c>
    </row>
    <row r="2378" spans="1:18" x14ac:dyDescent="0.15">
      <c r="A2378" s="59">
        <v>44359.75</v>
      </c>
      <c r="B2378">
        <v>41.566901999999999</v>
      </c>
      <c r="C2378">
        <v>368.24624599999999</v>
      </c>
      <c r="D2378">
        <v>217.49945099999999</v>
      </c>
      <c r="E2378">
        <v>169.15649400000001</v>
      </c>
      <c r="F2378">
        <v>1936.160034</v>
      </c>
      <c r="H2378" s="50">
        <f t="shared" si="305"/>
        <v>2.0780083417970753E-2</v>
      </c>
      <c r="I2378" s="50">
        <f t="shared" si="306"/>
        <v>1.1860458137551435E-2</v>
      </c>
      <c r="J2378" s="50">
        <f t="shared" si="307"/>
        <v>5.6646946480095267E-3</v>
      </c>
      <c r="K2378" s="50">
        <f t="shared" si="308"/>
        <v>-9.4048929256403818E-3</v>
      </c>
      <c r="L2378" s="50">
        <f t="shared" si="309"/>
        <v>-8.3600562280333897E-4</v>
      </c>
      <c r="P2378" s="50">
        <f t="shared" si="304"/>
        <v>-8.3600562280333897E-4</v>
      </c>
      <c r="Q2378" s="51">
        <f t="shared" si="310"/>
        <v>61.309851026439915</v>
      </c>
      <c r="R2378" s="51">
        <f t="shared" si="311"/>
        <v>21.857424335452528</v>
      </c>
    </row>
    <row r="2379" spans="1:18" x14ac:dyDescent="0.15">
      <c r="A2379" s="59">
        <v>44362.75</v>
      </c>
      <c r="B2379">
        <v>40.720722000000002</v>
      </c>
      <c r="C2379">
        <v>363.92987099999999</v>
      </c>
      <c r="D2379">
        <v>216.27432300000001</v>
      </c>
      <c r="E2379">
        <v>170.762497</v>
      </c>
      <c r="F2379">
        <v>1937.780029</v>
      </c>
      <c r="H2379" s="50">
        <f t="shared" si="305"/>
        <v>-4.1387913418446604E-3</v>
      </c>
      <c r="I2379" s="50">
        <f t="shared" si="306"/>
        <v>-1.3878994881102679E-2</v>
      </c>
      <c r="J2379" s="50">
        <f t="shared" si="307"/>
        <v>1.7295843596525567E-4</v>
      </c>
      <c r="K2379" s="50">
        <f t="shared" si="308"/>
        <v>-2.1205241673078128E-2</v>
      </c>
      <c r="L2379" s="50">
        <f t="shared" si="309"/>
        <v>-2.1678592689347597E-3</v>
      </c>
      <c r="P2379" s="50">
        <f t="shared" si="304"/>
        <v>-2.1678592689347597E-3</v>
      </c>
      <c r="Q2379" s="51">
        <f t="shared" si="310"/>
        <v>61.176939897615235</v>
      </c>
      <c r="R2379" s="51">
        <f t="shared" si="311"/>
        <v>21.76696101685793</v>
      </c>
    </row>
    <row r="2380" spans="1:18" x14ac:dyDescent="0.15">
      <c r="A2380" s="59">
        <v>44363.75</v>
      </c>
      <c r="B2380">
        <v>40.889957000000003</v>
      </c>
      <c r="C2380">
        <v>369.051941</v>
      </c>
      <c r="D2380">
        <v>216.23692299999999</v>
      </c>
      <c r="E2380">
        <v>174.462006</v>
      </c>
      <c r="F2380">
        <v>1941.98999</v>
      </c>
      <c r="H2380" s="50">
        <f t="shared" si="305"/>
        <v>1.8864994166499664E-2</v>
      </c>
      <c r="I2380" s="50">
        <f t="shared" si="306"/>
        <v>1.0160585427913052E-2</v>
      </c>
      <c r="J2380" s="50">
        <f t="shared" si="307"/>
        <v>2.9932706236850538E-3</v>
      </c>
      <c r="K2380" s="50">
        <f t="shared" si="308"/>
        <v>6.7111187202898933E-4</v>
      </c>
      <c r="L2380" s="50">
        <f t="shared" si="309"/>
        <v>-7.6597564375697055E-3</v>
      </c>
      <c r="P2380" s="50">
        <f t="shared" si="304"/>
        <v>-7.6597564375697055E-3</v>
      </c>
      <c r="Q2380" s="51">
        <f t="shared" si="310"/>
        <v>60.708339438403662</v>
      </c>
      <c r="R2380" s="51">
        <f t="shared" si="311"/>
        <v>22.17759460946338</v>
      </c>
    </row>
    <row r="2381" spans="1:18" x14ac:dyDescent="0.15">
      <c r="A2381" s="59">
        <v>44364.75</v>
      </c>
      <c r="B2381">
        <v>40.132851000000002</v>
      </c>
      <c r="C2381">
        <v>365.33987400000001</v>
      </c>
      <c r="D2381">
        <v>215.591599</v>
      </c>
      <c r="E2381">
        <v>174.345001</v>
      </c>
      <c r="F2381">
        <v>1956.9799800000001</v>
      </c>
      <c r="H2381" s="50">
        <f t="shared" si="305"/>
        <v>-9.0175221553298358E-3</v>
      </c>
      <c r="I2381" s="50">
        <f t="shared" si="306"/>
        <v>-1.5304922442096372E-2</v>
      </c>
      <c r="J2381" s="50">
        <f t="shared" si="307"/>
        <v>-1.3859829935056089E-2</v>
      </c>
      <c r="K2381" s="50">
        <f t="shared" si="308"/>
        <v>9.5368968897947722E-3</v>
      </c>
      <c r="L2381" s="50">
        <f t="shared" si="309"/>
        <v>-1.275848707573935E-3</v>
      </c>
      <c r="P2381" s="50">
        <f t="shared" si="304"/>
        <v>-1.275848707573935E-3</v>
      </c>
      <c r="Q2381" s="51">
        <f t="shared" si="310"/>
        <v>60.630884781992215</v>
      </c>
      <c r="R2381" s="51">
        <f t="shared" si="311"/>
        <v>21.977607658720622</v>
      </c>
    </row>
    <row r="2382" spans="1:18" x14ac:dyDescent="0.15">
      <c r="A2382" s="59">
        <v>44365.75</v>
      </c>
      <c r="B2382">
        <v>40.498043000000003</v>
      </c>
      <c r="C2382">
        <v>371.01828</v>
      </c>
      <c r="D2382">
        <v>218.621658</v>
      </c>
      <c r="E2382">
        <v>172.69799800000001</v>
      </c>
      <c r="F2382">
        <v>1959.4799800000001</v>
      </c>
      <c r="H2382" s="50">
        <f t="shared" si="305"/>
        <v>-4.5976048674529714E-3</v>
      </c>
      <c r="I2382" s="50">
        <f t="shared" si="306"/>
        <v>-1.3718269005492804E-2</v>
      </c>
      <c r="J2382" s="50">
        <f t="shared" si="307"/>
        <v>-1.4501983332398771E-2</v>
      </c>
      <c r="K2382" s="50">
        <f t="shared" si="308"/>
        <v>-1.4685773859730465E-2</v>
      </c>
      <c r="L2382" s="50">
        <f t="shared" si="309"/>
        <v>-1.7270705694392911E-3</v>
      </c>
      <c r="P2382" s="50">
        <f t="shared" si="304"/>
        <v>-1.7270705694392911E-3</v>
      </c>
      <c r="Q2382" s="51">
        <f t="shared" si="310"/>
        <v>60.52617096528617</v>
      </c>
      <c r="R2382" s="51">
        <f t="shared" si="311"/>
        <v>21.876563302773917</v>
      </c>
    </row>
    <row r="2383" spans="1:18" x14ac:dyDescent="0.15">
      <c r="A2383" s="59">
        <v>44366.75</v>
      </c>
      <c r="B2383">
        <v>40.685096999999999</v>
      </c>
      <c r="C2383">
        <v>376.17880200000002</v>
      </c>
      <c r="D2383">
        <v>221.83876000000001</v>
      </c>
      <c r="E2383">
        <v>175.27200300000001</v>
      </c>
      <c r="F2383">
        <v>1962.869995</v>
      </c>
      <c r="H2383" s="50">
        <f t="shared" si="305"/>
        <v>7.8700129473272054E-3</v>
      </c>
      <c r="I2383" s="50">
        <f t="shared" si="306"/>
        <v>5.357130707855783E-4</v>
      </c>
      <c r="J2383" s="50">
        <f t="shared" si="307"/>
        <v>-4.2139430811320917E-4</v>
      </c>
      <c r="K2383" s="50">
        <f t="shared" si="308"/>
        <v>4.6240390644751401E-4</v>
      </c>
      <c r="L2383" s="50">
        <f t="shared" si="309"/>
        <v>1.3248174725859538E-4</v>
      </c>
      <c r="P2383" s="50">
        <f t="shared" si="304"/>
        <v>1.3248174725859538E-4</v>
      </c>
      <c r="Q2383" s="51">
        <f t="shared" si="310"/>
        <v>60.534189578170519</v>
      </c>
      <c r="R2383" s="51">
        <f t="shared" si="311"/>
        <v>22.048732139209772</v>
      </c>
    </row>
    <row r="2384" spans="1:18" x14ac:dyDescent="0.15">
      <c r="A2384" s="59">
        <v>44369.75</v>
      </c>
      <c r="B2384">
        <v>40.367404999999998</v>
      </c>
      <c r="C2384">
        <v>375.97738600000002</v>
      </c>
      <c r="D2384">
        <v>221.93228099999999</v>
      </c>
      <c r="E2384">
        <v>175.19099399999999</v>
      </c>
      <c r="F2384">
        <v>1962.6099850000001</v>
      </c>
      <c r="H2384" s="50">
        <f t="shared" si="305"/>
        <v>-6.9388855701356025E-3</v>
      </c>
      <c r="I2384" s="50">
        <f t="shared" si="306"/>
        <v>-2.5513109100142793E-4</v>
      </c>
      <c r="J2384" s="50">
        <f t="shared" si="307"/>
        <v>-1.0548647654858842E-2</v>
      </c>
      <c r="K2384" s="50">
        <f t="shared" si="308"/>
        <v>1.5870893567875868E-2</v>
      </c>
      <c r="L2384" s="50">
        <f t="shared" si="309"/>
        <v>6.4769921381449174E-3</v>
      </c>
      <c r="P2384" s="50">
        <f t="shared" si="304"/>
        <v>6.4769921381449174E-3</v>
      </c>
      <c r="Q2384" s="51">
        <f t="shared" si="310"/>
        <v>60.926269048157302</v>
      </c>
      <c r="R2384" s="51">
        <f t="shared" si="311"/>
        <v>21.895738509929224</v>
      </c>
    </row>
    <row r="2385" spans="1:18" x14ac:dyDescent="0.15">
      <c r="A2385" s="59">
        <v>44370.75</v>
      </c>
      <c r="B2385">
        <v>40.649467000000001</v>
      </c>
      <c r="C2385">
        <v>376.07333399999999</v>
      </c>
      <c r="D2385">
        <v>224.29832500000001</v>
      </c>
      <c r="E2385">
        <v>172.45399499999999</v>
      </c>
      <c r="F2385">
        <v>1949.9799800000001</v>
      </c>
      <c r="H2385" s="50">
        <f t="shared" si="305"/>
        <v>-1.1694301782530569E-2</v>
      </c>
      <c r="I2385" s="50">
        <f t="shared" si="306"/>
        <v>-6.1849855599089235E-3</v>
      </c>
      <c r="J2385" s="50">
        <f t="shared" si="307"/>
        <v>-2.9517471671938063E-3</v>
      </c>
      <c r="K2385" s="50">
        <f t="shared" si="308"/>
        <v>1.3999853168931492E-2</v>
      </c>
      <c r="L2385" s="50">
        <f t="shared" si="309"/>
        <v>-4.8736425870817539E-3</v>
      </c>
      <c r="P2385" s="50">
        <f t="shared" si="304"/>
        <v>-4.8736425870817539E-3</v>
      </c>
      <c r="Q2385" s="51">
        <f t="shared" si="310"/>
        <v>60.629336188652196</v>
      </c>
      <c r="R2385" s="51">
        <f t="shared" si="311"/>
        <v>21.639683136042734</v>
      </c>
    </row>
    <row r="2386" spans="1:18" x14ac:dyDescent="0.15">
      <c r="A2386" s="59">
        <v>44371.75</v>
      </c>
      <c r="B2386">
        <v>41.130459000000002</v>
      </c>
      <c r="C2386">
        <v>378.41381799999999</v>
      </c>
      <c r="D2386">
        <v>224.962357</v>
      </c>
      <c r="E2386">
        <v>170.07299800000001</v>
      </c>
      <c r="F2386">
        <v>1959.530029</v>
      </c>
      <c r="H2386" s="50">
        <f t="shared" si="305"/>
        <v>3.1136906321177797E-3</v>
      </c>
      <c r="I2386" s="50">
        <f t="shared" si="306"/>
        <v>-5.1192004294067913E-3</v>
      </c>
      <c r="J2386" s="50">
        <f t="shared" si="307"/>
        <v>-2.9426534443367505E-3</v>
      </c>
      <c r="K2386" s="50">
        <f t="shared" si="308"/>
        <v>-1.2320404837078787E-2</v>
      </c>
      <c r="L2386" s="50">
        <f t="shared" si="309"/>
        <v>1.1802751015358541E-3</v>
      </c>
      <c r="P2386" s="50">
        <f t="shared" si="304"/>
        <v>1.1802751015358541E-3</v>
      </c>
      <c r="Q2386" s="51">
        <f t="shared" si="310"/>
        <v>60.700895484578318</v>
      </c>
      <c r="R2386" s="51">
        <f t="shared" si="311"/>
        <v>21.70706241470543</v>
      </c>
    </row>
    <row r="2387" spans="1:18" x14ac:dyDescent="0.15">
      <c r="A2387" s="59">
        <v>44372.75</v>
      </c>
      <c r="B2387">
        <v>41.002789</v>
      </c>
      <c r="C2387">
        <v>380.36096199999997</v>
      </c>
      <c r="D2387">
        <v>225.62629699999999</v>
      </c>
      <c r="E2387">
        <v>172.19450399999999</v>
      </c>
      <c r="F2387">
        <v>1957.219971</v>
      </c>
      <c r="H2387" s="50">
        <f t="shared" si="305"/>
        <v>5.8267751960069617E-3</v>
      </c>
      <c r="I2387" s="50">
        <f t="shared" si="306"/>
        <v>-5.6419195209660815E-3</v>
      </c>
      <c r="J2387" s="50">
        <f t="shared" si="307"/>
        <v>-2.4396880049850811E-3</v>
      </c>
      <c r="K2387" s="50">
        <f t="shared" si="308"/>
        <v>-1.2325137753398643E-3</v>
      </c>
      <c r="L2387" s="50">
        <f t="shared" si="309"/>
        <v>-1.9072240506597647E-3</v>
      </c>
      <c r="P2387" s="50">
        <f t="shared" si="304"/>
        <v>-1.9072240506597647E-3</v>
      </c>
      <c r="Q2387" s="51">
        <f t="shared" si="310"/>
        <v>60.585125276813542</v>
      </c>
      <c r="R2387" s="51">
        <f t="shared" si="311"/>
        <v>21.833544587561612</v>
      </c>
    </row>
    <row r="2388" spans="1:18" x14ac:dyDescent="0.15">
      <c r="A2388" s="59">
        <v>44373.75</v>
      </c>
      <c r="B2388">
        <v>40.765259</v>
      </c>
      <c r="C2388">
        <v>382.51910400000003</v>
      </c>
      <c r="D2388">
        <v>226.178101</v>
      </c>
      <c r="E2388">
        <v>172.40699799999999</v>
      </c>
      <c r="F2388">
        <v>1960.959961</v>
      </c>
      <c r="H2388" s="50">
        <f t="shared" si="305"/>
        <v>-2.6379234975627164E-2</v>
      </c>
      <c r="I2388" s="50">
        <f t="shared" si="306"/>
        <v>7.8852078136666583E-3</v>
      </c>
      <c r="J2388" s="50">
        <f t="shared" si="307"/>
        <v>4.5511402840182311E-4</v>
      </c>
      <c r="K2388" s="50">
        <f t="shared" si="308"/>
        <v>2.3196712320280497E-3</v>
      </c>
      <c r="L2388" s="50">
        <f t="shared" si="309"/>
        <v>3.7239559003171275E-4</v>
      </c>
      <c r="P2388" s="50">
        <f t="shared" si="304"/>
        <v>3.7239559003171275E-4</v>
      </c>
      <c r="Q2388" s="51">
        <f t="shared" si="310"/>
        <v>60.607686910288145</v>
      </c>
      <c r="R2388" s="51">
        <f t="shared" si="311"/>
        <v>21.257592384535492</v>
      </c>
    </row>
    <row r="2389" spans="1:18" x14ac:dyDescent="0.15">
      <c r="A2389" s="59">
        <v>44376.75</v>
      </c>
      <c r="B2389">
        <v>41.869751000000001</v>
      </c>
      <c r="C2389">
        <v>379.52645899999999</v>
      </c>
      <c r="D2389">
        <v>226.075211</v>
      </c>
      <c r="E2389">
        <v>172.00799599999999</v>
      </c>
      <c r="F2389">
        <v>1960.2299800000001</v>
      </c>
      <c r="H2389" s="50">
        <f t="shared" si="305"/>
        <v>1.2202148922534992E-2</v>
      </c>
      <c r="I2389" s="50">
        <f t="shared" si="306"/>
        <v>2.8895633726695857E-3</v>
      </c>
      <c r="J2389" s="50">
        <f t="shared" si="307"/>
        <v>-7.1056996756994843E-3</v>
      </c>
      <c r="K2389" s="50">
        <f t="shared" si="308"/>
        <v>2.0943789319125047E-3</v>
      </c>
      <c r="L2389" s="50">
        <f t="shared" si="309"/>
        <v>-6.6334737185086978E-3</v>
      </c>
      <c r="P2389" s="50">
        <f t="shared" si="304"/>
        <v>-6.6334737185086978E-3</v>
      </c>
      <c r="Q2389" s="51">
        <f t="shared" si="310"/>
        <v>60.205647412029144</v>
      </c>
      <c r="R2389" s="51">
        <f t="shared" si="311"/>
        <v>21.516980692546142</v>
      </c>
    </row>
    <row r="2390" spans="1:18" x14ac:dyDescent="0.15">
      <c r="A2390" s="59">
        <v>44377.75</v>
      </c>
      <c r="B2390">
        <v>41.365009000000001</v>
      </c>
      <c r="C2390">
        <v>378.432953</v>
      </c>
      <c r="D2390">
        <v>227.69313</v>
      </c>
      <c r="E2390">
        <v>171.64849899999999</v>
      </c>
      <c r="F2390">
        <v>1973.3199460000001</v>
      </c>
      <c r="H2390" s="50">
        <f t="shared" si="305"/>
        <v>-5.6385677631145964E-3</v>
      </c>
      <c r="I2390" s="50">
        <f t="shared" si="306"/>
        <v>-1.1054220205050787E-2</v>
      </c>
      <c r="J2390" s="50">
        <f t="shared" si="307"/>
        <v>-1.2612437543684081E-2</v>
      </c>
      <c r="K2390" s="50">
        <f t="shared" si="308"/>
        <v>-2.2218851083602904E-2</v>
      </c>
      <c r="L2390" s="50">
        <f t="shared" si="309"/>
        <v>-6.583793354123027E-4</v>
      </c>
      <c r="P2390" s="50">
        <f t="shared" si="304"/>
        <v>-6.583793354123027E-4</v>
      </c>
      <c r="Q2390" s="51">
        <f t="shared" si="310"/>
        <v>60.16600925789794</v>
      </c>
      <c r="R2390" s="51">
        <f t="shared" si="311"/>
        <v>21.395655738853591</v>
      </c>
    </row>
    <row r="2391" spans="1:18" x14ac:dyDescent="0.15">
      <c r="A2391" s="59">
        <v>44378.75</v>
      </c>
      <c r="B2391">
        <v>41.599570999999997</v>
      </c>
      <c r="C2391">
        <v>382.66299400000003</v>
      </c>
      <c r="D2391">
        <v>230.60157799999999</v>
      </c>
      <c r="E2391">
        <v>175.54899599999999</v>
      </c>
      <c r="F2391">
        <v>1974.619995</v>
      </c>
      <c r="H2391" s="50">
        <f t="shared" si="305"/>
        <v>1.2150206521981863E-3</v>
      </c>
      <c r="I2391" s="50">
        <f t="shared" si="306"/>
        <v>2.006109770131007E-4</v>
      </c>
      <c r="J2391" s="50">
        <f t="shared" si="307"/>
        <v>4.6037984741975424E-3</v>
      </c>
      <c r="K2391" s="50">
        <f t="shared" si="308"/>
        <v>-4.4823664707128452E-2</v>
      </c>
      <c r="L2391" s="50">
        <f t="shared" si="309"/>
        <v>-5.4496465879247027E-3</v>
      </c>
      <c r="P2391" s="50">
        <f t="shared" si="304"/>
        <v>-5.4496465879247027E-3</v>
      </c>
      <c r="Q2391" s="51">
        <f t="shared" si="310"/>
        <v>59.838125770836591</v>
      </c>
      <c r="R2391" s="51">
        <f t="shared" si="311"/>
        <v>21.421651902443621</v>
      </c>
    </row>
    <row r="2392" spans="1:18" x14ac:dyDescent="0.15">
      <c r="A2392" s="59">
        <v>44379.75</v>
      </c>
      <c r="B2392">
        <v>41.549087999999998</v>
      </c>
      <c r="C2392">
        <v>382.58624300000002</v>
      </c>
      <c r="D2392">
        <v>229.54480000000001</v>
      </c>
      <c r="E2392">
        <v>183.787003</v>
      </c>
      <c r="F2392">
        <v>1985.4399410000001</v>
      </c>
      <c r="H2392" s="50">
        <f t="shared" si="305"/>
        <v>1.6463280587399271E-3</v>
      </c>
      <c r="I2392" s="50">
        <f t="shared" si="306"/>
        <v>-1.4381913804964851E-2</v>
      </c>
      <c r="J2392" s="50">
        <f t="shared" si="307"/>
        <v>-8.4832346914863622E-3</v>
      </c>
      <c r="K2392" s="50">
        <f t="shared" si="308"/>
        <v>-5.6376003126565365E-3</v>
      </c>
      <c r="L2392" s="50">
        <f t="shared" si="309"/>
        <v>3.9389765152906845E-3</v>
      </c>
      <c r="P2392" s="50">
        <f t="shared" si="304"/>
        <v>3.9389765152906845E-3</v>
      </c>
      <c r="Q2392" s="51">
        <f t="shared" si="310"/>
        <v>60.073826742966922</v>
      </c>
      <c r="R2392" s="51">
        <f t="shared" si="311"/>
        <v>21.456918969035176</v>
      </c>
    </row>
    <row r="2393" spans="1:18" x14ac:dyDescent="0.15">
      <c r="A2393" s="59">
        <v>44383.75</v>
      </c>
      <c r="B2393">
        <v>41.480797000000003</v>
      </c>
      <c r="C2393">
        <v>388.16885400000001</v>
      </c>
      <c r="D2393">
        <v>231.50874300000001</v>
      </c>
      <c r="E2393">
        <v>184.82899499999999</v>
      </c>
      <c r="F2393">
        <v>1977.650024</v>
      </c>
      <c r="H2393" s="50">
        <f t="shared" si="305"/>
        <v>8.595935096998538E-4</v>
      </c>
      <c r="I2393" s="50">
        <f t="shared" si="306"/>
        <v>-6.0664284867011208E-3</v>
      </c>
      <c r="J2393" s="50">
        <f t="shared" si="307"/>
        <v>-4.1434756106202633E-3</v>
      </c>
      <c r="K2393" s="50">
        <f t="shared" si="308"/>
        <v>-9.3342786632244334E-3</v>
      </c>
      <c r="L2393" s="50">
        <f t="shared" si="309"/>
        <v>7.0988400918948176E-3</v>
      </c>
      <c r="P2393" s="50">
        <f t="shared" si="304"/>
        <v>7.0988400918948176E-3</v>
      </c>
      <c r="Q2393" s="51">
        <f t="shared" si="310"/>
        <v>60.500281232723438</v>
      </c>
      <c r="R2393" s="51">
        <f t="shared" si="311"/>
        <v>21.475363197319112</v>
      </c>
    </row>
    <row r="2394" spans="1:18" x14ac:dyDescent="0.15">
      <c r="A2394" s="59">
        <v>44384.75</v>
      </c>
      <c r="B2394">
        <v>41.445171000000002</v>
      </c>
      <c r="C2394">
        <v>390.538025</v>
      </c>
      <c r="D2394">
        <v>232.47198499999999</v>
      </c>
      <c r="E2394">
        <v>186.57049599999999</v>
      </c>
      <c r="F2394">
        <v>1963.709961</v>
      </c>
      <c r="H2394" s="50">
        <f t="shared" si="305"/>
        <v>-5.0605945485610645E-3</v>
      </c>
      <c r="I2394" s="50">
        <f t="shared" si="306"/>
        <v>-1.2658530490904124E-2</v>
      </c>
      <c r="J2394" s="50">
        <f t="shared" si="307"/>
        <v>0</v>
      </c>
      <c r="K2394" s="50">
        <f t="shared" si="308"/>
        <v>3.2452048816511464E-3</v>
      </c>
      <c r="L2394" s="50">
        <f t="shared" si="309"/>
        <v>-4.6227983168357859E-3</v>
      </c>
      <c r="P2394" s="50">
        <f t="shared" si="304"/>
        <v>-4.6227983168357859E-3</v>
      </c>
      <c r="Q2394" s="51">
        <f t="shared" si="310"/>
        <v>60.220600634472717</v>
      </c>
      <c r="R2394" s="51">
        <f t="shared" si="311"/>
        <v>21.366685091394388</v>
      </c>
    </row>
    <row r="2395" spans="1:18" x14ac:dyDescent="0.15">
      <c r="A2395" s="59">
        <v>44385.75</v>
      </c>
      <c r="B2395">
        <v>41.655974999999998</v>
      </c>
      <c r="C2395">
        <v>395.54504400000002</v>
      </c>
      <c r="D2395">
        <v>232.47198499999999</v>
      </c>
      <c r="E2395">
        <v>185.966995</v>
      </c>
      <c r="F2395">
        <v>1972.829956</v>
      </c>
      <c r="H2395" s="50">
        <f t="shared" si="305"/>
        <v>1.7850619991957506E-3</v>
      </c>
      <c r="I2395" s="50">
        <f t="shared" si="306"/>
        <v>1.1008108202589904E-2</v>
      </c>
      <c r="J2395" s="50">
        <f t="shared" si="307"/>
        <v>-1.451000910274337E-2</v>
      </c>
      <c r="K2395" s="50">
        <f t="shared" si="308"/>
        <v>2.1239461046928314E-4</v>
      </c>
      <c r="L2395" s="50">
        <f t="shared" si="309"/>
        <v>4.1482082456160115E-3</v>
      </c>
      <c r="P2395" s="50">
        <f t="shared" si="304"/>
        <v>4.1482082456160115E-3</v>
      </c>
      <c r="Q2395" s="51">
        <f t="shared" si="310"/>
        <v>60.470408226580581</v>
      </c>
      <c r="R2395" s="51">
        <f t="shared" si="311"/>
        <v>21.404825948999818</v>
      </c>
    </row>
    <row r="2396" spans="1:18" x14ac:dyDescent="0.15">
      <c r="A2396" s="59">
        <v>44386.75</v>
      </c>
      <c r="B2396">
        <v>41.581749000000002</v>
      </c>
      <c r="C2396">
        <v>391.23825099999999</v>
      </c>
      <c r="D2396">
        <v>235.89482100000001</v>
      </c>
      <c r="E2396">
        <v>185.927505</v>
      </c>
      <c r="F2396">
        <v>1964.6800539999999</v>
      </c>
      <c r="H2396" s="50">
        <f t="shared" si="305"/>
        <v>-3.7701807415026082E-3</v>
      </c>
      <c r="I2396" s="50">
        <f t="shared" si="306"/>
        <v>2.0144103808418623E-3</v>
      </c>
      <c r="J2396" s="50">
        <f t="shared" si="307"/>
        <v>1.9463926183872307E-3</v>
      </c>
      <c r="K2396" s="50">
        <f t="shared" si="308"/>
        <v>1.120101945310804E-2</v>
      </c>
      <c r="L2396" s="50">
        <f t="shared" si="309"/>
        <v>-1.4687620157419019E-3</v>
      </c>
      <c r="P2396" s="50">
        <f t="shared" si="304"/>
        <v>-1.4687620157419019E-3</v>
      </c>
      <c r="Q2396" s="51">
        <f t="shared" si="310"/>
        <v>60.381591587900978</v>
      </c>
      <c r="R2396" s="51">
        <f t="shared" si="311"/>
        <v>21.324125886431684</v>
      </c>
    </row>
    <row r="2397" spans="1:18" x14ac:dyDescent="0.15">
      <c r="A2397" s="59">
        <v>44387.75</v>
      </c>
      <c r="B2397">
        <v>41.739113000000003</v>
      </c>
      <c r="C2397">
        <v>390.45172100000002</v>
      </c>
      <c r="D2397">
        <v>235.43656899999999</v>
      </c>
      <c r="E2397">
        <v>183.86799600000001</v>
      </c>
      <c r="F2397">
        <v>1967.5699460000001</v>
      </c>
      <c r="H2397" s="50">
        <f t="shared" si="305"/>
        <v>-6.8527663628588052E-3</v>
      </c>
      <c r="I2397" s="50">
        <f t="shared" si="306"/>
        <v>-7.0497377720067367E-3</v>
      </c>
      <c r="J2397" s="50">
        <f t="shared" si="307"/>
        <v>-7.4124486466845101E-3</v>
      </c>
      <c r="K2397" s="50">
        <f t="shared" si="308"/>
        <v>-1.1733991004106716E-3</v>
      </c>
      <c r="L2397" s="50">
        <f t="shared" si="309"/>
        <v>-4.8202064213670789E-3</v>
      </c>
      <c r="P2397" s="50">
        <f t="shared" si="304"/>
        <v>-4.8202064213670789E-3</v>
      </c>
      <c r="Q2397" s="51">
        <f t="shared" si="310"/>
        <v>60.090539852396617</v>
      </c>
      <c r="R2397" s="51">
        <f t="shared" si="311"/>
        <v>21.177996633839779</v>
      </c>
    </row>
    <row r="2398" spans="1:18" x14ac:dyDescent="0.15">
      <c r="A2398" s="59">
        <v>44390.75</v>
      </c>
      <c r="B2398">
        <v>42.027115000000002</v>
      </c>
      <c r="C2398">
        <v>393.22384599999998</v>
      </c>
      <c r="D2398">
        <v>237.19476299999999</v>
      </c>
      <c r="E2398">
        <v>184.084</v>
      </c>
      <c r="F2398">
        <v>1977.099976</v>
      </c>
      <c r="H2398" s="50">
        <f t="shared" si="305"/>
        <v>-7.766326880454794E-4</v>
      </c>
      <c r="I2398" s="50">
        <f t="shared" si="306"/>
        <v>-4.540737873151123E-3</v>
      </c>
      <c r="J2398" s="50">
        <f t="shared" si="307"/>
        <v>2.7677253941968856E-3</v>
      </c>
      <c r="K2398" s="50">
        <f t="shared" si="308"/>
        <v>1.3901751640248398E-2</v>
      </c>
      <c r="L2398" s="50">
        <f t="shared" si="309"/>
        <v>1.9358362441522265E-3</v>
      </c>
      <c r="P2398" s="50">
        <f t="shared" si="304"/>
        <v>1.9358362441522265E-3</v>
      </c>
      <c r="Q2398" s="51">
        <f t="shared" si="310"/>
        <v>60.206865297373554</v>
      </c>
      <c r="R2398" s="51">
        <f t="shared" si="311"/>
        <v>21.16154910938662</v>
      </c>
    </row>
    <row r="2399" spans="1:18" x14ac:dyDescent="0.15">
      <c r="A2399" s="59">
        <v>44391.75</v>
      </c>
      <c r="B2399">
        <v>42.059780000000003</v>
      </c>
      <c r="C2399">
        <v>395.017517</v>
      </c>
      <c r="D2399">
        <v>236.540085</v>
      </c>
      <c r="E2399">
        <v>181.55999800000001</v>
      </c>
      <c r="F2399">
        <v>1973.280029</v>
      </c>
      <c r="H2399" s="50">
        <f t="shared" si="305"/>
        <v>7.0675581711445855E-4</v>
      </c>
      <c r="I2399" s="50">
        <f t="shared" si="306"/>
        <v>3.5333961790058629E-3</v>
      </c>
      <c r="J2399" s="50">
        <f t="shared" si="307"/>
        <v>7.0872751635038672E-3</v>
      </c>
      <c r="K2399" s="50">
        <f t="shared" si="308"/>
        <v>1.6109641746185756E-2</v>
      </c>
      <c r="L2399" s="50">
        <f t="shared" si="309"/>
        <v>-4.1835096544202734E-3</v>
      </c>
      <c r="P2399" s="50">
        <f t="shared" si="304"/>
        <v>-4.1835096544202734E-3</v>
      </c>
      <c r="Q2399" s="51">
        <f t="shared" si="310"/>
        <v>59.954989295139612</v>
      </c>
      <c r="R2399" s="51">
        <f t="shared" si="311"/>
        <v>21.176505157318832</v>
      </c>
    </row>
    <row r="2400" spans="1:18" x14ac:dyDescent="0.15">
      <c r="A2400" s="59">
        <v>44392.75</v>
      </c>
      <c r="B2400">
        <v>42.030074999999997</v>
      </c>
      <c r="C2400">
        <v>393.62667800000003</v>
      </c>
      <c r="D2400">
        <v>234.87545800000001</v>
      </c>
      <c r="E2400">
        <v>178.68150299999999</v>
      </c>
      <c r="F2400">
        <v>1981.5699460000001</v>
      </c>
      <c r="H2400" s="50">
        <f t="shared" si="305"/>
        <v>2.3363720391243667E-3</v>
      </c>
      <c r="I2400" s="50">
        <f t="shared" si="306"/>
        <v>-9.1270257891524001E-3</v>
      </c>
      <c r="J2400" s="50">
        <f t="shared" si="307"/>
        <v>1.1954998076154265E-4</v>
      </c>
      <c r="K2400" s="50">
        <f t="shared" si="308"/>
        <v>6.7725903701094901E-3</v>
      </c>
      <c r="L2400" s="50">
        <f t="shared" si="309"/>
        <v>1.1975747686494594E-2</v>
      </c>
      <c r="P2400" s="50">
        <f t="shared" si="304"/>
        <v>1.1975747686494594E-2</v>
      </c>
      <c r="Q2400" s="51">
        <f t="shared" si="310"/>
        <v>60.672995119484689</v>
      </c>
      <c r="R2400" s="51">
        <f t="shared" si="311"/>
        <v>21.225981351854763</v>
      </c>
    </row>
    <row r="2401" spans="1:18" x14ac:dyDescent="0.15">
      <c r="A2401" s="59">
        <v>44393.75</v>
      </c>
      <c r="B2401">
        <v>41.932105999999997</v>
      </c>
      <c r="C2401">
        <v>397.252411</v>
      </c>
      <c r="D2401">
        <v>234.84738200000001</v>
      </c>
      <c r="E2401">
        <v>177.47950700000001</v>
      </c>
      <c r="F2401">
        <v>1958.119995</v>
      </c>
      <c r="H2401" s="50">
        <f t="shared" si="305"/>
        <v>-4.5110265105366256E-3</v>
      </c>
      <c r="I2401" s="50">
        <f t="shared" si="306"/>
        <v>-5.0212272705273536E-3</v>
      </c>
      <c r="J2401" s="50">
        <f t="shared" si="307"/>
        <v>-1.4094558046492119E-2</v>
      </c>
      <c r="K2401" s="50">
        <f t="shared" si="308"/>
        <v>-6.6047033603026765E-3</v>
      </c>
      <c r="L2401" s="50">
        <f t="shared" si="309"/>
        <v>-1.0160637489590873E-2</v>
      </c>
      <c r="P2401" s="50">
        <f t="shared" si="304"/>
        <v>-1.0160637489590873E-2</v>
      </c>
      <c r="Q2401" s="51">
        <f t="shared" si="310"/>
        <v>60.056518810667889</v>
      </c>
      <c r="R2401" s="51">
        <f t="shared" si="311"/>
        <v>21.13023038726439</v>
      </c>
    </row>
    <row r="2402" spans="1:18" x14ac:dyDescent="0.15">
      <c r="A2402" s="59">
        <v>44394.75</v>
      </c>
      <c r="B2402">
        <v>42.122120000000002</v>
      </c>
      <c r="C2402">
        <v>399.25717200000003</v>
      </c>
      <c r="D2402">
        <v>238.20477299999999</v>
      </c>
      <c r="E2402">
        <v>178.65950000000001</v>
      </c>
      <c r="F2402">
        <v>1978.219971</v>
      </c>
      <c r="H2402" s="50">
        <f t="shared" si="305"/>
        <v>4.9585959764933676E-3</v>
      </c>
      <c r="I2402" s="50">
        <f t="shared" si="306"/>
        <v>2.9638462307620492E-3</v>
      </c>
      <c r="J2402" s="50">
        <f t="shared" si="307"/>
        <v>-5.233187106237951E-3</v>
      </c>
      <c r="K2402" s="50">
        <f t="shared" si="308"/>
        <v>-3.3498550527126542E-3</v>
      </c>
      <c r="L2402" s="50">
        <f t="shared" si="309"/>
        <v>2.3256466452028853E-3</v>
      </c>
      <c r="P2402" s="50">
        <f t="shared" si="304"/>
        <v>2.3256466452028853E-3</v>
      </c>
      <c r="Q2402" s="51">
        <f t="shared" si="310"/>
        <v>60.196189052162481</v>
      </c>
      <c r="R2402" s="51">
        <f t="shared" si="311"/>
        <v>21.235006662645056</v>
      </c>
    </row>
    <row r="2403" spans="1:18" x14ac:dyDescent="0.15">
      <c r="A2403" s="59">
        <v>44397.75</v>
      </c>
      <c r="B2403">
        <v>41.914284000000002</v>
      </c>
      <c r="C2403">
        <v>398.07733200000001</v>
      </c>
      <c r="D2403">
        <v>239.45790099999999</v>
      </c>
      <c r="E2403">
        <v>179.259995</v>
      </c>
      <c r="F2403">
        <v>1973.630005</v>
      </c>
      <c r="H2403" s="50">
        <f t="shared" si="305"/>
        <v>-7.0801576989076821E-4</v>
      </c>
      <c r="I2403" s="50">
        <f t="shared" si="306"/>
        <v>-6.0593334220881119E-3</v>
      </c>
      <c r="J2403" s="50">
        <f t="shared" si="307"/>
        <v>-3.7353470354166952E-3</v>
      </c>
      <c r="K2403" s="50">
        <f t="shared" si="308"/>
        <v>-1.4521650054517046E-2</v>
      </c>
      <c r="L2403" s="50">
        <f t="shared" si="309"/>
        <v>-4.9911137493548023E-3</v>
      </c>
      <c r="P2403" s="50">
        <f t="shared" si="304"/>
        <v>-4.9911137493548023E-3</v>
      </c>
      <c r="Q2403" s="51">
        <f t="shared" si="310"/>
        <v>59.895743025325473</v>
      </c>
      <c r="R2403" s="51">
        <f t="shared" si="311"/>
        <v>21.219971943054166</v>
      </c>
    </row>
    <row r="2404" spans="1:18" x14ac:dyDescent="0.15">
      <c r="A2404" s="59">
        <v>44398.75</v>
      </c>
      <c r="B2404">
        <v>41.943981000000001</v>
      </c>
      <c r="C2404">
        <v>400.50412</v>
      </c>
      <c r="D2404">
        <v>240.35571300000001</v>
      </c>
      <c r="E2404">
        <v>181.90150499999999</v>
      </c>
      <c r="F2404">
        <v>1983.530029</v>
      </c>
      <c r="H2404" s="50">
        <f t="shared" si="305"/>
        <v>-8.1442217221479579E-3</v>
      </c>
      <c r="I2404" s="50">
        <f t="shared" si="306"/>
        <v>-1.391014513719478E-2</v>
      </c>
      <c r="J2404" s="50">
        <f t="shared" si="307"/>
        <v>-1.5400664235437952E-2</v>
      </c>
      <c r="K2404" s="50">
        <f t="shared" si="308"/>
        <v>-5.0893497577593387E-3</v>
      </c>
      <c r="L2404" s="50">
        <f t="shared" si="309"/>
        <v>-1.7513656108858518E-3</v>
      </c>
      <c r="P2404" s="50">
        <f t="shared" si="304"/>
        <v>-1.7513656108858518E-3</v>
      </c>
      <c r="Q2404" s="51">
        <f t="shared" si="310"/>
        <v>59.790843680752459</v>
      </c>
      <c r="R2404" s="51">
        <f t="shared" si="311"/>
        <v>21.047151786612176</v>
      </c>
    </row>
    <row r="2405" spans="1:18" x14ac:dyDescent="0.15">
      <c r="A2405" s="59">
        <v>44399.75</v>
      </c>
      <c r="B2405">
        <v>42.288387</v>
      </c>
      <c r="C2405">
        <v>406.15377799999999</v>
      </c>
      <c r="D2405">
        <v>244.11525</v>
      </c>
      <c r="E2405">
        <v>182.83200099999999</v>
      </c>
      <c r="F2405">
        <v>1987.01001</v>
      </c>
      <c r="H2405" s="50">
        <f t="shared" si="305"/>
        <v>-1.4022934052420712E-3</v>
      </c>
      <c r="I2405" s="50">
        <f t="shared" si="306"/>
        <v>4.7246543226121872E-4</v>
      </c>
      <c r="J2405" s="50">
        <f t="shared" si="307"/>
        <v>6.5186695401497886E-4</v>
      </c>
      <c r="K2405" s="50">
        <f t="shared" si="308"/>
        <v>-1.1670816607361719E-2</v>
      </c>
      <c r="L2405" s="50">
        <f t="shared" si="309"/>
        <v>-4.8791738838340967E-4</v>
      </c>
      <c r="P2405" s="50">
        <f t="shared" si="304"/>
        <v>-4.8791738838340967E-4</v>
      </c>
      <c r="Q2405" s="51">
        <f t="shared" si="310"/>
        <v>59.761670688454508</v>
      </c>
      <c r="R2405" s="51">
        <f t="shared" si="311"/>
        <v>21.01763750446268</v>
      </c>
    </row>
    <row r="2406" spans="1:18" x14ac:dyDescent="0.15">
      <c r="A2406" s="59">
        <v>44400.75</v>
      </c>
      <c r="B2406">
        <v>42.347771000000002</v>
      </c>
      <c r="C2406">
        <v>405.961975</v>
      </c>
      <c r="D2406">
        <v>243.95622299999999</v>
      </c>
      <c r="E2406">
        <v>184.99099699999999</v>
      </c>
      <c r="F2406">
        <v>1987.9799800000001</v>
      </c>
      <c r="H2406" s="50">
        <f t="shared" si="305"/>
        <v>-6.9986978974476697E-5</v>
      </c>
      <c r="I2406" s="50">
        <f t="shared" si="306"/>
        <v>-2.6157917238407015E-3</v>
      </c>
      <c r="J2406" s="50">
        <f t="shared" si="307"/>
        <v>9.6764141032821462E-3</v>
      </c>
      <c r="K2406" s="50">
        <f t="shared" si="308"/>
        <v>2.0248748308951906E-2</v>
      </c>
      <c r="L2406" s="50">
        <f t="shared" si="309"/>
        <v>4.8727792824663912E-3</v>
      </c>
      <c r="P2406" s="50">
        <f t="shared" si="304"/>
        <v>4.8727792824663912E-3</v>
      </c>
      <c r="Q2406" s="51">
        <f t="shared" si="310"/>
        <v>60.052876119270785</v>
      </c>
      <c r="R2406" s="51">
        <f t="shared" si="311"/>
        <v>21.016166543508565</v>
      </c>
    </row>
    <row r="2407" spans="1:18" x14ac:dyDescent="0.15">
      <c r="A2407" s="59">
        <v>44401.75</v>
      </c>
      <c r="B2407">
        <v>42.350735</v>
      </c>
      <c r="C2407">
        <v>407.02667200000002</v>
      </c>
      <c r="D2407">
        <v>241.618225</v>
      </c>
      <c r="E2407">
        <v>181.31950399999999</v>
      </c>
      <c r="F2407">
        <v>1978.339966</v>
      </c>
      <c r="H2407" s="50">
        <f t="shared" si="305"/>
        <v>4.0826453550367198E-3</v>
      </c>
      <c r="I2407" s="50">
        <f t="shared" si="306"/>
        <v>5.0210921584840388E-3</v>
      </c>
      <c r="J2407" s="50">
        <f t="shared" si="307"/>
        <v>3.6514330268015774E-3</v>
      </c>
      <c r="K2407" s="50">
        <f t="shared" si="308"/>
        <v>-1.0825601792935522E-3</v>
      </c>
      <c r="L2407" s="50">
        <f t="shared" si="309"/>
        <v>-2.8807171129841875E-4</v>
      </c>
      <c r="P2407" s="50">
        <f t="shared" si="304"/>
        <v>-2.8807171129841875E-4</v>
      </c>
      <c r="Q2407" s="51">
        <f t="shared" si="310"/>
        <v>60.035576584478711</v>
      </c>
      <c r="R2407" s="51">
        <f t="shared" si="311"/>
        <v>21.101968098228095</v>
      </c>
    </row>
    <row r="2408" spans="1:18" x14ac:dyDescent="0.15">
      <c r="A2408" s="59">
        <v>44404.75</v>
      </c>
      <c r="B2408">
        <v>42.178534999999997</v>
      </c>
      <c r="C2408">
        <v>404.99316399999998</v>
      </c>
      <c r="D2408">
        <v>240.739182</v>
      </c>
      <c r="E2408">
        <v>181.516006</v>
      </c>
      <c r="F2408">
        <v>1978.910034</v>
      </c>
      <c r="H2408" s="50">
        <f t="shared" si="305"/>
        <v>-1.2654865167461378E-3</v>
      </c>
      <c r="I2408" s="50">
        <f t="shared" si="306"/>
        <v>-9.0528319872614556E-3</v>
      </c>
      <c r="J2408" s="50">
        <f t="shared" si="307"/>
        <v>-1.6203957231477401E-2</v>
      </c>
      <c r="K2408" s="50">
        <f t="shared" si="308"/>
        <v>8.4446542318201059E-3</v>
      </c>
      <c r="L2408" s="50">
        <f t="shared" si="309"/>
        <v>4.5483810365088513E-3</v>
      </c>
      <c r="P2408" s="50">
        <f t="shared" si="304"/>
        <v>4.5483810365088513E-3</v>
      </c>
      <c r="Q2408" s="51">
        <f t="shared" si="310"/>
        <v>60.308641262531424</v>
      </c>
      <c r="R2408" s="51">
        <f t="shared" si="311"/>
        <v>21.075263842122979</v>
      </c>
    </row>
    <row r="2409" spans="1:18" x14ac:dyDescent="0.15">
      <c r="A2409" s="59">
        <v>44405.75</v>
      </c>
      <c r="B2409">
        <v>42.231979000000003</v>
      </c>
      <c r="C2409">
        <v>408.692993</v>
      </c>
      <c r="D2409">
        <v>244.70436100000001</v>
      </c>
      <c r="E2409">
        <v>179.996002</v>
      </c>
      <c r="F2409">
        <v>1969.9499510000001</v>
      </c>
      <c r="H2409" s="50">
        <f t="shared" si="305"/>
        <v>-2.174675278954946E-3</v>
      </c>
      <c r="I2409" s="50">
        <f t="shared" si="306"/>
        <v>-1.0332276694588177E-2</v>
      </c>
      <c r="J2409" s="50">
        <f t="shared" si="307"/>
        <v>2.3366274585262096E-3</v>
      </c>
      <c r="K2409" s="50">
        <f t="shared" si="308"/>
        <v>8.1840015856280271E-2</v>
      </c>
      <c r="L2409" s="50">
        <f t="shared" si="309"/>
        <v>-6.0909004902923976E-5</v>
      </c>
      <c r="P2409" s="50">
        <f t="shared" si="304"/>
        <v>-6.0909004902923976E-5</v>
      </c>
      <c r="Q2409" s="51">
        <f t="shared" si="310"/>
        <v>60.304967923205076</v>
      </c>
      <c r="R2409" s="51">
        <f t="shared" si="311"/>
        <v>21.02943198684806</v>
      </c>
    </row>
    <row r="2410" spans="1:18" x14ac:dyDescent="0.15">
      <c r="A2410" s="59">
        <v>44406.75</v>
      </c>
      <c r="B2410">
        <v>42.324019999999997</v>
      </c>
      <c r="C2410">
        <v>412.95980800000001</v>
      </c>
      <c r="D2410">
        <v>244.13391100000001</v>
      </c>
      <c r="E2410">
        <v>166.379501</v>
      </c>
      <c r="F2410">
        <v>1970.0699460000001</v>
      </c>
      <c r="H2410" s="50">
        <f t="shared" si="305"/>
        <v>2.32036913714854E-3</v>
      </c>
      <c r="I2410" s="50">
        <f t="shared" si="306"/>
        <v>1.8650015832099073E-3</v>
      </c>
      <c r="J2410" s="50">
        <f t="shared" si="307"/>
        <v>1.4810871909180357E-2</v>
      </c>
      <c r="K2410" s="50">
        <f t="shared" si="308"/>
        <v>-1.1676731912641165E-3</v>
      </c>
      <c r="L2410" s="50">
        <f t="shared" si="309"/>
        <v>2.0407372105059766E-2</v>
      </c>
      <c r="P2410" s="50">
        <f t="shared" si="304"/>
        <v>2.0407372105059766E-2</v>
      </c>
      <c r="Q2410" s="51">
        <f t="shared" si="310"/>
        <v>61.535633843397612</v>
      </c>
      <c r="R2410" s="51">
        <f t="shared" si="311"/>
        <v>21.078228031802105</v>
      </c>
    </row>
    <row r="2411" spans="1:18" x14ac:dyDescent="0.15">
      <c r="A2411" s="59">
        <v>44407.75</v>
      </c>
      <c r="B2411">
        <v>42.226039999999998</v>
      </c>
      <c r="C2411">
        <v>412.19107100000002</v>
      </c>
      <c r="D2411">
        <v>240.57084699999999</v>
      </c>
      <c r="E2411">
        <v>166.574005</v>
      </c>
      <c r="F2411">
        <v>1930.670044</v>
      </c>
      <c r="H2411" s="50">
        <f t="shared" si="305"/>
        <v>-1.1125147701126973E-2</v>
      </c>
      <c r="I2411" s="50">
        <f t="shared" si="306"/>
        <v>-1.4135632848082055E-2</v>
      </c>
      <c r="J2411" s="50">
        <f t="shared" si="307"/>
        <v>-1.8916869440941061E-2</v>
      </c>
      <c r="K2411" s="50">
        <f t="shared" si="308"/>
        <v>-1.0326007897856513E-2</v>
      </c>
      <c r="L2411" s="50">
        <f t="shared" si="309"/>
        <v>2.867319393909184E-3</v>
      </c>
      <c r="P2411" s="50">
        <f t="shared" si="304"/>
        <v>2.867319393909184E-3</v>
      </c>
      <c r="Q2411" s="51">
        <f t="shared" si="310"/>
        <v>61.712076159733286</v>
      </c>
      <c r="R2411" s="51">
        <f t="shared" si="311"/>
        <v>20.843729631670271</v>
      </c>
    </row>
    <row r="2412" spans="1:18" x14ac:dyDescent="0.15">
      <c r="A2412" s="59">
        <v>44408.75</v>
      </c>
      <c r="B2412">
        <v>42.701096</v>
      </c>
      <c r="C2412">
        <v>418.10119600000002</v>
      </c>
      <c r="D2412">
        <v>245.209442</v>
      </c>
      <c r="E2412">
        <v>168.31199599999999</v>
      </c>
      <c r="F2412">
        <v>1925.150024</v>
      </c>
      <c r="H2412" s="50">
        <f t="shared" si="305"/>
        <v>6.860956448085636E-3</v>
      </c>
      <c r="I2412" s="50">
        <f t="shared" si="306"/>
        <v>6.9126800021261073E-5</v>
      </c>
      <c r="J2412" s="50">
        <f t="shared" si="307"/>
        <v>6.4100061802768692E-3</v>
      </c>
      <c r="K2412" s="50">
        <f t="shared" si="308"/>
        <v>3.4339916742495151E-3</v>
      </c>
      <c r="L2412" s="50">
        <f t="shared" si="309"/>
        <v>-7.1377191586223729E-3</v>
      </c>
      <c r="P2412" s="50">
        <f t="shared" si="304"/>
        <v>-7.1377191586223729E-3</v>
      </c>
      <c r="Q2412" s="51">
        <f t="shared" si="310"/>
        <v>61.271592691409595</v>
      </c>
      <c r="R2412" s="51">
        <f t="shared" si="311"/>
        <v>20.986737552888833</v>
      </c>
    </row>
    <row r="2413" spans="1:18" x14ac:dyDescent="0.15">
      <c r="A2413" s="59">
        <v>44411.75</v>
      </c>
      <c r="B2413">
        <v>42.410122000000001</v>
      </c>
      <c r="C2413">
        <v>418.07229599999999</v>
      </c>
      <c r="D2413">
        <v>243.647659</v>
      </c>
      <c r="E2413">
        <v>167.73599200000001</v>
      </c>
      <c r="F2413">
        <v>1938.98999</v>
      </c>
      <c r="H2413" s="50">
        <f t="shared" si="305"/>
        <v>-1.8214260729039894E-2</v>
      </c>
      <c r="I2413" s="50">
        <f t="shared" si="306"/>
        <v>-1.8389460402185198E-2</v>
      </c>
      <c r="J2413" s="50">
        <f t="shared" si="307"/>
        <v>-3.3279430848930942E-3</v>
      </c>
      <c r="K2413" s="50">
        <f t="shared" si="308"/>
        <v>-6.3004215059877817E-3</v>
      </c>
      <c r="L2413" s="50">
        <f t="shared" si="309"/>
        <v>9.7801955939338103E-3</v>
      </c>
      <c r="P2413" s="50">
        <f t="shared" si="304"/>
        <v>9.7801955939338103E-3</v>
      </c>
      <c r="Q2413" s="51">
        <f t="shared" si="310"/>
        <v>61.870840852283429</v>
      </c>
      <c r="R2413" s="51">
        <f t="shared" si="311"/>
        <v>20.604479643248585</v>
      </c>
    </row>
    <row r="2414" spans="1:18" x14ac:dyDescent="0.15">
      <c r="A2414" s="59">
        <v>44412.75</v>
      </c>
      <c r="B2414">
        <v>43.196922000000001</v>
      </c>
      <c r="C2414">
        <v>425.904449</v>
      </c>
      <c r="D2414">
        <v>244.46121199999999</v>
      </c>
      <c r="E2414">
        <v>168.79949999999999</v>
      </c>
      <c r="F2414">
        <v>1920.209961</v>
      </c>
      <c r="H2414" s="50">
        <f t="shared" si="305"/>
        <v>1.790317581810189E-3</v>
      </c>
      <c r="I2414" s="50">
        <f t="shared" si="306"/>
        <v>8.097625871573708E-3</v>
      </c>
      <c r="J2414" s="50">
        <f t="shared" si="307"/>
        <v>5.0365955090635019E-3</v>
      </c>
      <c r="K2414" s="50">
        <f t="shared" si="308"/>
        <v>9.2827139242932753E-3</v>
      </c>
      <c r="L2414" s="50">
        <f t="shared" si="309"/>
        <v>-1.56381494794373E-5</v>
      </c>
      <c r="P2414" s="50">
        <f t="shared" si="304"/>
        <v>-1.56381494794373E-5</v>
      </c>
      <c r="Q2414" s="51">
        <f t="shared" si="310"/>
        <v>61.86987330682576</v>
      </c>
      <c r="R2414" s="51">
        <f t="shared" si="311"/>
        <v>20.64136820541794</v>
      </c>
    </row>
    <row r="2415" spans="1:18" x14ac:dyDescent="0.15">
      <c r="A2415" s="59">
        <v>44413.75</v>
      </c>
      <c r="B2415">
        <v>43.119723999999998</v>
      </c>
      <c r="C2415">
        <v>422.48333700000001</v>
      </c>
      <c r="D2415">
        <v>243.23613</v>
      </c>
      <c r="E2415">
        <v>167.246994</v>
      </c>
      <c r="F2415">
        <v>1920.23999</v>
      </c>
      <c r="H2415" s="50">
        <f t="shared" si="305"/>
        <v>-2.4041473601021388E-3</v>
      </c>
      <c r="I2415" s="50">
        <f t="shared" si="306"/>
        <v>-1.9070139523404395E-3</v>
      </c>
      <c r="J2415" s="50">
        <f t="shared" si="307"/>
        <v>-8.8412449773043692E-3</v>
      </c>
      <c r="K2415" s="50">
        <f t="shared" si="308"/>
        <v>9.1857549508842114E-4</v>
      </c>
      <c r="L2415" s="50">
        <f t="shared" si="309"/>
        <v>5.5876685859822181E-3</v>
      </c>
      <c r="P2415" s="50">
        <f t="shared" si="304"/>
        <v>5.5876685859822181E-3</v>
      </c>
      <c r="Q2415" s="51">
        <f t="shared" si="310"/>
        <v>62.215581654321007</v>
      </c>
      <c r="R2415" s="51">
        <f t="shared" si="311"/>
        <v>20.591743314537986</v>
      </c>
    </row>
    <row r="2416" spans="1:18" x14ac:dyDescent="0.15">
      <c r="A2416" s="59">
        <v>44414.75</v>
      </c>
      <c r="B2416">
        <v>43.223640000000003</v>
      </c>
      <c r="C2416">
        <v>423.29055799999998</v>
      </c>
      <c r="D2416">
        <v>245.405823</v>
      </c>
      <c r="E2416">
        <v>167.09350599999999</v>
      </c>
      <c r="F2416">
        <v>1909.5699460000001</v>
      </c>
      <c r="H2416" s="50">
        <f t="shared" si="305"/>
        <v>-2.085032599404427E-2</v>
      </c>
      <c r="I2416" s="50">
        <f t="shared" si="306"/>
        <v>-5.7783674541070137E-3</v>
      </c>
      <c r="J2416" s="50">
        <f t="shared" si="307"/>
        <v>-6.2862605040875522E-3</v>
      </c>
      <c r="K2416" s="50">
        <f t="shared" si="308"/>
        <v>6.3812774440405199E-3</v>
      </c>
      <c r="L2416" s="50">
        <f t="shared" si="309"/>
        <v>-1.1399945323592519E-2</v>
      </c>
      <c r="P2416" s="50">
        <f t="shared" si="304"/>
        <v>-1.1399945323592519E-2</v>
      </c>
      <c r="Q2416" s="51">
        <f t="shared" si="310"/>
        <v>61.506327425186235</v>
      </c>
      <c r="R2416" s="51">
        <f t="shared" si="311"/>
        <v>20.162398753644187</v>
      </c>
    </row>
    <row r="2417" spans="1:18" x14ac:dyDescent="0.15">
      <c r="A2417" s="59">
        <v>44415.75</v>
      </c>
      <c r="B2417">
        <v>44.144058000000001</v>
      </c>
      <c r="C2417">
        <v>425.75070199999999</v>
      </c>
      <c r="D2417">
        <v>246.95826700000001</v>
      </c>
      <c r="E2417">
        <v>166.033997</v>
      </c>
      <c r="F2417">
        <v>1931.589966</v>
      </c>
      <c r="H2417" s="50">
        <f t="shared" si="305"/>
        <v>-8.8659945656541349E-3</v>
      </c>
      <c r="I2417" s="50">
        <f t="shared" si="306"/>
        <v>-2.8585533101807546E-3</v>
      </c>
      <c r="J2417" s="50">
        <f t="shared" si="307"/>
        <v>4.0304119107985262E-3</v>
      </c>
      <c r="K2417" s="50">
        <f t="shared" si="308"/>
        <v>8.6783127457970913E-3</v>
      </c>
      <c r="L2417" s="50">
        <f t="shared" si="309"/>
        <v>-2.7518317116449636E-3</v>
      </c>
      <c r="P2417" s="50">
        <f t="shared" si="304"/>
        <v>-2.7518317116449636E-3</v>
      </c>
      <c r="Q2417" s="51">
        <f t="shared" si="310"/>
        <v>61.337072362910789</v>
      </c>
      <c r="R2417" s="51">
        <f t="shared" si="311"/>
        <v>19.983639035863824</v>
      </c>
    </row>
    <row r="2418" spans="1:18" x14ac:dyDescent="0.15">
      <c r="A2418" s="59">
        <v>44418.75</v>
      </c>
      <c r="B2418">
        <v>44.538939999999997</v>
      </c>
      <c r="C2418">
        <v>426.97122200000001</v>
      </c>
      <c r="D2418">
        <v>245.96691899999999</v>
      </c>
      <c r="E2418">
        <v>164.60549900000001</v>
      </c>
      <c r="F2418">
        <v>1936.920044</v>
      </c>
      <c r="H2418" s="50">
        <f t="shared" si="305"/>
        <v>-4.696140399554149E-3</v>
      </c>
      <c r="I2418" s="50">
        <f t="shared" si="306"/>
        <v>-2.3800703618525607E-3</v>
      </c>
      <c r="J2418" s="50">
        <f t="shared" si="307"/>
        <v>4.3150237079213252E-3</v>
      </c>
      <c r="K2418" s="50">
        <f t="shared" si="308"/>
        <v>-3.4478824861894804E-3</v>
      </c>
      <c r="L2418" s="50">
        <f t="shared" si="309"/>
        <v>1.6393246283128438E-3</v>
      </c>
      <c r="P2418" s="50">
        <f t="shared" si="304"/>
        <v>1.6393246283128438E-3</v>
      </c>
      <c r="Q2418" s="51">
        <f t="shared" si="310"/>
        <v>61.437623736263916</v>
      </c>
      <c r="R2418" s="51">
        <f t="shared" si="311"/>
        <v>19.889793061257397</v>
      </c>
    </row>
    <row r="2419" spans="1:18" x14ac:dyDescent="0.15">
      <c r="A2419" s="59">
        <v>44419.75</v>
      </c>
      <c r="B2419">
        <v>44.749088</v>
      </c>
      <c r="C2419">
        <v>427.989868</v>
      </c>
      <c r="D2419">
        <v>244.91012599999999</v>
      </c>
      <c r="E2419">
        <v>165.175003</v>
      </c>
      <c r="F2419">
        <v>1933.75</v>
      </c>
      <c r="H2419" s="50">
        <f t="shared" si="305"/>
        <v>-3.143181451732E-3</v>
      </c>
      <c r="I2419" s="50">
        <f t="shared" si="306"/>
        <v>-5.4932555138478183E-3</v>
      </c>
      <c r="J2419" s="50">
        <f t="shared" si="307"/>
        <v>1.2997838373502496E-3</v>
      </c>
      <c r="K2419" s="50">
        <f t="shared" si="308"/>
        <v>2.8931714266594434E-3</v>
      </c>
      <c r="L2419" s="50">
        <f t="shared" si="309"/>
        <v>-6.6624739013374963E-3</v>
      </c>
      <c r="P2419" s="50">
        <f t="shared" si="304"/>
        <v>-6.6624739013374963E-3</v>
      </c>
      <c r="Q2419" s="51">
        <f t="shared" si="310"/>
        <v>61.028297171560865</v>
      </c>
      <c r="R2419" s="51">
        <f t="shared" si="311"/>
        <v>19.827275832628466</v>
      </c>
    </row>
    <row r="2420" spans="1:18" x14ac:dyDescent="0.15">
      <c r="A2420" s="59">
        <v>44420.75</v>
      </c>
      <c r="B2420">
        <v>44.890186</v>
      </c>
      <c r="C2420">
        <v>430.35391199999998</v>
      </c>
      <c r="D2420">
        <v>244.592209</v>
      </c>
      <c r="E2420">
        <v>164.69850199999999</v>
      </c>
      <c r="F2420">
        <v>1946.719971</v>
      </c>
      <c r="H2420" s="50">
        <f t="shared" si="305"/>
        <v>-8.0928373529344719E-3</v>
      </c>
      <c r="I2420" s="50">
        <f t="shared" si="306"/>
        <v>-1.1129307019206072E-2</v>
      </c>
      <c r="J2420" s="50">
        <f t="shared" si="307"/>
        <v>-6.1179533224966914E-3</v>
      </c>
      <c r="K2420" s="50">
        <f t="shared" si="308"/>
        <v>-1.5216233492757634E-3</v>
      </c>
      <c r="L2420" s="50">
        <f t="shared" si="309"/>
        <v>-4.327009669872553E-3</v>
      </c>
      <c r="P2420" s="50">
        <f t="shared" si="304"/>
        <v>-4.327009669872553E-3</v>
      </c>
      <c r="Q2420" s="51">
        <f t="shared" si="310"/>
        <v>60.764227139563666</v>
      </c>
      <c r="R2420" s="51">
        <f t="shared" si="311"/>
        <v>19.666816914163235</v>
      </c>
    </row>
    <row r="2421" spans="1:18" x14ac:dyDescent="0.15">
      <c r="A2421" s="59">
        <v>44421.75</v>
      </c>
      <c r="B2421">
        <v>45.256439</v>
      </c>
      <c r="C2421">
        <v>435.19735700000001</v>
      </c>
      <c r="D2421">
        <v>246.097824</v>
      </c>
      <c r="E2421">
        <v>164.94949299999999</v>
      </c>
      <c r="F2421">
        <v>1955.1800539999999</v>
      </c>
      <c r="H2421" s="50">
        <f t="shared" si="305"/>
        <v>3.3179766120559277E-4</v>
      </c>
      <c r="I2421" s="50">
        <f t="shared" si="306"/>
        <v>1.1497326724193466E-3</v>
      </c>
      <c r="J2421" s="50">
        <f t="shared" si="307"/>
        <v>2.9844694448068632E-2</v>
      </c>
      <c r="K2421" s="50">
        <f t="shared" si="308"/>
        <v>1.7591123128367608E-2</v>
      </c>
      <c r="L2421" s="50">
        <f t="shared" si="309"/>
        <v>6.1376631089990043E-5</v>
      </c>
      <c r="P2421" s="50">
        <f t="shared" si="304"/>
        <v>6.1376631089990043E-5</v>
      </c>
      <c r="Q2421" s="51">
        <f t="shared" si="310"/>
        <v>60.767956643116278</v>
      </c>
      <c r="R2421" s="51">
        <f t="shared" si="311"/>
        <v>19.673342318018712</v>
      </c>
    </row>
    <row r="2422" spans="1:18" x14ac:dyDescent="0.15">
      <c r="A2422" s="59">
        <v>44422.75</v>
      </c>
      <c r="B2422">
        <v>45.241427999999999</v>
      </c>
      <c r="C2422">
        <v>434.69757099999998</v>
      </c>
      <c r="D2422">
        <v>238.965958</v>
      </c>
      <c r="E2422">
        <v>162.098007</v>
      </c>
      <c r="F2422">
        <v>1955.0600589999999</v>
      </c>
      <c r="H2422" s="50">
        <f t="shared" si="305"/>
        <v>1.0730992584922563E-2</v>
      </c>
      <c r="I2422" s="50">
        <f t="shared" si="306"/>
        <v>1.3737748408296844E-2</v>
      </c>
      <c r="J2422" s="50">
        <f t="shared" si="307"/>
        <v>2.8556552036934281E-2</v>
      </c>
      <c r="K2422" s="50">
        <f t="shared" si="308"/>
        <v>1.272641015842679E-2</v>
      </c>
      <c r="L2422" s="50">
        <f t="shared" si="309"/>
        <v>-8.4594982526068879E-3</v>
      </c>
      <c r="P2422" s="50">
        <f t="shared" si="304"/>
        <v>-8.4594982526068879E-3</v>
      </c>
      <c r="Q2422" s="51">
        <f t="shared" si="310"/>
        <v>60.253890220079349</v>
      </c>
      <c r="R2422" s="51">
        <f t="shared" si="311"/>
        <v>19.884456808554013</v>
      </c>
    </row>
    <row r="2423" spans="1:18" x14ac:dyDescent="0.15">
      <c r="A2423" s="59">
        <v>44425.75</v>
      </c>
      <c r="B2423">
        <v>44.761096999999999</v>
      </c>
      <c r="C2423">
        <v>428.80673200000001</v>
      </c>
      <c r="D2423">
        <v>232.33137500000001</v>
      </c>
      <c r="E2423">
        <v>160.06100499999999</v>
      </c>
      <c r="F2423">
        <v>1971.73999</v>
      </c>
      <c r="H2423" s="50">
        <f t="shared" si="305"/>
        <v>-6.7283187154072201E-3</v>
      </c>
      <c r="I2423" s="50">
        <f t="shared" si="306"/>
        <v>-1.7720974617891492E-2</v>
      </c>
      <c r="J2423" s="50">
        <f t="shared" si="307"/>
        <v>8.842335889065191E-3</v>
      </c>
      <c r="K2423" s="50">
        <f t="shared" si="308"/>
        <v>4.2256012088576697E-3</v>
      </c>
      <c r="L2423" s="50">
        <f t="shared" si="309"/>
        <v>-4.9757701450436108E-3</v>
      </c>
      <c r="P2423" s="50">
        <f t="shared" si="304"/>
        <v>-4.9757701450436108E-3</v>
      </c>
      <c r="Q2423" s="51">
        <f t="shared" si="310"/>
        <v>59.954080711999545</v>
      </c>
      <c r="R2423" s="51">
        <f t="shared" si="311"/>
        <v>19.750667845663312</v>
      </c>
    </row>
    <row r="2424" spans="1:18" x14ac:dyDescent="0.15">
      <c r="A2424" s="59">
        <v>44426.75</v>
      </c>
      <c r="B2424">
        <v>45.064304</v>
      </c>
      <c r="C2424">
        <v>436.54269399999998</v>
      </c>
      <c r="D2424">
        <v>230.295029</v>
      </c>
      <c r="E2424">
        <v>159.387497</v>
      </c>
      <c r="F2424">
        <v>1981.599976</v>
      </c>
      <c r="H2424" s="50">
        <f t="shared" si="305"/>
        <v>-8.84788207216867E-3</v>
      </c>
      <c r="I2424" s="50">
        <f t="shared" si="306"/>
        <v>-1.0305199824481359E-2</v>
      </c>
      <c r="J2424" s="50">
        <f t="shared" si="307"/>
        <v>-3.1531251781749689E-2</v>
      </c>
      <c r="K2424" s="50">
        <f t="shared" si="308"/>
        <v>-3.8125658689988459E-3</v>
      </c>
      <c r="L2424" s="50">
        <f t="shared" si="309"/>
        <v>-2.4716885267545147E-3</v>
      </c>
      <c r="P2424" s="50">
        <f t="shared" si="304"/>
        <v>-2.4716885267545147E-3</v>
      </c>
      <c r="Q2424" s="51">
        <f t="shared" si="310"/>
        <v>59.805892898571585</v>
      </c>
      <c r="R2424" s="51">
        <f t="shared" si="311"/>
        <v>19.575916265718309</v>
      </c>
    </row>
    <row r="2425" spans="1:18" x14ac:dyDescent="0.15">
      <c r="A2425" s="59">
        <v>44427.75</v>
      </c>
      <c r="B2425">
        <v>45.466586999999997</v>
      </c>
      <c r="C2425">
        <v>441.08819599999998</v>
      </c>
      <c r="D2425">
        <v>237.79293799999999</v>
      </c>
      <c r="E2425">
        <v>159.99749800000001</v>
      </c>
      <c r="F2425">
        <v>1986.51001</v>
      </c>
      <c r="H2425" s="50">
        <f t="shared" si="305"/>
        <v>6.6467362071848061E-3</v>
      </c>
      <c r="I2425" s="50">
        <f t="shared" si="306"/>
        <v>8.9242919754072628E-3</v>
      </c>
      <c r="J2425" s="50">
        <f t="shared" si="307"/>
        <v>3.4450921916605679E-3</v>
      </c>
      <c r="K2425" s="50">
        <f t="shared" si="308"/>
        <v>-2.0184544635557116E-2</v>
      </c>
      <c r="L2425" s="50">
        <f t="shared" si="309"/>
        <v>-2.9412132358478181E-3</v>
      </c>
      <c r="P2425" s="50">
        <f t="shared" si="304"/>
        <v>-2.9412132358478181E-3</v>
      </c>
      <c r="Q2425" s="51">
        <f t="shared" si="310"/>
        <v>59.629991014796609</v>
      </c>
      <c r="R2425" s="51">
        <f t="shared" si="311"/>
        <v>19.706032217150476</v>
      </c>
    </row>
    <row r="2426" spans="1:18" x14ac:dyDescent="0.15">
      <c r="A2426" s="59">
        <v>44428.75</v>
      </c>
      <c r="B2426">
        <v>45.166378000000002</v>
      </c>
      <c r="C2426">
        <v>437.18661500000002</v>
      </c>
      <c r="D2426">
        <v>236.97653199999999</v>
      </c>
      <c r="E2426">
        <v>163.29350299999999</v>
      </c>
      <c r="F2426">
        <v>1992.369995</v>
      </c>
      <c r="H2426" s="50">
        <f t="shared" si="305"/>
        <v>1.0409687431531313E-2</v>
      </c>
      <c r="I2426" s="50">
        <f t="shared" si="306"/>
        <v>6.9501681012204249E-3</v>
      </c>
      <c r="J2426" s="50">
        <f t="shared" si="307"/>
        <v>7.5006112775668097E-3</v>
      </c>
      <c r="K2426" s="50">
        <f t="shared" si="308"/>
        <v>-1.2072781539771215E-2</v>
      </c>
      <c r="L2426" s="50">
        <f t="shared" si="309"/>
        <v>1.9965655562675585E-3</v>
      </c>
      <c r="P2426" s="50">
        <f t="shared" si="304"/>
        <v>1.9965655562675585E-3</v>
      </c>
      <c r="Q2426" s="51">
        <f t="shared" si="310"/>
        <v>59.74904620097729</v>
      </c>
      <c r="R2426" s="51">
        <f t="shared" si="311"/>
        <v>19.9111658530467</v>
      </c>
    </row>
    <row r="2427" spans="1:18" x14ac:dyDescent="0.15">
      <c r="A2427" s="59">
        <v>44429.75</v>
      </c>
      <c r="B2427">
        <v>44.701053999999999</v>
      </c>
      <c r="C2427">
        <v>434.16906699999998</v>
      </c>
      <c r="D2427">
        <v>235.21229600000001</v>
      </c>
      <c r="E2427">
        <v>165.28900100000001</v>
      </c>
      <c r="F2427">
        <v>1988.400024</v>
      </c>
      <c r="H2427" s="50">
        <f t="shared" si="305"/>
        <v>-4.0280357369717454E-4</v>
      </c>
      <c r="I2427" s="50">
        <f t="shared" si="306"/>
        <v>1.2409538543294671E-3</v>
      </c>
      <c r="J2427" s="50">
        <f t="shared" si="307"/>
        <v>-1.9909197886661596E-3</v>
      </c>
      <c r="K2427" s="50">
        <f t="shared" si="308"/>
        <v>2.0005031553295667E-3</v>
      </c>
      <c r="L2427" s="50">
        <f t="shared" si="309"/>
        <v>-4.7649654592483437E-3</v>
      </c>
      <c r="P2427" s="50">
        <f t="shared" si="304"/>
        <v>-4.7649654592483437E-3</v>
      </c>
      <c r="Q2427" s="51">
        <f t="shared" si="310"/>
        <v>59.464344059606603</v>
      </c>
      <c r="R2427" s="51">
        <f t="shared" si="311"/>
        <v>19.903145564284618</v>
      </c>
    </row>
    <row r="2428" spans="1:18" x14ac:dyDescent="0.15">
      <c r="A2428" s="59">
        <v>44432.75</v>
      </c>
      <c r="B2428">
        <v>44.719067000000003</v>
      </c>
      <c r="C2428">
        <v>433.63095099999998</v>
      </c>
      <c r="D2428">
        <v>235.68151900000001</v>
      </c>
      <c r="E2428">
        <v>164.959</v>
      </c>
      <c r="F2428">
        <v>1997.920044</v>
      </c>
      <c r="H2428" s="50">
        <f t="shared" si="305"/>
        <v>1.0926416517290885E-2</v>
      </c>
      <c r="I2428" s="50">
        <f t="shared" si="306"/>
        <v>4.273520346687848E-3</v>
      </c>
      <c r="J2428" s="50">
        <f t="shared" si="307"/>
        <v>8.7966518200134486E-3</v>
      </c>
      <c r="K2428" s="50">
        <f t="shared" si="308"/>
        <v>-5.0723943593656059E-3</v>
      </c>
      <c r="L2428" s="50">
        <f t="shared" si="309"/>
        <v>-1.0499774897253127E-3</v>
      </c>
      <c r="P2428" s="50">
        <f t="shared" si="304"/>
        <v>-1.0499774897253127E-3</v>
      </c>
      <c r="Q2428" s="51">
        <f t="shared" si="310"/>
        <v>59.40190783690273</v>
      </c>
      <c r="R2428" s="51">
        <f t="shared" si="311"/>
        <v>20.120615622724262</v>
      </c>
    </row>
    <row r="2429" spans="1:18" x14ac:dyDescent="0.15">
      <c r="A2429" s="59">
        <v>44433.75</v>
      </c>
      <c r="B2429">
        <v>44.235728999999999</v>
      </c>
      <c r="C2429">
        <v>431.785706</v>
      </c>
      <c r="D2429">
        <v>233.62638899999999</v>
      </c>
      <c r="E2429">
        <v>165.800003</v>
      </c>
      <c r="F2429">
        <v>2000.0200199999999</v>
      </c>
      <c r="H2429" s="50">
        <f t="shared" si="305"/>
        <v>5.6647307039739778E-3</v>
      </c>
      <c r="I2429" s="50">
        <f t="shared" si="306"/>
        <v>-2.2873239407459355E-3</v>
      </c>
      <c r="J2429" s="50">
        <f t="shared" si="307"/>
        <v>-8.828358465071143E-4</v>
      </c>
      <c r="K2429" s="50">
        <f t="shared" si="308"/>
        <v>-1.0039932409014714E-2</v>
      </c>
      <c r="L2429" s="50">
        <f t="shared" si="309"/>
        <v>-4.9984501054940886E-5</v>
      </c>
      <c r="P2429" s="50">
        <f t="shared" si="304"/>
        <v>-4.9984501054940886E-5</v>
      </c>
      <c r="Q2429" s="51">
        <f t="shared" si="310"/>
        <v>59.398938662177791</v>
      </c>
      <c r="R2429" s="51">
        <f t="shared" si="311"/>
        <v>20.234593491825166</v>
      </c>
    </row>
    <row r="2430" spans="1:18" x14ac:dyDescent="0.15">
      <c r="A2430" s="59">
        <v>44434.75</v>
      </c>
      <c r="B2430">
        <v>43.986556999999998</v>
      </c>
      <c r="C2430">
        <v>432.77560399999999</v>
      </c>
      <c r="D2430">
        <v>233.83282500000001</v>
      </c>
      <c r="E2430">
        <v>167.481506</v>
      </c>
      <c r="F2430">
        <v>2000.119995</v>
      </c>
      <c r="H2430" s="50">
        <f t="shared" si="305"/>
        <v>-7.9891204491321956E-3</v>
      </c>
      <c r="I2430" s="50">
        <f t="shared" si="306"/>
        <v>-1.2260661038497638E-2</v>
      </c>
      <c r="J2430" s="50">
        <f t="shared" si="307"/>
        <v>-7.2191766254056048E-4</v>
      </c>
      <c r="K2430" s="50">
        <f t="shared" si="308"/>
        <v>-2.1025434954406303E-2</v>
      </c>
      <c r="L2430" s="50">
        <f t="shared" si="309"/>
        <v>1.6927617100511833E-3</v>
      </c>
      <c r="P2430" s="50">
        <f t="shared" si="304"/>
        <v>1.6927617100511833E-3</v>
      </c>
      <c r="Q2430" s="51">
        <f t="shared" si="310"/>
        <v>59.499486911162812</v>
      </c>
      <c r="R2430" s="51">
        <f t="shared" si="311"/>
        <v>20.072936887179747</v>
      </c>
    </row>
    <row r="2431" spans="1:18" x14ac:dyDescent="0.15">
      <c r="A2431" s="59">
        <v>44435.75</v>
      </c>
      <c r="B2431">
        <v>44.340800999999999</v>
      </c>
      <c r="C2431">
        <v>438.147583</v>
      </c>
      <c r="D2431">
        <v>234.001755</v>
      </c>
      <c r="E2431">
        <v>171.078506</v>
      </c>
      <c r="F2431">
        <v>1996.73999</v>
      </c>
      <c r="H2431" s="50">
        <f t="shared" si="305"/>
        <v>-2.700868475759525E-3</v>
      </c>
      <c r="I2431" s="50">
        <f t="shared" si="306"/>
        <v>9.6602263946557216E-4</v>
      </c>
      <c r="J2431" s="50">
        <f t="shared" si="307"/>
        <v>9.6364067256278566E-3</v>
      </c>
      <c r="K2431" s="50">
        <f t="shared" si="308"/>
        <v>-1.418120329431611E-2</v>
      </c>
      <c r="L2431" s="50">
        <f t="shared" si="309"/>
        <v>-3.3094261252525061E-3</v>
      </c>
      <c r="P2431" s="50">
        <f t="shared" si="304"/>
        <v>-3.3094261252525061E-3</v>
      </c>
      <c r="Q2431" s="51">
        <f t="shared" si="310"/>
        <v>59.302577754739886</v>
      </c>
      <c r="R2431" s="51">
        <f t="shared" si="311"/>
        <v>20.018722524725252</v>
      </c>
    </row>
    <row r="2432" spans="1:18" x14ac:dyDescent="0.15">
      <c r="A2432" s="59">
        <v>44436.75</v>
      </c>
      <c r="B2432">
        <v>44.460884</v>
      </c>
      <c r="C2432">
        <v>437.72473100000002</v>
      </c>
      <c r="D2432">
        <v>231.76834099999999</v>
      </c>
      <c r="E2432">
        <v>173.53950499999999</v>
      </c>
      <c r="F2432">
        <v>2003.369995</v>
      </c>
      <c r="H2432" s="50">
        <f t="shared" si="305"/>
        <v>2.1653418669419786E-3</v>
      </c>
      <c r="I2432" s="50">
        <f t="shared" si="306"/>
        <v>-2.2562232256297908E-3</v>
      </c>
      <c r="J2432" s="50">
        <f t="shared" si="307"/>
        <v>2.4759651022888758E-3</v>
      </c>
      <c r="K2432" s="50">
        <f t="shared" si="308"/>
        <v>-2.3598275773468679E-3</v>
      </c>
      <c r="L2432" s="50">
        <f t="shared" si="309"/>
        <v>5.4436241894914486E-4</v>
      </c>
      <c r="P2432" s="50">
        <f t="shared" si="304"/>
        <v>5.4436241894914486E-4</v>
      </c>
      <c r="Q2432" s="51">
        <f t="shared" si="310"/>
        <v>59.334859849416375</v>
      </c>
      <c r="R2432" s="51">
        <f t="shared" si="311"/>
        <v>20.062069902730737</v>
      </c>
    </row>
    <row r="2433" spans="1:18" x14ac:dyDescent="0.15">
      <c r="A2433" s="59">
        <v>44440.75</v>
      </c>
      <c r="B2433">
        <v>44.364818999999997</v>
      </c>
      <c r="C2433">
        <v>438.71456899999998</v>
      </c>
      <c r="D2433">
        <v>231.195908</v>
      </c>
      <c r="E2433">
        <v>173.949997</v>
      </c>
      <c r="F2433">
        <v>2002.280029</v>
      </c>
      <c r="H2433" s="50">
        <f t="shared" si="305"/>
        <v>-5.25045592966881E-3</v>
      </c>
      <c r="I2433" s="50">
        <f t="shared" si="306"/>
        <v>-9.6536018332182682E-3</v>
      </c>
      <c r="J2433" s="50">
        <f t="shared" si="307"/>
        <v>2.2781987259352871E-3</v>
      </c>
      <c r="K2433" s="50">
        <f t="shared" si="308"/>
        <v>4.5854083744574555E-3</v>
      </c>
      <c r="L2433" s="50">
        <f t="shared" si="309"/>
        <v>7.7974830191767318E-4</v>
      </c>
      <c r="P2433" s="50">
        <f t="shared" ref="P2433:P2496" si="312">(F2433-F2434)/F2434</f>
        <v>7.7974830191767318E-4</v>
      </c>
      <c r="Q2433" s="51">
        <f t="shared" si="310"/>
        <v>59.381126105628475</v>
      </c>
      <c r="R2433" s="51">
        <f t="shared" si="311"/>
        <v>19.956734888848516</v>
      </c>
    </row>
    <row r="2434" spans="1:18" x14ac:dyDescent="0.15">
      <c r="A2434" s="59">
        <v>44441.75</v>
      </c>
      <c r="B2434">
        <v>44.598984000000002</v>
      </c>
      <c r="C2434">
        <v>442.99102800000003</v>
      </c>
      <c r="D2434">
        <v>230.67039500000001</v>
      </c>
      <c r="E2434">
        <v>173.15600599999999</v>
      </c>
      <c r="F2434">
        <v>2000.719971</v>
      </c>
      <c r="H2434" s="50">
        <f t="shared" ref="H2434:H2497" si="313">(B2434-B2435)/B2435</f>
        <v>-4.6230731931610758E-3</v>
      </c>
      <c r="I2434" s="50">
        <f t="shared" ref="I2434:I2497" si="314">(C2434-C2435)/C2435</f>
        <v>-3.4157682737165525E-3</v>
      </c>
      <c r="J2434" s="50">
        <f t="shared" ref="J2434:J2497" si="315">(D2434-D2435)/D2435</f>
        <v>6.1397142485230729E-3</v>
      </c>
      <c r="K2434" s="50">
        <f t="shared" ref="K2434:K2497" si="316">(E2434-E2435)/E2435</f>
        <v>-4.2925778362607444E-3</v>
      </c>
      <c r="L2434" s="50">
        <f t="shared" ref="L2434:L2497" si="317">(F2434-F2435)/F2435</f>
        <v>1.5367791971152382E-3</v>
      </c>
      <c r="P2434" s="50">
        <f t="shared" si="312"/>
        <v>1.5367791971152382E-3</v>
      </c>
      <c r="Q2434" s="51">
        <f t="shared" si="310"/>
        <v>59.472381784928885</v>
      </c>
      <c r="R2434" s="51">
        <f t="shared" si="311"/>
        <v>19.864473442760858</v>
      </c>
    </row>
    <row r="2435" spans="1:18" x14ac:dyDescent="0.15">
      <c r="A2435" s="59">
        <v>44442.75</v>
      </c>
      <c r="B2435">
        <v>44.806125999999999</v>
      </c>
      <c r="C2435">
        <v>444.50936899999999</v>
      </c>
      <c r="D2435">
        <v>229.262787</v>
      </c>
      <c r="E2435">
        <v>173.90249600000001</v>
      </c>
      <c r="F2435">
        <v>1997.650024</v>
      </c>
      <c r="H2435" s="50">
        <f t="shared" si="313"/>
        <v>1.3444717996896399E-2</v>
      </c>
      <c r="I2435" s="50">
        <f t="shared" si="314"/>
        <v>6.4185281218960494E-3</v>
      </c>
      <c r="J2435" s="50">
        <f t="shared" si="315"/>
        <v>6.5507366067475989E-3</v>
      </c>
      <c r="K2435" s="50">
        <f t="shared" si="316"/>
        <v>-8.9020688647246191E-3</v>
      </c>
      <c r="L2435" s="50">
        <f t="shared" si="317"/>
        <v>-5.010652532196104E-3</v>
      </c>
      <c r="P2435" s="50">
        <f t="shared" si="312"/>
        <v>-5.010652532196104E-3</v>
      </c>
      <c r="Q2435" s="51">
        <f t="shared" ref="Q2435:Q2498" si="318">Q2434*(1+P2435)</f>
        <v>59.174386344542498</v>
      </c>
      <c r="R2435" s="51">
        <f t="shared" ref="R2435:R2498" si="319">R2434*(1+H2435)</f>
        <v>20.131545686355615</v>
      </c>
    </row>
    <row r="2436" spans="1:18" x14ac:dyDescent="0.15">
      <c r="A2436" s="59">
        <v>44443.75</v>
      </c>
      <c r="B2436">
        <v>44.211711999999999</v>
      </c>
      <c r="C2436">
        <v>441.67446899999999</v>
      </c>
      <c r="D2436">
        <v>227.77072100000001</v>
      </c>
      <c r="E2436">
        <v>175.464493</v>
      </c>
      <c r="F2436">
        <v>2007.709961</v>
      </c>
      <c r="H2436" s="50">
        <f t="shared" si="313"/>
        <v>-1.2886063188989525E-3</v>
      </c>
      <c r="I2436" s="50">
        <f t="shared" si="314"/>
        <v>-1.3098574561148749E-2</v>
      </c>
      <c r="J2436" s="50">
        <f t="shared" si="315"/>
        <v>-1.3774355257079717E-2</v>
      </c>
      <c r="K2436" s="50">
        <f t="shared" si="316"/>
        <v>-4.5979352011777004E-3</v>
      </c>
      <c r="L2436" s="50">
        <f t="shared" si="317"/>
        <v>3.0825873476318915E-3</v>
      </c>
      <c r="P2436" s="50">
        <f t="shared" si="312"/>
        <v>3.0825873476318915E-3</v>
      </c>
      <c r="Q2436" s="51">
        <f t="shared" si="318"/>
        <v>59.356796559192063</v>
      </c>
      <c r="R2436" s="51">
        <f t="shared" si="319"/>
        <v>20.105604049374975</v>
      </c>
    </row>
    <row r="2437" spans="1:18" x14ac:dyDescent="0.15">
      <c r="A2437" s="59">
        <v>44446.75</v>
      </c>
      <c r="B2437">
        <v>44.268757000000001</v>
      </c>
      <c r="C2437">
        <v>447.53656000000001</v>
      </c>
      <c r="D2437">
        <v>230.95193499999999</v>
      </c>
      <c r="E2437">
        <v>176.27499399999999</v>
      </c>
      <c r="F2437">
        <v>2001.540039</v>
      </c>
      <c r="H2437" s="50">
        <f t="shared" si="313"/>
        <v>7.1030398849481107E-3</v>
      </c>
      <c r="I2437" s="50">
        <f t="shared" si="314"/>
        <v>-5.1504668002897932E-4</v>
      </c>
      <c r="J2437" s="50">
        <f t="shared" si="315"/>
        <v>2.7298771980749366E-3</v>
      </c>
      <c r="K2437" s="50">
        <f t="shared" si="316"/>
        <v>1.1865132962067962E-2</v>
      </c>
      <c r="L2437" s="50">
        <f t="shared" si="317"/>
        <v>6.588128577527848E-3</v>
      </c>
      <c r="P2437" s="50">
        <f t="shared" si="312"/>
        <v>6.588128577527848E-3</v>
      </c>
      <c r="Q2437" s="51">
        <f t="shared" si="318"/>
        <v>59.747846766874176</v>
      </c>
      <c r="R2437" s="51">
        <f t="shared" si="319"/>
        <v>20.248414956848659</v>
      </c>
    </row>
    <row r="2438" spans="1:18" x14ac:dyDescent="0.15">
      <c r="A2438" s="59">
        <v>44447.75</v>
      </c>
      <c r="B2438">
        <v>43.956532000000003</v>
      </c>
      <c r="C2438">
        <v>447.76718099999999</v>
      </c>
      <c r="D2438">
        <v>230.32318100000001</v>
      </c>
      <c r="E2438">
        <v>174.20799299999999</v>
      </c>
      <c r="F2438">
        <v>1988.4399410000001</v>
      </c>
      <c r="H2438" s="50">
        <f t="shared" si="313"/>
        <v>3.6328851417987119E-3</v>
      </c>
      <c r="I2438" s="50">
        <f t="shared" si="314"/>
        <v>1.6768287980351141E-3</v>
      </c>
      <c r="J2438" s="50">
        <f t="shared" si="315"/>
        <v>3.6803384674325081E-3</v>
      </c>
      <c r="K2438" s="50">
        <f t="shared" si="316"/>
        <v>4.3266447555937821E-3</v>
      </c>
      <c r="L2438" s="50">
        <f t="shared" si="317"/>
        <v>-3.6328288533474147E-3</v>
      </c>
      <c r="P2438" s="50">
        <f t="shared" si="312"/>
        <v>-3.6328288533474147E-3</v>
      </c>
      <c r="Q2438" s="51">
        <f t="shared" si="318"/>
        <v>59.530793065214098</v>
      </c>
      <c r="R2438" s="51">
        <f t="shared" si="319"/>
        <v>20.321975122690368</v>
      </c>
    </row>
    <row r="2439" spans="1:18" x14ac:dyDescent="0.15">
      <c r="A2439" s="59">
        <v>44448.75</v>
      </c>
      <c r="B2439">
        <v>43.797421</v>
      </c>
      <c r="C2439">
        <v>447.01760899999999</v>
      </c>
      <c r="D2439">
        <v>229.478622</v>
      </c>
      <c r="E2439">
        <v>173.457504</v>
      </c>
      <c r="F2439">
        <v>1995.6899410000001</v>
      </c>
      <c r="H2439" s="50">
        <f t="shared" si="313"/>
        <v>5.7216762684298324E-3</v>
      </c>
      <c r="I2439" s="50">
        <f t="shared" si="314"/>
        <v>1.196537855543788E-2</v>
      </c>
      <c r="J2439" s="50">
        <f t="shared" si="315"/>
        <v>5.9233230912470354E-3</v>
      </c>
      <c r="K2439" s="50">
        <f t="shared" si="316"/>
        <v>3.4652561642829899E-3</v>
      </c>
      <c r="L2439" s="50">
        <f t="shared" si="317"/>
        <v>-8.811284603746077E-4</v>
      </c>
      <c r="P2439" s="50">
        <f t="shared" si="312"/>
        <v>-8.811284603746077E-4</v>
      </c>
      <c r="Q2439" s="51">
        <f t="shared" si="318"/>
        <v>59.478338789175666</v>
      </c>
      <c r="R2439" s="51">
        <f t="shared" si="319"/>
        <v>20.438250885477487</v>
      </c>
    </row>
    <row r="2440" spans="1:18" x14ac:dyDescent="0.15">
      <c r="A2440" s="59">
        <v>44449.75</v>
      </c>
      <c r="B2440">
        <v>43.548251999999998</v>
      </c>
      <c r="C2440">
        <v>441.73211700000002</v>
      </c>
      <c r="D2440">
        <v>228.12735000000001</v>
      </c>
      <c r="E2440">
        <v>172.85850500000001</v>
      </c>
      <c r="F2440">
        <v>1997.4499510000001</v>
      </c>
      <c r="H2440" s="50">
        <f t="shared" si="313"/>
        <v>5.2667705368604559E-3</v>
      </c>
      <c r="I2440" s="50">
        <f t="shared" si="314"/>
        <v>2.7268555467102268E-3</v>
      </c>
      <c r="J2440" s="50">
        <f t="shared" si="315"/>
        <v>3.5502901001400514E-3</v>
      </c>
      <c r="K2440" s="50">
        <f t="shared" si="316"/>
        <v>2.0782898550725107E-3</v>
      </c>
      <c r="L2440" s="50">
        <f t="shared" si="317"/>
        <v>5.9983237638453271E-3</v>
      </c>
      <c r="P2440" s="50">
        <f t="shared" si="312"/>
        <v>5.9983237638453271E-3</v>
      </c>
      <c r="Q2440" s="51">
        <f t="shared" si="318"/>
        <v>59.835109122168816</v>
      </c>
      <c r="R2440" s="51">
        <f t="shared" si="319"/>
        <v>20.545894463066084</v>
      </c>
    </row>
    <row r="2441" spans="1:18" x14ac:dyDescent="0.15">
      <c r="A2441" s="59">
        <v>44450.75</v>
      </c>
      <c r="B2441">
        <v>43.320095000000002</v>
      </c>
      <c r="C2441">
        <v>440.53085299999998</v>
      </c>
      <c r="D2441">
        <v>227.32029700000001</v>
      </c>
      <c r="E2441">
        <v>172.5</v>
      </c>
      <c r="F2441">
        <v>1985.540039</v>
      </c>
      <c r="H2441" s="50">
        <f t="shared" si="313"/>
        <v>-1.7294561407732916E-3</v>
      </c>
      <c r="I2441" s="50">
        <f t="shared" si="314"/>
        <v>-5.0355744772715965E-3</v>
      </c>
      <c r="J2441" s="50">
        <f t="shared" si="315"/>
        <v>-7.7824030718443814E-3</v>
      </c>
      <c r="K2441" s="50">
        <f t="shared" si="316"/>
        <v>-7.4199244655193146E-3</v>
      </c>
      <c r="L2441" s="50">
        <f t="shared" si="317"/>
        <v>7.1065605401194264E-4</v>
      </c>
      <c r="P2441" s="50">
        <f t="shared" si="312"/>
        <v>7.1065605401194264E-4</v>
      </c>
      <c r="Q2441" s="51">
        <f t="shared" si="318"/>
        <v>59.877631304708956</v>
      </c>
      <c r="R2441" s="51">
        <f t="shared" si="319"/>
        <v>20.510361239719256</v>
      </c>
    </row>
    <row r="2442" spans="1:18" x14ac:dyDescent="0.15">
      <c r="A2442" s="59">
        <v>44453.75</v>
      </c>
      <c r="B2442">
        <v>43.395144999999999</v>
      </c>
      <c r="C2442">
        <v>442.76040599999999</v>
      </c>
      <c r="D2442">
        <v>229.10327100000001</v>
      </c>
      <c r="E2442">
        <v>173.78950499999999</v>
      </c>
      <c r="F2442">
        <v>1984.130005</v>
      </c>
      <c r="H2442" s="50">
        <f t="shared" si="313"/>
        <v>-3.3096806499588703E-3</v>
      </c>
      <c r="I2442" s="50">
        <f t="shared" si="314"/>
        <v>-5.5685504770727184E-3</v>
      </c>
      <c r="J2442" s="50">
        <f t="shared" si="315"/>
        <v>-1.1378832651756874E-2</v>
      </c>
      <c r="K2442" s="50">
        <f t="shared" si="316"/>
        <v>-3.5691236227589642E-3</v>
      </c>
      <c r="L2442" s="50">
        <f t="shared" si="317"/>
        <v>-7.4287762501753949E-3</v>
      </c>
      <c r="P2442" s="50">
        <f t="shared" si="312"/>
        <v>-7.4287762501753949E-3</v>
      </c>
      <c r="Q2442" s="51">
        <f t="shared" si="318"/>
        <v>59.432813779355776</v>
      </c>
      <c r="R2442" s="51">
        <f t="shared" si="319"/>
        <v>20.44247849400049</v>
      </c>
    </row>
    <row r="2443" spans="1:18" x14ac:dyDescent="0.15">
      <c r="A2443" s="59">
        <v>44454.75</v>
      </c>
      <c r="B2443">
        <v>43.539245999999999</v>
      </c>
      <c r="C2443">
        <v>445.23974600000003</v>
      </c>
      <c r="D2443">
        <v>231.74020400000001</v>
      </c>
      <c r="E2443">
        <v>174.412003</v>
      </c>
      <c r="F2443">
        <v>1998.9799800000001</v>
      </c>
      <c r="H2443" s="50">
        <f t="shared" si="313"/>
        <v>2.0728122304896702E-3</v>
      </c>
      <c r="I2443" s="50">
        <f t="shared" si="314"/>
        <v>8.2696181709039675E-3</v>
      </c>
      <c r="J2443" s="50">
        <f t="shared" si="315"/>
        <v>1.1352597735268619E-3</v>
      </c>
      <c r="K2443" s="50">
        <f t="shared" si="316"/>
        <v>7.4280925337809681E-3</v>
      </c>
      <c r="L2443" s="50">
        <f t="shared" si="317"/>
        <v>-1.2939672706296739E-3</v>
      </c>
      <c r="P2443" s="50">
        <f t="shared" si="312"/>
        <v>-1.2939672706296739E-3</v>
      </c>
      <c r="Q2443" s="51">
        <f t="shared" si="318"/>
        <v>59.35590966352386</v>
      </c>
      <c r="R2443" s="51">
        <f t="shared" si="319"/>
        <v>20.484851913444373</v>
      </c>
    </row>
    <row r="2444" spans="1:18" x14ac:dyDescent="0.15">
      <c r="A2444" s="59">
        <v>44455.75</v>
      </c>
      <c r="B2444">
        <v>43.449184000000002</v>
      </c>
      <c r="C2444">
        <v>441.58798200000001</v>
      </c>
      <c r="D2444">
        <v>231.477417</v>
      </c>
      <c r="E2444">
        <v>173.12600699999999</v>
      </c>
      <c r="F2444">
        <v>2001.5699460000001</v>
      </c>
      <c r="H2444" s="50">
        <f t="shared" si="313"/>
        <v>1.3941360464626892E-2</v>
      </c>
      <c r="I2444" s="50">
        <f t="shared" si="314"/>
        <v>1.8552995654420017E-2</v>
      </c>
      <c r="J2444" s="50">
        <f t="shared" si="315"/>
        <v>1.8708243465185299E-2</v>
      </c>
      <c r="K2444" s="50">
        <f t="shared" si="316"/>
        <v>3.1823227922527876E-2</v>
      </c>
      <c r="L2444" s="50">
        <f t="shared" si="317"/>
        <v>-4.8673728586680516E-3</v>
      </c>
      <c r="P2444" s="50">
        <f t="shared" si="312"/>
        <v>-4.8673728586680516E-3</v>
      </c>
      <c r="Q2444" s="51">
        <f t="shared" si="318"/>
        <v>59.067002319826074</v>
      </c>
      <c r="R2444" s="51">
        <f t="shared" si="319"/>
        <v>20.770438618034202</v>
      </c>
    </row>
    <row r="2445" spans="1:18" x14ac:dyDescent="0.15">
      <c r="A2445" s="59">
        <v>44456.75</v>
      </c>
      <c r="B2445">
        <v>42.851771999999997</v>
      </c>
      <c r="C2445">
        <v>433.54443400000002</v>
      </c>
      <c r="D2445">
        <v>227.22640999999999</v>
      </c>
      <c r="E2445">
        <v>167.78649899999999</v>
      </c>
      <c r="F2445">
        <v>2011.3599850000001</v>
      </c>
      <c r="H2445" s="50">
        <f t="shared" si="313"/>
        <v>-1.9576425979937351E-3</v>
      </c>
      <c r="I2445" s="50">
        <f t="shared" si="314"/>
        <v>-2.1454757632937802E-3</v>
      </c>
      <c r="J2445" s="50">
        <f t="shared" si="315"/>
        <v>3.4393789103614476E-3</v>
      </c>
      <c r="K2445" s="50">
        <f t="shared" si="316"/>
        <v>3.6187974694784262E-3</v>
      </c>
      <c r="L2445" s="50">
        <f t="shared" si="317"/>
        <v>4.7749750723243185E-4</v>
      </c>
      <c r="P2445" s="50">
        <f t="shared" si="312"/>
        <v>4.7749750723243185E-4</v>
      </c>
      <c r="Q2445" s="51">
        <f t="shared" si="318"/>
        <v>59.095206666193477</v>
      </c>
      <c r="R2445" s="51">
        <f t="shared" si="319"/>
        <v>20.729777522616526</v>
      </c>
    </row>
    <row r="2446" spans="1:18" x14ac:dyDescent="0.15">
      <c r="A2446" s="59">
        <v>44457.75</v>
      </c>
      <c r="B2446">
        <v>42.935825000000001</v>
      </c>
      <c r="C2446">
        <v>434.47659299999998</v>
      </c>
      <c r="D2446">
        <v>226.44757100000001</v>
      </c>
      <c r="E2446">
        <v>167.18150299999999</v>
      </c>
      <c r="F2446">
        <v>2010.400024</v>
      </c>
      <c r="H2446" s="50">
        <f t="shared" si="313"/>
        <v>2.3127569376522349E-3</v>
      </c>
      <c r="I2446" s="50">
        <f t="shared" si="314"/>
        <v>-4.8638561625508525E-4</v>
      </c>
      <c r="J2446" s="50">
        <f t="shared" si="315"/>
        <v>-1.9026465188912891E-3</v>
      </c>
      <c r="K2446" s="50">
        <f t="shared" si="316"/>
        <v>-1.0774982491087621E-2</v>
      </c>
      <c r="L2446" s="50">
        <f t="shared" si="317"/>
        <v>8.0780551900455303E-3</v>
      </c>
      <c r="P2446" s="50">
        <f t="shared" si="312"/>
        <v>8.0780551900455303E-3</v>
      </c>
      <c r="Q2446" s="51">
        <f t="shared" si="318"/>
        <v>59.572581007110131</v>
      </c>
      <c r="R2446" s="51">
        <f t="shared" si="319"/>
        <v>20.777720459397944</v>
      </c>
    </row>
    <row r="2447" spans="1:18" x14ac:dyDescent="0.15">
      <c r="A2447" s="59">
        <v>44460.75</v>
      </c>
      <c r="B2447">
        <v>42.836753999999999</v>
      </c>
      <c r="C2447">
        <v>434.688019</v>
      </c>
      <c r="D2447">
        <v>226.879242</v>
      </c>
      <c r="E2447">
        <v>169.00250199999999</v>
      </c>
      <c r="F2447">
        <v>1994.290039</v>
      </c>
      <c r="H2447" s="50">
        <f t="shared" si="313"/>
        <v>-5.6025595622223958E-4</v>
      </c>
      <c r="I2447" s="50">
        <f t="shared" si="314"/>
        <v>-9.9375478175102081E-4</v>
      </c>
      <c r="J2447" s="50">
        <f t="shared" si="315"/>
        <v>-3.7087644798644791E-3</v>
      </c>
      <c r="K2447" s="50">
        <f t="shared" si="316"/>
        <v>-1.0524010353793793E-2</v>
      </c>
      <c r="L2447" s="50">
        <f t="shared" si="317"/>
        <v>5.8100631358144342E-3</v>
      </c>
      <c r="P2447" s="50">
        <f t="shared" si="312"/>
        <v>5.8100631358144342E-3</v>
      </c>
      <c r="Q2447" s="51">
        <f t="shared" si="318"/>
        <v>59.918701463924862</v>
      </c>
      <c r="R2447" s="51">
        <f t="shared" si="319"/>
        <v>20.766079617753846</v>
      </c>
    </row>
    <row r="2448" spans="1:18" x14ac:dyDescent="0.15">
      <c r="A2448" s="59">
        <v>44461.75</v>
      </c>
      <c r="B2448">
        <v>42.860767000000003</v>
      </c>
      <c r="C2448">
        <v>435.12042200000002</v>
      </c>
      <c r="D2448">
        <v>227.723816</v>
      </c>
      <c r="E2448">
        <v>170.800003</v>
      </c>
      <c r="F2448">
        <v>1982.7700199999999</v>
      </c>
      <c r="H2448" s="50">
        <f t="shared" si="313"/>
        <v>-2.7940577640398678E-3</v>
      </c>
      <c r="I2448" s="50">
        <f t="shared" si="314"/>
        <v>-3.2004291479073556E-2</v>
      </c>
      <c r="J2448" s="50">
        <f t="shared" si="315"/>
        <v>5.0945327825385493E-3</v>
      </c>
      <c r="K2448" s="50">
        <f t="shared" si="316"/>
        <v>-2.7791284080716256E-3</v>
      </c>
      <c r="L2448" s="50">
        <f t="shared" si="317"/>
        <v>-7.7716201867540531E-3</v>
      </c>
      <c r="P2448" s="50">
        <f t="shared" si="312"/>
        <v>-7.7716201867540531E-3</v>
      </c>
      <c r="Q2448" s="51">
        <f t="shared" si="318"/>
        <v>59.453036074063732</v>
      </c>
      <c r="R2448" s="51">
        <f t="shared" si="319"/>
        <v>20.708057991769191</v>
      </c>
    </row>
    <row r="2449" spans="1:18" x14ac:dyDescent="0.15">
      <c r="A2449" s="59">
        <v>44462.75</v>
      </c>
      <c r="B2449">
        <v>42.980857999999998</v>
      </c>
      <c r="C2449">
        <v>449.50656099999998</v>
      </c>
      <c r="D2449">
        <v>226.56954999999999</v>
      </c>
      <c r="E2449">
        <v>171.27600100000001</v>
      </c>
      <c r="F2449">
        <v>1998.3000489999999</v>
      </c>
      <c r="H2449" s="50">
        <f t="shared" si="313"/>
        <v>6.4674899927795867E-3</v>
      </c>
      <c r="I2449" s="50">
        <f t="shared" si="314"/>
        <v>1.5611439377518485E-2</v>
      </c>
      <c r="J2449" s="50">
        <f t="shared" si="315"/>
        <v>1.1987535854900736E-2</v>
      </c>
      <c r="K2449" s="50">
        <f t="shared" si="316"/>
        <v>5.7901699485065931E-3</v>
      </c>
      <c r="L2449" s="50">
        <f t="shared" si="317"/>
        <v>1.6434498224479725E-2</v>
      </c>
      <c r="P2449" s="50">
        <f t="shared" si="312"/>
        <v>1.6434498224479725E-2</v>
      </c>
      <c r="Q2449" s="51">
        <f t="shared" si="318"/>
        <v>60.430116889862859</v>
      </c>
      <c r="R2449" s="51">
        <f t="shared" si="319"/>
        <v>20.841987149600861</v>
      </c>
    </row>
    <row r="2450" spans="1:18" x14ac:dyDescent="0.15">
      <c r="A2450" s="59">
        <v>44463.75</v>
      </c>
      <c r="B2450">
        <v>42.704666000000003</v>
      </c>
      <c r="C2450">
        <v>442.59698500000002</v>
      </c>
      <c r="D2450">
        <v>223.88571200000001</v>
      </c>
      <c r="E2450">
        <v>170.28999300000001</v>
      </c>
      <c r="F2450">
        <v>1965.98999</v>
      </c>
      <c r="H2450" s="50">
        <f t="shared" si="313"/>
        <v>1.2455588995340801E-2</v>
      </c>
      <c r="I2450" s="50">
        <f t="shared" si="314"/>
        <v>2.9529347522468996E-2</v>
      </c>
      <c r="J2450" s="50">
        <f t="shared" si="315"/>
        <v>2.2018653911790361E-2</v>
      </c>
      <c r="K2450" s="50">
        <f t="shared" si="316"/>
        <v>2.7093142810090877E-2</v>
      </c>
      <c r="L2450" s="50">
        <f t="shared" si="317"/>
        <v>-8.5029055168417515E-3</v>
      </c>
      <c r="P2450" s="50">
        <f t="shared" si="312"/>
        <v>-8.5029055168417515E-3</v>
      </c>
      <c r="Q2450" s="51">
        <f t="shared" si="318"/>
        <v>59.916285315576651</v>
      </c>
      <c r="R2450" s="51">
        <f t="shared" si="319"/>
        <v>21.101586375382464</v>
      </c>
    </row>
    <row r="2451" spans="1:18" x14ac:dyDescent="0.15">
      <c r="A2451" s="59">
        <v>44464.75</v>
      </c>
      <c r="B2451">
        <v>42.179298000000003</v>
      </c>
      <c r="C2451">
        <v>429.90225199999998</v>
      </c>
      <c r="D2451">
        <v>219.06225599999999</v>
      </c>
      <c r="E2451">
        <v>165.79800399999999</v>
      </c>
      <c r="F2451">
        <v>1982.849976</v>
      </c>
      <c r="H2451" s="50">
        <f t="shared" si="313"/>
        <v>4.271453844783157E-4</v>
      </c>
      <c r="I2451" s="50">
        <f t="shared" si="314"/>
        <v>-9.827542596442064E-3</v>
      </c>
      <c r="J2451" s="50">
        <f t="shared" si="315"/>
        <v>-1.0218424868533284E-2</v>
      </c>
      <c r="K2451" s="50">
        <f t="shared" si="316"/>
        <v>4.4954682047303948E-3</v>
      </c>
      <c r="L2451" s="50">
        <f t="shared" si="317"/>
        <v>2.5533051243240338E-3</v>
      </c>
      <c r="P2451" s="50">
        <f t="shared" si="312"/>
        <v>2.5533051243240338E-3</v>
      </c>
      <c r="Q2451" s="51">
        <f t="shared" si="318"/>
        <v>60.069269873903373</v>
      </c>
      <c r="R2451" s="51">
        <f t="shared" si="319"/>
        <v>21.110599820607881</v>
      </c>
    </row>
    <row r="2452" spans="1:18" x14ac:dyDescent="0.15">
      <c r="A2452" s="59">
        <v>44467.75</v>
      </c>
      <c r="B2452">
        <v>42.161288999999996</v>
      </c>
      <c r="C2452">
        <v>434.16906699999998</v>
      </c>
      <c r="D2452">
        <v>221.323837</v>
      </c>
      <c r="E2452">
        <v>165.05600000000001</v>
      </c>
      <c r="F2452">
        <v>1977.8000489999999</v>
      </c>
      <c r="H2452" s="50">
        <f t="shared" si="313"/>
        <v>7.6050345348694544E-3</v>
      </c>
      <c r="I2452" s="50">
        <f t="shared" si="314"/>
        <v>5.4300983984410479E-3</v>
      </c>
      <c r="J2452" s="50">
        <f t="shared" si="315"/>
        <v>3.0948032418645098E-2</v>
      </c>
      <c r="K2452" s="50">
        <f t="shared" si="316"/>
        <v>4.8949236836989696E-3</v>
      </c>
      <c r="L2452" s="50">
        <f t="shared" si="317"/>
        <v>2.7937118228278826E-3</v>
      </c>
      <c r="P2452" s="50">
        <f t="shared" si="312"/>
        <v>2.7937118228278826E-3</v>
      </c>
      <c r="Q2452" s="51">
        <f t="shared" si="318"/>
        <v>60.237086103338733</v>
      </c>
      <c r="R2452" s="51">
        <f t="shared" si="319"/>
        <v>21.271146661295415</v>
      </c>
    </row>
    <row r="2453" spans="1:18" x14ac:dyDescent="0.15">
      <c r="A2453" s="59">
        <v>44468.75</v>
      </c>
      <c r="B2453">
        <v>41.843071000000002</v>
      </c>
      <c r="C2453">
        <v>431.82421900000003</v>
      </c>
      <c r="D2453">
        <v>214.67991599999999</v>
      </c>
      <c r="E2453">
        <v>164.25199900000001</v>
      </c>
      <c r="F2453">
        <v>1972.290039</v>
      </c>
      <c r="H2453" s="50">
        <f t="shared" si="313"/>
        <v>1.7001095067432755E-2</v>
      </c>
      <c r="I2453" s="50">
        <f t="shared" si="314"/>
        <v>2.2751972451910676E-3</v>
      </c>
      <c r="J2453" s="50">
        <f t="shared" si="315"/>
        <v>1.532417976758145E-3</v>
      </c>
      <c r="K2453" s="50">
        <f t="shared" si="316"/>
        <v>5.421745658465174E-4</v>
      </c>
      <c r="L2453" s="50">
        <f t="shared" si="317"/>
        <v>1.3426442092891105E-2</v>
      </c>
      <c r="P2453" s="50">
        <f t="shared" si="312"/>
        <v>1.3426442092891105E-2</v>
      </c>
      <c r="Q2453" s="51">
        <f t="shared" si="318"/>
        <v>61.045855851749707</v>
      </c>
      <c r="R2453" s="51">
        <f t="shared" si="319"/>
        <v>21.632779447877404</v>
      </c>
    </row>
    <row r="2454" spans="1:18" x14ac:dyDescent="0.15">
      <c r="A2454" s="59">
        <v>44469.75</v>
      </c>
      <c r="B2454">
        <v>41.143585000000002</v>
      </c>
      <c r="C2454">
        <v>430.84396400000003</v>
      </c>
      <c r="D2454">
        <v>214.35144</v>
      </c>
      <c r="E2454">
        <v>164.162994</v>
      </c>
      <c r="F2454">
        <v>1946.160034</v>
      </c>
      <c r="H2454" s="50">
        <f t="shared" si="313"/>
        <v>9.7252561991397948E-3</v>
      </c>
      <c r="I2454" s="50">
        <f t="shared" si="314"/>
        <v>1.8607583998475587E-2</v>
      </c>
      <c r="J2454" s="50">
        <f t="shared" si="315"/>
        <v>1.1199925124061667E-2</v>
      </c>
      <c r="K2454" s="50">
        <f t="shared" si="316"/>
        <v>2.9306071632602446E-2</v>
      </c>
      <c r="L2454" s="50">
        <f t="shared" si="317"/>
        <v>-5.1434354520183222E-6</v>
      </c>
      <c r="P2454" s="50">
        <f t="shared" si="312"/>
        <v>-5.1434354520183222E-6</v>
      </c>
      <c r="Q2454" s="51">
        <f t="shared" si="318"/>
        <v>61.045541866330524</v>
      </c>
      <c r="R2454" s="51">
        <f t="shared" si="319"/>
        <v>21.843163770307498</v>
      </c>
    </row>
    <row r="2455" spans="1:18" x14ac:dyDescent="0.15">
      <c r="A2455" s="59">
        <v>44470.75</v>
      </c>
      <c r="B2455">
        <v>40.747306999999999</v>
      </c>
      <c r="C2455">
        <v>422.97345000000001</v>
      </c>
      <c r="D2455">
        <v>211.97730999999999</v>
      </c>
      <c r="E2455">
        <v>159.48899800000001</v>
      </c>
      <c r="F2455">
        <v>1946.170044</v>
      </c>
      <c r="H2455" s="50">
        <f t="shared" si="313"/>
        <v>-6.514501604505926E-3</v>
      </c>
      <c r="I2455" s="50">
        <f t="shared" si="314"/>
        <v>-1.3669716857169747E-2</v>
      </c>
      <c r="J2455" s="50">
        <f t="shared" si="315"/>
        <v>-7.3385575454377773E-3</v>
      </c>
      <c r="K2455" s="50">
        <f t="shared" si="316"/>
        <v>-9.6926729023407363E-3</v>
      </c>
      <c r="L2455" s="50">
        <f t="shared" si="317"/>
        <v>-1.1042217457689338E-2</v>
      </c>
      <c r="P2455" s="50">
        <f t="shared" si="312"/>
        <v>-1.1042217457689338E-2</v>
      </c>
      <c r="Q2455" s="51">
        <f t="shared" si="318"/>
        <v>60.371463718220028</v>
      </c>
      <c r="R2455" s="51">
        <f t="shared" si="319"/>
        <v>21.700866444878343</v>
      </c>
    </row>
    <row r="2456" spans="1:18" x14ac:dyDescent="0.15">
      <c r="A2456" s="59">
        <v>44471.75</v>
      </c>
      <c r="B2456">
        <v>41.014496000000001</v>
      </c>
      <c r="C2456">
        <v>428.83551</v>
      </c>
      <c r="D2456">
        <v>213.54441800000001</v>
      </c>
      <c r="E2456">
        <v>161.050003</v>
      </c>
      <c r="F2456">
        <v>1967.900024</v>
      </c>
      <c r="H2456" s="50">
        <f t="shared" si="313"/>
        <v>-7.2662035982014161E-3</v>
      </c>
      <c r="I2456" s="50">
        <f t="shared" si="314"/>
        <v>-6.8990162875593574E-3</v>
      </c>
      <c r="J2456" s="50">
        <f t="shared" si="315"/>
        <v>3.2182183741108011E-3</v>
      </c>
      <c r="K2456" s="50">
        <f t="shared" si="316"/>
        <v>-1.2571948433215621E-2</v>
      </c>
      <c r="L2456" s="50">
        <f t="shared" si="317"/>
        <v>1.5676133613517162E-3</v>
      </c>
      <c r="P2456" s="50">
        <f t="shared" si="312"/>
        <v>1.5676133613517162E-3</v>
      </c>
      <c r="Q2456" s="51">
        <f t="shared" si="318"/>
        <v>60.466102831389072</v>
      </c>
      <c r="R2456" s="51">
        <f t="shared" si="319"/>
        <v>21.543183531032479</v>
      </c>
    </row>
    <row r="2457" spans="1:18" x14ac:dyDescent="0.15">
      <c r="A2457" s="59">
        <v>44474.75</v>
      </c>
      <c r="B2457">
        <v>41.314697000000002</v>
      </c>
      <c r="C2457">
        <v>431.81460600000003</v>
      </c>
      <c r="D2457">
        <v>212.85938999999999</v>
      </c>
      <c r="E2457">
        <v>163.100494</v>
      </c>
      <c r="F2457">
        <v>1964.8199460000001</v>
      </c>
      <c r="H2457" s="50">
        <f t="shared" si="313"/>
        <v>-1.1634734168462347E-2</v>
      </c>
      <c r="I2457" s="50">
        <f t="shared" si="314"/>
        <v>-7.7947608096505736E-3</v>
      </c>
      <c r="J2457" s="50">
        <f t="shared" si="315"/>
        <v>-1.301026920641693E-2</v>
      </c>
      <c r="K2457" s="50">
        <f t="shared" si="316"/>
        <v>-1.2239544375279698E-2</v>
      </c>
      <c r="L2457" s="50">
        <f t="shared" si="317"/>
        <v>1.5358364099323467E-2</v>
      </c>
      <c r="P2457" s="50">
        <f t="shared" si="312"/>
        <v>1.5358364099323467E-2</v>
      </c>
      <c r="Q2457" s="51">
        <f t="shared" si="318"/>
        <v>61.394763254340688</v>
      </c>
      <c r="R2457" s="51">
        <f t="shared" si="319"/>
        <v>21.292534317506519</v>
      </c>
    </row>
    <row r="2458" spans="1:18" x14ac:dyDescent="0.15">
      <c r="A2458" s="59">
        <v>44475.75</v>
      </c>
      <c r="B2458">
        <v>41.801040999999998</v>
      </c>
      <c r="C2458">
        <v>435.20693999999997</v>
      </c>
      <c r="D2458">
        <v>215.66525300000001</v>
      </c>
      <c r="E2458">
        <v>165.12150600000001</v>
      </c>
      <c r="F2458">
        <v>1935.099976</v>
      </c>
      <c r="H2458" s="50">
        <f t="shared" si="313"/>
        <v>-3.0072892185700243E-3</v>
      </c>
      <c r="I2458" s="50">
        <f t="shared" si="314"/>
        <v>2.2573321635051542E-3</v>
      </c>
      <c r="J2458" s="50">
        <f t="shared" si="315"/>
        <v>4.0193220827963606E-3</v>
      </c>
      <c r="K2458" s="50">
        <f t="shared" si="316"/>
        <v>4.1993662995420521E-3</v>
      </c>
      <c r="L2458" s="50">
        <f t="shared" si="317"/>
        <v>-1.7161973874909402E-2</v>
      </c>
      <c r="P2458" s="50">
        <f t="shared" si="312"/>
        <v>-1.7161973874909402E-2</v>
      </c>
      <c r="Q2458" s="51">
        <f t="shared" si="318"/>
        <v>60.341107931313445</v>
      </c>
      <c r="R2458" s="51">
        <f t="shared" si="319"/>
        <v>21.228501508617448</v>
      </c>
    </row>
    <row r="2459" spans="1:18" x14ac:dyDescent="0.15">
      <c r="A2459" s="59">
        <v>44476.75</v>
      </c>
      <c r="B2459">
        <v>41.927128000000003</v>
      </c>
      <c r="C2459">
        <v>434.22674599999999</v>
      </c>
      <c r="D2459">
        <v>214.801895</v>
      </c>
      <c r="E2459">
        <v>164.43100000000001</v>
      </c>
      <c r="F2459">
        <v>1968.8900149999999</v>
      </c>
      <c r="H2459" s="50">
        <f t="shared" si="313"/>
        <v>9.3172046476211229E-4</v>
      </c>
      <c r="I2459" s="50">
        <f t="shared" si="314"/>
        <v>4.7809354510033666E-3</v>
      </c>
      <c r="J2459" s="50">
        <f t="shared" si="315"/>
        <v>7.8706455925812199E-4</v>
      </c>
      <c r="K2459" s="50">
        <f t="shared" si="316"/>
        <v>1.3036367396280592E-2</v>
      </c>
      <c r="L2459" s="50">
        <f t="shared" si="317"/>
        <v>2.1097315553178977E-2</v>
      </c>
      <c r="P2459" s="50">
        <f t="shared" si="312"/>
        <v>2.1097315553178977E-2</v>
      </c>
      <c r="Q2459" s="51">
        <f t="shared" si="318"/>
        <v>61.614143326168801</v>
      </c>
      <c r="R2459" s="51">
        <f t="shared" si="319"/>
        <v>21.24828053790926</v>
      </c>
    </row>
    <row r="2460" spans="1:18" x14ac:dyDescent="0.15">
      <c r="A2460" s="59">
        <v>44477.75</v>
      </c>
      <c r="B2460">
        <v>41.888100000000001</v>
      </c>
      <c r="C2460">
        <v>432.16061400000001</v>
      </c>
      <c r="D2460">
        <v>214.63296500000001</v>
      </c>
      <c r="E2460">
        <v>162.31500199999999</v>
      </c>
      <c r="F2460">
        <v>1928.209961</v>
      </c>
      <c r="H2460" s="50">
        <f t="shared" si="313"/>
        <v>1.0761399420228868E-3</v>
      </c>
      <c r="I2460" s="50">
        <f t="shared" si="314"/>
        <v>6.333038366895599E-3</v>
      </c>
      <c r="J2460" s="50">
        <f t="shared" si="315"/>
        <v>-6.601990405535928E-3</v>
      </c>
      <c r="K2460" s="50">
        <f t="shared" si="316"/>
        <v>-3.1717749463608164E-4</v>
      </c>
      <c r="L2460" s="50">
        <f t="shared" si="317"/>
        <v>1.1583656908018736E-2</v>
      </c>
      <c r="P2460" s="50">
        <f t="shared" si="312"/>
        <v>1.1583656908018736E-2</v>
      </c>
      <c r="Q2460" s="51">
        <f t="shared" si="318"/>
        <v>62.327860423140635</v>
      </c>
      <c r="R2460" s="51">
        <f t="shared" si="319"/>
        <v>21.271146661295411</v>
      </c>
    </row>
    <row r="2461" spans="1:18" x14ac:dyDescent="0.15">
      <c r="A2461" s="59">
        <v>44478.75</v>
      </c>
      <c r="B2461">
        <v>41.843071000000002</v>
      </c>
      <c r="C2461">
        <v>429.44094799999999</v>
      </c>
      <c r="D2461">
        <v>216.05938699999999</v>
      </c>
      <c r="E2461">
        <v>162.366501</v>
      </c>
      <c r="F2461">
        <v>1906.130005</v>
      </c>
      <c r="H2461" s="50">
        <f t="shared" si="313"/>
        <v>7.2995693195604056E-3</v>
      </c>
      <c r="I2461" s="50">
        <f t="shared" si="314"/>
        <v>3.5256941058815889E-3</v>
      </c>
      <c r="J2461" s="50">
        <f t="shared" si="315"/>
        <v>-2.7497266476826019E-2</v>
      </c>
      <c r="K2461" s="50">
        <f t="shared" si="316"/>
        <v>-1.1250587305266605E-2</v>
      </c>
      <c r="L2461" s="50">
        <f t="shared" si="317"/>
        <v>1.6743663210598045E-2</v>
      </c>
      <c r="P2461" s="50">
        <f t="shared" si="312"/>
        <v>1.6743663210598045E-2</v>
      </c>
      <c r="Q2461" s="51">
        <f t="shared" si="318"/>
        <v>63.371457126702857</v>
      </c>
      <c r="R2461" s="51">
        <f t="shared" si="319"/>
        <v>21.42641687085607</v>
      </c>
    </row>
    <row r="2462" spans="1:18" x14ac:dyDescent="0.15">
      <c r="A2462" s="59">
        <v>44481.75</v>
      </c>
      <c r="B2462">
        <v>41.539847999999999</v>
      </c>
      <c r="C2462">
        <v>427.93218999999999</v>
      </c>
      <c r="D2462">
        <v>222.16841099999999</v>
      </c>
      <c r="E2462">
        <v>164.21400499999999</v>
      </c>
      <c r="F2462">
        <v>1874.73999</v>
      </c>
      <c r="H2462" s="50">
        <f t="shared" si="313"/>
        <v>-1.0724462415846374E-2</v>
      </c>
      <c r="I2462" s="50">
        <f t="shared" si="314"/>
        <v>-1.1893651918512715E-2</v>
      </c>
      <c r="J2462" s="50">
        <f t="shared" si="315"/>
        <v>-2.2057925820073942E-2</v>
      </c>
      <c r="K2462" s="50">
        <f t="shared" si="316"/>
        <v>-4.7213579902508048E-3</v>
      </c>
      <c r="L2462" s="50">
        <f t="shared" si="317"/>
        <v>-1.5763759265284346E-3</v>
      </c>
      <c r="P2462" s="50">
        <f t="shared" si="312"/>
        <v>-1.5763759265284346E-3</v>
      </c>
      <c r="Q2462" s="51">
        <f t="shared" si="318"/>
        <v>63.271559887259293</v>
      </c>
      <c r="R2462" s="51">
        <f t="shared" si="319"/>
        <v>21.196630068418319</v>
      </c>
    </row>
    <row r="2463" spans="1:18" x14ac:dyDescent="0.15">
      <c r="A2463" s="59">
        <v>44482.75</v>
      </c>
      <c r="B2463">
        <v>41.990169999999999</v>
      </c>
      <c r="C2463">
        <v>433.08312999999998</v>
      </c>
      <c r="D2463">
        <v>227.17952</v>
      </c>
      <c r="E2463">
        <v>164.99299600000001</v>
      </c>
      <c r="F2463">
        <v>1877.6999510000001</v>
      </c>
      <c r="H2463" s="50">
        <f t="shared" si="313"/>
        <v>-4.8379751722418662E-3</v>
      </c>
      <c r="I2463" s="50">
        <f t="shared" si="314"/>
        <v>-3.8241600231982138E-3</v>
      </c>
      <c r="J2463" s="50">
        <f t="shared" si="315"/>
        <v>-1.4732777274192288E-2</v>
      </c>
      <c r="K2463" s="50">
        <f t="shared" si="316"/>
        <v>-3.2020978884935207E-2</v>
      </c>
      <c r="L2463" s="50">
        <f t="shared" si="317"/>
        <v>8.1664659040664271E-3</v>
      </c>
      <c r="P2463" s="50">
        <f t="shared" si="312"/>
        <v>8.1664659040664271E-3</v>
      </c>
      <c r="Q2463" s="51">
        <f t="shared" si="318"/>
        <v>63.788264923775685</v>
      </c>
      <c r="R2463" s="51">
        <f t="shared" si="319"/>
        <v>21.094081298412117</v>
      </c>
    </row>
    <row r="2464" spans="1:18" x14ac:dyDescent="0.15">
      <c r="A2464" s="59">
        <v>44483.75</v>
      </c>
      <c r="B2464">
        <v>42.194305</v>
      </c>
      <c r="C2464">
        <v>434.74566700000003</v>
      </c>
      <c r="D2464">
        <v>230.57655299999999</v>
      </c>
      <c r="E2464">
        <v>170.45100400000001</v>
      </c>
      <c r="F2464">
        <v>1862.48999</v>
      </c>
      <c r="H2464" s="50">
        <f t="shared" si="313"/>
        <v>-7.9759389940411343E-3</v>
      </c>
      <c r="I2464" s="50">
        <f t="shared" si="314"/>
        <v>-2.0694873188013954E-2</v>
      </c>
      <c r="J2464" s="50">
        <f t="shared" si="315"/>
        <v>-3.1303053997003512E-2</v>
      </c>
      <c r="K2464" s="50">
        <f t="shared" si="316"/>
        <v>-1.0943685536697735E-2</v>
      </c>
      <c r="L2464" s="50">
        <f t="shared" si="317"/>
        <v>-1.4495694482937247E-4</v>
      </c>
      <c r="P2464" s="50">
        <f t="shared" si="312"/>
        <v>-1.4495694482937247E-4</v>
      </c>
      <c r="Q2464" s="51">
        <f t="shared" si="318"/>
        <v>63.779018371776367</v>
      </c>
      <c r="R2464" s="51">
        <f t="shared" si="319"/>
        <v>20.925836192840638</v>
      </c>
    </row>
    <row r="2465" spans="1:18" x14ac:dyDescent="0.15">
      <c r="A2465" s="59">
        <v>44484.75</v>
      </c>
      <c r="B2465">
        <v>42.533549999999998</v>
      </c>
      <c r="C2465">
        <v>443.93279999999999</v>
      </c>
      <c r="D2465">
        <v>238.02754200000001</v>
      </c>
      <c r="E2465">
        <v>172.337006</v>
      </c>
      <c r="F2465">
        <v>1862.76001</v>
      </c>
      <c r="H2465" s="50">
        <f t="shared" si="313"/>
        <v>-2.0802875546582632E-2</v>
      </c>
      <c r="I2465" s="50">
        <f t="shared" si="314"/>
        <v>-1.0983027367851651E-2</v>
      </c>
      <c r="J2465" s="50">
        <f t="shared" si="315"/>
        <v>5.7893253352192618E-3</v>
      </c>
      <c r="K2465" s="50">
        <f t="shared" si="316"/>
        <v>7.5201136415055543E-4</v>
      </c>
      <c r="L2465" s="50">
        <f t="shared" si="317"/>
        <v>-1.2720218720344831E-2</v>
      </c>
      <c r="P2465" s="50">
        <f t="shared" si="312"/>
        <v>-1.2720218720344831E-2</v>
      </c>
      <c r="Q2465" s="51">
        <f t="shared" si="318"/>
        <v>62.967735308318481</v>
      </c>
      <c r="R2465" s="51">
        <f t="shared" si="319"/>
        <v>20.490518626812801</v>
      </c>
    </row>
    <row r="2466" spans="1:18" x14ac:dyDescent="0.15">
      <c r="A2466" s="59">
        <v>44485.75</v>
      </c>
      <c r="B2466">
        <v>43.437168</v>
      </c>
      <c r="C2466">
        <v>448.86267099999998</v>
      </c>
      <c r="D2466">
        <v>236.657455</v>
      </c>
      <c r="E2466">
        <v>172.207504</v>
      </c>
      <c r="F2466">
        <v>1886.76001</v>
      </c>
      <c r="H2466" s="50">
        <f t="shared" si="313"/>
        <v>-8.9727579330240292E-3</v>
      </c>
      <c r="I2466" s="50">
        <f t="shared" si="314"/>
        <v>-5.7262724319852576E-3</v>
      </c>
      <c r="J2466" s="50">
        <f t="shared" si="315"/>
        <v>1.4295427160163129E-3</v>
      </c>
      <c r="K2466" s="50">
        <f t="shared" si="316"/>
        <v>8.5181399383387774E-3</v>
      </c>
      <c r="L2466" s="50">
        <f t="shared" si="317"/>
        <v>-9.0598263188752873E-3</v>
      </c>
      <c r="P2466" s="50">
        <f t="shared" si="312"/>
        <v>-9.0598263188752873E-3</v>
      </c>
      <c r="Q2466" s="51">
        <f t="shared" si="318"/>
        <v>62.397258562732205</v>
      </c>
      <c r="R2466" s="51">
        <f t="shared" si="319"/>
        <v>20.306662163252291</v>
      </c>
    </row>
    <row r="2467" spans="1:18" x14ac:dyDescent="0.15">
      <c r="A2467" s="59">
        <v>44488.75</v>
      </c>
      <c r="B2467">
        <v>43.830447999999997</v>
      </c>
      <c r="C2467">
        <v>451.44778400000001</v>
      </c>
      <c r="D2467">
        <v>236.319626</v>
      </c>
      <c r="E2467">
        <v>170.753006</v>
      </c>
      <c r="F2467">
        <v>1904.01001</v>
      </c>
      <c r="H2467" s="50">
        <f t="shared" si="313"/>
        <v>-5.5173144858367022E-3</v>
      </c>
      <c r="I2467" s="50">
        <f t="shared" si="314"/>
        <v>-1.5631997602739714E-2</v>
      </c>
      <c r="J2467" s="50">
        <f t="shared" si="315"/>
        <v>-9.3623994880300352E-3</v>
      </c>
      <c r="K2467" s="50">
        <f t="shared" si="316"/>
        <v>-5.8078315741070972E-3</v>
      </c>
      <c r="L2467" s="50">
        <f t="shared" si="317"/>
        <v>-1.9198682541023578E-2</v>
      </c>
      <c r="P2467" s="50">
        <f t="shared" si="312"/>
        <v>-1.9198682541023578E-2</v>
      </c>
      <c r="Q2467" s="51">
        <f t="shared" si="318"/>
        <v>61.19931340415615</v>
      </c>
      <c r="R2467" s="51">
        <f t="shared" si="319"/>
        <v>20.194623921939986</v>
      </c>
    </row>
    <row r="2468" spans="1:18" x14ac:dyDescent="0.15">
      <c r="A2468" s="59">
        <v>44489.75</v>
      </c>
      <c r="B2468">
        <v>44.073616000000001</v>
      </c>
      <c r="C2468">
        <v>458.61688199999998</v>
      </c>
      <c r="D2468">
        <v>238.553055</v>
      </c>
      <c r="E2468">
        <v>171.75050400000001</v>
      </c>
      <c r="F2468">
        <v>1941.280029</v>
      </c>
      <c r="H2468" s="50">
        <f t="shared" si="313"/>
        <v>-1.0314163880863328E-2</v>
      </c>
      <c r="I2468" s="50">
        <f t="shared" si="314"/>
        <v>-9.8755770301162272E-3</v>
      </c>
      <c r="J2468" s="50">
        <f t="shared" si="315"/>
        <v>-6.7204421734994623E-3</v>
      </c>
      <c r="K2468" s="50">
        <f t="shared" si="316"/>
        <v>2.9818219599603488E-2</v>
      </c>
      <c r="L2468" s="50">
        <f t="shared" si="317"/>
        <v>7.3530022210953165E-3</v>
      </c>
      <c r="P2468" s="50">
        <f t="shared" si="312"/>
        <v>7.3530022210953165E-3</v>
      </c>
      <c r="Q2468" s="51">
        <f t="shared" si="318"/>
        <v>61.649312091546413</v>
      </c>
      <c r="R2468" s="51">
        <f t="shared" si="319"/>
        <v>19.986333261296693</v>
      </c>
    </row>
    <row r="2469" spans="1:18" x14ac:dyDescent="0.15">
      <c r="A2469" s="59">
        <v>44490.75</v>
      </c>
      <c r="B2469">
        <v>44.532935999999999</v>
      </c>
      <c r="C2469">
        <v>463.19116200000002</v>
      </c>
      <c r="D2469">
        <v>240.16708399999999</v>
      </c>
      <c r="E2469">
        <v>166.77749600000001</v>
      </c>
      <c r="F2469">
        <v>1927.1099850000001</v>
      </c>
      <c r="H2469" s="50">
        <f t="shared" si="313"/>
        <v>-1.1462066419953303E-2</v>
      </c>
      <c r="I2469" s="50">
        <f t="shared" si="314"/>
        <v>-1.6547732420479664E-2</v>
      </c>
      <c r="J2469" s="50">
        <f t="shared" si="315"/>
        <v>-1.6977254926101921E-2</v>
      </c>
      <c r="K2469" s="50">
        <f t="shared" si="316"/>
        <v>4.5717918631403166E-3</v>
      </c>
      <c r="L2469" s="50">
        <f t="shared" si="317"/>
        <v>-1.2153843848385595E-2</v>
      </c>
      <c r="P2469" s="50">
        <f t="shared" si="312"/>
        <v>-1.2153843848385595E-2</v>
      </c>
      <c r="Q2469" s="51">
        <f t="shared" si="318"/>
        <v>60.900035979025368</v>
      </c>
      <c r="R2469" s="51">
        <f t="shared" si="319"/>
        <v>19.75724858196439</v>
      </c>
    </row>
    <row r="2470" spans="1:18" x14ac:dyDescent="0.15">
      <c r="A2470" s="59">
        <v>44491.75</v>
      </c>
      <c r="B2470">
        <v>45.049294000000003</v>
      </c>
      <c r="C2470">
        <v>470.984894</v>
      </c>
      <c r="D2470">
        <v>244.31487999999999</v>
      </c>
      <c r="E2470">
        <v>166.018494</v>
      </c>
      <c r="F2470">
        <v>1950.8199460000001</v>
      </c>
      <c r="H2470" s="50">
        <f t="shared" si="313"/>
        <v>8.8067183594346798E-3</v>
      </c>
      <c r="I2470" s="50">
        <f t="shared" si="314"/>
        <v>9.4123844169676212E-3</v>
      </c>
      <c r="J2470" s="50">
        <f t="shared" si="315"/>
        <v>6.2614563900242276E-3</v>
      </c>
      <c r="K2470" s="50">
        <f t="shared" si="316"/>
        <v>-1.6498491142040671E-2</v>
      </c>
      <c r="L2470" s="50">
        <f t="shared" si="317"/>
        <v>-7.0040468233301904E-3</v>
      </c>
      <c r="P2470" s="50">
        <f t="shared" si="312"/>
        <v>-7.0040468233301904E-3</v>
      </c>
      <c r="Q2470" s="51">
        <f t="shared" si="318"/>
        <v>60.473489275485782</v>
      </c>
      <c r="R2470" s="51">
        <f t="shared" si="319"/>
        <v>19.931245105783091</v>
      </c>
    </row>
    <row r="2471" spans="1:18" x14ac:dyDescent="0.15">
      <c r="A2471" s="59">
        <v>44492.75</v>
      </c>
      <c r="B2471">
        <v>44.656021000000003</v>
      </c>
      <c r="C2471">
        <v>466.59314000000001</v>
      </c>
      <c r="D2471">
        <v>242.79463200000001</v>
      </c>
      <c r="E2471">
        <v>168.80349699999999</v>
      </c>
      <c r="F2471">
        <v>1964.579956</v>
      </c>
      <c r="H2471" s="50">
        <f t="shared" si="313"/>
        <v>8.2695631433033715E-3</v>
      </c>
      <c r="I2471" s="50">
        <f t="shared" si="314"/>
        <v>-7.3192179014795042E-3</v>
      </c>
      <c r="J2471" s="50">
        <f t="shared" si="315"/>
        <v>8.5366749323502241E-3</v>
      </c>
      <c r="K2471" s="50">
        <f t="shared" si="316"/>
        <v>-4.8400969161906931E-3</v>
      </c>
      <c r="L2471" s="50">
        <f t="shared" si="317"/>
        <v>1.5038264058364337E-3</v>
      </c>
      <c r="P2471" s="50">
        <f t="shared" si="312"/>
        <v>1.5038264058364337E-3</v>
      </c>
      <c r="Q2471" s="51">
        <f t="shared" si="318"/>
        <v>60.564430905511323</v>
      </c>
      <c r="R2471" s="51">
        <f t="shared" si="319"/>
        <v>20.09606779571002</v>
      </c>
    </row>
    <row r="2472" spans="1:18" x14ac:dyDescent="0.15">
      <c r="A2472" s="59">
        <v>44495.75</v>
      </c>
      <c r="B2472">
        <v>44.289763999999998</v>
      </c>
      <c r="C2472">
        <v>470.03341699999999</v>
      </c>
      <c r="D2472">
        <v>240.73951700000001</v>
      </c>
      <c r="E2472">
        <v>169.62449599999999</v>
      </c>
      <c r="F2472">
        <v>1961.630005</v>
      </c>
      <c r="H2472" s="50">
        <f t="shared" si="313"/>
        <v>-6.1975547078932901E-3</v>
      </c>
      <c r="I2472" s="50">
        <f t="shared" si="314"/>
        <v>-4.505562826654836E-3</v>
      </c>
      <c r="J2472" s="50">
        <f t="shared" si="315"/>
        <v>-6.5061883576017021E-3</v>
      </c>
      <c r="K2472" s="50">
        <f t="shared" si="316"/>
        <v>-1.5691019801448349E-2</v>
      </c>
      <c r="L2472" s="50">
        <f t="shared" si="317"/>
        <v>-1.1798213355778195E-2</v>
      </c>
      <c r="P2472" s="50">
        <f t="shared" si="312"/>
        <v>-1.1798213355778195E-2</v>
      </c>
      <c r="Q2472" s="51">
        <f t="shared" si="318"/>
        <v>59.849878827916811</v>
      </c>
      <c r="R2472" s="51">
        <f t="shared" si="319"/>
        <v>19.971521316132574</v>
      </c>
    </row>
    <row r="2473" spans="1:18" x14ac:dyDescent="0.15">
      <c r="A2473" s="59">
        <v>44496.75</v>
      </c>
      <c r="B2473">
        <v>44.565964000000001</v>
      </c>
      <c r="C2473">
        <v>472.16076700000002</v>
      </c>
      <c r="D2473">
        <v>242.31607099999999</v>
      </c>
      <c r="E2473">
        <v>172.328506</v>
      </c>
      <c r="F2473">
        <v>1985.0500489999999</v>
      </c>
      <c r="H2473" s="50">
        <f t="shared" si="313"/>
        <v>-6.4916723889041706E-3</v>
      </c>
      <c r="I2473" s="50">
        <f t="shared" si="314"/>
        <v>-2.054551939020557E-3</v>
      </c>
      <c r="J2473" s="50">
        <f t="shared" si="315"/>
        <v>-5.3924063532747495E-3</v>
      </c>
      <c r="K2473" s="50">
        <f t="shared" si="316"/>
        <v>2.1984147146687168E-2</v>
      </c>
      <c r="L2473" s="50">
        <f t="shared" si="317"/>
        <v>1.387277370742778E-3</v>
      </c>
      <c r="P2473" s="50">
        <f t="shared" si="312"/>
        <v>1.387277370742778E-3</v>
      </c>
      <c r="Q2473" s="51">
        <f t="shared" si="318"/>
        <v>59.932907210456484</v>
      </c>
      <c r="R2473" s="51">
        <f t="shared" si="319"/>
        <v>19.841872742640227</v>
      </c>
    </row>
    <row r="2474" spans="1:18" x14ac:dyDescent="0.15">
      <c r="A2474" s="59">
        <v>44497.75</v>
      </c>
      <c r="B2474">
        <v>44.857162000000002</v>
      </c>
      <c r="C2474">
        <v>473.13284299999998</v>
      </c>
      <c r="D2474">
        <v>243.62982199999999</v>
      </c>
      <c r="E2474">
        <v>168.62150600000001</v>
      </c>
      <c r="F2474">
        <v>1982.3000489999999</v>
      </c>
      <c r="H2474" s="50">
        <f t="shared" si="313"/>
        <v>-2.4700324573556764E-3</v>
      </c>
      <c r="I2474" s="50">
        <f t="shared" si="314"/>
        <v>-6.71071122310783E-4</v>
      </c>
      <c r="J2474" s="50">
        <f t="shared" si="315"/>
        <v>6.5912376174943116E-3</v>
      </c>
      <c r="K2474" s="50">
        <f t="shared" si="316"/>
        <v>1.6370789197816947E-2</v>
      </c>
      <c r="L2474" s="50">
        <f t="shared" si="317"/>
        <v>-6.1915498214738874E-3</v>
      </c>
      <c r="P2474" s="50">
        <f t="shared" si="312"/>
        <v>-6.1915498214738874E-3</v>
      </c>
      <c r="Q2474" s="51">
        <f t="shared" si="318"/>
        <v>59.56182962951717</v>
      </c>
      <c r="R2474" s="51">
        <f t="shared" si="319"/>
        <v>19.792862672951184</v>
      </c>
    </row>
    <row r="2475" spans="1:18" x14ac:dyDescent="0.15">
      <c r="A2475" s="59">
        <v>44498.75</v>
      </c>
      <c r="B2475">
        <v>44.968235</v>
      </c>
      <c r="C2475">
        <v>473.45056199999999</v>
      </c>
      <c r="D2475">
        <v>242.034515</v>
      </c>
      <c r="E2475">
        <v>165.90550200000001</v>
      </c>
      <c r="F2475">
        <v>1994.650024</v>
      </c>
      <c r="H2475" s="50">
        <f t="shared" si="313"/>
        <v>4.6739257129259419E-4</v>
      </c>
      <c r="I2475" s="50">
        <f t="shared" si="314"/>
        <v>-1.0301988393863102E-2</v>
      </c>
      <c r="J2475" s="50">
        <f t="shared" si="315"/>
        <v>-8.9911929814415412E-3</v>
      </c>
      <c r="K2475" s="50">
        <f t="shared" si="316"/>
        <v>1.6180213107181672E-3</v>
      </c>
      <c r="L2475" s="50">
        <f t="shared" si="317"/>
        <v>-1.1595364055314326E-2</v>
      </c>
      <c r="P2475" s="50">
        <f t="shared" si="312"/>
        <v>-1.1595364055314326E-2</v>
      </c>
      <c r="Q2475" s="51">
        <f t="shared" si="318"/>
        <v>58.871188531162311</v>
      </c>
      <c r="R2475" s="51">
        <f t="shared" si="319"/>
        <v>19.802113709929134</v>
      </c>
    </row>
    <row r="2476" spans="1:18" x14ac:dyDescent="0.15">
      <c r="A2476" s="59">
        <v>44499.75</v>
      </c>
      <c r="B2476">
        <v>44.947226999999998</v>
      </c>
      <c r="C2476">
        <v>478.37881499999997</v>
      </c>
      <c r="D2476">
        <v>244.23043799999999</v>
      </c>
      <c r="E2476">
        <v>165.637497</v>
      </c>
      <c r="F2476">
        <v>2018.0500489999999</v>
      </c>
      <c r="H2476" s="50">
        <f t="shared" si="313"/>
        <v>-3.0629923622817216E-3</v>
      </c>
      <c r="I2476" s="50">
        <f t="shared" si="314"/>
        <v>-1.0630431932982713E-2</v>
      </c>
      <c r="J2476" s="50">
        <f t="shared" si="315"/>
        <v>-5.7602123091428056E-4</v>
      </c>
      <c r="K2476" s="50">
        <f t="shared" si="316"/>
        <v>-2.1054964912322074E-2</v>
      </c>
      <c r="L2476" s="50">
        <f t="shared" si="317"/>
        <v>1.189358725463834E-4</v>
      </c>
      <c r="P2476" s="50">
        <f t="shared" si="312"/>
        <v>1.189358725463834E-4</v>
      </c>
      <c r="Q2476" s="51">
        <f t="shared" si="318"/>
        <v>58.878190427338112</v>
      </c>
      <c r="R2476" s="51">
        <f t="shared" si="319"/>
        <v>19.741459986878588</v>
      </c>
    </row>
    <row r="2477" spans="1:18" x14ac:dyDescent="0.15">
      <c r="A2477" s="59">
        <v>44502.75</v>
      </c>
      <c r="B2477">
        <v>45.085323000000002</v>
      </c>
      <c r="C2477">
        <v>483.51882899999998</v>
      </c>
      <c r="D2477">
        <v>244.37120100000001</v>
      </c>
      <c r="E2477">
        <v>169.199997</v>
      </c>
      <c r="F2477">
        <v>2017.8100589999999</v>
      </c>
      <c r="H2477" s="50">
        <f t="shared" si="313"/>
        <v>-7.2713194250585986E-3</v>
      </c>
      <c r="I2477" s="50">
        <f t="shared" si="314"/>
        <v>-2.5774814488000716E-2</v>
      </c>
      <c r="J2477" s="50">
        <f t="shared" si="315"/>
        <v>-1.1512715308576963E-4</v>
      </c>
      <c r="K2477" s="50">
        <f t="shared" si="316"/>
        <v>-2.6747246704150306E-2</v>
      </c>
      <c r="L2477" s="50">
        <f t="shared" si="317"/>
        <v>2.8378724059981504E-3</v>
      </c>
      <c r="P2477" s="50">
        <f t="shared" si="312"/>
        <v>2.8378724059981504E-3</v>
      </c>
      <c r="Q2477" s="51">
        <f t="shared" si="318"/>
        <v>59.045279219266952</v>
      </c>
      <c r="R2477" s="51">
        <f t="shared" si="319"/>
        <v>19.597913525396979</v>
      </c>
    </row>
    <row r="2478" spans="1:18" x14ac:dyDescent="0.15">
      <c r="A2478" s="59">
        <v>44503.75</v>
      </c>
      <c r="B2478">
        <v>45.415554</v>
      </c>
      <c r="C2478">
        <v>496.31115699999998</v>
      </c>
      <c r="D2478">
        <v>244.399338</v>
      </c>
      <c r="E2478">
        <v>173.85000600000001</v>
      </c>
      <c r="F2478">
        <v>2012.099976</v>
      </c>
      <c r="H2478" s="50">
        <f t="shared" si="313"/>
        <v>6.9893052233272511E-3</v>
      </c>
      <c r="I2478" s="50">
        <f t="shared" si="314"/>
        <v>4.8721374505411525E-3</v>
      </c>
      <c r="J2478" s="50">
        <f t="shared" si="315"/>
        <v>2.4265579473702451E-2</v>
      </c>
      <c r="K2478" s="50">
        <f t="shared" si="316"/>
        <v>-1.1932327648139243E-2</v>
      </c>
      <c r="L2478" s="50">
        <f t="shared" si="317"/>
        <v>-5.6681855859111001E-3</v>
      </c>
      <c r="P2478" s="50">
        <f t="shared" si="312"/>
        <v>-5.6681855859111001E-3</v>
      </c>
      <c r="Q2478" s="51">
        <f t="shared" si="318"/>
        <v>58.710599618680206</v>
      </c>
      <c r="R2478" s="51">
        <f t="shared" si="319"/>
        <v>19.73488932476635</v>
      </c>
    </row>
    <row r="2479" spans="1:18" x14ac:dyDescent="0.15">
      <c r="A2479" s="59">
        <v>44504.75</v>
      </c>
      <c r="B2479">
        <v>45.100333999999997</v>
      </c>
      <c r="C2479">
        <v>493.904785</v>
      </c>
      <c r="D2479">
        <v>238.60934399999999</v>
      </c>
      <c r="E2479">
        <v>175.94949299999999</v>
      </c>
      <c r="F2479">
        <v>2023.5699460000001</v>
      </c>
      <c r="H2479" s="50">
        <f t="shared" si="313"/>
        <v>6.4314734810840563E-3</v>
      </c>
      <c r="I2479" s="50">
        <f t="shared" si="314"/>
        <v>1.8479325128772445E-2</v>
      </c>
      <c r="J2479" s="50">
        <f t="shared" si="315"/>
        <v>3.7105971627970189E-3</v>
      </c>
      <c r="K2479" s="50">
        <f t="shared" si="316"/>
        <v>8.6012987004425168E-3</v>
      </c>
      <c r="L2479" s="50">
        <f t="shared" si="317"/>
        <v>-3.7613122949823642E-3</v>
      </c>
      <c r="P2479" s="50">
        <f t="shared" si="312"/>
        <v>-3.7613122949823642E-3</v>
      </c>
      <c r="Q2479" s="51">
        <f t="shared" si="318"/>
        <v>58.489770718488678</v>
      </c>
      <c r="R2479" s="51">
        <f t="shared" si="319"/>
        <v>19.861813742110712</v>
      </c>
    </row>
    <row r="2480" spans="1:18" x14ac:dyDescent="0.15">
      <c r="A2480" s="59">
        <v>44505.75</v>
      </c>
      <c r="B2480">
        <v>44.812125999999999</v>
      </c>
      <c r="C2480">
        <v>484.94335899999999</v>
      </c>
      <c r="D2480">
        <v>237.72723400000001</v>
      </c>
      <c r="E2480">
        <v>174.449005</v>
      </c>
      <c r="F2480">
        <v>2031.209961</v>
      </c>
      <c r="H2480" s="50">
        <f t="shared" si="313"/>
        <v>-3.4715394099857537E-3</v>
      </c>
      <c r="I2480" s="50">
        <f t="shared" si="314"/>
        <v>-9.6322430596836092E-3</v>
      </c>
      <c r="J2480" s="50">
        <f t="shared" si="315"/>
        <v>-7.1720158790511144E-3</v>
      </c>
      <c r="K2480" s="50">
        <f t="shared" si="316"/>
        <v>-2.4397134249083269E-2</v>
      </c>
      <c r="L2480" s="50">
        <f t="shared" si="317"/>
        <v>-3.4946404613543961E-4</v>
      </c>
      <c r="P2480" s="50">
        <f t="shared" si="312"/>
        <v>-3.4946404613543961E-4</v>
      </c>
      <c r="Q2480" s="51">
        <f t="shared" si="318"/>
        <v>58.469330646555861</v>
      </c>
      <c r="R2480" s="51">
        <f t="shared" si="319"/>
        <v>19.792862672951177</v>
      </c>
    </row>
    <row r="2481" spans="1:18" x14ac:dyDescent="0.15">
      <c r="A2481" s="59">
        <v>44506.75</v>
      </c>
      <c r="B2481">
        <v>44.968235</v>
      </c>
      <c r="C2481">
        <v>489.65988199999998</v>
      </c>
      <c r="D2481">
        <v>239.444534</v>
      </c>
      <c r="E2481">
        <v>178.81149300000001</v>
      </c>
      <c r="F2481">
        <v>2031.920044</v>
      </c>
      <c r="H2481" s="50">
        <f t="shared" si="313"/>
        <v>9.094572141694247E-3</v>
      </c>
      <c r="I2481" s="50">
        <f t="shared" si="314"/>
        <v>6.3301854436841141E-3</v>
      </c>
      <c r="J2481" s="50">
        <f t="shared" si="315"/>
        <v>4.3692464755450697E-3</v>
      </c>
      <c r="K2481" s="50">
        <f t="shared" si="316"/>
        <v>2.7047286450975764E-2</v>
      </c>
      <c r="L2481" s="50">
        <f t="shared" si="317"/>
        <v>-3.1104795113946252E-3</v>
      </c>
      <c r="P2481" s="50">
        <f t="shared" si="312"/>
        <v>-3.1104795113946252E-3</v>
      </c>
      <c r="Q2481" s="51">
        <f t="shared" si="318"/>
        <v>58.287462991534788</v>
      </c>
      <c r="R2481" s="51">
        <f t="shared" si="319"/>
        <v>19.972870290420978</v>
      </c>
    </row>
    <row r="2482" spans="1:18" x14ac:dyDescent="0.15">
      <c r="A2482" s="59">
        <v>44509.75</v>
      </c>
      <c r="B2482">
        <v>44.562953999999998</v>
      </c>
      <c r="C2482">
        <v>486.57974200000001</v>
      </c>
      <c r="D2482">
        <v>238.40289300000001</v>
      </c>
      <c r="E2482">
        <v>174.10249300000001</v>
      </c>
      <c r="F2482">
        <v>2038.26001</v>
      </c>
      <c r="H2482" s="50">
        <f t="shared" si="313"/>
        <v>-4.041410403555453E-4</v>
      </c>
      <c r="I2482" s="50">
        <f t="shared" si="314"/>
        <v>-1.3022713578875257E-2</v>
      </c>
      <c r="J2482" s="50">
        <f t="shared" si="315"/>
        <v>-7.6560653250419266E-3</v>
      </c>
      <c r="K2482" s="50">
        <f t="shared" si="316"/>
        <v>2.7501396688265497E-3</v>
      </c>
      <c r="L2482" s="50">
        <f t="shared" si="317"/>
        <v>-6.9620919085575453E-4</v>
      </c>
      <c r="P2482" s="50">
        <f t="shared" si="312"/>
        <v>-6.9620919085575453E-4</v>
      </c>
      <c r="Q2482" s="51">
        <f t="shared" si="318"/>
        <v>58.246882724088415</v>
      </c>
      <c r="R2482" s="51">
        <f t="shared" si="319"/>
        <v>19.964798433842919</v>
      </c>
    </row>
    <row r="2483" spans="1:18" x14ac:dyDescent="0.15">
      <c r="A2483" s="59">
        <v>44510.75</v>
      </c>
      <c r="B2483">
        <v>44.580970999999998</v>
      </c>
      <c r="C2483">
        <v>492.99993899999998</v>
      </c>
      <c r="D2483">
        <v>240.24220299999999</v>
      </c>
      <c r="E2483">
        <v>173.625</v>
      </c>
      <c r="F2483">
        <v>2039.6800539999999</v>
      </c>
      <c r="H2483" s="50">
        <f t="shared" si="313"/>
        <v>5.0080910632018805E-3</v>
      </c>
      <c r="I2483" s="50">
        <f t="shared" si="314"/>
        <v>-9.6486568473754235E-3</v>
      </c>
      <c r="J2483" s="50">
        <f t="shared" si="315"/>
        <v>-1.5421927383738055E-2</v>
      </c>
      <c r="K2483" s="50">
        <f t="shared" si="316"/>
        <v>-1.4935573779561081E-2</v>
      </c>
      <c r="L2483" s="50">
        <f t="shared" si="317"/>
        <v>7.0160873298168885E-4</v>
      </c>
      <c r="P2483" s="50">
        <f t="shared" si="312"/>
        <v>7.0160873298168885E-4</v>
      </c>
      <c r="Q2483" s="51">
        <f t="shared" si="318"/>
        <v>58.287749245676594</v>
      </c>
      <c r="R2483" s="51">
        <f t="shared" si="319"/>
        <v>20.064783962458076</v>
      </c>
    </row>
    <row r="2484" spans="1:18" x14ac:dyDescent="0.15">
      <c r="A2484" s="59">
        <v>44511.75</v>
      </c>
      <c r="B2484">
        <v>44.358817999999999</v>
      </c>
      <c r="C2484">
        <v>497.80306999999999</v>
      </c>
      <c r="D2484">
        <v>244.005234</v>
      </c>
      <c r="E2484">
        <v>176.257507</v>
      </c>
      <c r="F2484">
        <v>2038.25</v>
      </c>
      <c r="H2484" s="50">
        <f t="shared" si="313"/>
        <v>5.786008472680502E-3</v>
      </c>
      <c r="I2484" s="50">
        <f t="shared" si="314"/>
        <v>-5.231920274590178E-3</v>
      </c>
      <c r="J2484" s="50">
        <f t="shared" si="315"/>
        <v>-1.6305297035180723E-2</v>
      </c>
      <c r="K2484" s="50">
        <f t="shared" si="316"/>
        <v>-5.7900883180109905E-3</v>
      </c>
      <c r="L2484" s="50">
        <f t="shared" si="317"/>
        <v>-5.295641329754675E-4</v>
      </c>
      <c r="P2484" s="50">
        <f t="shared" si="312"/>
        <v>-5.295641329754675E-4</v>
      </c>
      <c r="Q2484" s="51">
        <f t="shared" si="318"/>
        <v>58.256882144284219</v>
      </c>
      <c r="R2484" s="51">
        <f t="shared" si="319"/>
        <v>20.180878972467362</v>
      </c>
    </row>
    <row r="2485" spans="1:18" x14ac:dyDescent="0.15">
      <c r="A2485" s="59">
        <v>44512.75</v>
      </c>
      <c r="B2485">
        <v>44.103634</v>
      </c>
      <c r="C2485">
        <v>500.42123400000003</v>
      </c>
      <c r="D2485">
        <v>248.04975899999999</v>
      </c>
      <c r="E2485">
        <v>177.283997</v>
      </c>
      <c r="F2485">
        <v>2039.329956</v>
      </c>
      <c r="H2485" s="50">
        <f t="shared" si="313"/>
        <v>2.6122698620860519E-2</v>
      </c>
      <c r="I2485" s="50">
        <f t="shared" si="314"/>
        <v>-1.2967136431112461E-2</v>
      </c>
      <c r="J2485" s="50">
        <f t="shared" si="315"/>
        <v>-1.1111663262563267E-2</v>
      </c>
      <c r="K2485" s="50">
        <f t="shared" si="316"/>
        <v>1.4064619672616435E-3</v>
      </c>
      <c r="L2485" s="50">
        <f t="shared" si="317"/>
        <v>-2.4021237803899498E-4</v>
      </c>
      <c r="P2485" s="50">
        <f t="shared" si="312"/>
        <v>-2.4021237803899498E-4</v>
      </c>
      <c r="Q2485" s="51">
        <f t="shared" si="318"/>
        <v>58.242888120087208</v>
      </c>
      <c r="R2485" s="51">
        <f t="shared" si="319"/>
        <v>20.708057991769188</v>
      </c>
    </row>
    <row r="2486" spans="1:18" x14ac:dyDescent="0.15">
      <c r="A2486" s="59">
        <v>44513.75</v>
      </c>
      <c r="B2486">
        <v>42.980857999999998</v>
      </c>
      <c r="C2486">
        <v>506.99551400000001</v>
      </c>
      <c r="D2486">
        <v>250.836975</v>
      </c>
      <c r="E2486">
        <v>177.03500399999999</v>
      </c>
      <c r="F2486">
        <v>2039.8199460000001</v>
      </c>
      <c r="H2486" s="50">
        <f t="shared" si="313"/>
        <v>8.6656921745649484E-3</v>
      </c>
      <c r="I2486" s="50">
        <f t="shared" si="314"/>
        <v>8.1700356152865383E-4</v>
      </c>
      <c r="J2486" s="50">
        <f t="shared" si="315"/>
        <v>4.960609796528196E-2</v>
      </c>
      <c r="K2486" s="50">
        <f t="shared" si="316"/>
        <v>-2.3386475458774436E-3</v>
      </c>
      <c r="L2486" s="50">
        <f t="shared" si="317"/>
        <v>-7.3481866619648463E-4</v>
      </c>
      <c r="P2486" s="50">
        <f t="shared" si="312"/>
        <v>-7.3481866619648463E-4</v>
      </c>
      <c r="Q2486" s="51">
        <f t="shared" si="318"/>
        <v>58.20009015872337</v>
      </c>
      <c r="R2486" s="51">
        <f t="shared" si="319"/>
        <v>20.8875076478589</v>
      </c>
    </row>
    <row r="2487" spans="1:18" x14ac:dyDescent="0.15">
      <c r="A2487" s="59">
        <v>44516.75</v>
      </c>
      <c r="B2487">
        <v>42.611598999999998</v>
      </c>
      <c r="C2487">
        <v>506.58163500000001</v>
      </c>
      <c r="D2487">
        <v>238.98201</v>
      </c>
      <c r="E2487">
        <v>177.449997</v>
      </c>
      <c r="F2487">
        <v>2041.3199460000001</v>
      </c>
      <c r="H2487" s="50">
        <f t="shared" si="313"/>
        <v>-8.5221547660478385E-3</v>
      </c>
      <c r="I2487" s="50">
        <f t="shared" si="314"/>
        <v>-5.818295312367763E-3</v>
      </c>
      <c r="J2487" s="50">
        <f t="shared" si="315"/>
        <v>6.9431343191306907E-3</v>
      </c>
      <c r="K2487" s="50">
        <f t="shared" si="316"/>
        <v>-3.978830018305881E-2</v>
      </c>
      <c r="L2487" s="50">
        <f t="shared" si="317"/>
        <v>-5.1077603809921114E-3</v>
      </c>
      <c r="P2487" s="50">
        <f t="shared" si="312"/>
        <v>-5.1077603809921114E-3</v>
      </c>
      <c r="Q2487" s="51">
        <f t="shared" si="318"/>
        <v>57.902818044040473</v>
      </c>
      <c r="R2487" s="51">
        <f t="shared" si="319"/>
        <v>20.709501075006841</v>
      </c>
    </row>
    <row r="2488" spans="1:18" x14ac:dyDescent="0.15">
      <c r="A2488" s="59">
        <v>44517.75</v>
      </c>
      <c r="B2488">
        <v>42.977862999999999</v>
      </c>
      <c r="C2488">
        <v>509.54632600000002</v>
      </c>
      <c r="D2488">
        <v>237.33416700000001</v>
      </c>
      <c r="E2488">
        <v>184.80299400000001</v>
      </c>
      <c r="F2488">
        <v>2051.8000489999999</v>
      </c>
      <c r="H2488" s="50">
        <f t="shared" si="313"/>
        <v>5.4079977983790923E-3</v>
      </c>
      <c r="I2488" s="50">
        <f t="shared" si="314"/>
        <v>-8.2801236734108084E-3</v>
      </c>
      <c r="J2488" s="50">
        <f t="shared" si="315"/>
        <v>5.3850422394520654E-3</v>
      </c>
      <c r="K2488" s="50">
        <f t="shared" si="316"/>
        <v>5.3010712060076685E-3</v>
      </c>
      <c r="L2488" s="50">
        <f t="shared" si="317"/>
        <v>1.5034158126044635E-3</v>
      </c>
      <c r="P2488" s="50">
        <f t="shared" si="312"/>
        <v>1.5034158126044635E-3</v>
      </c>
      <c r="Q2488" s="51">
        <f t="shared" si="318"/>
        <v>57.989870056282236</v>
      </c>
      <c r="R2488" s="51">
        <f t="shared" si="319"/>
        <v>20.821498011226009</v>
      </c>
    </row>
    <row r="2489" spans="1:18" x14ac:dyDescent="0.15">
      <c r="A2489" s="59">
        <v>44518.75</v>
      </c>
      <c r="B2489">
        <v>42.746689000000003</v>
      </c>
      <c r="C2489">
        <v>513.800659</v>
      </c>
      <c r="D2489">
        <v>236.06295800000001</v>
      </c>
      <c r="E2489">
        <v>183.828506</v>
      </c>
      <c r="F2489">
        <v>2048.719971</v>
      </c>
      <c r="H2489" s="50">
        <f t="shared" si="313"/>
        <v>-1.6507820185206187E-2</v>
      </c>
      <c r="I2489" s="50">
        <f t="shared" si="314"/>
        <v>-1.0859139447207384E-2</v>
      </c>
      <c r="J2489" s="50">
        <f t="shared" si="315"/>
        <v>2.5064163518500028E-2</v>
      </c>
      <c r="K2489" s="50">
        <f t="shared" si="316"/>
        <v>2.9110764377826618E-2</v>
      </c>
      <c r="L2489" s="50">
        <f t="shared" si="317"/>
        <v>-1.9632341980270434E-3</v>
      </c>
      <c r="P2489" s="50">
        <f t="shared" si="312"/>
        <v>-1.9632341980270434E-3</v>
      </c>
      <c r="Q2489" s="51">
        <f t="shared" si="318"/>
        <v>57.876022360248598</v>
      </c>
      <c r="R2489" s="51">
        <f t="shared" si="319"/>
        <v>20.477780466070062</v>
      </c>
    </row>
    <row r="2490" spans="1:18" x14ac:dyDescent="0.15">
      <c r="A2490" s="59">
        <v>44519.75</v>
      </c>
      <c r="B2490">
        <v>43.464188</v>
      </c>
      <c r="C2490">
        <v>519.44134499999996</v>
      </c>
      <c r="D2490">
        <v>230.290909</v>
      </c>
      <c r="E2490">
        <v>178.62849399999999</v>
      </c>
      <c r="F2490">
        <v>2052.75</v>
      </c>
      <c r="H2490" s="50">
        <f t="shared" si="313"/>
        <v>-7.0639927172215008E-3</v>
      </c>
      <c r="I2490" s="50">
        <f t="shared" si="314"/>
        <v>-1.0288640651963383E-2</v>
      </c>
      <c r="J2490" s="50">
        <f t="shared" si="315"/>
        <v>-1.8500504156057904E-2</v>
      </c>
      <c r="K2490" s="50">
        <f t="shared" si="316"/>
        <v>-2.0865968094581047E-3</v>
      </c>
      <c r="L2490" s="50">
        <f t="shared" si="317"/>
        <v>-5.2095953477102009E-3</v>
      </c>
      <c r="P2490" s="50">
        <f t="shared" si="312"/>
        <v>-5.2095953477102009E-3</v>
      </c>
      <c r="Q2490" s="51">
        <f t="shared" si="318"/>
        <v>57.574511703416675</v>
      </c>
      <c r="R2490" s="51">
        <f t="shared" si="319"/>
        <v>20.333125573992884</v>
      </c>
    </row>
    <row r="2491" spans="1:18" x14ac:dyDescent="0.15">
      <c r="A2491" s="59">
        <v>44520.75</v>
      </c>
      <c r="B2491">
        <v>43.773403000000002</v>
      </c>
      <c r="C2491">
        <v>524.84124799999995</v>
      </c>
      <c r="D2491">
        <v>234.63171399999999</v>
      </c>
      <c r="E2491">
        <v>179.00199900000001</v>
      </c>
      <c r="F2491">
        <v>2063.5</v>
      </c>
      <c r="H2491" s="50">
        <f t="shared" si="313"/>
        <v>-4.9816380306869322E-3</v>
      </c>
      <c r="I2491" s="50">
        <f t="shared" si="314"/>
        <v>-8.1311564231332789E-3</v>
      </c>
      <c r="J2491" s="50">
        <f t="shared" si="315"/>
        <v>1.6883039948913656E-3</v>
      </c>
      <c r="K2491" s="50">
        <f t="shared" si="316"/>
        <v>-1.0330660859019971E-4</v>
      </c>
      <c r="L2491" s="50">
        <f t="shared" si="317"/>
        <v>-2.8558440576368885E-3</v>
      </c>
      <c r="P2491" s="50">
        <f t="shared" si="312"/>
        <v>-2.8558440576368885E-3</v>
      </c>
      <c r="Q2491" s="51">
        <f t="shared" si="318"/>
        <v>57.410087876297133</v>
      </c>
      <c r="R2491" s="51">
        <f t="shared" si="319"/>
        <v>20.231833302350747</v>
      </c>
    </row>
    <row r="2492" spans="1:18" x14ac:dyDescent="0.15">
      <c r="A2492" s="59">
        <v>44523.75</v>
      </c>
      <c r="B2492">
        <v>43.992558000000002</v>
      </c>
      <c r="C2492">
        <v>529.14379899999994</v>
      </c>
      <c r="D2492">
        <v>234.23625200000001</v>
      </c>
      <c r="E2492">
        <v>179.02049299999999</v>
      </c>
      <c r="F2492">
        <v>2069.4099120000001</v>
      </c>
      <c r="H2492" s="50">
        <f t="shared" si="313"/>
        <v>1.1318127447502234E-2</v>
      </c>
      <c r="I2492" s="50">
        <f t="shared" si="314"/>
        <v>6.5917628574034669E-3</v>
      </c>
      <c r="J2492" s="50">
        <f t="shared" si="315"/>
        <v>8.8817775406530557E-3</v>
      </c>
      <c r="K2492" s="50">
        <f t="shared" si="316"/>
        <v>2.164320807707458E-2</v>
      </c>
      <c r="L2492" s="50">
        <f t="shared" si="317"/>
        <v>1.1513538587300627E-3</v>
      </c>
      <c r="P2492" s="50">
        <f t="shared" si="312"/>
        <v>1.1513538587300627E-3</v>
      </c>
      <c r="Q2492" s="51">
        <f t="shared" si="318"/>
        <v>57.476187202503539</v>
      </c>
      <c r="R2492" s="51">
        <f t="shared" si="319"/>
        <v>20.460819770163372</v>
      </c>
    </row>
    <row r="2493" spans="1:18" x14ac:dyDescent="0.15">
      <c r="A2493" s="59">
        <v>44524.75</v>
      </c>
      <c r="B2493">
        <v>43.500216999999999</v>
      </c>
      <c r="C2493">
        <v>525.67864999999995</v>
      </c>
      <c r="D2493">
        <v>232.17413300000001</v>
      </c>
      <c r="E2493">
        <v>175.22799699999999</v>
      </c>
      <c r="F2493">
        <v>2067.030029</v>
      </c>
      <c r="H2493" s="50">
        <f t="shared" si="313"/>
        <v>1.5915272621838856E-2</v>
      </c>
      <c r="I2493" s="50">
        <f t="shared" si="314"/>
        <v>-1.5769119992132236E-2</v>
      </c>
      <c r="J2493" s="50">
        <f t="shared" si="315"/>
        <v>-1.0394917943882054E-2</v>
      </c>
      <c r="K2493" s="50">
        <f t="shared" si="316"/>
        <v>-1.600703568346433E-2</v>
      </c>
      <c r="L2493" s="50">
        <f t="shared" si="317"/>
        <v>-2.7981304698145859E-3</v>
      </c>
      <c r="P2493" s="50">
        <f t="shared" si="312"/>
        <v>-2.7981304698145859E-3</v>
      </c>
      <c r="Q2493" s="51">
        <f t="shared" si="318"/>
        <v>57.315361331803445</v>
      </c>
      <c r="R2493" s="51">
        <f t="shared" si="319"/>
        <v>20.786459294871833</v>
      </c>
    </row>
    <row r="2494" spans="1:18" x14ac:dyDescent="0.15">
      <c r="A2494" s="59">
        <v>44525.75</v>
      </c>
      <c r="B2494">
        <v>42.818745</v>
      </c>
      <c r="C2494">
        <v>534.10095200000001</v>
      </c>
      <c r="D2494">
        <v>234.61291499999999</v>
      </c>
      <c r="E2494">
        <v>178.078506</v>
      </c>
      <c r="F2494">
        <v>2072.830078</v>
      </c>
      <c r="H2494" s="50">
        <f t="shared" si="313"/>
        <v>1.4221834439042067E-2</v>
      </c>
      <c r="I2494" s="50">
        <f t="shared" si="314"/>
        <v>2.873669225235501E-2</v>
      </c>
      <c r="J2494" s="50">
        <f t="shared" si="315"/>
        <v>2.1817605789625508E-2</v>
      </c>
      <c r="K2494" s="50">
        <f t="shared" si="316"/>
        <v>1.5540071911880901E-2</v>
      </c>
      <c r="L2494" s="50">
        <f t="shared" si="317"/>
        <v>2.5489073350299461E-3</v>
      </c>
      <c r="P2494" s="50">
        <f t="shared" si="312"/>
        <v>2.5489073350299461E-3</v>
      </c>
      <c r="Q2494" s="51">
        <f t="shared" si="318"/>
        <v>57.461452876711974</v>
      </c>
      <c r="R2494" s="51">
        <f t="shared" si="319"/>
        <v>21.08208087753739</v>
      </c>
    </row>
    <row r="2495" spans="1:18" x14ac:dyDescent="0.15">
      <c r="A2495" s="59">
        <v>44527.75</v>
      </c>
      <c r="B2495">
        <v>42.218322999999998</v>
      </c>
      <c r="C2495">
        <v>519.18139599999995</v>
      </c>
      <c r="D2495">
        <v>229.60351600000001</v>
      </c>
      <c r="E2495">
        <v>175.3535</v>
      </c>
      <c r="F2495">
        <v>2067.5600589999999</v>
      </c>
      <c r="H2495" s="50">
        <f t="shared" si="313"/>
        <v>2.5448404355176032E-2</v>
      </c>
      <c r="I2495" s="50">
        <f t="shared" si="314"/>
        <v>1.8005418002502643E-2</v>
      </c>
      <c r="J2495" s="50">
        <f t="shared" si="315"/>
        <v>1.4351784420465887E-2</v>
      </c>
      <c r="K2495" s="50">
        <f t="shared" si="316"/>
        <v>1.8395774964405514E-2</v>
      </c>
      <c r="L2495" s="50">
        <f t="shared" si="317"/>
        <v>6.8763238301108994E-3</v>
      </c>
      <c r="P2495" s="50">
        <f t="shared" si="312"/>
        <v>6.8763238301108994E-3</v>
      </c>
      <c r="Q2495" s="51">
        <f t="shared" si="318"/>
        <v>57.856576434440896</v>
      </c>
      <c r="R2495" s="51">
        <f t="shared" si="319"/>
        <v>21.618586196357484</v>
      </c>
    </row>
    <row r="2496" spans="1:18" x14ac:dyDescent="0.15">
      <c r="A2496" s="59">
        <v>44530.75</v>
      </c>
      <c r="B2496">
        <v>41.170597000000001</v>
      </c>
      <c r="C2496">
        <v>509.99865699999998</v>
      </c>
      <c r="D2496">
        <v>226.354919</v>
      </c>
      <c r="E2496">
        <v>172.18600499999999</v>
      </c>
      <c r="F2496">
        <v>2053.4399410000001</v>
      </c>
      <c r="H2496" s="50">
        <f t="shared" si="313"/>
        <v>1.2327496498767292E-2</v>
      </c>
      <c r="I2496" s="50">
        <f t="shared" si="314"/>
        <v>8.2396048428928087E-3</v>
      </c>
      <c r="J2496" s="50">
        <f t="shared" si="315"/>
        <v>-2.0814822604290347E-2</v>
      </c>
      <c r="K2496" s="50">
        <f t="shared" si="316"/>
        <v>1.8503095829428844E-3</v>
      </c>
      <c r="L2496" s="50">
        <f t="shared" si="317"/>
        <v>-6.3439586214443797E-3</v>
      </c>
      <c r="P2496" s="50">
        <f t="shared" si="312"/>
        <v>-6.3439586214443797E-3</v>
      </c>
      <c r="Q2496" s="51">
        <f t="shared" si="318"/>
        <v>57.489536707562365</v>
      </c>
      <c r="R2496" s="51">
        <f t="shared" si="319"/>
        <v>21.885089242001378</v>
      </c>
    </row>
    <row r="2497" spans="1:18" x14ac:dyDescent="0.15">
      <c r="A2497" s="59">
        <v>44531.75</v>
      </c>
      <c r="B2497">
        <v>40.669246999999999</v>
      </c>
      <c r="C2497">
        <v>505.83081099999998</v>
      </c>
      <c r="D2497">
        <v>231.16661099999999</v>
      </c>
      <c r="E2497">
        <v>171.86799600000001</v>
      </c>
      <c r="F2497">
        <v>2066.5500489999999</v>
      </c>
      <c r="H2497" s="50">
        <f t="shared" si="313"/>
        <v>-1.4835490831877712E-2</v>
      </c>
      <c r="I2497" s="50">
        <f t="shared" si="314"/>
        <v>-6.4659472745014334E-3</v>
      </c>
      <c r="J2497" s="50">
        <f t="shared" si="315"/>
        <v>-8.3612624840502438E-3</v>
      </c>
      <c r="K2497" s="50">
        <f t="shared" si="316"/>
        <v>1.4033282132128854E-2</v>
      </c>
      <c r="L2497" s="50">
        <f t="shared" si="317"/>
        <v>-3.750622469641504E-3</v>
      </c>
      <c r="P2497" s="50">
        <f t="shared" ref="P2497:P2560" si="320">(F2497-F2498)/F2498</f>
        <v>-3.750622469641504E-3</v>
      </c>
      <c r="Q2497" s="51">
        <f t="shared" si="318"/>
        <v>57.273915159417697</v>
      </c>
      <c r="R2497" s="51">
        <f t="shared" si="319"/>
        <v>21.560413201196841</v>
      </c>
    </row>
    <row r="2498" spans="1:18" x14ac:dyDescent="0.15">
      <c r="A2498" s="59">
        <v>44532.75</v>
      </c>
      <c r="B2498">
        <v>41.281680999999999</v>
      </c>
      <c r="C2498">
        <v>509.122772</v>
      </c>
      <c r="D2498">
        <v>233.11575300000001</v>
      </c>
      <c r="E2498">
        <v>169.48950199999999</v>
      </c>
      <c r="F2498">
        <v>2074.330078</v>
      </c>
      <c r="H2498" s="50">
        <f t="shared" ref="H2498:H2561" si="321">(B2498-B2499)/B2499</f>
        <v>-1.0719358669341345E-2</v>
      </c>
      <c r="I2498" s="50">
        <f t="shared" ref="I2498:I2561" si="322">(C2498-C2499)/C2499</f>
        <v>-8.0080932007797409E-3</v>
      </c>
      <c r="J2498" s="50">
        <f t="shared" ref="J2498:J2561" si="323">(D2498-D2499)/D2499</f>
        <v>1.89324659171765E-2</v>
      </c>
      <c r="K2498" s="50">
        <f t="shared" ref="K2498:K2561" si="324">(E2498-E2499)/E2499</f>
        <v>-1.0964663867630422E-2</v>
      </c>
      <c r="L2498" s="50">
        <f t="shared" ref="L2498:L2561" si="325">(F2498-F2499)/F2499</f>
        <v>1.1632476595299205E-3</v>
      </c>
      <c r="P2498" s="50">
        <f t="shared" si="320"/>
        <v>1.1632476595299205E-3</v>
      </c>
      <c r="Q2498" s="51">
        <f t="shared" si="318"/>
        <v>57.34053890717901</v>
      </c>
      <c r="R2498" s="51">
        <f t="shared" si="319"/>
        <v>21.32929939903401</v>
      </c>
    </row>
    <row r="2499" spans="1:18" x14ac:dyDescent="0.15">
      <c r="A2499" s="59">
        <v>44533.75</v>
      </c>
      <c r="B2499">
        <v>41.728988999999999</v>
      </c>
      <c r="C2499">
        <v>513.23278800000003</v>
      </c>
      <c r="D2499">
        <v>228.784302</v>
      </c>
      <c r="E2499">
        <v>171.36850000000001</v>
      </c>
      <c r="F2499">
        <v>2071.919922</v>
      </c>
      <c r="H2499" s="50">
        <f t="shared" si="321"/>
        <v>3.2478320919132431E-3</v>
      </c>
      <c r="I2499" s="50">
        <f t="shared" si="322"/>
        <v>-1.6272530793159049E-2</v>
      </c>
      <c r="J2499" s="50">
        <f t="shared" si="323"/>
        <v>-1.0829304416425822E-2</v>
      </c>
      <c r="K2499" s="50">
        <f t="shared" si="324"/>
        <v>-2.7224581932665606E-2</v>
      </c>
      <c r="L2499" s="50">
        <f t="shared" si="325"/>
        <v>-1.6624480480557553E-3</v>
      </c>
      <c r="P2499" s="50">
        <f t="shared" si="320"/>
        <v>-1.6624480480557553E-3</v>
      </c>
      <c r="Q2499" s="51">
        <f t="shared" ref="Q2499:Q2562" si="326">Q2498*(1+P2499)</f>
        <v>57.245213240198311</v>
      </c>
      <c r="R2499" s="51">
        <f t="shared" ref="R2499:R2562" si="327">R2498*(1+H2499)</f>
        <v>21.398573382120215</v>
      </c>
    </row>
    <row r="2500" spans="1:18" x14ac:dyDescent="0.15">
      <c r="A2500" s="59">
        <v>44534.75</v>
      </c>
      <c r="B2500">
        <v>41.593899</v>
      </c>
      <c r="C2500">
        <v>521.722534</v>
      </c>
      <c r="D2500">
        <v>231.28900100000001</v>
      </c>
      <c r="E2500">
        <v>176.16450499999999</v>
      </c>
      <c r="F2500">
        <v>2075.3701169999999</v>
      </c>
      <c r="H2500" s="50">
        <f t="shared" si="321"/>
        <v>1.0207997605455802E-2</v>
      </c>
      <c r="I2500" s="50">
        <f t="shared" si="322"/>
        <v>2.2467020126042122E-2</v>
      </c>
      <c r="J2500" s="50">
        <f t="shared" si="323"/>
        <v>2.5166903490892227E-2</v>
      </c>
      <c r="K2500" s="50">
        <f t="shared" si="324"/>
        <v>3.6898692171203937E-5</v>
      </c>
      <c r="L2500" s="50">
        <f t="shared" si="325"/>
        <v>7.3096075681490557E-3</v>
      </c>
      <c r="P2500" s="50">
        <f t="shared" si="320"/>
        <v>7.3096075681490557E-3</v>
      </c>
      <c r="Q2500" s="51">
        <f t="shared" si="326"/>
        <v>57.663653284139173</v>
      </c>
      <c r="R2500" s="51">
        <f t="shared" si="327"/>
        <v>21.617009967965071</v>
      </c>
    </row>
    <row r="2501" spans="1:18" x14ac:dyDescent="0.15">
      <c r="A2501" s="59">
        <v>44537.75</v>
      </c>
      <c r="B2501">
        <v>41.173599000000003</v>
      </c>
      <c r="C2501">
        <v>510.25854500000003</v>
      </c>
      <c r="D2501">
        <v>225.61106899999999</v>
      </c>
      <c r="E2501">
        <v>176.158005</v>
      </c>
      <c r="F2501">
        <v>2060.3100589999999</v>
      </c>
      <c r="H2501" s="50">
        <f t="shared" si="321"/>
        <v>-2.1660705662898887E-2</v>
      </c>
      <c r="I2501" s="50">
        <f t="shared" si="322"/>
        <v>1.1023746868890688E-2</v>
      </c>
      <c r="J2501" s="50">
        <f t="shared" si="323"/>
        <v>8.5873873170680317E-3</v>
      </c>
      <c r="K2501" s="50">
        <f t="shared" si="324"/>
        <v>1.1408328269105381E-2</v>
      </c>
      <c r="L2501" s="50">
        <f t="shared" si="325"/>
        <v>2.3788048655904158E-4</v>
      </c>
      <c r="P2501" s="50">
        <f t="shared" si="320"/>
        <v>2.3788048655904158E-4</v>
      </c>
      <c r="Q2501" s="51">
        <f t="shared" si="326"/>
        <v>57.677370342039175</v>
      </c>
      <c r="R2501" s="51">
        <f t="shared" si="327"/>
        <v>21.148770277737029</v>
      </c>
    </row>
    <row r="2502" spans="1:18" x14ac:dyDescent="0.15">
      <c r="A2502" s="59">
        <v>44538.75</v>
      </c>
      <c r="B2502">
        <v>42.085194000000001</v>
      </c>
      <c r="C2502">
        <v>504.69491599999998</v>
      </c>
      <c r="D2502">
        <v>223.690155</v>
      </c>
      <c r="E2502">
        <v>174.17100500000001</v>
      </c>
      <c r="F2502">
        <v>2059.820068</v>
      </c>
      <c r="H2502" s="50">
        <f t="shared" si="321"/>
        <v>-1.7939503532146298E-2</v>
      </c>
      <c r="I2502" s="50">
        <f t="shared" si="322"/>
        <v>-6.1719506064317357E-2</v>
      </c>
      <c r="J2502" s="50">
        <f t="shared" si="323"/>
        <v>-2.6029374453452273E-3</v>
      </c>
      <c r="K2502" s="50">
        <f t="shared" si="324"/>
        <v>1.1375507698342505E-2</v>
      </c>
      <c r="L2502" s="50">
        <f t="shared" si="325"/>
        <v>1.6622766813082286E-2</v>
      </c>
      <c r="P2502" s="50">
        <f t="shared" si="320"/>
        <v>1.6622766813082286E-2</v>
      </c>
      <c r="Q2502" s="51">
        <f t="shared" si="326"/>
        <v>58.63612781962668</v>
      </c>
      <c r="R2502" s="51">
        <f t="shared" si="327"/>
        <v>20.769371838639014</v>
      </c>
    </row>
    <row r="2503" spans="1:18" x14ac:dyDescent="0.15">
      <c r="A2503" s="59">
        <v>44539.75</v>
      </c>
      <c r="B2503">
        <v>42.853973000000003</v>
      </c>
      <c r="C2503">
        <v>537.89343299999996</v>
      </c>
      <c r="D2503">
        <v>224.27392599999999</v>
      </c>
      <c r="E2503">
        <v>172.212006</v>
      </c>
      <c r="F2503">
        <v>2026.1400149999999</v>
      </c>
      <c r="H2503" s="50">
        <f t="shared" si="321"/>
        <v>-1.7691669784470922E-2</v>
      </c>
      <c r="I2503" s="50">
        <f t="shared" si="322"/>
        <v>2.8715439678935221E-3</v>
      </c>
      <c r="J2503" s="50">
        <f t="shared" si="323"/>
        <v>1.7124181087529364E-2</v>
      </c>
      <c r="K2503" s="50">
        <f t="shared" si="324"/>
        <v>1.5595564728041442E-2</v>
      </c>
      <c r="L2503" s="50">
        <f t="shared" si="325"/>
        <v>-4.5152094248447697E-3</v>
      </c>
      <c r="P2503" s="50">
        <f t="shared" si="320"/>
        <v>-4.5152094248447697E-3</v>
      </c>
      <c r="Q2503" s="51">
        <f t="shared" si="326"/>
        <v>58.371373422659097</v>
      </c>
      <c r="R2503" s="51">
        <f t="shared" si="327"/>
        <v>20.401926970438922</v>
      </c>
    </row>
    <row r="2504" spans="1:18" x14ac:dyDescent="0.15">
      <c r="A2504" s="59">
        <v>44540.75</v>
      </c>
      <c r="B2504">
        <v>43.625785999999998</v>
      </c>
      <c r="C2504">
        <v>536.35327099999995</v>
      </c>
      <c r="D2504">
        <v>220.49807699999999</v>
      </c>
      <c r="E2504">
        <v>169.56750500000001</v>
      </c>
      <c r="F2504">
        <v>2035.329956</v>
      </c>
      <c r="H2504" s="50">
        <f t="shared" si="321"/>
        <v>-9.4520975805046873E-3</v>
      </c>
      <c r="I2504" s="50">
        <f t="shared" si="322"/>
        <v>2.1784456543518547E-2</v>
      </c>
      <c r="J2504" s="50">
        <f t="shared" si="323"/>
        <v>-4.7176613732245257E-3</v>
      </c>
      <c r="K2504" s="50">
        <f t="shared" si="324"/>
        <v>2.8150319814702705E-3</v>
      </c>
      <c r="L2504" s="50">
        <f t="shared" si="325"/>
        <v>1.6480800230309293E-2</v>
      </c>
      <c r="P2504" s="50">
        <f t="shared" si="320"/>
        <v>1.6480800230309293E-2</v>
      </c>
      <c r="Q2504" s="51">
        <f t="shared" si="326"/>
        <v>59.333380367206736</v>
      </c>
      <c r="R2504" s="51">
        <f t="shared" si="327"/>
        <v>20.209085965884004</v>
      </c>
    </row>
    <row r="2505" spans="1:18" x14ac:dyDescent="0.15">
      <c r="A2505" s="59">
        <v>44541.75</v>
      </c>
      <c r="B2505">
        <v>44.042076000000002</v>
      </c>
      <c r="C2505">
        <v>524.91821300000004</v>
      </c>
      <c r="D2505">
        <v>221.54324299999999</v>
      </c>
      <c r="E2505">
        <v>169.09150700000001</v>
      </c>
      <c r="F2505">
        <v>2002.329956</v>
      </c>
      <c r="H2505" s="50">
        <f t="shared" si="321"/>
        <v>-5.6939399744233496E-3</v>
      </c>
      <c r="I2505" s="50">
        <f t="shared" si="322"/>
        <v>-3.5615871383597904E-2</v>
      </c>
      <c r="J2505" s="50">
        <f t="shared" si="323"/>
        <v>-5.7891894570661958E-3</v>
      </c>
      <c r="K2505" s="50">
        <f t="shared" si="324"/>
        <v>-2.4368894505739241E-2</v>
      </c>
      <c r="L2505" s="50">
        <f t="shared" si="325"/>
        <v>6.3830717108631745E-3</v>
      </c>
      <c r="P2505" s="50">
        <f t="shared" si="320"/>
        <v>6.3830717108631745E-3</v>
      </c>
      <c r="Q2505" s="51">
        <f t="shared" si="326"/>
        <v>59.712109588938546</v>
      </c>
      <c r="R2505" s="51">
        <f t="shared" si="327"/>
        <v>20.0940166434563</v>
      </c>
    </row>
    <row r="2506" spans="1:18" x14ac:dyDescent="0.15">
      <c r="A2506" s="59">
        <v>44544.75</v>
      </c>
      <c r="B2506">
        <v>44.294285000000002</v>
      </c>
      <c r="C2506">
        <v>544.30407700000001</v>
      </c>
      <c r="D2506">
        <v>222.83326700000001</v>
      </c>
      <c r="E2506">
        <v>173.31500199999999</v>
      </c>
      <c r="F2506">
        <v>1989.630005</v>
      </c>
      <c r="H2506" s="50">
        <f t="shared" si="321"/>
        <v>1.6952652817596673E-2</v>
      </c>
      <c r="I2506" s="50">
        <f t="shared" si="322"/>
        <v>2.3252637617890419E-2</v>
      </c>
      <c r="J2506" s="50">
        <f t="shared" si="323"/>
        <v>5.2807174703652607E-2</v>
      </c>
      <c r="K2506" s="50">
        <f t="shared" si="324"/>
        <v>2.631594499569552E-2</v>
      </c>
      <c r="L2506" s="50">
        <f t="shared" si="325"/>
        <v>8.5617035623635068E-3</v>
      </c>
      <c r="P2506" s="50">
        <f t="shared" si="320"/>
        <v>8.5617035623635068E-3</v>
      </c>
      <c r="Q2506" s="51">
        <f t="shared" si="326"/>
        <v>60.223346970322403</v>
      </c>
      <c r="R2506" s="51">
        <f t="shared" si="327"/>
        <v>20.434663531323825</v>
      </c>
    </row>
    <row r="2507" spans="1:18" x14ac:dyDescent="0.15">
      <c r="A2507" s="59">
        <v>44545.75</v>
      </c>
      <c r="B2507">
        <v>43.555897000000002</v>
      </c>
      <c r="C2507">
        <v>531.93518100000006</v>
      </c>
      <c r="D2507">
        <v>211.656296</v>
      </c>
      <c r="E2507">
        <v>168.871002</v>
      </c>
      <c r="F2507">
        <v>1972.73999</v>
      </c>
      <c r="H2507" s="50">
        <f t="shared" si="321"/>
        <v>3.3081184965611556E-2</v>
      </c>
      <c r="I2507" s="50">
        <f t="shared" si="322"/>
        <v>9.1670301154114908E-3</v>
      </c>
      <c r="J2507" s="50">
        <f t="shared" si="323"/>
        <v>6.5826119174808963E-3</v>
      </c>
      <c r="K2507" s="50">
        <f t="shared" si="324"/>
        <v>-6.7434233917870595E-3</v>
      </c>
      <c r="L2507" s="50">
        <f t="shared" si="325"/>
        <v>-1.994645743225067E-2</v>
      </c>
      <c r="P2507" s="50">
        <f t="shared" si="320"/>
        <v>-1.994645743225067E-2</v>
      </c>
      <c r="Q2507" s="51">
        <f t="shared" si="326"/>
        <v>59.022104543551208</v>
      </c>
      <c r="R2507" s="51">
        <f t="shared" si="327"/>
        <v>21.110666415313588</v>
      </c>
    </row>
    <row r="2508" spans="1:18" x14ac:dyDescent="0.15">
      <c r="A2508" s="59">
        <v>44546.75</v>
      </c>
      <c r="B2508">
        <v>42.161155999999998</v>
      </c>
      <c r="C2508">
        <v>527.10320999999999</v>
      </c>
      <c r="D2508">
        <v>210.272156</v>
      </c>
      <c r="E2508">
        <v>170.01750200000001</v>
      </c>
      <c r="F2508">
        <v>2012.8900149999999</v>
      </c>
      <c r="H2508" s="50">
        <f t="shared" si="321"/>
        <v>-3.2329027390745647E-3</v>
      </c>
      <c r="I2508" s="50">
        <f t="shared" si="322"/>
        <v>-1.7315845981678065E-3</v>
      </c>
      <c r="J2508" s="50">
        <f t="shared" si="323"/>
        <v>1.8796552794494607E-2</v>
      </c>
      <c r="K2508" s="50">
        <f t="shared" si="324"/>
        <v>1.758753097599142E-2</v>
      </c>
      <c r="L2508" s="50">
        <f t="shared" si="325"/>
        <v>-2.3451999761812177E-2</v>
      </c>
      <c r="P2508" s="50">
        <f t="shared" si="320"/>
        <v>-2.3451999761812177E-2</v>
      </c>
      <c r="Q2508" s="51">
        <f t="shared" si="326"/>
        <v>57.637918161854188</v>
      </c>
      <c r="R2508" s="51">
        <f t="shared" si="327"/>
        <v>21.042417684035829</v>
      </c>
    </row>
    <row r="2509" spans="1:18" x14ac:dyDescent="0.15">
      <c r="A2509" s="59">
        <v>44547.75</v>
      </c>
      <c r="B2509">
        <v>42.297901000000003</v>
      </c>
      <c r="C2509">
        <v>528.017517</v>
      </c>
      <c r="D2509">
        <v>206.392685</v>
      </c>
      <c r="E2509">
        <v>167.07899499999999</v>
      </c>
      <c r="F2509">
        <v>2061.2299800000001</v>
      </c>
      <c r="H2509" s="50">
        <f t="shared" si="321"/>
        <v>-3.0081185565612547E-3</v>
      </c>
      <c r="I2509" s="50">
        <f t="shared" si="322"/>
        <v>5.7382971045624514E-3</v>
      </c>
      <c r="J2509" s="50">
        <f t="shared" si="323"/>
        <v>-3.9988354673663783E-3</v>
      </c>
      <c r="K2509" s="50">
        <f t="shared" si="324"/>
        <v>-1.9587317362051899E-2</v>
      </c>
      <c r="L2509" s="50">
        <f t="shared" si="325"/>
        <v>-4.5492586607236325E-3</v>
      </c>
      <c r="P2509" s="50">
        <f t="shared" si="320"/>
        <v>-4.5492586607236325E-3</v>
      </c>
      <c r="Q2509" s="51">
        <f t="shared" si="326"/>
        <v>57.375708363470295</v>
      </c>
      <c r="R2509" s="51">
        <f t="shared" si="327"/>
        <v>20.979119596925567</v>
      </c>
    </row>
    <row r="2510" spans="1:18" x14ac:dyDescent="0.15">
      <c r="A2510" s="59">
        <v>44548.75</v>
      </c>
      <c r="B2510">
        <v>42.425522000000001</v>
      </c>
      <c r="C2510">
        <v>525.00488299999995</v>
      </c>
      <c r="D2510">
        <v>207.221329</v>
      </c>
      <c r="E2510">
        <v>170.41700700000001</v>
      </c>
      <c r="F2510">
        <v>2070.6499020000001</v>
      </c>
      <c r="H2510" s="50">
        <f t="shared" si="321"/>
        <v>-1.2876345440858085E-3</v>
      </c>
      <c r="I2510" s="50">
        <f t="shared" si="322"/>
        <v>-7.7136354717038383E-3</v>
      </c>
      <c r="J2510" s="50">
        <f t="shared" si="323"/>
        <v>1.070093850506105E-2</v>
      </c>
      <c r="K2510" s="50">
        <f t="shared" si="324"/>
        <v>-3.6249231986366496E-3</v>
      </c>
      <c r="L2510" s="50">
        <f t="shared" si="325"/>
        <v>-3.795999524645129E-3</v>
      </c>
      <c r="P2510" s="50">
        <f t="shared" si="320"/>
        <v>-3.795999524645129E-3</v>
      </c>
      <c r="Q2510" s="51">
        <f t="shared" si="326"/>
        <v>57.157910201796383</v>
      </c>
      <c r="R2510" s="51">
        <f t="shared" si="327"/>
        <v>20.952106157828059</v>
      </c>
    </row>
    <row r="2511" spans="1:18" x14ac:dyDescent="0.15">
      <c r="A2511" s="59">
        <v>44551.75</v>
      </c>
      <c r="B2511">
        <v>42.480221</v>
      </c>
      <c r="C2511">
        <v>529.08605999999997</v>
      </c>
      <c r="D2511">
        <v>205.027344</v>
      </c>
      <c r="E2511">
        <v>171.037003</v>
      </c>
      <c r="F2511">
        <v>2078.540039</v>
      </c>
      <c r="H2511" s="50">
        <f t="shared" si="321"/>
        <v>2.2225254144544351E-3</v>
      </c>
      <c r="I2511" s="50">
        <f t="shared" si="322"/>
        <v>-1.2717198308337336E-3</v>
      </c>
      <c r="J2511" s="50">
        <f t="shared" si="323"/>
        <v>-1.4795656347258681E-2</v>
      </c>
      <c r="K2511" s="50">
        <f t="shared" si="324"/>
        <v>-1.8410169348719558E-4</v>
      </c>
      <c r="L2511" s="50">
        <f t="shared" si="325"/>
        <v>-1.7433173736913022E-3</v>
      </c>
      <c r="P2511" s="50">
        <f t="shared" si="320"/>
        <v>-1.7433173736913022E-3</v>
      </c>
      <c r="Q2511" s="51">
        <f t="shared" si="326"/>
        <v>57.058265823897706</v>
      </c>
      <c r="R2511" s="51">
        <f t="shared" si="327"/>
        <v>20.998672746250175</v>
      </c>
    </row>
    <row r="2512" spans="1:18" x14ac:dyDescent="0.15">
      <c r="A2512" s="59">
        <v>44552.75</v>
      </c>
      <c r="B2512">
        <v>42.386017000000002</v>
      </c>
      <c r="C2512">
        <v>529.75976600000001</v>
      </c>
      <c r="D2512">
        <v>208.106415</v>
      </c>
      <c r="E2512">
        <v>171.06849700000001</v>
      </c>
      <c r="F2512">
        <v>2082.169922</v>
      </c>
      <c r="H2512" s="50">
        <f t="shared" si="321"/>
        <v>-9.0225067484098979E-3</v>
      </c>
      <c r="I2512" s="50">
        <f t="shared" si="322"/>
        <v>-2.3249025049949162E-2</v>
      </c>
      <c r="J2512" s="50">
        <f t="shared" si="323"/>
        <v>-1.3788484841287377E-2</v>
      </c>
      <c r="K2512" s="50">
        <f t="shared" si="324"/>
        <v>8.2454539043685833E-3</v>
      </c>
      <c r="L2512" s="50">
        <f t="shared" si="325"/>
        <v>1.3931591460600076E-4</v>
      </c>
      <c r="P2512" s="50">
        <f t="shared" si="320"/>
        <v>1.3931591460600076E-4</v>
      </c>
      <c r="Q2512" s="51">
        <f t="shared" si="326"/>
        <v>57.066214948386794</v>
      </c>
      <c r="R2512" s="51">
        <f t="shared" si="327"/>
        <v>20.809212079689484</v>
      </c>
    </row>
    <row r="2513" spans="1:18" x14ac:dyDescent="0.15">
      <c r="A2513" s="59">
        <v>44553.75</v>
      </c>
      <c r="B2513">
        <v>42.771926999999998</v>
      </c>
      <c r="C2513">
        <v>542.36932400000001</v>
      </c>
      <c r="D2513">
        <v>211.016006</v>
      </c>
      <c r="E2513">
        <v>169.66949500000001</v>
      </c>
      <c r="F2513">
        <v>2081.8798830000001</v>
      </c>
      <c r="H2513" s="50">
        <f t="shared" si="321"/>
        <v>-1.4147759800697764E-2</v>
      </c>
      <c r="I2513" s="50">
        <f t="shared" si="322"/>
        <v>-2.0720668988522756E-3</v>
      </c>
      <c r="J2513" s="50">
        <f t="shared" si="323"/>
        <v>-3.6014525482274779E-3</v>
      </c>
      <c r="K2513" s="50">
        <f t="shared" si="324"/>
        <v>-5.8097633850078163E-3</v>
      </c>
      <c r="L2513" s="50">
        <f t="shared" si="325"/>
        <v>-3.2986575515862046E-3</v>
      </c>
      <c r="P2513" s="50">
        <f t="shared" si="320"/>
        <v>-3.2986575515862046E-3</v>
      </c>
      <c r="Q2513" s="51">
        <f t="shared" si="326"/>
        <v>56.877973047506856</v>
      </c>
      <c r="R2513" s="51">
        <f t="shared" si="327"/>
        <v>20.51480834554426</v>
      </c>
    </row>
    <row r="2514" spans="1:18" x14ac:dyDescent="0.15">
      <c r="A2514" s="59">
        <v>44555.75</v>
      </c>
      <c r="B2514">
        <v>43.385738000000003</v>
      </c>
      <c r="C2514">
        <v>543.49548300000004</v>
      </c>
      <c r="D2514">
        <v>211.778717</v>
      </c>
      <c r="E2514">
        <v>170.66099500000001</v>
      </c>
      <c r="F2514">
        <v>2088.7700199999999</v>
      </c>
      <c r="H2514" s="50">
        <f t="shared" si="321"/>
        <v>4.905860245385564E-4</v>
      </c>
      <c r="I2514" s="50">
        <f t="shared" si="322"/>
        <v>-5.5127384721591118E-3</v>
      </c>
      <c r="J2514" s="50">
        <f t="shared" si="323"/>
        <v>-1.3206372945501687E-2</v>
      </c>
      <c r="K2514" s="50">
        <f t="shared" si="324"/>
        <v>8.6287372148217412E-3</v>
      </c>
      <c r="L2514" s="50">
        <f t="shared" si="325"/>
        <v>-8.6103213068678677E-4</v>
      </c>
      <c r="P2514" s="50">
        <f t="shared" si="320"/>
        <v>-8.6103213068678677E-4</v>
      </c>
      <c r="Q2514" s="51">
        <f t="shared" si="326"/>
        <v>56.828999285184615</v>
      </c>
      <c r="R2514" s="51">
        <f t="shared" si="327"/>
        <v>20.524872623814669</v>
      </c>
    </row>
    <row r="2515" spans="1:18" x14ac:dyDescent="0.15">
      <c r="A2515" s="59">
        <v>44558.75</v>
      </c>
      <c r="B2515">
        <v>43.364463999999998</v>
      </c>
      <c r="C2515">
        <v>546.50824</v>
      </c>
      <c r="D2515">
        <v>214.612976</v>
      </c>
      <c r="E2515">
        <v>169.20100400000001</v>
      </c>
      <c r="F2515">
        <v>2090.570068</v>
      </c>
      <c r="H2515" s="50">
        <f t="shared" si="321"/>
        <v>-3.2129740359572233E-3</v>
      </c>
      <c r="I2515" s="50">
        <f t="shared" si="322"/>
        <v>6.8451820167633641E-3</v>
      </c>
      <c r="J2515" s="50">
        <f t="shared" si="323"/>
        <v>-1.7204971162113579E-2</v>
      </c>
      <c r="K2515" s="50">
        <f t="shared" si="324"/>
        <v>3.2998585586850571E-3</v>
      </c>
      <c r="L2515" s="50">
        <f t="shared" si="325"/>
        <v>4.9126202410956429E-3</v>
      </c>
      <c r="P2515" s="50">
        <f t="shared" si="320"/>
        <v>4.9126202410956429E-3</v>
      </c>
      <c r="Q2515" s="51">
        <f t="shared" si="326"/>
        <v>57.108178577354224</v>
      </c>
      <c r="R2515" s="51">
        <f t="shared" si="327"/>
        <v>20.458926740983024</v>
      </c>
    </row>
    <row r="2516" spans="1:18" x14ac:dyDescent="0.15">
      <c r="A2516" s="59">
        <v>44559.75</v>
      </c>
      <c r="B2516">
        <v>43.504241999999998</v>
      </c>
      <c r="C2516">
        <v>542.79272500000002</v>
      </c>
      <c r="D2516">
        <v>218.370026</v>
      </c>
      <c r="E2516">
        <v>168.64450099999999</v>
      </c>
      <c r="F2516">
        <v>2080.3500979999999</v>
      </c>
      <c r="H2516" s="50">
        <f t="shared" si="321"/>
        <v>-1.0505271354637307E-2</v>
      </c>
      <c r="I2516" s="50">
        <f t="shared" si="322"/>
        <v>-6.6761698970105232E-3</v>
      </c>
      <c r="J2516" s="50">
        <f t="shared" si="323"/>
        <v>2.0307260477367933E-3</v>
      </c>
      <c r="K2516" s="50">
        <f t="shared" si="324"/>
        <v>1.1561544760328687E-2</v>
      </c>
      <c r="L2516" s="50">
        <f t="shared" si="325"/>
        <v>1.0418280159789807E-2</v>
      </c>
      <c r="P2516" s="50">
        <f t="shared" si="320"/>
        <v>1.0418280159789807E-2</v>
      </c>
      <c r="Q2516" s="51">
        <f t="shared" si="326"/>
        <v>57.703147581188411</v>
      </c>
      <c r="R2516" s="51">
        <f t="shared" si="327"/>
        <v>20.244000163944353</v>
      </c>
    </row>
    <row r="2517" spans="1:18" x14ac:dyDescent="0.15">
      <c r="A2517" s="59">
        <v>44560.75</v>
      </c>
      <c r="B2517">
        <v>43.966118000000002</v>
      </c>
      <c r="C2517">
        <v>546.44085700000005</v>
      </c>
      <c r="D2517">
        <v>217.92747499999999</v>
      </c>
      <c r="E2517">
        <v>166.716995</v>
      </c>
      <c r="F2517">
        <v>2058.8999020000001</v>
      </c>
      <c r="H2517" s="50">
        <f t="shared" si="321"/>
        <v>2.766076139669656E-4</v>
      </c>
      <c r="I2517" s="50">
        <f t="shared" si="322"/>
        <v>1.7468414372529589E-3</v>
      </c>
      <c r="J2517" s="50">
        <f t="shared" si="323"/>
        <v>-2.1988234252622858E-3</v>
      </c>
      <c r="K2517" s="50">
        <f t="shared" si="324"/>
        <v>-2.1639687380312356E-2</v>
      </c>
      <c r="L2517" s="50">
        <f t="shared" si="325"/>
        <v>3.4007920350983211E-4</v>
      </c>
      <c r="P2517" s="50">
        <f t="shared" si="320"/>
        <v>3.4007920350983211E-4</v>
      </c>
      <c r="Q2517" s="51">
        <f t="shared" si="326"/>
        <v>57.72277122165783</v>
      </c>
      <c r="R2517" s="51">
        <f t="shared" si="327"/>
        <v>20.249599808526845</v>
      </c>
    </row>
    <row r="2518" spans="1:18" x14ac:dyDescent="0.15">
      <c r="A2518" s="59">
        <v>44562.75</v>
      </c>
      <c r="B2518">
        <v>43.953960000000002</v>
      </c>
      <c r="C2518">
        <v>545.487976</v>
      </c>
      <c r="D2518">
        <v>218.407715</v>
      </c>
      <c r="E2518">
        <v>170.404495</v>
      </c>
      <c r="F2518">
        <v>2058.1999510000001</v>
      </c>
      <c r="H2518" s="50">
        <f t="shared" si="321"/>
        <v>1.866196726113787E-2</v>
      </c>
      <c r="I2518" s="50">
        <f t="shared" si="322"/>
        <v>4.3955139382245824E-3</v>
      </c>
      <c r="J2518" s="50">
        <f t="shared" si="323"/>
        <v>-9.4801824507521615E-3</v>
      </c>
      <c r="K2518" s="50">
        <f t="shared" si="324"/>
        <v>1.720664717696806E-2</v>
      </c>
      <c r="L2518" s="50">
        <f t="shared" si="325"/>
        <v>1.8618414425170125E-2</v>
      </c>
      <c r="P2518" s="50">
        <f t="shared" si="320"/>
        <v>1.8618414425170125E-2</v>
      </c>
      <c r="Q2518" s="51">
        <f t="shared" si="326"/>
        <v>58.79747769803194</v>
      </c>
      <c r="R2518" s="51">
        <f t="shared" si="327"/>
        <v>20.627497177204717</v>
      </c>
    </row>
    <row r="2519" spans="1:18" x14ac:dyDescent="0.15">
      <c r="A2519" s="59">
        <v>44565.75</v>
      </c>
      <c r="B2519">
        <v>43.148719999999997</v>
      </c>
      <c r="C2519">
        <v>543.10076900000001</v>
      </c>
      <c r="D2519">
        <v>220.49807699999999</v>
      </c>
      <c r="E2519">
        <v>167.52200300000001</v>
      </c>
      <c r="F2519">
        <v>2020.579956</v>
      </c>
      <c r="H2519" s="50">
        <f t="shared" si="321"/>
        <v>-1.3340828049519625E-2</v>
      </c>
      <c r="I2519" s="50">
        <f t="shared" si="322"/>
        <v>2.6021944558772211E-2</v>
      </c>
      <c r="J2519" s="50">
        <f t="shared" si="323"/>
        <v>2.3201916000116313E-2</v>
      </c>
      <c r="K2519" s="50">
        <f t="shared" si="324"/>
        <v>1.9256910848242267E-2</v>
      </c>
      <c r="L2519" s="50">
        <f t="shared" si="325"/>
        <v>8.9732754428466441E-3</v>
      </c>
      <c r="P2519" s="50">
        <f t="shared" si="320"/>
        <v>8.9732754428466441E-3</v>
      </c>
      <c r="Q2519" s="51">
        <f t="shared" si="326"/>
        <v>59.325083660761017</v>
      </c>
      <c r="R2519" s="51">
        <f t="shared" si="327"/>
        <v>20.352309284271676</v>
      </c>
    </row>
    <row r="2520" spans="1:18" x14ac:dyDescent="0.15">
      <c r="A2520" s="59">
        <v>44566.75</v>
      </c>
      <c r="B2520">
        <v>43.732143000000001</v>
      </c>
      <c r="C2520">
        <v>529.32665999999995</v>
      </c>
      <c r="D2520">
        <v>215.498108</v>
      </c>
      <c r="E2520">
        <v>164.35699500000001</v>
      </c>
      <c r="F2520">
        <v>2002.6099850000001</v>
      </c>
      <c r="H2520" s="50">
        <f t="shared" si="321"/>
        <v>2.7871898643339614E-3</v>
      </c>
      <c r="I2520" s="50">
        <f t="shared" si="322"/>
        <v>2.184383674822899E-4</v>
      </c>
      <c r="J2520" s="50">
        <f t="shared" si="323"/>
        <v>-1.0762902308127504E-2</v>
      </c>
      <c r="K2520" s="50">
        <f t="shared" si="324"/>
        <v>6.7563245832424649E-3</v>
      </c>
      <c r="L2520" s="50">
        <f t="shared" si="325"/>
        <v>-1.149614429344613E-2</v>
      </c>
      <c r="P2520" s="50">
        <f t="shared" si="320"/>
        <v>-1.149614429344613E-2</v>
      </c>
      <c r="Q2520" s="51">
        <f t="shared" si="326"/>
        <v>58.643073938776141</v>
      </c>
      <c r="R2520" s="51">
        <f t="shared" si="327"/>
        <v>20.409035034424587</v>
      </c>
    </row>
    <row r="2521" spans="1:18" x14ac:dyDescent="0.15">
      <c r="A2521" s="59">
        <v>44567.75</v>
      </c>
      <c r="B2521">
        <v>43.610591999999997</v>
      </c>
      <c r="C2521">
        <v>529.21105999999997</v>
      </c>
      <c r="D2521">
        <v>217.84272799999999</v>
      </c>
      <c r="E2521">
        <v>163.253998</v>
      </c>
      <c r="F2521">
        <v>2025.900024</v>
      </c>
      <c r="H2521" s="50">
        <f t="shared" si="321"/>
        <v>-9.4552695741907146E-3</v>
      </c>
      <c r="I2521" s="50">
        <f t="shared" si="322"/>
        <v>2.5401610289044387E-2</v>
      </c>
      <c r="J2521" s="50">
        <f t="shared" si="323"/>
        <v>2.4698487982488279E-3</v>
      </c>
      <c r="K2521" s="50">
        <f t="shared" si="324"/>
        <v>4.306242822039159E-3</v>
      </c>
      <c r="L2521" s="50">
        <f t="shared" si="325"/>
        <v>-1.7573913934266727E-2</v>
      </c>
      <c r="P2521" s="50">
        <f t="shared" si="320"/>
        <v>-1.7573913934266727E-2</v>
      </c>
      <c r="Q2521" s="51">
        <f t="shared" si="326"/>
        <v>57.612485604535244</v>
      </c>
      <c r="R2521" s="51">
        <f t="shared" si="327"/>
        <v>20.216062106424999</v>
      </c>
    </row>
    <row r="2522" spans="1:18" x14ac:dyDescent="0.15">
      <c r="A2522" s="59">
        <v>44568.75</v>
      </c>
      <c r="B2522">
        <v>44.026878000000004</v>
      </c>
      <c r="C2522">
        <v>516.10125700000003</v>
      </c>
      <c r="D2522">
        <v>217.306015</v>
      </c>
      <c r="E2522">
        <v>162.554001</v>
      </c>
      <c r="F2522">
        <v>2062.139893</v>
      </c>
      <c r="H2522" s="50">
        <f t="shared" si="321"/>
        <v>1.9359922999981848E-3</v>
      </c>
      <c r="I2522" s="50">
        <f t="shared" si="322"/>
        <v>3.3500507957954562E-2</v>
      </c>
      <c r="J2522" s="50">
        <f t="shared" si="323"/>
        <v>1.477445492161121E-2</v>
      </c>
      <c r="K2522" s="50">
        <f t="shared" si="324"/>
        <v>6.6136324691245616E-3</v>
      </c>
      <c r="L2522" s="50">
        <f t="shared" si="325"/>
        <v>8.4750336216925463E-3</v>
      </c>
      <c r="P2522" s="50">
        <f t="shared" si="320"/>
        <v>8.4750336216925463E-3</v>
      </c>
      <c r="Q2522" s="51">
        <f t="shared" si="326"/>
        <v>58.100753357062956</v>
      </c>
      <c r="R2522" s="51">
        <f t="shared" si="327"/>
        <v>20.255200246999323</v>
      </c>
    </row>
    <row r="2523" spans="1:18" x14ac:dyDescent="0.15">
      <c r="A2523" s="59">
        <v>44569.75</v>
      </c>
      <c r="B2523">
        <v>43.941806999999997</v>
      </c>
      <c r="C2523">
        <v>499.37204000000003</v>
      </c>
      <c r="D2523">
        <v>214.14218099999999</v>
      </c>
      <c r="E2523">
        <v>161.48599200000001</v>
      </c>
      <c r="F2523">
        <v>2044.8100589999999</v>
      </c>
      <c r="H2523" s="50">
        <f t="shared" si="321"/>
        <v>2.843357082976802E-3</v>
      </c>
      <c r="I2523" s="50">
        <f t="shared" si="322"/>
        <v>-6.1873159319884279E-3</v>
      </c>
      <c r="J2523" s="50">
        <f t="shared" si="323"/>
        <v>-5.7121435829341524E-4</v>
      </c>
      <c r="K2523" s="50">
        <f t="shared" si="324"/>
        <v>-2.3439532661675505E-2</v>
      </c>
      <c r="L2523" s="50">
        <f t="shared" si="325"/>
        <v>8.1597275094922091E-3</v>
      </c>
      <c r="P2523" s="50">
        <f t="shared" si="320"/>
        <v>8.1597275094922091E-3</v>
      </c>
      <c r="Q2523" s="51">
        <f t="shared" si="326"/>
        <v>58.574839672552805</v>
      </c>
      <c r="R2523" s="51">
        <f t="shared" si="327"/>
        <v>20.312793014088744</v>
      </c>
    </row>
    <row r="2524" spans="1:18" x14ac:dyDescent="0.15">
      <c r="A2524" s="59">
        <v>44572.75</v>
      </c>
      <c r="B2524">
        <v>43.817219000000001</v>
      </c>
      <c r="C2524">
        <v>502.48104899999998</v>
      </c>
      <c r="D2524">
        <v>214.26457199999999</v>
      </c>
      <c r="E2524">
        <v>165.36199999999999</v>
      </c>
      <c r="F2524">
        <v>2028.26001</v>
      </c>
      <c r="H2524" s="50">
        <f t="shared" si="321"/>
        <v>5.2983180374286286E-3</v>
      </c>
      <c r="I2524" s="50">
        <f t="shared" si="322"/>
        <v>-7.1702517388587189E-3</v>
      </c>
      <c r="J2524" s="50">
        <f t="shared" si="323"/>
        <v>1.3721146336793383E-2</v>
      </c>
      <c r="K2524" s="50">
        <f t="shared" si="324"/>
        <v>9.3821084495083638E-4</v>
      </c>
      <c r="L2524" s="50">
        <f t="shared" si="325"/>
        <v>2.5852216353828292E-3</v>
      </c>
      <c r="P2524" s="50">
        <f t="shared" si="320"/>
        <v>2.5852216353828292E-3</v>
      </c>
      <c r="Q2524" s="51">
        <f t="shared" si="326"/>
        <v>58.726268615363367</v>
      </c>
      <c r="R2524" s="51">
        <f t="shared" si="327"/>
        <v>20.420416651705846</v>
      </c>
    </row>
    <row r="2525" spans="1:18" x14ac:dyDescent="0.15">
      <c r="A2525" s="59">
        <v>44573.75</v>
      </c>
      <c r="B2525">
        <v>43.586284999999997</v>
      </c>
      <c r="C2525">
        <v>506.10998499999999</v>
      </c>
      <c r="D2525">
        <v>211.36440999999999</v>
      </c>
      <c r="E2525">
        <v>165.20700099999999</v>
      </c>
      <c r="F2525">
        <v>2023.030029</v>
      </c>
      <c r="H2525" s="50">
        <f t="shared" si="321"/>
        <v>-1.3954758723075927E-2</v>
      </c>
      <c r="I2525" s="50">
        <f t="shared" si="322"/>
        <v>1.7257394028477584E-2</v>
      </c>
      <c r="J2525" s="50">
        <f t="shared" si="323"/>
        <v>-6.0222901058298748E-3</v>
      </c>
      <c r="K2525" s="50">
        <f t="shared" si="324"/>
        <v>2.4768294789277182E-2</v>
      </c>
      <c r="L2525" s="50">
        <f t="shared" si="325"/>
        <v>5.8470562793950867E-3</v>
      </c>
      <c r="P2525" s="50">
        <f t="shared" si="320"/>
        <v>5.8470562793950867E-3</v>
      </c>
      <c r="Q2525" s="51">
        <f t="shared" si="326"/>
        <v>59.069644413036272</v>
      </c>
      <c r="R2525" s="51">
        <f t="shared" si="327"/>
        <v>20.135454664306607</v>
      </c>
    </row>
    <row r="2526" spans="1:18" x14ac:dyDescent="0.15">
      <c r="A2526" s="59">
        <v>44574.75</v>
      </c>
      <c r="B2526">
        <v>44.203128999999997</v>
      </c>
      <c r="C2526">
        <v>497.52401700000001</v>
      </c>
      <c r="D2526">
        <v>212.64501999999999</v>
      </c>
      <c r="E2526">
        <v>161.21400499999999</v>
      </c>
      <c r="F2526">
        <v>2011.2700199999999</v>
      </c>
      <c r="H2526" s="50">
        <f t="shared" si="321"/>
        <v>2.8265000876502625E-3</v>
      </c>
      <c r="I2526" s="50">
        <f t="shared" si="322"/>
        <v>2.761490976724975E-2</v>
      </c>
      <c r="J2526" s="50">
        <f t="shared" si="323"/>
        <v>2.0009109256820753E-2</v>
      </c>
      <c r="K2526" s="50">
        <f t="shared" si="324"/>
        <v>-5.698818290592083E-3</v>
      </c>
      <c r="L2526" s="50">
        <f t="shared" si="325"/>
        <v>9.3341976289577668E-3</v>
      </c>
      <c r="P2526" s="50">
        <f t="shared" si="320"/>
        <v>9.3341976289577668E-3</v>
      </c>
      <c r="Q2526" s="51">
        <f t="shared" si="326"/>
        <v>59.621012147859815</v>
      </c>
      <c r="R2526" s="51">
        <f t="shared" si="327"/>
        <v>20.192367528680148</v>
      </c>
    </row>
    <row r="2527" spans="1:18" x14ac:dyDescent="0.15">
      <c r="A2527" s="59">
        <v>44575.75</v>
      </c>
      <c r="B2527">
        <v>44.078541000000001</v>
      </c>
      <c r="C2527">
        <v>484.15414399999997</v>
      </c>
      <c r="D2527">
        <v>208.473648</v>
      </c>
      <c r="E2527">
        <v>162.13800000000001</v>
      </c>
      <c r="F2527">
        <v>1992.670044</v>
      </c>
      <c r="H2527" s="50">
        <f t="shared" si="321"/>
        <v>1.7822269926395073E-2</v>
      </c>
      <c r="I2527" s="50">
        <f t="shared" si="322"/>
        <v>3.0569424570229736E-2</v>
      </c>
      <c r="J2527" s="50">
        <f t="shared" si="323"/>
        <v>6.3180044407161757E-3</v>
      </c>
      <c r="K2527" s="50">
        <f t="shared" si="324"/>
        <v>2.0265257640354497E-2</v>
      </c>
      <c r="L2527" s="50">
        <f t="shared" si="325"/>
        <v>-1.3246377384179317E-2</v>
      </c>
      <c r="P2527" s="50">
        <f t="shared" si="320"/>
        <v>-1.3246377384179317E-2</v>
      </c>
      <c r="Q2527" s="51">
        <f t="shared" si="326"/>
        <v>58.831249720922521</v>
      </c>
      <c r="R2527" s="51">
        <f t="shared" si="327"/>
        <v>20.55224135322926</v>
      </c>
    </row>
    <row r="2528" spans="1:18" x14ac:dyDescent="0.15">
      <c r="A2528" s="59">
        <v>44576.75</v>
      </c>
      <c r="B2528">
        <v>43.306716999999999</v>
      </c>
      <c r="C2528">
        <v>469.79284699999999</v>
      </c>
      <c r="D2528">
        <v>207.16478000000001</v>
      </c>
      <c r="E2528">
        <v>158.917496</v>
      </c>
      <c r="F2528">
        <v>2019.420044</v>
      </c>
      <c r="H2528" s="50">
        <f t="shared" si="321"/>
        <v>-9.8654915417675532E-3</v>
      </c>
      <c r="I2528" s="50">
        <f t="shared" si="322"/>
        <v>-4.2638798969654524E-3</v>
      </c>
      <c r="J2528" s="50">
        <f t="shared" si="323"/>
        <v>-1.7110494030115865E-2</v>
      </c>
      <c r="K2528" s="50">
        <f t="shared" si="324"/>
        <v>1.675314664209367E-2</v>
      </c>
      <c r="L2528" s="50">
        <f t="shared" si="325"/>
        <v>-1.5475537930680809E-3</v>
      </c>
      <c r="P2528" s="50">
        <f t="shared" si="320"/>
        <v>-1.5475537930680809E-3</v>
      </c>
      <c r="Q2528" s="51">
        <f t="shared" si="326"/>
        <v>58.740205197265972</v>
      </c>
      <c r="R2528" s="51">
        <f t="shared" si="327"/>
        <v>20.34948338999461</v>
      </c>
    </row>
    <row r="2529" spans="1:18" x14ac:dyDescent="0.15">
      <c r="A2529" s="59">
        <v>44580.75</v>
      </c>
      <c r="B2529">
        <v>43.738216000000001</v>
      </c>
      <c r="C2529">
        <v>471.80456500000003</v>
      </c>
      <c r="D2529">
        <v>210.77117899999999</v>
      </c>
      <c r="E2529">
        <v>156.29899599999999</v>
      </c>
      <c r="F2529">
        <v>2022.5500489999999</v>
      </c>
      <c r="H2529" s="50">
        <f t="shared" si="321"/>
        <v>1.9260640493250908E-2</v>
      </c>
      <c r="I2529" s="50">
        <f t="shared" si="322"/>
        <v>1.5202268025131967E-2</v>
      </c>
      <c r="J2529" s="50">
        <f t="shared" si="323"/>
        <v>9.5615679740294127E-3</v>
      </c>
      <c r="K2529" s="50">
        <f t="shared" si="324"/>
        <v>3.0537195655949832E-2</v>
      </c>
      <c r="L2529" s="50">
        <f t="shared" si="325"/>
        <v>-4.7093409953874663E-3</v>
      </c>
      <c r="P2529" s="50">
        <f t="shared" si="320"/>
        <v>-4.7093409953874663E-3</v>
      </c>
      <c r="Q2529" s="51">
        <f t="shared" si="326"/>
        <v>58.463577540853017</v>
      </c>
      <c r="R2529" s="51">
        <f t="shared" si="327"/>
        <v>20.741427473792676</v>
      </c>
    </row>
    <row r="2530" spans="1:18" x14ac:dyDescent="0.15">
      <c r="A2530" s="59">
        <v>44581.75</v>
      </c>
      <c r="B2530">
        <v>42.911709000000002</v>
      </c>
      <c r="C2530">
        <v>464.73947099999998</v>
      </c>
      <c r="D2530">
        <v>208.77496300000001</v>
      </c>
      <c r="E2530">
        <v>151.667496</v>
      </c>
      <c r="F2530">
        <v>2032.119995</v>
      </c>
      <c r="H2530" s="50">
        <f t="shared" si="321"/>
        <v>7.347285801330687E-3</v>
      </c>
      <c r="I2530" s="50">
        <f t="shared" si="322"/>
        <v>2.5124382956062323E-3</v>
      </c>
      <c r="J2530" s="50">
        <f t="shared" si="323"/>
        <v>2.057534521825706E-2</v>
      </c>
      <c r="K2530" s="50">
        <f t="shared" si="324"/>
        <v>6.3266270925798382E-2</v>
      </c>
      <c r="L2530" s="50">
        <f t="shared" si="325"/>
        <v>-1.5040064209546754E-2</v>
      </c>
      <c r="P2530" s="50">
        <f t="shared" si="320"/>
        <v>-1.5040064209546754E-2</v>
      </c>
      <c r="Q2530" s="51">
        <f t="shared" si="326"/>
        <v>57.584281580718773</v>
      </c>
      <c r="R2530" s="51">
        <f t="shared" si="327"/>
        <v>20.8938206693702</v>
      </c>
    </row>
    <row r="2531" spans="1:18" x14ac:dyDescent="0.15">
      <c r="A2531" s="59">
        <v>44582.75</v>
      </c>
      <c r="B2531">
        <v>42.598723999999997</v>
      </c>
      <c r="C2531">
        <v>463.57476800000001</v>
      </c>
      <c r="D2531">
        <v>204.56594799999999</v>
      </c>
      <c r="E2531">
        <v>142.64300499999999</v>
      </c>
      <c r="F2531">
        <v>2063.1499020000001</v>
      </c>
      <c r="H2531" s="50">
        <f t="shared" si="321"/>
        <v>-7.138201903144576E-5</v>
      </c>
      <c r="I2531" s="50">
        <f t="shared" si="322"/>
        <v>-1.4910946077472171E-2</v>
      </c>
      <c r="J2531" s="50">
        <f t="shared" si="323"/>
        <v>-1.509661425809956E-2</v>
      </c>
      <c r="K2531" s="50">
        <f t="shared" si="324"/>
        <v>-1.3151711043625067E-2</v>
      </c>
      <c r="L2531" s="50">
        <f t="shared" si="325"/>
        <v>5.5218457878929948E-3</v>
      </c>
      <c r="P2531" s="50">
        <f t="shared" si="320"/>
        <v>5.5218457878929948E-3</v>
      </c>
      <c r="Q2531" s="51">
        <f t="shared" si="326"/>
        <v>57.902253103414104</v>
      </c>
      <c r="R2531" s="51">
        <f t="shared" si="327"/>
        <v>20.892329226265538</v>
      </c>
    </row>
    <row r="2532" spans="1:18" x14ac:dyDescent="0.15">
      <c r="A2532" s="59">
        <v>44583.75</v>
      </c>
      <c r="B2532">
        <v>42.601765</v>
      </c>
      <c r="C2532">
        <v>470.59173600000003</v>
      </c>
      <c r="D2532">
        <v>207.701538</v>
      </c>
      <c r="E2532">
        <v>144.544006</v>
      </c>
      <c r="F2532">
        <v>2051.820068</v>
      </c>
      <c r="H2532" s="50">
        <f t="shared" si="321"/>
        <v>2.2238501109154794E-2</v>
      </c>
      <c r="I2532" s="50">
        <f t="shared" si="322"/>
        <v>2.4260405921918918E-2</v>
      </c>
      <c r="J2532" s="50">
        <f t="shared" si="323"/>
        <v>2.7482896135342869E-2</v>
      </c>
      <c r="K2532" s="50">
        <f t="shared" si="324"/>
        <v>3.2560500767819578E-2</v>
      </c>
      <c r="L2532" s="50">
        <f t="shared" si="325"/>
        <v>-2.5618809942950498E-3</v>
      </c>
      <c r="P2532" s="50">
        <f t="shared" si="320"/>
        <v>-2.5618809942950498E-3</v>
      </c>
      <c r="Q2532" s="51">
        <f t="shared" si="326"/>
        <v>57.753914421661612</v>
      </c>
      <c r="R2532" s="51">
        <f t="shared" si="327"/>
        <v>21.356943312936671</v>
      </c>
    </row>
    <row r="2533" spans="1:18" x14ac:dyDescent="0.15">
      <c r="A2533" s="59">
        <v>44586.75</v>
      </c>
      <c r="B2533">
        <v>41.674976000000001</v>
      </c>
      <c r="C2533">
        <v>459.445404</v>
      </c>
      <c r="D2533">
        <v>202.14598100000001</v>
      </c>
      <c r="E2533">
        <v>139.98599200000001</v>
      </c>
      <c r="F2533">
        <v>2057.0900879999999</v>
      </c>
      <c r="H2533" s="50">
        <f t="shared" si="321"/>
        <v>1.0312906754210592E-2</v>
      </c>
      <c r="I2533" s="50">
        <f t="shared" si="322"/>
        <v>-1.2720566813783871E-2</v>
      </c>
      <c r="J2533" s="50">
        <f t="shared" si="323"/>
        <v>1.4028483886516237E-2</v>
      </c>
      <c r="K2533" s="50">
        <f t="shared" si="324"/>
        <v>8.0181030516207948E-3</v>
      </c>
      <c r="L2533" s="50">
        <f t="shared" si="325"/>
        <v>1.3569529371088684E-2</v>
      </c>
      <c r="P2533" s="50">
        <f t="shared" si="320"/>
        <v>1.3569529371088684E-2</v>
      </c>
      <c r="Q2533" s="51">
        <f t="shared" si="326"/>
        <v>58.537607859701694</v>
      </c>
      <c r="R2533" s="51">
        <f t="shared" si="327"/>
        <v>21.577195477877947</v>
      </c>
    </row>
    <row r="2534" spans="1:18" x14ac:dyDescent="0.15">
      <c r="A2534" s="59">
        <v>44587.75</v>
      </c>
      <c r="B2534">
        <v>41.249572999999998</v>
      </c>
      <c r="C2534">
        <v>465.36511200000001</v>
      </c>
      <c r="D2534">
        <v>199.349411</v>
      </c>
      <c r="E2534">
        <v>138.87249800000001</v>
      </c>
      <c r="F2534">
        <v>2029.5500489999999</v>
      </c>
      <c r="H2534" s="50">
        <f t="shared" si="321"/>
        <v>-6.6225889152710907E-4</v>
      </c>
      <c r="I2534" s="50">
        <f t="shared" si="322"/>
        <v>1.9688376645818151E-3</v>
      </c>
      <c r="J2534" s="50">
        <f t="shared" si="323"/>
        <v>-2.2150590823068685E-3</v>
      </c>
      <c r="K2534" s="50">
        <f t="shared" si="324"/>
        <v>-5.4784639973888168E-3</v>
      </c>
      <c r="L2534" s="50">
        <f t="shared" si="325"/>
        <v>1.3680232616210512E-2</v>
      </c>
      <c r="P2534" s="50">
        <f t="shared" si="320"/>
        <v>1.3680232616210512E-2</v>
      </c>
      <c r="Q2534" s="51">
        <f t="shared" si="326"/>
        <v>59.33841595201892</v>
      </c>
      <c r="R2534" s="51">
        <f t="shared" si="327"/>
        <v>21.562905788318503</v>
      </c>
    </row>
    <row r="2535" spans="1:18" x14ac:dyDescent="0.15">
      <c r="A2535" s="59">
        <v>44588.75</v>
      </c>
      <c r="B2535">
        <v>41.276909000000003</v>
      </c>
      <c r="C2535">
        <v>464.45068400000002</v>
      </c>
      <c r="D2535">
        <v>199.79196200000001</v>
      </c>
      <c r="E2535">
        <v>139.637497</v>
      </c>
      <c r="F2535">
        <v>2002.160034</v>
      </c>
      <c r="H2535" s="50">
        <f t="shared" si="321"/>
        <v>-1.2216551268663268E-2</v>
      </c>
      <c r="I2535" s="50">
        <f t="shared" si="322"/>
        <v>-2.0124660424221098E-2</v>
      </c>
      <c r="J2535" s="50">
        <f t="shared" si="323"/>
        <v>-2.5221714751702956E-2</v>
      </c>
      <c r="K2535" s="50">
        <f t="shared" si="324"/>
        <v>-3.014696752587822E-2</v>
      </c>
      <c r="L2535" s="50">
        <f t="shared" si="325"/>
        <v>-9.4446337662337683E-3</v>
      </c>
      <c r="P2535" s="50">
        <f t="shared" si="320"/>
        <v>-9.4446337662337683E-3</v>
      </c>
      <c r="Q2535" s="51">
        <f t="shared" si="326"/>
        <v>58.777986345083661</v>
      </c>
      <c r="R2535" s="51">
        <f t="shared" si="327"/>
        <v>21.299481444254152</v>
      </c>
    </row>
    <row r="2536" spans="1:18" x14ac:dyDescent="0.15">
      <c r="A2536" s="59">
        <v>44589.75</v>
      </c>
      <c r="B2536">
        <v>41.787407000000002</v>
      </c>
      <c r="C2536">
        <v>473.98956299999998</v>
      </c>
      <c r="D2536">
        <v>204.96144100000001</v>
      </c>
      <c r="E2536">
        <v>143.97799699999999</v>
      </c>
      <c r="F2536">
        <v>2021.25</v>
      </c>
      <c r="H2536" s="50">
        <f t="shared" si="321"/>
        <v>-1.6379393886867009E-2</v>
      </c>
      <c r="I2536" s="50">
        <f t="shared" si="322"/>
        <v>-2.514213185378741E-2</v>
      </c>
      <c r="J2536" s="50">
        <f t="shared" si="323"/>
        <v>-1.2520921210713014E-2</v>
      </c>
      <c r="K2536" s="50">
        <f t="shared" si="324"/>
        <v>-3.7409734513002196E-2</v>
      </c>
      <c r="L2536" s="50">
        <f t="shared" si="325"/>
        <v>1.3162978326522815E-2</v>
      </c>
      <c r="P2536" s="50">
        <f t="shared" si="320"/>
        <v>1.3162978326522815E-2</v>
      </c>
      <c r="Q2536" s="51">
        <f t="shared" si="326"/>
        <v>59.551679705420653</v>
      </c>
      <c r="R2536" s="51">
        <f t="shared" si="327"/>
        <v>20.950608848092699</v>
      </c>
    </row>
    <row r="2537" spans="1:18" x14ac:dyDescent="0.15">
      <c r="A2537" s="59">
        <v>44590.75</v>
      </c>
      <c r="B2537">
        <v>42.483257000000002</v>
      </c>
      <c r="C2537">
        <v>486.21402</v>
      </c>
      <c r="D2537">
        <v>207.56028699999999</v>
      </c>
      <c r="E2537">
        <v>149.57350199999999</v>
      </c>
      <c r="F2537">
        <v>1994.98999</v>
      </c>
      <c r="H2537" s="50">
        <f t="shared" si="321"/>
        <v>-7.8063399537174165E-3</v>
      </c>
      <c r="I2537" s="50">
        <f t="shared" si="322"/>
        <v>-6.4514121188854754E-3</v>
      </c>
      <c r="J2537" s="50">
        <f t="shared" si="323"/>
        <v>5.473725316274226E-3</v>
      </c>
      <c r="K2537" s="50">
        <f t="shared" si="324"/>
        <v>-1.0714713477392597E-2</v>
      </c>
      <c r="L2537" s="50">
        <f t="shared" si="325"/>
        <v>-1.2796588716192723E-2</v>
      </c>
      <c r="P2537" s="50">
        <f t="shared" si="320"/>
        <v>-1.2796588716192723E-2</v>
      </c>
      <c r="Q2537" s="51">
        <f t="shared" si="326"/>
        <v>58.789621352871947</v>
      </c>
      <c r="R2537" s="51">
        <f t="shared" si="327"/>
        <v>20.787061273187128</v>
      </c>
    </row>
    <row r="2538" spans="1:18" x14ac:dyDescent="0.15">
      <c r="A2538" s="59">
        <v>44593.75</v>
      </c>
      <c r="B2538">
        <v>42.817504999999997</v>
      </c>
      <c r="C2538">
        <v>489.37115499999999</v>
      </c>
      <c r="D2538">
        <v>206.43034399999999</v>
      </c>
      <c r="E2538">
        <v>151.19349700000001</v>
      </c>
      <c r="F2538">
        <v>2020.849976</v>
      </c>
      <c r="H2538" s="50">
        <f t="shared" si="321"/>
        <v>4.2596516940918459E-4</v>
      </c>
      <c r="I2538" s="50">
        <f t="shared" si="322"/>
        <v>-2.6071987576738388E-2</v>
      </c>
      <c r="J2538" s="50">
        <f t="shared" si="323"/>
        <v>7.4446831654951477E-3</v>
      </c>
      <c r="K2538" s="50">
        <f t="shared" si="324"/>
        <v>3.85754162786873E-3</v>
      </c>
      <c r="L2538" s="50">
        <f t="shared" si="325"/>
        <v>-1.4233963691855776E-2</v>
      </c>
      <c r="P2538" s="50">
        <f t="shared" si="320"/>
        <v>-1.4233963691855776E-2</v>
      </c>
      <c r="Q2538" s="51">
        <f t="shared" si="326"/>
        <v>57.952812017077214</v>
      </c>
      <c r="R2538" s="51">
        <f t="shared" si="327"/>
        <v>20.79591583726388</v>
      </c>
    </row>
    <row r="2539" spans="1:18" x14ac:dyDescent="0.15">
      <c r="A2539" s="59">
        <v>44594.75</v>
      </c>
      <c r="B2539">
        <v>42.799273999999997</v>
      </c>
      <c r="C2539">
        <v>502.471588</v>
      </c>
      <c r="D2539">
        <v>204.90489199999999</v>
      </c>
      <c r="E2539">
        <v>150.612503</v>
      </c>
      <c r="F2539">
        <v>2050.030029</v>
      </c>
      <c r="H2539" s="50">
        <f t="shared" si="321"/>
        <v>-9.9290851656788962E-4</v>
      </c>
      <c r="I2539" s="50">
        <f t="shared" si="322"/>
        <v>-1.0347022691919766E-3</v>
      </c>
      <c r="J2539" s="50">
        <f t="shared" si="323"/>
        <v>2.0588865217946471E-2</v>
      </c>
      <c r="K2539" s="50">
        <f t="shared" si="324"/>
        <v>8.4748858092309157E-2</v>
      </c>
      <c r="L2539" s="50">
        <f t="shared" si="325"/>
        <v>4.1733907540331128E-3</v>
      </c>
      <c r="P2539" s="50">
        <f t="shared" si="320"/>
        <v>4.1733907540331128E-3</v>
      </c>
      <c r="Q2539" s="51">
        <f t="shared" si="326"/>
        <v>58.194671746919504</v>
      </c>
      <c r="R2539" s="51">
        <f t="shared" si="327"/>
        <v>20.775267395319233</v>
      </c>
    </row>
    <row r="2540" spans="1:18" x14ac:dyDescent="0.15">
      <c r="A2540" s="59">
        <v>44595.75</v>
      </c>
      <c r="B2540">
        <v>42.841811999999997</v>
      </c>
      <c r="C2540">
        <v>502.99203499999999</v>
      </c>
      <c r="D2540">
        <v>200.77124000000001</v>
      </c>
      <c r="E2540">
        <v>138.845505</v>
      </c>
      <c r="F2540">
        <v>2041.51001</v>
      </c>
      <c r="H2540" s="50">
        <f t="shared" si="321"/>
        <v>1.1914219096380317E-2</v>
      </c>
      <c r="I2540" s="50">
        <f t="shared" si="322"/>
        <v>3.8478296184846733E-3</v>
      </c>
      <c r="J2540" s="50">
        <f t="shared" si="323"/>
        <v>-3.830913088740976E-3</v>
      </c>
      <c r="K2540" s="50">
        <f t="shared" si="324"/>
        <v>-0.11922133397330834</v>
      </c>
      <c r="L2540" s="50">
        <f t="shared" si="325"/>
        <v>-1.0186572637486431E-2</v>
      </c>
      <c r="P2540" s="50">
        <f t="shared" si="320"/>
        <v>-1.0186572637486431E-2</v>
      </c>
      <c r="Q2540" s="51">
        <f t="shared" si="326"/>
        <v>57.60186749605483</v>
      </c>
      <c r="R2540" s="51">
        <f t="shared" si="327"/>
        <v>21.022788482852953</v>
      </c>
    </row>
    <row r="2541" spans="1:18" x14ac:dyDescent="0.15">
      <c r="A2541" s="59">
        <v>44596.75</v>
      </c>
      <c r="B2541">
        <v>42.337395000000001</v>
      </c>
      <c r="C2541">
        <v>501.06402600000001</v>
      </c>
      <c r="D2541">
        <v>201.54333500000001</v>
      </c>
      <c r="E2541">
        <v>157.63949600000001</v>
      </c>
      <c r="F2541">
        <v>2062.5200199999999</v>
      </c>
      <c r="H2541" s="50">
        <f t="shared" si="321"/>
        <v>9.9303443916935272E-3</v>
      </c>
      <c r="I2541" s="50">
        <f t="shared" si="322"/>
        <v>7.5207848353741179E-3</v>
      </c>
      <c r="J2541" s="50">
        <f t="shared" si="323"/>
        <v>1.3015312372281998E-2</v>
      </c>
      <c r="K2541" s="50">
        <f t="shared" si="324"/>
        <v>-1.8742144617629678E-3</v>
      </c>
      <c r="L2541" s="50">
        <f t="shared" si="325"/>
        <v>3.4298963738059614E-3</v>
      </c>
      <c r="P2541" s="50">
        <f t="shared" si="320"/>
        <v>3.4298963738059614E-3</v>
      </c>
      <c r="Q2541" s="51">
        <f t="shared" si="326"/>
        <v>57.799435932504004</v>
      </c>
      <c r="R2541" s="51">
        <f t="shared" si="327"/>
        <v>21.231552012561412</v>
      </c>
    </row>
    <row r="2542" spans="1:18" x14ac:dyDescent="0.15">
      <c r="A2542" s="59">
        <v>44597.75</v>
      </c>
      <c r="B2542">
        <v>41.921104</v>
      </c>
      <c r="C2542">
        <v>497.32376099999999</v>
      </c>
      <c r="D2542">
        <v>198.95388800000001</v>
      </c>
      <c r="E2542">
        <v>157.93550099999999</v>
      </c>
      <c r="F2542">
        <v>2055.469971</v>
      </c>
      <c r="H2542" s="50">
        <f t="shared" si="321"/>
        <v>-2.1745651620925946E-4</v>
      </c>
      <c r="I2542" s="50">
        <f t="shared" si="322"/>
        <v>-1.0092903527489554E-2</v>
      </c>
      <c r="J2542" s="50">
        <f t="shared" si="323"/>
        <v>-7.7954781433159717E-3</v>
      </c>
      <c r="K2542" s="50">
        <f t="shared" si="324"/>
        <v>-2.1547126126961302E-2</v>
      </c>
      <c r="L2542" s="50">
        <f t="shared" si="325"/>
        <v>4.2653102214512129E-3</v>
      </c>
      <c r="P2542" s="50">
        <f t="shared" si="320"/>
        <v>4.2653102214512129E-3</v>
      </c>
      <c r="Q2542" s="51">
        <f t="shared" si="326"/>
        <v>58.045968457381022</v>
      </c>
      <c r="R2542" s="51">
        <f t="shared" si="327"/>
        <v>21.226935073227043</v>
      </c>
    </row>
    <row r="2543" spans="1:18" x14ac:dyDescent="0.15">
      <c r="A2543" s="59">
        <v>44600.75</v>
      </c>
      <c r="B2543">
        <v>41.930222000000001</v>
      </c>
      <c r="C2543">
        <v>502.39437900000001</v>
      </c>
      <c r="D2543">
        <v>200.51701399999999</v>
      </c>
      <c r="E2543">
        <v>161.413498</v>
      </c>
      <c r="F2543">
        <v>2046.73999</v>
      </c>
      <c r="H2543" s="50">
        <f t="shared" si="321"/>
        <v>2.1788251371410317E-3</v>
      </c>
      <c r="I2543" s="50">
        <f t="shared" si="322"/>
        <v>-1.4522487854908067E-2</v>
      </c>
      <c r="J2543" s="50">
        <f t="shared" si="323"/>
        <v>-1.7032802562686387E-2</v>
      </c>
      <c r="K2543" s="50">
        <f t="shared" si="324"/>
        <v>1.3896624866362544E-3</v>
      </c>
      <c r="L2543" s="50">
        <f t="shared" si="325"/>
        <v>-1.0562797398456784E-2</v>
      </c>
      <c r="P2543" s="50">
        <f t="shared" si="320"/>
        <v>-1.0562797398456784E-2</v>
      </c>
      <c r="Q2543" s="51">
        <f t="shared" si="326"/>
        <v>57.43284065276849</v>
      </c>
      <c r="R2543" s="51">
        <f t="shared" si="327"/>
        <v>21.273184852949051</v>
      </c>
    </row>
    <row r="2544" spans="1:18" x14ac:dyDescent="0.15">
      <c r="A2544" s="59">
        <v>44601.75</v>
      </c>
      <c r="B2544">
        <v>41.839061999999998</v>
      </c>
      <c r="C2544">
        <v>509.79791299999999</v>
      </c>
      <c r="D2544">
        <v>203.99156199999999</v>
      </c>
      <c r="E2544">
        <v>161.18949900000001</v>
      </c>
      <c r="F2544">
        <v>2068.5900879999999</v>
      </c>
      <c r="H2544" s="50">
        <f t="shared" si="321"/>
        <v>1.1831242305593235E-2</v>
      </c>
      <c r="I2544" s="50">
        <f t="shared" si="322"/>
        <v>1.9962249478049445E-2</v>
      </c>
      <c r="J2544" s="50">
        <f t="shared" si="323"/>
        <v>1.3093886171472131E-2</v>
      </c>
      <c r="K2544" s="50">
        <f t="shared" si="324"/>
        <v>1.3748157005908455E-2</v>
      </c>
      <c r="L2544" s="50">
        <f t="shared" si="325"/>
        <v>2.9034628048858824E-5</v>
      </c>
      <c r="P2544" s="50">
        <f t="shared" si="320"/>
        <v>2.9034628048858824E-5</v>
      </c>
      <c r="Q2544" s="51">
        <f t="shared" si="326"/>
        <v>57.43450819393464</v>
      </c>
      <c r="R2544" s="51">
        <f t="shared" si="327"/>
        <v>21.524873057555968</v>
      </c>
    </row>
    <row r="2545" spans="1:18" x14ac:dyDescent="0.15">
      <c r="A2545" s="59">
        <v>44602.75</v>
      </c>
      <c r="B2545">
        <v>41.349842000000002</v>
      </c>
      <c r="C2545">
        <v>499.82037400000002</v>
      </c>
      <c r="D2545">
        <v>201.355042</v>
      </c>
      <c r="E2545">
        <v>159.00349399999999</v>
      </c>
      <c r="F2545">
        <v>2068.530029</v>
      </c>
      <c r="H2545" s="50">
        <f t="shared" si="321"/>
        <v>5.5420778897572664E-3</v>
      </c>
      <c r="I2545" s="50">
        <f t="shared" si="322"/>
        <v>1.7285472973024602E-2</v>
      </c>
      <c r="J2545" s="50">
        <f t="shared" si="323"/>
        <v>1.0777154719251041E-2</v>
      </c>
      <c r="K2545" s="50">
        <f t="shared" si="324"/>
        <v>3.7248747587169451E-2</v>
      </c>
      <c r="L2545" s="50">
        <f t="shared" si="325"/>
        <v>-9.552378376162388E-3</v>
      </c>
      <c r="P2545" s="50">
        <f t="shared" si="320"/>
        <v>-9.552378376162388E-3</v>
      </c>
      <c r="Q2545" s="51">
        <f t="shared" si="326"/>
        <v>56.885872039817379</v>
      </c>
      <c r="R2545" s="51">
        <f t="shared" si="327"/>
        <v>21.644165580608082</v>
      </c>
    </row>
    <row r="2546" spans="1:18" x14ac:dyDescent="0.15">
      <c r="A2546" s="59">
        <v>44603.75</v>
      </c>
      <c r="B2546">
        <v>41.121941</v>
      </c>
      <c r="C2546">
        <v>491.32754499999999</v>
      </c>
      <c r="D2546">
        <v>199.208145</v>
      </c>
      <c r="E2546">
        <v>153.29350299999999</v>
      </c>
      <c r="F2546">
        <v>2088.4799800000001</v>
      </c>
      <c r="H2546" s="50">
        <f t="shared" si="321"/>
        <v>1.0302213022485551E-2</v>
      </c>
      <c r="I2546" s="50">
        <f t="shared" si="322"/>
        <v>6.1394554219283085E-3</v>
      </c>
      <c r="J2546" s="50">
        <f t="shared" si="323"/>
        <v>1.4335554939488517E-2</v>
      </c>
      <c r="K2546" s="50">
        <f t="shared" si="324"/>
        <v>-1.2074113152160145E-2</v>
      </c>
      <c r="L2546" s="50">
        <f t="shared" si="325"/>
        <v>-4.0582024905135407E-3</v>
      </c>
      <c r="P2546" s="50">
        <f t="shared" si="320"/>
        <v>-4.0582024905135407E-3</v>
      </c>
      <c r="Q2546" s="51">
        <f t="shared" si="326"/>
        <v>56.655017652230356</v>
      </c>
      <c r="R2546" s="51">
        <f t="shared" si="327"/>
        <v>21.867148385113452</v>
      </c>
    </row>
    <row r="2547" spans="1:18" x14ac:dyDescent="0.15">
      <c r="A2547" s="59">
        <v>44604.75</v>
      </c>
      <c r="B2547">
        <v>40.702613999999997</v>
      </c>
      <c r="C2547">
        <v>488.32946800000002</v>
      </c>
      <c r="D2547">
        <v>196.39274599999999</v>
      </c>
      <c r="E2547">
        <v>155.16700700000001</v>
      </c>
      <c r="F2547">
        <v>2096.98999</v>
      </c>
      <c r="H2547" s="50">
        <f t="shared" si="321"/>
        <v>-3.1258203172051103E-3</v>
      </c>
      <c r="I2547" s="50">
        <f t="shared" si="322"/>
        <v>-1.43211762243585E-2</v>
      </c>
      <c r="J2547" s="50">
        <f t="shared" si="323"/>
        <v>2.3651843419445879E-3</v>
      </c>
      <c r="K2547" s="50">
        <f t="shared" si="324"/>
        <v>-8.5840312130372239E-3</v>
      </c>
      <c r="L2547" s="50">
        <f t="shared" si="325"/>
        <v>-1.5950264526874511E-3</v>
      </c>
      <c r="P2547" s="50">
        <f t="shared" si="320"/>
        <v>-1.5950264526874511E-3</v>
      </c>
      <c r="Q2547" s="51">
        <f t="shared" si="326"/>
        <v>56.564651400397572</v>
      </c>
      <c r="R2547" s="51">
        <f t="shared" si="327"/>
        <v>21.798795608411925</v>
      </c>
    </row>
    <row r="2548" spans="1:18" x14ac:dyDescent="0.15">
      <c r="A2548" s="59">
        <v>44608.75</v>
      </c>
      <c r="B2548">
        <v>40.830241999999998</v>
      </c>
      <c r="C2548">
        <v>495.42453</v>
      </c>
      <c r="D2548">
        <v>195.929337</v>
      </c>
      <c r="E2548">
        <v>156.51049800000001</v>
      </c>
      <c r="F2548">
        <v>2100.3400879999999</v>
      </c>
      <c r="H2548" s="50">
        <f t="shared" si="321"/>
        <v>6.2907959096875059E-3</v>
      </c>
      <c r="I2548" s="50">
        <f t="shared" si="322"/>
        <v>2.966380269835229E-3</v>
      </c>
      <c r="J2548" s="50">
        <f t="shared" si="323"/>
        <v>-3.0315667133354761E-3</v>
      </c>
      <c r="K2548" s="50">
        <f t="shared" si="324"/>
        <v>-1.0056869272021282E-2</v>
      </c>
      <c r="L2548" s="50">
        <f t="shared" si="325"/>
        <v>3.1440791995906704E-4</v>
      </c>
      <c r="P2548" s="50">
        <f t="shared" si="320"/>
        <v>3.1440791995906704E-4</v>
      </c>
      <c r="Q2548" s="51">
        <f t="shared" si="326"/>
        <v>56.582435774787584</v>
      </c>
      <c r="R2548" s="51">
        <f t="shared" si="327"/>
        <v>21.935927382661436</v>
      </c>
    </row>
    <row r="2549" spans="1:18" x14ac:dyDescent="0.15">
      <c r="A2549" s="59">
        <v>44609.75</v>
      </c>
      <c r="B2549">
        <v>40.574992999999999</v>
      </c>
      <c r="C2549">
        <v>493.95925899999997</v>
      </c>
      <c r="D2549">
        <v>196.525116</v>
      </c>
      <c r="E2549">
        <v>158.100494</v>
      </c>
      <c r="F2549">
        <v>2099.679932</v>
      </c>
      <c r="H2549" s="50">
        <f t="shared" si="321"/>
        <v>-3.8522426127645185E-2</v>
      </c>
      <c r="I2549" s="50">
        <f t="shared" si="322"/>
        <v>-5.0680134097198237E-3</v>
      </c>
      <c r="J2549" s="50">
        <f t="shared" si="323"/>
        <v>1.8676479488509597E-2</v>
      </c>
      <c r="K2549" s="50">
        <f t="shared" si="324"/>
        <v>2.2295133212722178E-2</v>
      </c>
      <c r="L2549" s="50">
        <f t="shared" si="325"/>
        <v>1.0631867515774407E-3</v>
      </c>
      <c r="P2549" s="50">
        <f t="shared" si="320"/>
        <v>1.0631867515774407E-3</v>
      </c>
      <c r="Q2549" s="51">
        <f t="shared" si="326"/>
        <v>56.642593470875312</v>
      </c>
      <c r="R2549" s="51">
        <f t="shared" si="327"/>
        <v>21.090902240521469</v>
      </c>
    </row>
    <row r="2550" spans="1:18" x14ac:dyDescent="0.15">
      <c r="A2550" s="59">
        <v>44610.75</v>
      </c>
      <c r="B2550">
        <v>42.200665000000001</v>
      </c>
      <c r="C2550">
        <v>496.47540300000003</v>
      </c>
      <c r="D2550">
        <v>192.922012</v>
      </c>
      <c r="E2550">
        <v>154.65249600000001</v>
      </c>
      <c r="F2550">
        <v>2097.4499510000001</v>
      </c>
      <c r="H2550" s="50">
        <f t="shared" si="321"/>
        <v>6.4498346801025808E-3</v>
      </c>
      <c r="I2550" s="50">
        <f t="shared" si="322"/>
        <v>4.564550651402593E-3</v>
      </c>
      <c r="J2550" s="50">
        <f t="shared" si="323"/>
        <v>-1.9081917422185241E-3</v>
      </c>
      <c r="K2550" s="50">
        <f t="shared" si="324"/>
        <v>1.3440202006925214E-2</v>
      </c>
      <c r="L2550" s="50">
        <f t="shared" si="325"/>
        <v>-6.0892279304495664E-3</v>
      </c>
      <c r="P2550" s="50">
        <f t="shared" si="320"/>
        <v>-6.0892279304495664E-3</v>
      </c>
      <c r="Q2550" s="51">
        <f t="shared" si="326"/>
        <v>56.297683808659357</v>
      </c>
      <c r="R2550" s="51">
        <f t="shared" si="327"/>
        <v>21.226935073227036</v>
      </c>
    </row>
    <row r="2551" spans="1:18" x14ac:dyDescent="0.15">
      <c r="A2551" s="59">
        <v>44611.75</v>
      </c>
      <c r="B2551">
        <v>41.930222000000001</v>
      </c>
      <c r="C2551">
        <v>494.21951300000001</v>
      </c>
      <c r="D2551">
        <v>193.29084800000001</v>
      </c>
      <c r="E2551">
        <v>152.60150100000001</v>
      </c>
      <c r="F2551">
        <v>2110.3000489999999</v>
      </c>
      <c r="H2551" s="50">
        <f t="shared" si="321"/>
        <v>1.1286139570785163E-2</v>
      </c>
      <c r="I2551" s="50">
        <f t="shared" si="322"/>
        <v>2.0888885783974208E-2</v>
      </c>
      <c r="J2551" s="50">
        <f t="shared" si="323"/>
        <v>4.0947352394687282E-2</v>
      </c>
      <c r="K2551" s="50">
        <f t="shared" si="324"/>
        <v>1.6005633116584331E-2</v>
      </c>
      <c r="L2551" s="50">
        <f t="shared" si="325"/>
        <v>3.0343137126448265E-4</v>
      </c>
      <c r="P2551" s="50">
        <f t="shared" si="320"/>
        <v>3.0343137126448265E-4</v>
      </c>
      <c r="Q2551" s="51">
        <f t="shared" si="326"/>
        <v>56.314766292056433</v>
      </c>
      <c r="R2551" s="51">
        <f t="shared" si="327"/>
        <v>21.46650522512347</v>
      </c>
    </row>
    <row r="2552" spans="1:18" x14ac:dyDescent="0.15">
      <c r="A2552" s="59">
        <v>44614.75</v>
      </c>
      <c r="B2552">
        <v>41.462273000000003</v>
      </c>
      <c r="C2552">
        <v>484.107056</v>
      </c>
      <c r="D2552">
        <v>185.68743900000001</v>
      </c>
      <c r="E2552">
        <v>150.197495</v>
      </c>
      <c r="F2552">
        <v>2109.6599120000001</v>
      </c>
      <c r="H2552" s="50">
        <f t="shared" si="321"/>
        <v>1.0366582375781653E-2</v>
      </c>
      <c r="I2552" s="50">
        <f t="shared" si="322"/>
        <v>1.3972400961605491E-2</v>
      </c>
      <c r="J2552" s="50">
        <f t="shared" si="323"/>
        <v>3.3965192094327634E-2</v>
      </c>
      <c r="K2552" s="50">
        <f t="shared" si="324"/>
        <v>3.7082168023425656E-2</v>
      </c>
      <c r="L2552" s="50">
        <f t="shared" si="325"/>
        <v>-2.7511808454930365E-3</v>
      </c>
      <c r="P2552" s="50">
        <f t="shared" si="320"/>
        <v>-2.7511808454930365E-3</v>
      </c>
      <c r="Q2552" s="51">
        <f t="shared" si="326"/>
        <v>56.159834185715304</v>
      </c>
      <c r="R2552" s="51">
        <f t="shared" si="327"/>
        <v>21.689039519859861</v>
      </c>
    </row>
    <row r="2553" spans="1:18" x14ac:dyDescent="0.15">
      <c r="A2553" s="59">
        <v>44615.75</v>
      </c>
      <c r="B2553">
        <v>41.036861000000002</v>
      </c>
      <c r="C2553">
        <v>477.436127</v>
      </c>
      <c r="D2553">
        <v>179.58770799999999</v>
      </c>
      <c r="E2553">
        <v>144.82699600000001</v>
      </c>
      <c r="F2553">
        <v>2115.4799800000001</v>
      </c>
      <c r="H2553" s="50">
        <f t="shared" si="321"/>
        <v>3.8651765630335075E-3</v>
      </c>
      <c r="I2553" s="50">
        <f t="shared" si="322"/>
        <v>-2.0412104710539215E-2</v>
      </c>
      <c r="J2553" s="50">
        <f t="shared" si="323"/>
        <v>-8.6139130511011502E-3</v>
      </c>
      <c r="K2553" s="50">
        <f t="shared" si="324"/>
        <v>-4.3149393581450625E-2</v>
      </c>
      <c r="L2553" s="50">
        <f t="shared" si="325"/>
        <v>7.6631040750328033E-4</v>
      </c>
      <c r="P2553" s="50">
        <f t="shared" si="320"/>
        <v>7.6631040750328033E-4</v>
      </c>
      <c r="Q2553" s="51">
        <f t="shared" si="326"/>
        <v>56.202870051135477</v>
      </c>
      <c r="R2553" s="51">
        <f t="shared" si="327"/>
        <v>21.772871487086732</v>
      </c>
    </row>
    <row r="2554" spans="1:18" x14ac:dyDescent="0.15">
      <c r="A2554" s="59">
        <v>44616.75</v>
      </c>
      <c r="B2554">
        <v>40.878857000000004</v>
      </c>
      <c r="C2554">
        <v>487.38467400000002</v>
      </c>
      <c r="D2554">
        <v>181.14810199999999</v>
      </c>
      <c r="E2554">
        <v>151.358002</v>
      </c>
      <c r="F2554">
        <v>2113.860107</v>
      </c>
      <c r="H2554" s="50">
        <f t="shared" si="321"/>
        <v>-1.3564947102388931E-2</v>
      </c>
      <c r="I2554" s="50">
        <f t="shared" si="322"/>
        <v>-2.3014963266953695E-2</v>
      </c>
      <c r="J2554" s="50">
        <f t="shared" si="323"/>
        <v>-3.8500096238576677E-2</v>
      </c>
      <c r="K2554" s="50">
        <f t="shared" si="324"/>
        <v>-1.5804146809470791E-2</v>
      </c>
      <c r="L2554" s="50">
        <f t="shared" si="325"/>
        <v>1.4782100186579289E-3</v>
      </c>
      <c r="P2554" s="50">
        <f t="shared" si="320"/>
        <v>1.4782100186579289E-3</v>
      </c>
      <c r="Q2554" s="51">
        <f t="shared" si="326"/>
        <v>56.28594969672239</v>
      </c>
      <c r="R2554" s="51">
        <f t="shared" si="327"/>
        <v>21.477523637097288</v>
      </c>
    </row>
    <row r="2555" spans="1:18" x14ac:dyDescent="0.15">
      <c r="A2555" s="59">
        <v>44617.75</v>
      </c>
      <c r="B2555">
        <v>41.441001999999997</v>
      </c>
      <c r="C2555">
        <v>498.86605800000001</v>
      </c>
      <c r="D2555">
        <v>188.40158099999999</v>
      </c>
      <c r="E2555">
        <v>153.788498</v>
      </c>
      <c r="F2555">
        <v>2110.73999</v>
      </c>
      <c r="H2555" s="50">
        <f t="shared" si="321"/>
        <v>9.0263798016890964E-3</v>
      </c>
      <c r="I2555" s="50">
        <f t="shared" si="322"/>
        <v>-3.3896188145432476E-3</v>
      </c>
      <c r="J2555" s="50">
        <f t="shared" si="323"/>
        <v>-2.7532935357603566E-3</v>
      </c>
      <c r="K2555" s="50">
        <f t="shared" si="324"/>
        <v>1.468413577009718E-3</v>
      </c>
      <c r="L2555" s="50">
        <f t="shared" si="325"/>
        <v>2.9650700879068825E-3</v>
      </c>
      <c r="P2555" s="50">
        <f t="shared" si="320"/>
        <v>2.9650700879068825E-3</v>
      </c>
      <c r="Q2555" s="51">
        <f t="shared" si="326"/>
        <v>56.452841482537572</v>
      </c>
      <c r="R2555" s="51">
        <f t="shared" si="327"/>
        <v>21.671387922645486</v>
      </c>
    </row>
    <row r="2556" spans="1:18" x14ac:dyDescent="0.15">
      <c r="A2556" s="59">
        <v>44618.75</v>
      </c>
      <c r="B2556">
        <v>41.070286000000003</v>
      </c>
      <c r="C2556">
        <v>500.56277499999999</v>
      </c>
      <c r="D2556">
        <v>188.921738</v>
      </c>
      <c r="E2556">
        <v>153.56300400000001</v>
      </c>
      <c r="F2556">
        <v>2104.5</v>
      </c>
      <c r="H2556" s="50">
        <f t="shared" si="321"/>
        <v>-6.1035032296450249E-3</v>
      </c>
      <c r="I2556" s="50">
        <f t="shared" si="322"/>
        <v>-7.0373615118286287E-3</v>
      </c>
      <c r="J2556" s="50">
        <f t="shared" si="323"/>
        <v>-8.9595586196453025E-2</v>
      </c>
      <c r="K2556" s="50">
        <f t="shared" si="324"/>
        <v>1.6018089161425574E-2</v>
      </c>
      <c r="L2556" s="50">
        <f t="shared" si="325"/>
        <v>-6.0876331952907968E-3</v>
      </c>
      <c r="P2556" s="50">
        <f t="shared" si="320"/>
        <v>-6.0876331952907968E-3</v>
      </c>
      <c r="Q2556" s="51">
        <f t="shared" si="326"/>
        <v>56.109177290759987</v>
      </c>
      <c r="R2556" s="51">
        <f t="shared" si="327"/>
        <v>21.539116536468729</v>
      </c>
    </row>
    <row r="2557" spans="1:18" x14ac:dyDescent="0.15">
      <c r="A2557" s="59">
        <v>44621.75</v>
      </c>
      <c r="B2557">
        <v>41.322498000000003</v>
      </c>
      <c r="C2557">
        <v>504.11038200000002</v>
      </c>
      <c r="D2557">
        <v>207.514084</v>
      </c>
      <c r="E2557">
        <v>151.141998</v>
      </c>
      <c r="F2557">
        <v>2117.389893</v>
      </c>
      <c r="H2557" s="50">
        <f t="shared" si="321"/>
        <v>-1.2483882145829673E-3</v>
      </c>
      <c r="I2557" s="50">
        <f t="shared" si="322"/>
        <v>-9.6019870200924617E-3</v>
      </c>
      <c r="J2557" s="50">
        <f t="shared" si="323"/>
        <v>-2.4322134684546491E-2</v>
      </c>
      <c r="K2557" s="50">
        <f t="shared" si="324"/>
        <v>-5.9881091732095796E-3</v>
      </c>
      <c r="L2557" s="50">
        <f t="shared" si="325"/>
        <v>4.5592347720265908E-3</v>
      </c>
      <c r="P2557" s="50">
        <f t="shared" si="320"/>
        <v>4.5592347720265908E-3</v>
      </c>
      <c r="Q2557" s="51">
        <f t="shared" si="326"/>
        <v>56.364992202893831</v>
      </c>
      <c r="R2557" s="51">
        <f t="shared" si="327"/>
        <v>21.512227357232074</v>
      </c>
    </row>
    <row r="2558" spans="1:18" x14ac:dyDescent="0.15">
      <c r="A2558" s="59">
        <v>44622.75</v>
      </c>
      <c r="B2558">
        <v>41.374149000000003</v>
      </c>
      <c r="C2558">
        <v>508.997772</v>
      </c>
      <c r="D2558">
        <v>212.68708799999999</v>
      </c>
      <c r="E2558">
        <v>152.052505</v>
      </c>
      <c r="F2558">
        <v>2107.780029</v>
      </c>
      <c r="H2558" s="50">
        <f t="shared" si="321"/>
        <v>-2.2471220429205196E-2</v>
      </c>
      <c r="I2558" s="50">
        <f t="shared" si="322"/>
        <v>-9.4737844783154852E-3</v>
      </c>
      <c r="J2558" s="50">
        <f t="shared" si="323"/>
        <v>4.7356866027523847E-3</v>
      </c>
      <c r="K2558" s="50">
        <f t="shared" si="324"/>
        <v>2.8086870577368132E-2</v>
      </c>
      <c r="L2558" s="50">
        <f t="shared" si="325"/>
        <v>4.4078473370275512E-3</v>
      </c>
      <c r="P2558" s="50">
        <f t="shared" si="320"/>
        <v>4.4078473370275512E-3</v>
      </c>
      <c r="Q2558" s="51">
        <f t="shared" si="326"/>
        <v>56.613440483676932</v>
      </c>
      <c r="R2558" s="51">
        <f t="shared" si="327"/>
        <v>21.028821354364535</v>
      </c>
    </row>
    <row r="2559" spans="1:18" x14ac:dyDescent="0.15">
      <c r="A2559" s="59">
        <v>44623.75</v>
      </c>
      <c r="B2559">
        <v>42.325248999999999</v>
      </c>
      <c r="C2559">
        <v>513.86602800000003</v>
      </c>
      <c r="D2559">
        <v>211.68461600000001</v>
      </c>
      <c r="E2559">
        <v>147.89849899999999</v>
      </c>
      <c r="F2559">
        <v>2098.530029</v>
      </c>
      <c r="H2559" s="50">
        <f t="shared" si="321"/>
        <v>-2.4716297227763414E-2</v>
      </c>
      <c r="I2559" s="50">
        <f t="shared" si="322"/>
        <v>1.4367162048448802E-2</v>
      </c>
      <c r="J2559" s="50">
        <f t="shared" si="323"/>
        <v>-1.1601916885052713E-3</v>
      </c>
      <c r="K2559" s="50">
        <f t="shared" si="324"/>
        <v>1.5500394167834726E-2</v>
      </c>
      <c r="L2559" s="50">
        <f t="shared" si="325"/>
        <v>-1.1946511981726045E-3</v>
      </c>
      <c r="P2559" s="50">
        <f t="shared" si="320"/>
        <v>-1.1946511981726045E-3</v>
      </c>
      <c r="Q2559" s="51">
        <f t="shared" si="326"/>
        <v>56.54580716917043</v>
      </c>
      <c r="R2559" s="51">
        <f t="shared" si="327"/>
        <v>20.509066755420523</v>
      </c>
    </row>
    <row r="2560" spans="1:18" x14ac:dyDescent="0.15">
      <c r="A2560" s="59">
        <v>44624.75</v>
      </c>
      <c r="B2560">
        <v>43.397883999999998</v>
      </c>
      <c r="C2560">
        <v>506.58779900000002</v>
      </c>
      <c r="D2560">
        <v>211.93049600000001</v>
      </c>
      <c r="E2560">
        <v>145.641006</v>
      </c>
      <c r="F2560">
        <v>2101.040039</v>
      </c>
      <c r="H2560" s="50">
        <f t="shared" si="321"/>
        <v>8.1172963103638713E-3</v>
      </c>
      <c r="I2560" s="50">
        <f t="shared" si="322"/>
        <v>-5.7143127772730611E-3</v>
      </c>
      <c r="J2560" s="50">
        <f t="shared" si="323"/>
        <v>6.1883965440334962E-2</v>
      </c>
      <c r="K2560" s="50">
        <f t="shared" si="324"/>
        <v>5.9569473356649832E-2</v>
      </c>
      <c r="L2560" s="50">
        <f t="shared" si="325"/>
        <v>1.4377735704944168E-2</v>
      </c>
      <c r="P2560" s="50">
        <f t="shared" si="320"/>
        <v>1.4377735704944168E-2</v>
      </c>
      <c r="Q2560" s="51">
        <f t="shared" si="326"/>
        <v>57.358807839871503</v>
      </c>
      <c r="R2560" s="51">
        <f t="shared" si="327"/>
        <v>20.675544927323305</v>
      </c>
    </row>
    <row r="2561" spans="1:18" x14ac:dyDescent="0.15">
      <c r="A2561" s="59">
        <v>44625.75</v>
      </c>
      <c r="B2561">
        <v>43.048447000000003</v>
      </c>
      <c r="C2561">
        <v>509.49923699999999</v>
      </c>
      <c r="D2561">
        <v>199.579712</v>
      </c>
      <c r="E2561">
        <v>137.453003</v>
      </c>
      <c r="F2561">
        <v>2071.26001</v>
      </c>
      <c r="H2561" s="50">
        <f t="shared" si="321"/>
        <v>2.1118682157647284E-2</v>
      </c>
      <c r="I2561" s="50">
        <f t="shared" si="322"/>
        <v>9.8595660624766213E-3</v>
      </c>
      <c r="J2561" s="50">
        <f t="shared" si="323"/>
        <v>1.0679563222534006E-2</v>
      </c>
      <c r="K2561" s="50">
        <f t="shared" si="324"/>
        <v>1.0576130061901542E-2</v>
      </c>
      <c r="L2561" s="50">
        <f t="shared" si="325"/>
        <v>-3.9289239200967904E-3</v>
      </c>
      <c r="P2561" s="50">
        <f t="shared" ref="P2561:P2624" si="328">(F2561-F2562)/F2562</f>
        <v>-3.9289239200967904E-3</v>
      </c>
      <c r="Q2561" s="51">
        <f t="shared" si="326"/>
        <v>57.133449447721198</v>
      </c>
      <c r="R2561" s="51">
        <f t="shared" si="327"/>
        <v>21.1121851890796</v>
      </c>
    </row>
    <row r="2562" spans="1:18" x14ac:dyDescent="0.15">
      <c r="A2562" s="59">
        <v>44628.75</v>
      </c>
      <c r="B2562">
        <v>42.158123000000003</v>
      </c>
      <c r="C2562">
        <v>504.52484099999998</v>
      </c>
      <c r="D2562">
        <v>197.47081</v>
      </c>
      <c r="E2562">
        <v>136.01449600000001</v>
      </c>
      <c r="F2562">
        <v>2079.429932</v>
      </c>
      <c r="H2562" s="50">
        <f t="shared" ref="H2562:H2625" si="329">(B2562-B2563)/B2563</f>
        <v>-5.1628119060222917E-3</v>
      </c>
      <c r="I2562" s="50">
        <f t="shared" ref="I2562:I2625" si="330">(C2562-C2563)/C2563</f>
        <v>-8.1304741866997533E-3</v>
      </c>
      <c r="J2562" s="50">
        <f t="shared" ref="J2562:J2625" si="331">(D2562-D2563)/D2563</f>
        <v>-3.3287135414724292E-2</v>
      </c>
      <c r="K2562" s="50">
        <f t="shared" ref="K2562:K2625" si="332">(E2562-E2563)/E2563</f>
        <v>-2.3438643556670379E-2</v>
      </c>
      <c r="L2562" s="50">
        <f t="shared" ref="L2562:L2625" si="333">(F2562-F2563)/F2563</f>
        <v>1.7253980810388946E-2</v>
      </c>
      <c r="P2562" s="50">
        <f t="shared" si="328"/>
        <v>1.7253980810388946E-2</v>
      </c>
      <c r="Q2562" s="51">
        <f t="shared" si="326"/>
        <v>58.119228888123502</v>
      </c>
      <c r="R2562" s="51">
        <f t="shared" si="327"/>
        <v>21.003186948023274</v>
      </c>
    </row>
    <row r="2563" spans="1:18" x14ac:dyDescent="0.15">
      <c r="A2563" s="59">
        <v>44629.75</v>
      </c>
      <c r="B2563">
        <v>42.376907000000003</v>
      </c>
      <c r="C2563">
        <v>508.66049199999998</v>
      </c>
      <c r="D2563">
        <v>204.270386</v>
      </c>
      <c r="E2563">
        <v>139.27900700000001</v>
      </c>
      <c r="F2563">
        <v>2044.160034</v>
      </c>
      <c r="H2563" s="50">
        <f t="shared" si="329"/>
        <v>-2.2225165861796969E-2</v>
      </c>
      <c r="I2563" s="50">
        <f t="shared" si="330"/>
        <v>-9.5170894394376055E-3</v>
      </c>
      <c r="J2563" s="50">
        <f t="shared" si="331"/>
        <v>5.6802982589957583E-3</v>
      </c>
      <c r="K2563" s="50">
        <f t="shared" si="332"/>
        <v>-5.1346043511637143E-2</v>
      </c>
      <c r="L2563" s="50">
        <f t="shared" si="333"/>
        <v>1.9213641626541992E-3</v>
      </c>
      <c r="P2563" s="50">
        <f t="shared" si="328"/>
        <v>1.9213641626541992E-3</v>
      </c>
      <c r="Q2563" s="51">
        <f t="shared" ref="Q2563:Q2626" si="334">Q2562*(1+P2563)</f>
        <v>58.230897091670229</v>
      </c>
      <c r="R2563" s="51">
        <f t="shared" ref="R2563:R2626" si="335">R2562*(1+H2563)</f>
        <v>20.536387634477126</v>
      </c>
    </row>
    <row r="2564" spans="1:18" x14ac:dyDescent="0.15">
      <c r="A2564" s="59">
        <v>44630.75</v>
      </c>
      <c r="B2564">
        <v>43.340148999999997</v>
      </c>
      <c r="C2564">
        <v>513.54797399999995</v>
      </c>
      <c r="D2564">
        <v>203.116623</v>
      </c>
      <c r="E2564">
        <v>146.81750500000001</v>
      </c>
      <c r="F2564">
        <v>2040.23999</v>
      </c>
      <c r="H2564" s="50">
        <f t="shared" si="329"/>
        <v>3.941580622520713E-3</v>
      </c>
      <c r="I2564" s="50">
        <f t="shared" si="330"/>
        <v>1.0048906168969706E-2</v>
      </c>
      <c r="J2564" s="50">
        <f t="shared" si="331"/>
        <v>3.7734979456061725E-2</v>
      </c>
      <c r="K2564" s="50">
        <f t="shared" si="332"/>
        <v>8.8850945833137476E-3</v>
      </c>
      <c r="L2564" s="50">
        <f t="shared" si="333"/>
        <v>-1.2444619477618711E-2</v>
      </c>
      <c r="P2564" s="50">
        <f t="shared" si="328"/>
        <v>-1.2444619477618711E-2</v>
      </c>
      <c r="Q2564" s="51">
        <f t="shared" si="334"/>
        <v>57.506235735524022</v>
      </c>
      <c r="R2564" s="51">
        <f t="shared" si="335"/>
        <v>20.617333462033756</v>
      </c>
    </row>
    <row r="2565" spans="1:18" x14ac:dyDescent="0.15">
      <c r="A2565" s="59">
        <v>44631.75</v>
      </c>
      <c r="B2565">
        <v>43.169991000000003</v>
      </c>
      <c r="C2565">
        <v>508.43872099999999</v>
      </c>
      <c r="D2565">
        <v>195.730728</v>
      </c>
      <c r="E2565">
        <v>145.524506</v>
      </c>
      <c r="F2565">
        <v>2065.9499510000001</v>
      </c>
      <c r="H2565" s="50">
        <f t="shared" si="329"/>
        <v>-1.3745200916730522E-2</v>
      </c>
      <c r="I2565" s="50">
        <f t="shared" si="330"/>
        <v>2.7949795102025039E-3</v>
      </c>
      <c r="J2565" s="50">
        <f t="shared" si="331"/>
        <v>-8.574434162032402E-3</v>
      </c>
      <c r="K2565" s="50">
        <f t="shared" si="332"/>
        <v>2.5882491576825938E-2</v>
      </c>
      <c r="L2565" s="50">
        <f t="shared" si="333"/>
        <v>6.1118387060290916E-3</v>
      </c>
      <c r="P2565" s="50">
        <f t="shared" si="328"/>
        <v>6.1118387060290916E-3</v>
      </c>
      <c r="Q2565" s="51">
        <f t="shared" si="334"/>
        <v>57.85770457293043</v>
      </c>
      <c r="R2565" s="51">
        <f t="shared" si="335"/>
        <v>20.333944071230871</v>
      </c>
    </row>
    <row r="2566" spans="1:18" x14ac:dyDescent="0.15">
      <c r="A2566" s="59">
        <v>44632.75</v>
      </c>
      <c r="B2566">
        <v>43.771641000000002</v>
      </c>
      <c r="C2566">
        <v>507.02160600000002</v>
      </c>
      <c r="D2566">
        <v>197.42352299999999</v>
      </c>
      <c r="E2566">
        <v>141.85299699999999</v>
      </c>
      <c r="F2566">
        <v>2053.3999020000001</v>
      </c>
      <c r="H2566" s="50">
        <f t="shared" si="329"/>
        <v>-1.1867261793594718E-2</v>
      </c>
      <c r="I2566" s="50">
        <f t="shared" si="330"/>
        <v>-3.0185286911501651E-2</v>
      </c>
      <c r="J2566" s="50">
        <f t="shared" si="331"/>
        <v>-3.0601392045701444E-2</v>
      </c>
      <c r="K2566" s="50">
        <f t="shared" si="332"/>
        <v>-3.7413550315617605E-2</v>
      </c>
      <c r="L2566" s="50">
        <f t="shared" si="333"/>
        <v>-1.33529566199263E-2</v>
      </c>
      <c r="P2566" s="50">
        <f t="shared" si="328"/>
        <v>-1.33529566199263E-2</v>
      </c>
      <c r="Q2566" s="51">
        <f t="shared" si="334"/>
        <v>57.085133153639582</v>
      </c>
      <c r="R2566" s="51">
        <f t="shared" si="335"/>
        <v>20.09263583364126</v>
      </c>
    </row>
    <row r="2567" spans="1:18" x14ac:dyDescent="0.15">
      <c r="A2567" s="59">
        <v>44635.75</v>
      </c>
      <c r="B2567">
        <v>44.297328999999998</v>
      </c>
      <c r="C2567">
        <v>522.80255099999999</v>
      </c>
      <c r="D2567">
        <v>203.65566999999999</v>
      </c>
      <c r="E2567">
        <v>147.366501</v>
      </c>
      <c r="F2567">
        <v>2081.1899410000001</v>
      </c>
      <c r="H2567" s="50">
        <f t="shared" si="329"/>
        <v>2.9585438427990134E-3</v>
      </c>
      <c r="I2567" s="50">
        <f t="shared" si="330"/>
        <v>-1.9687749777427708E-3</v>
      </c>
      <c r="J2567" s="50">
        <f t="shared" si="331"/>
        <v>-1.1131110963684386E-3</v>
      </c>
      <c r="K2567" s="50">
        <f t="shared" si="332"/>
        <v>-3.747454573428402E-2</v>
      </c>
      <c r="L2567" s="50">
        <f t="shared" si="333"/>
        <v>3.3312339237683885E-3</v>
      </c>
      <c r="P2567" s="50">
        <f t="shared" si="328"/>
        <v>3.3312339237683885E-3</v>
      </c>
      <c r="Q2567" s="51">
        <f t="shared" si="334"/>
        <v>57.275297085743816</v>
      </c>
      <c r="R2567" s="51">
        <f t="shared" si="335"/>
        <v>20.152080777672484</v>
      </c>
    </row>
    <row r="2568" spans="1:18" x14ac:dyDescent="0.15">
      <c r="A2568" s="59">
        <v>44636.75</v>
      </c>
      <c r="B2568">
        <v>44.16666</v>
      </c>
      <c r="C2568">
        <v>523.83386199999995</v>
      </c>
      <c r="D2568">
        <v>203.88261399999999</v>
      </c>
      <c r="E2568">
        <v>153.104004</v>
      </c>
      <c r="F2568">
        <v>2074.280029</v>
      </c>
      <c r="H2568" s="50">
        <f t="shared" si="329"/>
        <v>-9.2408012256641938E-3</v>
      </c>
      <c r="I2568" s="50">
        <f t="shared" si="330"/>
        <v>-1.7004770709041148E-2</v>
      </c>
      <c r="J2568" s="50">
        <f t="shared" si="331"/>
        <v>-2.2843763199354165E-2</v>
      </c>
      <c r="K2568" s="50">
        <f t="shared" si="332"/>
        <v>-2.6297509222235095E-2</v>
      </c>
      <c r="L2568" s="50">
        <f t="shared" si="333"/>
        <v>-1.2012370088116212E-2</v>
      </c>
      <c r="P2568" s="50">
        <f t="shared" si="328"/>
        <v>-1.2012370088116212E-2</v>
      </c>
      <c r="Q2568" s="51">
        <f t="shared" si="334"/>
        <v>56.587285020243058</v>
      </c>
      <c r="R2568" s="51">
        <f t="shared" si="335"/>
        <v>19.965859404922487</v>
      </c>
    </row>
    <row r="2569" spans="1:18" x14ac:dyDescent="0.15">
      <c r="A2569" s="59">
        <v>44637.75</v>
      </c>
      <c r="B2569">
        <v>44.578601999999997</v>
      </c>
      <c r="C2569">
        <v>532.89562999999998</v>
      </c>
      <c r="D2569">
        <v>208.64894100000001</v>
      </c>
      <c r="E2569">
        <v>157.23899800000001</v>
      </c>
      <c r="F2569">
        <v>2099.5</v>
      </c>
      <c r="H2569" s="50">
        <f t="shared" si="329"/>
        <v>-2.9565791865960849E-3</v>
      </c>
      <c r="I2569" s="50">
        <f t="shared" si="330"/>
        <v>-1.5249099005594175E-2</v>
      </c>
      <c r="J2569" s="50">
        <f t="shared" si="331"/>
        <v>-2.3977059616260912E-2</v>
      </c>
      <c r="K2569" s="50">
        <f t="shared" si="332"/>
        <v>-2.4877478832562267E-2</v>
      </c>
      <c r="L2569" s="50">
        <f t="shared" si="333"/>
        <v>4.8964374647945553E-3</v>
      </c>
      <c r="P2569" s="50">
        <f t="shared" si="328"/>
        <v>4.8964374647945553E-3</v>
      </c>
      <c r="Q2569" s="51">
        <f t="shared" si="334"/>
        <v>56.864361122647189</v>
      </c>
      <c r="R2569" s="51">
        <f t="shared" si="335"/>
        <v>19.906828760563389</v>
      </c>
    </row>
    <row r="2570" spans="1:18" x14ac:dyDescent="0.15">
      <c r="A2570" s="59">
        <v>44638.75</v>
      </c>
      <c r="B2570">
        <v>44.710793000000002</v>
      </c>
      <c r="C2570">
        <v>541.14764400000001</v>
      </c>
      <c r="D2570">
        <v>213.77462800000001</v>
      </c>
      <c r="E2570">
        <v>161.25050400000001</v>
      </c>
      <c r="F2570">
        <v>2089.2700199999999</v>
      </c>
      <c r="H2570" s="50">
        <f t="shared" si="329"/>
        <v>8.3893074197890719E-3</v>
      </c>
      <c r="I2570" s="50">
        <f t="shared" si="330"/>
        <v>1.0476463546058443E-2</v>
      </c>
      <c r="J2570" s="50">
        <f t="shared" si="331"/>
        <v>1.3677257724810271E-2</v>
      </c>
      <c r="K2570" s="50">
        <f t="shared" si="332"/>
        <v>-1.4923200199866433E-3</v>
      </c>
      <c r="L2570" s="50">
        <f t="shared" si="333"/>
        <v>-8.9322504267536733E-3</v>
      </c>
      <c r="P2570" s="50">
        <f t="shared" si="328"/>
        <v>-8.9322504267536733E-3</v>
      </c>
      <c r="Q2570" s="51">
        <f t="shared" si="334"/>
        <v>56.356434408742345</v>
      </c>
      <c r="R2570" s="51">
        <f t="shared" si="335"/>
        <v>20.073833266788856</v>
      </c>
    </row>
    <row r="2571" spans="1:18" x14ac:dyDescent="0.15">
      <c r="A2571" s="59">
        <v>44639.75</v>
      </c>
      <c r="B2571">
        <v>44.338821000000003</v>
      </c>
      <c r="C2571">
        <v>535.53710899999999</v>
      </c>
      <c r="D2571">
        <v>210.89022800000001</v>
      </c>
      <c r="E2571">
        <v>161.491501</v>
      </c>
      <c r="F2571">
        <v>2108.1000979999999</v>
      </c>
      <c r="H2571" s="50">
        <f t="shared" si="329"/>
        <v>2.9902753729412531E-3</v>
      </c>
      <c r="I2571" s="50">
        <f t="shared" si="330"/>
        <v>-6.9535120747050471E-3</v>
      </c>
      <c r="J2571" s="50">
        <f t="shared" si="331"/>
        <v>1.0324022526902552E-3</v>
      </c>
      <c r="K2571" s="50">
        <f t="shared" si="332"/>
        <v>-2.0604811935068409E-2</v>
      </c>
      <c r="L2571" s="50">
        <f t="shared" si="333"/>
        <v>1.7487840528055249E-3</v>
      </c>
      <c r="P2571" s="50">
        <f t="shared" si="328"/>
        <v>1.7487840528055249E-3</v>
      </c>
      <c r="Q2571" s="51">
        <f t="shared" si="334"/>
        <v>56.454989642509332</v>
      </c>
      <c r="R2571" s="51">
        <f t="shared" si="335"/>
        <v>20.133859556047064</v>
      </c>
    </row>
    <row r="2572" spans="1:18" x14ac:dyDescent="0.15">
      <c r="A2572" s="59">
        <v>44642.75</v>
      </c>
      <c r="B2572">
        <v>44.206631000000002</v>
      </c>
      <c r="C2572">
        <v>539.28704800000003</v>
      </c>
      <c r="D2572">
        <v>210.672729</v>
      </c>
      <c r="E2572">
        <v>164.88900799999999</v>
      </c>
      <c r="F2572">
        <v>2104.419922</v>
      </c>
      <c r="H2572" s="50">
        <f t="shared" si="329"/>
        <v>1.3032750950555423E-2</v>
      </c>
      <c r="I2572" s="50">
        <f t="shared" si="330"/>
        <v>9.7467636970045256E-3</v>
      </c>
      <c r="J2572" s="50">
        <f t="shared" si="331"/>
        <v>2.7916146841903848E-2</v>
      </c>
      <c r="K2572" s="50">
        <f t="shared" si="332"/>
        <v>9.0632218415492363E-3</v>
      </c>
      <c r="L2572" s="50">
        <f t="shared" si="333"/>
        <v>6.1773473583552679E-3</v>
      </c>
      <c r="P2572" s="50">
        <f t="shared" si="328"/>
        <v>6.1773473583552679E-3</v>
      </c>
      <c r="Q2572" s="51">
        <f t="shared" si="334"/>
        <v>56.803731723643466</v>
      </c>
      <c r="R2572" s="51">
        <f t="shared" si="335"/>
        <v>20.396259133314487</v>
      </c>
    </row>
    <row r="2573" spans="1:18" x14ac:dyDescent="0.15">
      <c r="A2573" s="59">
        <v>44643.75</v>
      </c>
      <c r="B2573">
        <v>43.637909000000001</v>
      </c>
      <c r="C2573">
        <v>534.08148200000005</v>
      </c>
      <c r="D2573">
        <v>204.951279</v>
      </c>
      <c r="E2573">
        <v>163.408005</v>
      </c>
      <c r="F2573">
        <v>2091.5</v>
      </c>
      <c r="H2573" s="50">
        <f t="shared" si="329"/>
        <v>-6.1611622878118746E-3</v>
      </c>
      <c r="I2573" s="50">
        <f t="shared" si="330"/>
        <v>-7.3281996847460486E-3</v>
      </c>
      <c r="J2573" s="50">
        <f t="shared" si="331"/>
        <v>-1.4744031229300995E-3</v>
      </c>
      <c r="K2573" s="50">
        <f t="shared" si="332"/>
        <v>-1.4757209227383766E-3</v>
      </c>
      <c r="L2573" s="50">
        <f t="shared" si="333"/>
        <v>1.4773998823936398E-2</v>
      </c>
      <c r="P2573" s="50">
        <f t="shared" si="328"/>
        <v>1.4773998823936398E-2</v>
      </c>
      <c r="Q2573" s="51">
        <f t="shared" si="334"/>
        <v>57.642949989323775</v>
      </c>
      <c r="R2573" s="51">
        <f t="shared" si="335"/>
        <v>20.270594470729872</v>
      </c>
    </row>
    <row r="2574" spans="1:18" x14ac:dyDescent="0.15">
      <c r="A2574" s="59">
        <v>44644.75</v>
      </c>
      <c r="B2574">
        <v>43.908436000000002</v>
      </c>
      <c r="C2574">
        <v>538.02423099999999</v>
      </c>
      <c r="D2574">
        <v>205.253906</v>
      </c>
      <c r="E2574">
        <v>163.649506</v>
      </c>
      <c r="F2574">
        <v>2061.0500489999999</v>
      </c>
      <c r="H2574" s="50">
        <f t="shared" si="329"/>
        <v>-4.3218641609000675E-3</v>
      </c>
      <c r="I2574" s="50">
        <f t="shared" si="330"/>
        <v>4.3187475883434655E-3</v>
      </c>
      <c r="J2574" s="50">
        <f t="shared" si="331"/>
        <v>-7.1818061433434046E-3</v>
      </c>
      <c r="K2574" s="50">
        <f t="shared" si="332"/>
        <v>-6.821442809805141E-3</v>
      </c>
      <c r="L2574" s="50">
        <f t="shared" si="333"/>
        <v>2.3831662250079631E-3</v>
      </c>
      <c r="P2574" s="50">
        <f t="shared" si="328"/>
        <v>2.3831662250079631E-3</v>
      </c>
      <c r="Q2574" s="51">
        <f t="shared" si="334"/>
        <v>57.780322720848154</v>
      </c>
      <c r="R2574" s="51">
        <f t="shared" si="335"/>
        <v>20.182987714966686</v>
      </c>
    </row>
    <row r="2575" spans="1:18" x14ac:dyDescent="0.15">
      <c r="A2575" s="59">
        <v>44645.75</v>
      </c>
      <c r="B2575">
        <v>44.099026000000002</v>
      </c>
      <c r="C2575">
        <v>535.71063200000003</v>
      </c>
      <c r="D2575">
        <v>206.738663</v>
      </c>
      <c r="E2575">
        <v>164.77349899999999</v>
      </c>
      <c r="F2575">
        <v>2056.1499020000001</v>
      </c>
      <c r="H2575" s="50">
        <f t="shared" si="329"/>
        <v>-1.7465876682871816E-2</v>
      </c>
      <c r="I2575" s="50">
        <f t="shared" si="330"/>
        <v>-1.6807977327766625E-2</v>
      </c>
      <c r="J2575" s="50">
        <f t="shared" si="331"/>
        <v>-4.145318883363132E-3</v>
      </c>
      <c r="K2575" s="50">
        <f t="shared" si="332"/>
        <v>-2.4954036763748529E-2</v>
      </c>
      <c r="L2575" s="50">
        <f t="shared" si="333"/>
        <v>-2.3629649167599162E-3</v>
      </c>
      <c r="P2575" s="50">
        <f t="shared" si="328"/>
        <v>-2.3629649167599162E-3</v>
      </c>
      <c r="Q2575" s="51">
        <f t="shared" si="334"/>
        <v>57.643789845379722</v>
      </c>
      <c r="R2575" s="51">
        <f t="shared" si="335"/>
        <v>19.830474140445162</v>
      </c>
    </row>
    <row r="2576" spans="1:18" x14ac:dyDescent="0.15">
      <c r="A2576" s="59">
        <v>44646.75</v>
      </c>
      <c r="B2576">
        <v>44.882945999999997</v>
      </c>
      <c r="C2576">
        <v>544.86877400000003</v>
      </c>
      <c r="D2576">
        <v>207.59922800000001</v>
      </c>
      <c r="E2576">
        <v>168.99049400000001</v>
      </c>
      <c r="F2576">
        <v>2061.0200199999999</v>
      </c>
      <c r="H2576" s="50">
        <f t="shared" si="329"/>
        <v>-8.3543753292289035E-3</v>
      </c>
      <c r="I2576" s="50">
        <f t="shared" si="330"/>
        <v>-8.3684846721817641E-3</v>
      </c>
      <c r="J2576" s="50">
        <f t="shared" si="331"/>
        <v>-1.5296206548289379E-2</v>
      </c>
      <c r="K2576" s="50">
        <f t="shared" si="332"/>
        <v>-1.916593309315735E-3</v>
      </c>
      <c r="L2576" s="50">
        <f t="shared" si="333"/>
        <v>-1.2088719476612133E-2</v>
      </c>
      <c r="P2576" s="50">
        <f t="shared" si="328"/>
        <v>-1.2088719476612133E-2</v>
      </c>
      <c r="Q2576" s="51">
        <f t="shared" si="334"/>
        <v>56.946950240370143</v>
      </c>
      <c r="R2576" s="51">
        <f t="shared" si="335"/>
        <v>19.664802916519314</v>
      </c>
    </row>
    <row r="2577" spans="1:18" x14ac:dyDescent="0.15">
      <c r="A2577" s="59">
        <v>44649.75</v>
      </c>
      <c r="B2577">
        <v>45.261074000000001</v>
      </c>
      <c r="C2577">
        <v>549.46698000000004</v>
      </c>
      <c r="D2577">
        <v>210.82403600000001</v>
      </c>
      <c r="E2577">
        <v>169.31500199999999</v>
      </c>
      <c r="F2577">
        <v>2086.23999</v>
      </c>
      <c r="H2577" s="50">
        <f t="shared" si="329"/>
        <v>-1.7615072127286344E-2</v>
      </c>
      <c r="I2577" s="50">
        <f t="shared" si="330"/>
        <v>-1.1258243646187546E-2</v>
      </c>
      <c r="J2577" s="50">
        <f t="shared" si="331"/>
        <v>4.370026463848038E-3</v>
      </c>
      <c r="K2577" s="50">
        <f t="shared" si="332"/>
        <v>1.8123806174460907E-2</v>
      </c>
      <c r="L2577" s="50">
        <f t="shared" si="333"/>
        <v>8.8738269199519736E-3</v>
      </c>
      <c r="P2577" s="50">
        <f t="shared" si="328"/>
        <v>8.8738269199519736E-3</v>
      </c>
      <c r="Q2577" s="51">
        <f t="shared" si="334"/>
        <v>57.452287620422304</v>
      </c>
      <c r="R2577" s="51">
        <f t="shared" si="335"/>
        <v>19.318405994775954</v>
      </c>
    </row>
    <row r="2578" spans="1:18" x14ac:dyDescent="0.15">
      <c r="A2578" s="59">
        <v>44650.75</v>
      </c>
      <c r="B2578">
        <v>46.072647000000003</v>
      </c>
      <c r="C2578">
        <v>555.72344999999996</v>
      </c>
      <c r="D2578">
        <v>209.90673799999999</v>
      </c>
      <c r="E2578">
        <v>166.300995</v>
      </c>
      <c r="F2578">
        <v>2067.889893</v>
      </c>
      <c r="H2578" s="50">
        <f t="shared" si="329"/>
        <v>6.3791642770994863E-3</v>
      </c>
      <c r="I2578" s="50">
        <f t="shared" si="330"/>
        <v>1.0766154402051227E-3</v>
      </c>
      <c r="J2578" s="50">
        <f t="shared" si="331"/>
        <v>4.5895969686792035E-2</v>
      </c>
      <c r="K2578" s="50">
        <f t="shared" si="332"/>
        <v>2.0267163855484414E-2</v>
      </c>
      <c r="L2578" s="50">
        <f t="shared" si="333"/>
        <v>3.981158443692151E-3</v>
      </c>
      <c r="P2578" s="50">
        <f t="shared" si="328"/>
        <v>3.981158443692151E-3</v>
      </c>
      <c r="Q2578" s="51">
        <f t="shared" si="334"/>
        <v>57.681014280391778</v>
      </c>
      <c r="R2578" s="51">
        <f t="shared" si="335"/>
        <v>19.441641280188332</v>
      </c>
    </row>
    <row r="2579" spans="1:18" x14ac:dyDescent="0.15">
      <c r="A2579" s="59">
        <v>44651.75</v>
      </c>
      <c r="B2579">
        <v>45.780605000000001</v>
      </c>
      <c r="C2579">
        <v>555.12579300000004</v>
      </c>
      <c r="D2579">
        <v>200.695618</v>
      </c>
      <c r="E2579">
        <v>162.99749800000001</v>
      </c>
      <c r="F2579">
        <v>2059.6899410000001</v>
      </c>
      <c r="H2579" s="50">
        <f t="shared" si="329"/>
        <v>-1.3840133535224178E-2</v>
      </c>
      <c r="I2579" s="50">
        <f t="shared" si="330"/>
        <v>4.8653719213403941E-4</v>
      </c>
      <c r="J2579" s="50">
        <f t="shared" si="331"/>
        <v>7.9792819623598268E-3</v>
      </c>
      <c r="K2579" s="50">
        <f t="shared" si="332"/>
        <v>-3.4391049576804225E-3</v>
      </c>
      <c r="L2579" s="50">
        <f t="shared" si="333"/>
        <v>-3.5172524563478621E-3</v>
      </c>
      <c r="P2579" s="50">
        <f t="shared" si="328"/>
        <v>-3.5172524563478621E-3</v>
      </c>
      <c r="Q2579" s="51">
        <f t="shared" si="334"/>
        <v>57.478135591229439</v>
      </c>
      <c r="R2579" s="51">
        <f t="shared" si="335"/>
        <v>19.172566368726599</v>
      </c>
    </row>
    <row r="2580" spans="1:18" x14ac:dyDescent="0.15">
      <c r="A2580" s="59">
        <v>44652.75</v>
      </c>
      <c r="B2580">
        <v>46.423107000000002</v>
      </c>
      <c r="C2580">
        <v>554.85583499999996</v>
      </c>
      <c r="D2580">
        <v>199.106888</v>
      </c>
      <c r="E2580">
        <v>163.55999800000001</v>
      </c>
      <c r="F2580">
        <v>2066.959961</v>
      </c>
      <c r="H2580" s="50">
        <f t="shared" si="329"/>
        <v>-1.9856855332706279E-4</v>
      </c>
      <c r="I2580" s="50">
        <f t="shared" si="330"/>
        <v>7.6498691988573101E-4</v>
      </c>
      <c r="J2580" s="50">
        <f t="shared" si="331"/>
        <v>-1.8049490211224265E-2</v>
      </c>
      <c r="K2580" s="50">
        <f t="shared" si="332"/>
        <v>-2.8432424109187091E-2</v>
      </c>
      <c r="L2580" s="50">
        <f t="shared" si="333"/>
        <v>-6.5654253212240358E-3</v>
      </c>
      <c r="P2580" s="50">
        <f t="shared" si="328"/>
        <v>-6.5654253212240358E-3</v>
      </c>
      <c r="Q2580" s="51">
        <f t="shared" si="334"/>
        <v>57.100767184402031</v>
      </c>
      <c r="R2580" s="51">
        <f t="shared" si="335"/>
        <v>19.168759299959191</v>
      </c>
    </row>
    <row r="2581" spans="1:18" x14ac:dyDescent="0.15">
      <c r="A2581" s="59">
        <v>44656.75</v>
      </c>
      <c r="B2581">
        <v>46.432327000000001</v>
      </c>
      <c r="C2581">
        <v>554.43170199999997</v>
      </c>
      <c r="D2581">
        <v>202.76672400000001</v>
      </c>
      <c r="E2581">
        <v>168.346497</v>
      </c>
      <c r="F2581">
        <v>2080.6201169999999</v>
      </c>
      <c r="H2581" s="50">
        <f t="shared" si="329"/>
        <v>-2.8388783064392255E-3</v>
      </c>
      <c r="I2581" s="50">
        <f t="shared" si="330"/>
        <v>-3.3014805535126773E-4</v>
      </c>
      <c r="J2581" s="50">
        <f t="shared" si="331"/>
        <v>-1.7691425674761009E-3</v>
      </c>
      <c r="K2581" s="50">
        <f t="shared" si="332"/>
        <v>2.6158935619838182E-2</v>
      </c>
      <c r="L2581" s="50">
        <f t="shared" si="333"/>
        <v>2.06616426042063E-3</v>
      </c>
      <c r="P2581" s="50">
        <f t="shared" si="328"/>
        <v>2.06616426042063E-3</v>
      </c>
      <c r="Q2581" s="51">
        <f t="shared" si="334"/>
        <v>57.218746748801045</v>
      </c>
      <c r="R2581" s="51">
        <f t="shared" si="335"/>
        <v>19.114341525021182</v>
      </c>
    </row>
    <row r="2582" spans="1:18" x14ac:dyDescent="0.15">
      <c r="A2582" s="59">
        <v>44657.75</v>
      </c>
      <c r="B2582">
        <v>46.564518</v>
      </c>
      <c r="C2582">
        <v>554.61480700000004</v>
      </c>
      <c r="D2582">
        <v>203.12608299999999</v>
      </c>
      <c r="E2582">
        <v>164.054993</v>
      </c>
      <c r="F2582">
        <v>2076.330078</v>
      </c>
      <c r="H2582" s="50">
        <f t="shared" si="329"/>
        <v>-2.2711176482180885E-2</v>
      </c>
      <c r="I2582" s="50">
        <f t="shared" si="330"/>
        <v>-1.6193895974619534E-2</v>
      </c>
      <c r="J2582" s="50">
        <f t="shared" si="331"/>
        <v>-5.3255747787031189E-3</v>
      </c>
      <c r="K2582" s="50">
        <f t="shared" si="332"/>
        <v>3.3378241453140119E-2</v>
      </c>
      <c r="L2582" s="50">
        <f t="shared" si="333"/>
        <v>-2.6753562909770257E-3</v>
      </c>
      <c r="P2582" s="50">
        <f t="shared" si="328"/>
        <v>-2.6753562909770257E-3</v>
      </c>
      <c r="Q2582" s="51">
        <f t="shared" si="334"/>
        <v>57.065666214724821</v>
      </c>
      <c r="R2582" s="51">
        <f t="shared" si="335"/>
        <v>18.680232341305747</v>
      </c>
    </row>
    <row r="2583" spans="1:18" x14ac:dyDescent="0.15">
      <c r="A2583" s="59">
        <v>44658.75</v>
      </c>
      <c r="B2583">
        <v>47.646628999999997</v>
      </c>
      <c r="C2583">
        <v>563.74401899999998</v>
      </c>
      <c r="D2583">
        <v>204.213638</v>
      </c>
      <c r="E2583">
        <v>158.75599700000001</v>
      </c>
      <c r="F2583">
        <v>2081.8999020000001</v>
      </c>
      <c r="H2583" s="50">
        <f t="shared" si="329"/>
        <v>-9.9016425096398967E-3</v>
      </c>
      <c r="I2583" s="50">
        <f t="shared" si="330"/>
        <v>-3.8253457870348534E-2</v>
      </c>
      <c r="J2583" s="50">
        <f t="shared" si="331"/>
        <v>-5.3683397725908355E-2</v>
      </c>
      <c r="K2583" s="50">
        <f t="shared" si="332"/>
        <v>6.1571130244098713E-3</v>
      </c>
      <c r="L2583" s="50">
        <f t="shared" si="333"/>
        <v>-4.437700390097229E-3</v>
      </c>
      <c r="P2583" s="50">
        <f t="shared" si="328"/>
        <v>-4.437700390097229E-3</v>
      </c>
      <c r="Q2583" s="51">
        <f t="shared" si="334"/>
        <v>56.812425885502577</v>
      </c>
      <c r="R2583" s="51">
        <f t="shared" si="335"/>
        <v>18.495267358665124</v>
      </c>
    </row>
    <row r="2584" spans="1:18" x14ac:dyDescent="0.15">
      <c r="A2584" s="59">
        <v>44659.75</v>
      </c>
      <c r="B2584">
        <v>48.123126999999997</v>
      </c>
      <c r="C2584">
        <v>586.16693099999998</v>
      </c>
      <c r="D2584">
        <v>215.79843099999999</v>
      </c>
      <c r="E2584">
        <v>157.78450000000001</v>
      </c>
      <c r="F2584">
        <v>2091.179932</v>
      </c>
      <c r="H2584" s="50">
        <f t="shared" si="329"/>
        <v>-5.5270257851616046E-3</v>
      </c>
      <c r="I2584" s="50">
        <f t="shared" si="330"/>
        <v>1.3349131661030756E-2</v>
      </c>
      <c r="J2584" s="50">
        <f t="shared" si="331"/>
        <v>-2.2070710357547835E-2</v>
      </c>
      <c r="K2584" s="50">
        <f t="shared" si="332"/>
        <v>2.1520098067793966E-2</v>
      </c>
      <c r="L2584" s="50">
        <f t="shared" si="333"/>
        <v>-5.1759353656031307E-3</v>
      </c>
      <c r="P2584" s="50">
        <f t="shared" si="328"/>
        <v>-5.1759353656031307E-3</v>
      </c>
      <c r="Q2584" s="51">
        <f t="shared" si="334"/>
        <v>56.518368441156099</v>
      </c>
      <c r="R2584" s="51">
        <f t="shared" si="335"/>
        <v>18.393043539070323</v>
      </c>
    </row>
    <row r="2585" spans="1:18" x14ac:dyDescent="0.15">
      <c r="A2585" s="59">
        <v>44660.75</v>
      </c>
      <c r="B2585">
        <v>48.390582999999999</v>
      </c>
      <c r="C2585">
        <v>578.44519000000003</v>
      </c>
      <c r="D2585">
        <v>220.668747</v>
      </c>
      <c r="E2585">
        <v>154.46049500000001</v>
      </c>
      <c r="F2585">
        <v>2102.0600589999999</v>
      </c>
      <c r="H2585" s="50">
        <f t="shared" si="329"/>
        <v>2.0221714551433154E-2</v>
      </c>
      <c r="I2585" s="50">
        <f t="shared" si="330"/>
        <v>2.6288302949952484E-2</v>
      </c>
      <c r="J2585" s="50">
        <f t="shared" si="331"/>
        <v>1.7574469032880097E-2</v>
      </c>
      <c r="K2585" s="50">
        <f t="shared" si="332"/>
        <v>2.2091430318210384E-2</v>
      </c>
      <c r="L2585" s="50">
        <f t="shared" si="333"/>
        <v>4.6023653421910149E-3</v>
      </c>
      <c r="P2585" s="50">
        <f t="shared" si="328"/>
        <v>4.6023653421910149E-3</v>
      </c>
      <c r="Q2585" s="51">
        <f t="shared" si="334"/>
        <v>56.77848662126685</v>
      </c>
      <c r="R2585" s="51">
        <f t="shared" si="335"/>
        <v>18.764982415249484</v>
      </c>
    </row>
    <row r="2586" spans="1:18" x14ac:dyDescent="0.15">
      <c r="A2586" s="59">
        <v>44663.75</v>
      </c>
      <c r="B2586">
        <v>47.431438</v>
      </c>
      <c r="C2586">
        <v>563.62835700000005</v>
      </c>
      <c r="D2586">
        <v>216.85758999999999</v>
      </c>
      <c r="E2586">
        <v>151.121994</v>
      </c>
      <c r="F2586">
        <v>2092.429932</v>
      </c>
      <c r="H2586" s="50">
        <f t="shared" si="329"/>
        <v>6.9176948393540666E-3</v>
      </c>
      <c r="I2586" s="50">
        <f t="shared" si="330"/>
        <v>5.6936203364529514E-3</v>
      </c>
      <c r="J2586" s="50">
        <f t="shared" si="331"/>
        <v>-8.7749214105095445E-3</v>
      </c>
      <c r="K2586" s="50">
        <f t="shared" si="332"/>
        <v>2.2182739729112119E-3</v>
      </c>
      <c r="L2586" s="50">
        <f t="shared" si="333"/>
        <v>-1.6271069627521676E-3</v>
      </c>
      <c r="P2586" s="50">
        <f t="shared" si="328"/>
        <v>-1.6271069627521676E-3</v>
      </c>
      <c r="Q2586" s="51">
        <f t="shared" si="334"/>
        <v>56.68610195035086</v>
      </c>
      <c r="R2586" s="51">
        <f t="shared" si="335"/>
        <v>18.894792837264028</v>
      </c>
    </row>
    <row r="2587" spans="1:18" x14ac:dyDescent="0.15">
      <c r="A2587" s="59">
        <v>44664.75</v>
      </c>
      <c r="B2587">
        <v>47.105575999999999</v>
      </c>
      <c r="C2587">
        <v>560.43743900000004</v>
      </c>
      <c r="D2587">
        <v>218.777344</v>
      </c>
      <c r="E2587">
        <v>150.78750600000001</v>
      </c>
      <c r="F2587">
        <v>2095.8400879999999</v>
      </c>
      <c r="H2587" s="50">
        <f t="shared" si="329"/>
        <v>-2.5378397563742713E-2</v>
      </c>
      <c r="I2587" s="50">
        <f t="shared" si="330"/>
        <v>-1.6461210703594492E-2</v>
      </c>
      <c r="J2587" s="50">
        <f t="shared" si="331"/>
        <v>-1.0606496761858639E-2</v>
      </c>
      <c r="K2587" s="50">
        <f t="shared" si="332"/>
        <v>-3.0561035354022343E-2</v>
      </c>
      <c r="L2587" s="50">
        <f t="shared" si="333"/>
        <v>-5.1218275631002902E-3</v>
      </c>
      <c r="P2587" s="50">
        <f t="shared" si="328"/>
        <v>-5.1218275631002902E-3</v>
      </c>
      <c r="Q2587" s="51">
        <f t="shared" si="334"/>
        <v>56.39576551093684</v>
      </c>
      <c r="R2587" s="51">
        <f t="shared" si="335"/>
        <v>18.415273272755382</v>
      </c>
    </row>
    <row r="2588" spans="1:18" x14ac:dyDescent="0.15">
      <c r="A2588" s="59">
        <v>44665.75</v>
      </c>
      <c r="B2588">
        <v>48.332169</v>
      </c>
      <c r="C2588">
        <v>569.81732199999999</v>
      </c>
      <c r="D2588">
        <v>221.122681</v>
      </c>
      <c r="E2588">
        <v>155.541</v>
      </c>
      <c r="F2588">
        <v>2106.6298830000001</v>
      </c>
      <c r="H2588" s="50">
        <f t="shared" si="329"/>
        <v>8.9117355280848756E-4</v>
      </c>
      <c r="I2588" s="50">
        <f t="shared" si="330"/>
        <v>1.1858666757728093E-3</v>
      </c>
      <c r="J2588" s="50">
        <f t="shared" si="331"/>
        <v>-1.4249525281219642E-2</v>
      </c>
      <c r="K2588" s="50">
        <f t="shared" si="332"/>
        <v>2.5275799493280657E-2</v>
      </c>
      <c r="L2588" s="50">
        <f t="shared" si="333"/>
        <v>7.7905026047179874E-4</v>
      </c>
      <c r="P2588" s="50">
        <f t="shared" si="328"/>
        <v>7.7905026047179874E-4</v>
      </c>
      <c r="Q2588" s="51">
        <f t="shared" si="334"/>
        <v>56.439700646747646</v>
      </c>
      <c r="R2588" s="51">
        <f t="shared" si="335"/>
        <v>18.431684477263804</v>
      </c>
    </row>
    <row r="2589" spans="1:18" x14ac:dyDescent="0.15">
      <c r="A2589" s="59">
        <v>44666.75</v>
      </c>
      <c r="B2589">
        <v>48.289135000000002</v>
      </c>
      <c r="C2589">
        <v>569.14239499999996</v>
      </c>
      <c r="D2589">
        <v>224.31912199999999</v>
      </c>
      <c r="E2589">
        <v>151.70649700000001</v>
      </c>
      <c r="F2589">
        <v>2104.98999</v>
      </c>
      <c r="H2589" s="50">
        <f t="shared" si="329"/>
        <v>7.6983775556823779E-3</v>
      </c>
      <c r="I2589" s="50">
        <f t="shared" si="330"/>
        <v>1.4206547941465858E-2</v>
      </c>
      <c r="J2589" s="50">
        <f t="shared" si="331"/>
        <v>-9.1483239162816442E-3</v>
      </c>
      <c r="K2589" s="50">
        <f t="shared" si="332"/>
        <v>-7.0589846631805148E-3</v>
      </c>
      <c r="L2589" s="50">
        <f t="shared" si="333"/>
        <v>1.1440653272645542E-2</v>
      </c>
      <c r="P2589" s="50">
        <f t="shared" si="328"/>
        <v>1.1440653272645542E-2</v>
      </c>
      <c r="Q2589" s="51">
        <f t="shared" si="334"/>
        <v>57.085407692658997</v>
      </c>
      <c r="R2589" s="51">
        <f t="shared" si="335"/>
        <v>18.573578543356994</v>
      </c>
    </row>
    <row r="2590" spans="1:18" x14ac:dyDescent="0.15">
      <c r="A2590" s="59">
        <v>44667.75</v>
      </c>
      <c r="B2590">
        <v>47.920226999999997</v>
      </c>
      <c r="C2590">
        <v>561.17010500000004</v>
      </c>
      <c r="D2590">
        <v>226.39021299999999</v>
      </c>
      <c r="E2590">
        <v>152.78500399999999</v>
      </c>
      <c r="F2590">
        <v>2081.179932</v>
      </c>
      <c r="H2590" s="50">
        <f t="shared" si="329"/>
        <v>-1.1227385570281512E-2</v>
      </c>
      <c r="I2590" s="50">
        <f t="shared" si="330"/>
        <v>-2.0494671550134323E-2</v>
      </c>
      <c r="J2590" s="50">
        <f t="shared" si="331"/>
        <v>-2.7067683041546199E-2</v>
      </c>
      <c r="K2590" s="50">
        <f t="shared" si="332"/>
        <v>-3.3712635398021308E-2</v>
      </c>
      <c r="L2590" s="50">
        <f t="shared" si="333"/>
        <v>-9.1506241176734261E-3</v>
      </c>
      <c r="P2590" s="50">
        <f t="shared" si="328"/>
        <v>-9.1506241176734261E-3</v>
      </c>
      <c r="Q2590" s="51">
        <f t="shared" si="334"/>
        <v>56.563040584259333</v>
      </c>
      <c r="R2590" s="51">
        <f t="shared" si="335"/>
        <v>18.365045815630818</v>
      </c>
    </row>
    <row r="2591" spans="1:18" x14ac:dyDescent="0.15">
      <c r="A2591" s="59">
        <v>44670.75</v>
      </c>
      <c r="B2591">
        <v>48.464354999999998</v>
      </c>
      <c r="C2591">
        <v>572.911743</v>
      </c>
      <c r="D2591">
        <v>232.68855300000001</v>
      </c>
      <c r="E2591">
        <v>158.11549400000001</v>
      </c>
      <c r="F2591">
        <v>2100.3999020000001</v>
      </c>
      <c r="H2591" s="50">
        <f t="shared" si="329"/>
        <v>-1.2403814819083632E-2</v>
      </c>
      <c r="I2591" s="50">
        <f t="shared" si="330"/>
        <v>-1.5293366521970421E-2</v>
      </c>
      <c r="J2591" s="50">
        <f t="shared" si="331"/>
        <v>-1.3115655323759684E-2</v>
      </c>
      <c r="K2591" s="50">
        <f t="shared" si="332"/>
        <v>2.6737314596700673E-2</v>
      </c>
      <c r="L2591" s="50">
        <f t="shared" si="333"/>
        <v>1.4828006342331806E-3</v>
      </c>
      <c r="P2591" s="50">
        <f t="shared" si="328"/>
        <v>1.4828006342331806E-3</v>
      </c>
      <c r="Q2591" s="51">
        <f t="shared" si="334"/>
        <v>56.646912296711825</v>
      </c>
      <c r="R2591" s="51">
        <f t="shared" si="335"/>
        <v>18.137249188189749</v>
      </c>
    </row>
    <row r="2592" spans="1:18" x14ac:dyDescent="0.15">
      <c r="A2592" s="59">
        <v>44671.75</v>
      </c>
      <c r="B2592">
        <v>49.073048</v>
      </c>
      <c r="C2592">
        <v>581.80957000000001</v>
      </c>
      <c r="D2592">
        <v>235.78097500000001</v>
      </c>
      <c r="E2592">
        <v>153.99800099999999</v>
      </c>
      <c r="F2592">
        <v>2097.290039</v>
      </c>
      <c r="H2592" s="50">
        <f t="shared" si="329"/>
        <v>-1.5011346409689115E-3</v>
      </c>
      <c r="I2592" s="50">
        <f t="shared" si="330"/>
        <v>1.9924130322562569E-2</v>
      </c>
      <c r="J2592" s="50">
        <f t="shared" si="331"/>
        <v>4.6338705442107928E-3</v>
      </c>
      <c r="K2592" s="50">
        <f t="shared" si="332"/>
        <v>3.8450098504002043E-2</v>
      </c>
      <c r="L2592" s="50">
        <f t="shared" si="333"/>
        <v>-5.0617289689593127E-3</v>
      </c>
      <c r="P2592" s="50">
        <f t="shared" si="328"/>
        <v>-5.0617289689593127E-3</v>
      </c>
      <c r="Q2592" s="51">
        <f t="shared" si="334"/>
        <v>56.360180979737464</v>
      </c>
      <c r="R2592" s="51">
        <f t="shared" si="335"/>
        <v>18.110022735141474</v>
      </c>
    </row>
    <row r="2593" spans="1:18" x14ac:dyDescent="0.15">
      <c r="A2593" s="59">
        <v>44672.75</v>
      </c>
      <c r="B2593">
        <v>49.146824000000002</v>
      </c>
      <c r="C2593">
        <v>570.44397000000004</v>
      </c>
      <c r="D2593">
        <v>234.69343599999999</v>
      </c>
      <c r="E2593">
        <v>148.29600500000001</v>
      </c>
      <c r="F2593">
        <v>2107.959961</v>
      </c>
      <c r="H2593" s="50">
        <f t="shared" si="329"/>
        <v>1.9188949394859173E-2</v>
      </c>
      <c r="I2593" s="50">
        <f t="shared" si="330"/>
        <v>3.5053355564048039E-2</v>
      </c>
      <c r="J2593" s="50">
        <f t="shared" si="331"/>
        <v>2.6853782480568047E-2</v>
      </c>
      <c r="K2593" s="50">
        <f t="shared" si="332"/>
        <v>2.7336327232296759E-2</v>
      </c>
      <c r="L2593" s="50">
        <f t="shared" si="333"/>
        <v>-2.352170284840277E-3</v>
      </c>
      <c r="P2593" s="50">
        <f t="shared" si="328"/>
        <v>-2.352170284840277E-3</v>
      </c>
      <c r="Q2593" s="51">
        <f t="shared" si="334"/>
        <v>56.227612236788708</v>
      </c>
      <c r="R2593" s="51">
        <f t="shared" si="335"/>
        <v>18.457535044945853</v>
      </c>
    </row>
    <row r="2594" spans="1:18" x14ac:dyDescent="0.15">
      <c r="A2594" s="59">
        <v>44673.75</v>
      </c>
      <c r="B2594">
        <v>48.221504000000003</v>
      </c>
      <c r="C2594">
        <v>551.12518299999999</v>
      </c>
      <c r="D2594">
        <v>228.555847</v>
      </c>
      <c r="E2594">
        <v>144.35000600000001</v>
      </c>
      <c r="F2594">
        <v>2112.929932</v>
      </c>
      <c r="H2594" s="50">
        <f t="shared" si="329"/>
        <v>-5.0959569987949968E-4</v>
      </c>
      <c r="I2594" s="50">
        <f t="shared" si="330"/>
        <v>6.1421725619028433E-3</v>
      </c>
      <c r="J2594" s="50">
        <f t="shared" si="331"/>
        <v>8.2721855970180582E-5</v>
      </c>
      <c r="K2594" s="50">
        <f t="shared" si="332"/>
        <v>-1.1802229972403317E-2</v>
      </c>
      <c r="L2594" s="50">
        <f t="shared" si="333"/>
        <v>-2.247736511300774E-3</v>
      </c>
      <c r="P2594" s="50">
        <f t="shared" si="328"/>
        <v>-2.247736511300774E-3</v>
      </c>
      <c r="Q2594" s="51">
        <f t="shared" si="334"/>
        <v>56.10122737982082</v>
      </c>
      <c r="R2594" s="51">
        <f t="shared" si="335"/>
        <v>18.448129164456574</v>
      </c>
    </row>
    <row r="2595" spans="1:18" x14ac:dyDescent="0.15">
      <c r="A2595" s="59">
        <v>44674.75</v>
      </c>
      <c r="B2595">
        <v>48.246090000000002</v>
      </c>
      <c r="C2595">
        <v>547.76074200000005</v>
      </c>
      <c r="D2595">
        <v>228.53694200000001</v>
      </c>
      <c r="E2595">
        <v>146.074005</v>
      </c>
      <c r="F2595">
        <v>2117.6899410000001</v>
      </c>
      <c r="H2595" s="50">
        <f t="shared" si="329"/>
        <v>1.0560236323948842E-2</v>
      </c>
      <c r="I2595" s="50">
        <f t="shared" si="330"/>
        <v>2.6094397896711804E-2</v>
      </c>
      <c r="J2595" s="50">
        <f t="shared" si="331"/>
        <v>2.1818248722536838E-2</v>
      </c>
      <c r="K2595" s="50">
        <f t="shared" si="332"/>
        <v>4.7944262630545867E-2</v>
      </c>
      <c r="L2595" s="50">
        <f t="shared" si="333"/>
        <v>4.1585358023850313E-3</v>
      </c>
      <c r="P2595" s="50">
        <f t="shared" si="328"/>
        <v>4.1585358023850313E-3</v>
      </c>
      <c r="Q2595" s="51">
        <f t="shared" si="334"/>
        <v>56.334526342437549</v>
      </c>
      <c r="R2595" s="51">
        <f t="shared" si="335"/>
        <v>18.642945768167966</v>
      </c>
    </row>
    <row r="2596" spans="1:18" x14ac:dyDescent="0.15">
      <c r="A2596" s="59">
        <v>44677.75</v>
      </c>
      <c r="B2596">
        <v>47.741923999999997</v>
      </c>
      <c r="C2596">
        <v>533.83074999999997</v>
      </c>
      <c r="D2596">
        <v>223.65713500000001</v>
      </c>
      <c r="E2596">
        <v>139.391006</v>
      </c>
      <c r="F2596">
        <v>2108.919922</v>
      </c>
      <c r="H2596" s="50">
        <f t="shared" si="329"/>
        <v>6.8721633695814528E-3</v>
      </c>
      <c r="I2596" s="50">
        <f t="shared" si="330"/>
        <v>-5.7773875683238545E-4</v>
      </c>
      <c r="J2596" s="50">
        <f t="shared" si="331"/>
        <v>2.3942463017605071E-2</v>
      </c>
      <c r="K2596" s="50">
        <f t="shared" si="332"/>
        <v>8.8588370449393314E-3</v>
      </c>
      <c r="L2596" s="50">
        <f t="shared" si="333"/>
        <v>-2.761584280194481E-3</v>
      </c>
      <c r="P2596" s="50">
        <f t="shared" si="328"/>
        <v>-2.761584280194481E-3</v>
      </c>
      <c r="Q2596" s="51">
        <f t="shared" si="334"/>
        <v>56.178953800058075</v>
      </c>
      <c r="R2596" s="51">
        <f t="shared" si="335"/>
        <v>18.771063137177062</v>
      </c>
    </row>
    <row r="2597" spans="1:18" x14ac:dyDescent="0.15">
      <c r="A2597" s="59">
        <v>44678.75</v>
      </c>
      <c r="B2597">
        <v>47.416072999999997</v>
      </c>
      <c r="C2597">
        <v>534.13934300000005</v>
      </c>
      <c r="D2597">
        <v>218.42744400000001</v>
      </c>
      <c r="E2597">
        <v>138.16700700000001</v>
      </c>
      <c r="F2597">
        <v>2114.76001</v>
      </c>
      <c r="H2597" s="50">
        <f t="shared" si="329"/>
        <v>-1.2610931427188374E-2</v>
      </c>
      <c r="I2597" s="50">
        <f t="shared" si="330"/>
        <v>-1.5693740877732138E-2</v>
      </c>
      <c r="J2597" s="50">
        <f t="shared" si="331"/>
        <v>-2.2928337586445729E-2</v>
      </c>
      <c r="K2597" s="50">
        <f t="shared" si="332"/>
        <v>-4.4465046756976323E-2</v>
      </c>
      <c r="L2597" s="50">
        <f t="shared" si="333"/>
        <v>3.754378162693603E-3</v>
      </c>
      <c r="P2597" s="50">
        <f t="shared" si="328"/>
        <v>3.754378162693603E-3</v>
      </c>
      <c r="Q2597" s="51">
        <f t="shared" si="334"/>
        <v>56.38987083740799</v>
      </c>
      <c r="R2597" s="51">
        <f t="shared" si="335"/>
        <v>18.534342547138699</v>
      </c>
    </row>
    <row r="2598" spans="1:18" x14ac:dyDescent="0.15">
      <c r="A2598" s="59">
        <v>44679.75</v>
      </c>
      <c r="B2598">
        <v>48.021670999999998</v>
      </c>
      <c r="C2598">
        <v>542.65563999999995</v>
      </c>
      <c r="D2598">
        <v>223.553146</v>
      </c>
      <c r="E2598">
        <v>144.596497</v>
      </c>
      <c r="F2598">
        <v>2106.8500979999999</v>
      </c>
      <c r="H2598" s="50">
        <f t="shared" si="329"/>
        <v>2.1047018578411701E-2</v>
      </c>
      <c r="I2598" s="50">
        <f t="shared" si="330"/>
        <v>5.6947238388887551E-2</v>
      </c>
      <c r="J2598" s="50">
        <f t="shared" si="331"/>
        <v>3.3851067994514428E-2</v>
      </c>
      <c r="K2598" s="50">
        <f t="shared" si="332"/>
        <v>0.16345952272124933</v>
      </c>
      <c r="L2598" s="50">
        <f t="shared" si="333"/>
        <v>1.0232551221367632E-2</v>
      </c>
      <c r="P2598" s="50">
        <f t="shared" si="328"/>
        <v>1.0232551221367632E-2</v>
      </c>
      <c r="Q2598" s="51">
        <f t="shared" si="334"/>
        <v>56.966883079118077</v>
      </c>
      <c r="R2598" s="51">
        <f t="shared" si="335"/>
        <v>18.924435199066973</v>
      </c>
    </row>
    <row r="2599" spans="1:18" x14ac:dyDescent="0.15">
      <c r="A2599" s="59">
        <v>44680.75</v>
      </c>
      <c r="B2599">
        <v>47.031792000000003</v>
      </c>
      <c r="C2599">
        <v>513.41790800000001</v>
      </c>
      <c r="D2599">
        <v>216.23341400000001</v>
      </c>
      <c r="E2599">
        <v>124.281502</v>
      </c>
      <c r="F2599">
        <v>2085.51001</v>
      </c>
      <c r="H2599" s="50">
        <f t="shared" si="329"/>
        <v>6.6455767863661305E-3</v>
      </c>
      <c r="I2599" s="50">
        <f t="shared" si="330"/>
        <v>5.2367837824177504E-3</v>
      </c>
      <c r="J2599" s="50">
        <f t="shared" si="331"/>
        <v>-4.9178042087892814E-3</v>
      </c>
      <c r="K2599" s="50">
        <f t="shared" si="332"/>
        <v>-1.755004016064231E-3</v>
      </c>
      <c r="L2599" s="50">
        <f t="shared" si="333"/>
        <v>-1.0804978716687858E-2</v>
      </c>
      <c r="P2599" s="50">
        <f t="shared" si="328"/>
        <v>-1.0804978716687858E-2</v>
      </c>
      <c r="Q2599" s="51">
        <f t="shared" si="334"/>
        <v>56.351357119892164</v>
      </c>
      <c r="R2599" s="51">
        <f t="shared" si="335"/>
        <v>19.050198986320986</v>
      </c>
    </row>
    <row r="2600" spans="1:18" x14ac:dyDescent="0.15">
      <c r="A2600" s="59">
        <v>44681.75</v>
      </c>
      <c r="B2600">
        <v>46.721302000000001</v>
      </c>
      <c r="C2600">
        <v>510.74325599999997</v>
      </c>
      <c r="D2600">
        <v>217.302063</v>
      </c>
      <c r="E2600">
        <v>124.5</v>
      </c>
      <c r="F2600">
        <v>2108.290039</v>
      </c>
      <c r="H2600" s="50">
        <f t="shared" si="329"/>
        <v>-3.4752193354545581E-3</v>
      </c>
      <c r="I2600" s="50">
        <f t="shared" si="330"/>
        <v>1.6472455994206235E-3</v>
      </c>
      <c r="J2600" s="50">
        <f t="shared" si="331"/>
        <v>-1.1868932993099289E-2</v>
      </c>
      <c r="K2600" s="50">
        <f t="shared" si="332"/>
        <v>1.983831409435869E-3</v>
      </c>
      <c r="L2600" s="50">
        <f t="shared" si="333"/>
        <v>-2.9321259638595194E-3</v>
      </c>
      <c r="P2600" s="50">
        <f t="shared" si="328"/>
        <v>-2.9321259638595194E-3</v>
      </c>
      <c r="Q2600" s="51">
        <f t="shared" si="334"/>
        <v>56.186127842582209</v>
      </c>
      <c r="R2600" s="51">
        <f t="shared" si="335"/>
        <v>18.983995366459467</v>
      </c>
    </row>
    <row r="2601" spans="1:18" x14ac:dyDescent="0.15">
      <c r="A2601" s="59">
        <v>44684.75</v>
      </c>
      <c r="B2601">
        <v>46.884234999999997</v>
      </c>
      <c r="C2601">
        <v>509.90332000000001</v>
      </c>
      <c r="D2601">
        <v>219.91218599999999</v>
      </c>
      <c r="E2601">
        <v>124.253502</v>
      </c>
      <c r="F2601">
        <v>2114.48999</v>
      </c>
      <c r="H2601" s="50">
        <f t="shared" si="329"/>
        <v>-1.3646383397667505E-2</v>
      </c>
      <c r="I2601" s="50">
        <f t="shared" si="330"/>
        <v>-3.0031078998139348E-2</v>
      </c>
      <c r="J2601" s="50">
        <f t="shared" si="331"/>
        <v>-2.0595595234937467E-2</v>
      </c>
      <c r="K2601" s="50">
        <f t="shared" si="332"/>
        <v>-1.3301159307888791E-2</v>
      </c>
      <c r="L2601" s="50">
        <f t="shared" si="333"/>
        <v>1.1979185754782698E-2</v>
      </c>
      <c r="P2601" s="50">
        <f t="shared" si="328"/>
        <v>1.1979185754782698E-2</v>
      </c>
      <c r="Q2601" s="51">
        <f t="shared" si="334"/>
        <v>56.859191904850462</v>
      </c>
      <c r="R2601" s="51">
        <f t="shared" si="335"/>
        <v>18.724932487269218</v>
      </c>
    </row>
    <row r="2602" spans="1:18" x14ac:dyDescent="0.15">
      <c r="A2602" s="59">
        <v>44685.75</v>
      </c>
      <c r="B2602">
        <v>47.532887000000002</v>
      </c>
      <c r="C2602">
        <v>525.69036900000003</v>
      </c>
      <c r="D2602">
        <v>224.536652</v>
      </c>
      <c r="E2602">
        <v>125.92849699999999</v>
      </c>
      <c r="F2602">
        <v>2089.459961</v>
      </c>
      <c r="H2602" s="50">
        <f t="shared" si="329"/>
        <v>1.309544017468288E-3</v>
      </c>
      <c r="I2602" s="50">
        <f t="shared" si="330"/>
        <v>5.2404622457188646E-2</v>
      </c>
      <c r="J2602" s="50">
        <f t="shared" si="331"/>
        <v>2.8904594441405546E-2</v>
      </c>
      <c r="K2602" s="50">
        <f t="shared" si="332"/>
        <v>8.1794902055630642E-2</v>
      </c>
      <c r="L2602" s="50">
        <f t="shared" si="333"/>
        <v>4.4756673502465254E-3</v>
      </c>
      <c r="P2602" s="50">
        <f t="shared" si="328"/>
        <v>4.4756673502465254E-3</v>
      </c>
      <c r="Q2602" s="51">
        <f t="shared" si="334"/>
        <v>57.113674733620407</v>
      </c>
      <c r="R2602" s="51">
        <f t="shared" si="335"/>
        <v>18.749453610585416</v>
      </c>
    </row>
    <row r="2603" spans="1:18" x14ac:dyDescent="0.15">
      <c r="A2603" s="59">
        <v>44686.75</v>
      </c>
      <c r="B2603">
        <v>47.470722000000002</v>
      </c>
      <c r="C2603">
        <v>499.51355000000001</v>
      </c>
      <c r="D2603">
        <v>218.228836</v>
      </c>
      <c r="E2603">
        <v>116.406998</v>
      </c>
      <c r="F2603">
        <v>2080.1499020000001</v>
      </c>
      <c r="H2603" s="50">
        <f t="shared" si="329"/>
        <v>2.1262394074143671E-2</v>
      </c>
      <c r="I2603" s="50">
        <f t="shared" si="330"/>
        <v>2.7733702274306053E-2</v>
      </c>
      <c r="J2603" s="50">
        <f t="shared" si="331"/>
        <v>2.4643581958589171E-2</v>
      </c>
      <c r="K2603" s="50">
        <f t="shared" si="332"/>
        <v>1.4241207730433797E-2</v>
      </c>
      <c r="L2603" s="50">
        <f t="shared" si="333"/>
        <v>-3.7596254789271501E-3</v>
      </c>
      <c r="P2603" s="50">
        <f t="shared" si="328"/>
        <v>-3.7596254789271501E-3</v>
      </c>
      <c r="Q2603" s="51">
        <f t="shared" si="334"/>
        <v>56.898948706896732</v>
      </c>
      <c r="R2603" s="51">
        <f t="shared" si="335"/>
        <v>19.148111881928557</v>
      </c>
    </row>
    <row r="2604" spans="1:18" x14ac:dyDescent="0.15">
      <c r="A2604" s="59">
        <v>44687.75</v>
      </c>
      <c r="B2604">
        <v>46.482394999999997</v>
      </c>
      <c r="C2604">
        <v>486.03402699999998</v>
      </c>
      <c r="D2604">
        <v>212.98024000000001</v>
      </c>
      <c r="E2604">
        <v>114.772499</v>
      </c>
      <c r="F2604">
        <v>2088</v>
      </c>
      <c r="H2604" s="50">
        <f t="shared" si="329"/>
        <v>-1.1565701540502371E-2</v>
      </c>
      <c r="I2604" s="50">
        <f t="shared" si="330"/>
        <v>9.081142224131953E-3</v>
      </c>
      <c r="J2604" s="50">
        <f t="shared" si="331"/>
        <v>4.5049150670073736E-3</v>
      </c>
      <c r="K2604" s="50">
        <f t="shared" si="332"/>
        <v>5.5000946281324868E-2</v>
      </c>
      <c r="L2604" s="50">
        <f t="shared" si="333"/>
        <v>-1.327919129466431E-2</v>
      </c>
      <c r="P2604" s="50">
        <f t="shared" si="328"/>
        <v>-1.327919129466431E-2</v>
      </c>
      <c r="Q2604" s="51">
        <f t="shared" si="334"/>
        <v>56.143376682552564</v>
      </c>
      <c r="R2604" s="51">
        <f t="shared" si="335"/>
        <v>18.926650534838025</v>
      </c>
    </row>
    <row r="2605" spans="1:18" x14ac:dyDescent="0.15">
      <c r="A2605" s="59">
        <v>44688.75</v>
      </c>
      <c r="B2605">
        <v>47.026287000000004</v>
      </c>
      <c r="C2605">
        <v>481.66000400000001</v>
      </c>
      <c r="D2605">
        <v>212.02508499999999</v>
      </c>
      <c r="E2605">
        <v>108.789001</v>
      </c>
      <c r="F2605">
        <v>2116.1000979999999</v>
      </c>
      <c r="H2605" s="50">
        <f t="shared" si="329"/>
        <v>1.4278121619974367E-2</v>
      </c>
      <c r="I2605" s="50">
        <f t="shared" si="330"/>
        <v>-5.2446547219734633E-3</v>
      </c>
      <c r="J2605" s="50">
        <f t="shared" si="331"/>
        <v>2.3230288635232198E-2</v>
      </c>
      <c r="K2605" s="50">
        <f t="shared" si="332"/>
        <v>-6.4303364312526972E-4</v>
      </c>
      <c r="L2605" s="50">
        <f t="shared" si="333"/>
        <v>5.1155968902658368E-3</v>
      </c>
      <c r="P2605" s="50">
        <f t="shared" si="328"/>
        <v>5.1155968902658368E-3</v>
      </c>
      <c r="Q2605" s="51">
        <f t="shared" si="334"/>
        <v>56.430583565718855</v>
      </c>
      <c r="R2605" s="51">
        <f t="shared" si="335"/>
        <v>19.196887553033193</v>
      </c>
    </row>
    <row r="2606" spans="1:18" x14ac:dyDescent="0.15">
      <c r="A2606" s="59">
        <v>44691.75</v>
      </c>
      <c r="B2606">
        <v>46.364291999999999</v>
      </c>
      <c r="C2606">
        <v>484.19946299999998</v>
      </c>
      <c r="D2606">
        <v>207.211502</v>
      </c>
      <c r="E2606">
        <v>108.85900100000001</v>
      </c>
      <c r="F2606">
        <v>2105.330078</v>
      </c>
      <c r="H2606" s="50">
        <f t="shared" si="329"/>
        <v>1.056760568390352E-2</v>
      </c>
      <c r="I2606" s="50">
        <f t="shared" si="330"/>
        <v>2.5312798834835039E-2</v>
      </c>
      <c r="J2606" s="50">
        <f t="shared" si="331"/>
        <v>2.6324530657061258E-2</v>
      </c>
      <c r="K2606" s="50">
        <f t="shared" si="332"/>
        <v>3.3092272461521723E-2</v>
      </c>
      <c r="L2606" s="50">
        <f t="shared" si="333"/>
        <v>2.9583638162046263E-3</v>
      </c>
      <c r="P2606" s="50">
        <f t="shared" si="328"/>
        <v>2.9583638162046263E-3</v>
      </c>
      <c r="Q2606" s="51">
        <f t="shared" si="334"/>
        <v>56.597525762266997</v>
      </c>
      <c r="R2606" s="51">
        <f t="shared" si="335"/>
        <v>19.399752691051884</v>
      </c>
    </row>
    <row r="2607" spans="1:18" x14ac:dyDescent="0.15">
      <c r="A2607" s="59">
        <v>44692.75</v>
      </c>
      <c r="B2607">
        <v>45.879455999999998</v>
      </c>
      <c r="C2607">
        <v>472.24560500000001</v>
      </c>
      <c r="D2607">
        <v>201.89666700000001</v>
      </c>
      <c r="E2607">
        <v>105.37200199999999</v>
      </c>
      <c r="F2607">
        <v>2099.1201169999999</v>
      </c>
      <c r="H2607" s="50">
        <f t="shared" si="329"/>
        <v>9.4936416817534752E-4</v>
      </c>
      <c r="I2607" s="50">
        <f t="shared" si="330"/>
        <v>5.9649130146772417E-3</v>
      </c>
      <c r="J2607" s="50">
        <f t="shared" si="331"/>
        <v>-1.7397811335513168E-2</v>
      </c>
      <c r="K2607" s="50">
        <f t="shared" si="332"/>
        <v>-1.4574831860875406E-2</v>
      </c>
      <c r="L2607" s="50">
        <f t="shared" si="333"/>
        <v>3.0504794236820303E-4</v>
      </c>
      <c r="P2607" s="50">
        <f t="shared" si="328"/>
        <v>3.0504794236820303E-4</v>
      </c>
      <c r="Q2607" s="51">
        <f t="shared" si="334"/>
        <v>56.61479072104391</v>
      </c>
      <c r="R2607" s="51">
        <f t="shared" si="335"/>
        <v>19.418170121128231</v>
      </c>
    </row>
    <row r="2608" spans="1:18" x14ac:dyDescent="0.15">
      <c r="A2608" s="59">
        <v>44693.75</v>
      </c>
      <c r="B2608">
        <v>45.835940999999998</v>
      </c>
      <c r="C2608">
        <v>469.445404</v>
      </c>
      <c r="D2608">
        <v>205.47141999999999</v>
      </c>
      <c r="E2608">
        <v>106.93049600000001</v>
      </c>
      <c r="F2608">
        <v>2098.4799800000001</v>
      </c>
      <c r="H2608" s="50">
        <f t="shared" si="329"/>
        <v>-3.8501861426420555E-3</v>
      </c>
      <c r="I2608" s="50">
        <f t="shared" si="330"/>
        <v>-2.2301782304131292E-2</v>
      </c>
      <c r="J2608" s="50">
        <f t="shared" si="331"/>
        <v>-1.119557375948802E-2</v>
      </c>
      <c r="K2608" s="50">
        <f t="shared" si="332"/>
        <v>-5.4172783158639611E-2</v>
      </c>
      <c r="L2608" s="50">
        <f t="shared" si="333"/>
        <v>-1.0664333107771994E-2</v>
      </c>
      <c r="P2608" s="50">
        <f t="shared" si="328"/>
        <v>-1.0664333107771994E-2</v>
      </c>
      <c r="Q2608" s="51">
        <f t="shared" si="334"/>
        <v>56.011031733967897</v>
      </c>
      <c r="R2608" s="51">
        <f t="shared" si="335"/>
        <v>19.343406551612397</v>
      </c>
    </row>
    <row r="2609" spans="1:18" x14ac:dyDescent="0.15">
      <c r="A2609" s="59">
        <v>44694.75</v>
      </c>
      <c r="B2609">
        <v>46.013100000000001</v>
      </c>
      <c r="C2609">
        <v>480.15368699999999</v>
      </c>
      <c r="D2609">
        <v>207.79783599999999</v>
      </c>
      <c r="E2609">
        <v>113.05500000000001</v>
      </c>
      <c r="F2609">
        <v>2121.1000979999999</v>
      </c>
      <c r="H2609" s="50">
        <f t="shared" si="329"/>
        <v>-1.0794822306161181E-3</v>
      </c>
      <c r="I2609" s="50">
        <f t="shared" si="330"/>
        <v>5.5405581811100663E-3</v>
      </c>
      <c r="J2609" s="50">
        <f t="shared" si="331"/>
        <v>2.1894256898992649E-3</v>
      </c>
      <c r="K2609" s="50">
        <f t="shared" si="332"/>
        <v>2.0255291508879694E-2</v>
      </c>
      <c r="L2609" s="50">
        <f t="shared" si="333"/>
        <v>-7.6782351752538002E-4</v>
      </c>
      <c r="P2609" s="50">
        <f t="shared" si="328"/>
        <v>-7.6782351752538002E-4</v>
      </c>
      <c r="Q2609" s="51">
        <f t="shared" si="334"/>
        <v>55.9680251465617</v>
      </c>
      <c r="R2609" s="51">
        <f t="shared" si="335"/>
        <v>19.322525687960347</v>
      </c>
    </row>
    <row r="2610" spans="1:18" x14ac:dyDescent="0.15">
      <c r="A2610" s="59">
        <v>44695.75</v>
      </c>
      <c r="B2610">
        <v>46.062823999999999</v>
      </c>
      <c r="C2610">
        <v>477.50802599999997</v>
      </c>
      <c r="D2610">
        <v>207.343872</v>
      </c>
      <c r="E2610">
        <v>110.810501</v>
      </c>
      <c r="F2610">
        <v>2122.7299800000001</v>
      </c>
      <c r="H2610" s="50">
        <f t="shared" si="329"/>
        <v>0.12835917973169828</v>
      </c>
      <c r="I2610" s="50">
        <f t="shared" si="330"/>
        <v>8.2779133279361882E-3</v>
      </c>
      <c r="J2610" s="50">
        <f t="shared" si="331"/>
        <v>1.4260414153819451E-2</v>
      </c>
      <c r="K2610" s="50">
        <f t="shared" si="332"/>
        <v>-3.9508175975244503E-2</v>
      </c>
      <c r="L2610" s="50">
        <f t="shared" si="333"/>
        <v>-3.0386864310048946E-3</v>
      </c>
      <c r="P2610" s="50">
        <f t="shared" si="328"/>
        <v>-3.0386864310048946E-3</v>
      </c>
      <c r="Q2610" s="51">
        <f t="shared" si="334"/>
        <v>55.7979558679787</v>
      </c>
      <c r="R2610" s="51">
        <f t="shared" si="335"/>
        <v>21.802749235611607</v>
      </c>
    </row>
    <row r="2611" spans="1:18" x14ac:dyDescent="0.15">
      <c r="A2611" s="59">
        <v>44698.75</v>
      </c>
      <c r="B2611">
        <v>40.822837999999997</v>
      </c>
      <c r="C2611">
        <v>473.58770800000002</v>
      </c>
      <c r="D2611">
        <v>204.42863500000001</v>
      </c>
      <c r="E2611">
        <v>115.3685</v>
      </c>
      <c r="F2611">
        <v>2129.1999510000001</v>
      </c>
      <c r="H2611" s="50">
        <f t="shared" si="329"/>
        <v>7.2857970628126337E-2</v>
      </c>
      <c r="I2611" s="50">
        <f t="shared" si="330"/>
        <v>0.14222160710448634</v>
      </c>
      <c r="J2611" s="50">
        <f t="shared" si="331"/>
        <v>0.33209580678423095</v>
      </c>
      <c r="K2611" s="50">
        <f t="shared" si="332"/>
        <v>7.7077808554244995E-2</v>
      </c>
      <c r="L2611" s="50">
        <f t="shared" si="333"/>
        <v>6.4378871892236582E-4</v>
      </c>
      <c r="P2611" s="50">
        <f t="shared" si="328"/>
        <v>6.4378871892236582E-4</v>
      </c>
      <c r="Q2611" s="51">
        <f t="shared" si="334"/>
        <v>55.833877962505433</v>
      </c>
      <c r="R2611" s="51">
        <f t="shared" si="335"/>
        <v>23.391253299032201</v>
      </c>
    </row>
    <row r="2612" spans="1:18" x14ac:dyDescent="0.15">
      <c r="A2612" s="59">
        <v>44699.75</v>
      </c>
      <c r="B2612">
        <v>38.050552000000003</v>
      </c>
      <c r="C2612">
        <v>414.61981200000002</v>
      </c>
      <c r="D2612">
        <v>153.46391299999999</v>
      </c>
      <c r="E2612">
        <v>107.112503</v>
      </c>
      <c r="F2612">
        <v>2127.830078</v>
      </c>
      <c r="H2612" s="50">
        <f t="shared" si="329"/>
        <v>2.8218805786985608E-2</v>
      </c>
      <c r="I2612" s="50">
        <f t="shared" si="330"/>
        <v>1.5298077198136925E-2</v>
      </c>
      <c r="J2612" s="50">
        <f t="shared" si="331"/>
        <v>5.3314249151323261E-2</v>
      </c>
      <c r="K2612" s="50">
        <f t="shared" si="332"/>
        <v>-1.9241420438132933E-3</v>
      </c>
      <c r="L2612" s="50">
        <f t="shared" si="333"/>
        <v>9.3138269808526681E-4</v>
      </c>
      <c r="P2612" s="50">
        <f t="shared" si="328"/>
        <v>9.3138269808526681E-4</v>
      </c>
      <c r="Q2612" s="51">
        <f t="shared" si="334"/>
        <v>55.885880670406713</v>
      </c>
      <c r="R2612" s="51">
        <f t="shared" si="335"/>
        <v>24.051326532991776</v>
      </c>
    </row>
    <row r="2613" spans="1:18" x14ac:dyDescent="0.15">
      <c r="A2613" s="59">
        <v>44700.75</v>
      </c>
      <c r="B2613">
        <v>37.006278999999999</v>
      </c>
      <c r="C2613">
        <v>408.37249800000001</v>
      </c>
      <c r="D2613">
        <v>145.69622799999999</v>
      </c>
      <c r="E2613">
        <v>107.319</v>
      </c>
      <c r="F2613">
        <v>2125.8500979999999</v>
      </c>
      <c r="H2613" s="50">
        <f t="shared" si="329"/>
        <v>-1.0906509203360765E-3</v>
      </c>
      <c r="I2613" s="50">
        <f t="shared" si="330"/>
        <v>1.5608814975972506E-2</v>
      </c>
      <c r="J2613" s="50">
        <f t="shared" si="331"/>
        <v>-1.2422768884961735E-2</v>
      </c>
      <c r="K2613" s="50">
        <f t="shared" si="332"/>
        <v>-2.5281203113237823E-3</v>
      </c>
      <c r="L2613" s="50">
        <f t="shared" si="333"/>
        <v>-2.3324212469356671E-3</v>
      </c>
      <c r="P2613" s="50">
        <f t="shared" si="328"/>
        <v>-2.3324212469356671E-3</v>
      </c>
      <c r="Q2613" s="51">
        <f t="shared" si="334"/>
        <v>55.755531254927348</v>
      </c>
      <c r="R2613" s="51">
        <f t="shared" si="335"/>
        <v>24.025094931573264</v>
      </c>
    </row>
    <row r="2614" spans="1:18" x14ac:dyDescent="0.15">
      <c r="A2614" s="59">
        <v>44701.75</v>
      </c>
      <c r="B2614">
        <v>37.046683999999999</v>
      </c>
      <c r="C2614">
        <v>402.09625199999999</v>
      </c>
      <c r="D2614">
        <v>147.52894599999999</v>
      </c>
      <c r="E2614">
        <v>107.591003</v>
      </c>
      <c r="F2614">
        <v>2130.820068</v>
      </c>
      <c r="H2614" s="50">
        <f t="shared" si="329"/>
        <v>-2.773249600442337E-2</v>
      </c>
      <c r="I2614" s="50">
        <f t="shared" si="330"/>
        <v>-3.0385627284482315E-2</v>
      </c>
      <c r="J2614" s="50">
        <f t="shared" si="331"/>
        <v>9.4867249186568227E-3</v>
      </c>
      <c r="K2614" s="50">
        <f t="shared" si="332"/>
        <v>3.1614864970336265E-4</v>
      </c>
      <c r="L2614" s="50">
        <f t="shared" si="333"/>
        <v>2.2388873634355227E-3</v>
      </c>
      <c r="P2614" s="50">
        <f t="shared" si="328"/>
        <v>2.2388873634355227E-3</v>
      </c>
      <c r="Q2614" s="51">
        <f t="shared" si="334"/>
        <v>55.88036160929564</v>
      </c>
      <c r="R2614" s="51">
        <f t="shared" si="335"/>
        <v>23.358819082377515</v>
      </c>
    </row>
    <row r="2615" spans="1:18" x14ac:dyDescent="0.15">
      <c r="A2615" s="59">
        <v>44702.75</v>
      </c>
      <c r="B2615">
        <v>38.103386</v>
      </c>
      <c r="C2615">
        <v>414.69708300000002</v>
      </c>
      <c r="D2615">
        <v>146.14253199999999</v>
      </c>
      <c r="E2615">
        <v>107.556999</v>
      </c>
      <c r="F2615">
        <v>2126.0600589999999</v>
      </c>
      <c r="H2615" s="50">
        <f t="shared" si="329"/>
        <v>-1.2325650791043887E-2</v>
      </c>
      <c r="I2615" s="50">
        <f t="shared" si="330"/>
        <v>-1.8802395820788988E-2</v>
      </c>
      <c r="J2615" s="50">
        <f t="shared" si="331"/>
        <v>2.6341914413907749E-2</v>
      </c>
      <c r="K2615" s="50">
        <f t="shared" si="332"/>
        <v>3.3208463654341332E-2</v>
      </c>
      <c r="L2615" s="50">
        <f t="shared" si="333"/>
        <v>1.038879788473099E-2</v>
      </c>
      <c r="P2615" s="50">
        <f t="shared" si="328"/>
        <v>1.038879788473099E-2</v>
      </c>
      <c r="Q2615" s="51">
        <f t="shared" si="334"/>
        <v>56.460891391780294</v>
      </c>
      <c r="R2615" s="51">
        <f t="shared" si="335"/>
        <v>23.070906435476957</v>
      </c>
    </row>
    <row r="2616" spans="1:18" x14ac:dyDescent="0.15">
      <c r="A2616" s="59">
        <v>44706.75</v>
      </c>
      <c r="B2616">
        <v>38.578896</v>
      </c>
      <c r="C2616">
        <v>422.643799</v>
      </c>
      <c r="D2616">
        <v>142.39166299999999</v>
      </c>
      <c r="E2616">
        <v>104.099998</v>
      </c>
      <c r="F2616">
        <v>2104.1999510000001</v>
      </c>
      <c r="H2616" s="50">
        <f t="shared" si="329"/>
        <v>6.1602082920770842E-3</v>
      </c>
      <c r="I2616" s="50">
        <f t="shared" si="330"/>
        <v>-5.4531639551021549E-3</v>
      </c>
      <c r="J2616" s="50">
        <f t="shared" si="331"/>
        <v>-4.1362893651795914E-2</v>
      </c>
      <c r="K2616" s="50">
        <f t="shared" si="332"/>
        <v>-2.505271786368125E-2</v>
      </c>
      <c r="L2616" s="50">
        <f t="shared" si="333"/>
        <v>-9.079449385720138E-3</v>
      </c>
      <c r="P2616" s="50">
        <f t="shared" si="328"/>
        <v>-9.079449385720138E-3</v>
      </c>
      <c r="Q2616" s="51">
        <f t="shared" si="334"/>
        <v>55.948257586115986</v>
      </c>
      <c r="R2616" s="51">
        <f t="shared" si="335"/>
        <v>23.213028024606515</v>
      </c>
    </row>
    <row r="2617" spans="1:18" x14ac:dyDescent="0.15">
      <c r="A2617" s="59">
        <v>44707.75</v>
      </c>
      <c r="B2617">
        <v>38.342697000000001</v>
      </c>
      <c r="C2617">
        <v>424.96118200000001</v>
      </c>
      <c r="D2617">
        <v>148.53552199999999</v>
      </c>
      <c r="E2617">
        <v>106.775002</v>
      </c>
      <c r="F2617">
        <v>2123.4799800000001</v>
      </c>
      <c r="H2617" s="50">
        <f t="shared" si="329"/>
        <v>-2.0873063410889185E-2</v>
      </c>
      <c r="I2617" s="50">
        <f t="shared" si="330"/>
        <v>-5.3506469479993879E-2</v>
      </c>
      <c r="J2617" s="50">
        <f t="shared" si="331"/>
        <v>-4.1544021437694562E-2</v>
      </c>
      <c r="K2617" s="50">
        <f t="shared" si="332"/>
        <v>-3.8734190441216204E-2</v>
      </c>
      <c r="L2617" s="50">
        <f t="shared" si="333"/>
        <v>1.2683674246548504E-3</v>
      </c>
      <c r="P2617" s="50">
        <f t="shared" si="328"/>
        <v>1.2683674246548504E-3</v>
      </c>
      <c r="Q2617" s="51">
        <f t="shared" si="334"/>
        <v>56.019220533504409</v>
      </c>
      <c r="R2617" s="51">
        <f t="shared" si="335"/>
        <v>22.728501018690153</v>
      </c>
    </row>
    <row r="2618" spans="1:18" x14ac:dyDescent="0.15">
      <c r="A2618" s="59">
        <v>44708.75</v>
      </c>
      <c r="B2618">
        <v>39.160088000000002</v>
      </c>
      <c r="C2618">
        <v>448.98477200000002</v>
      </c>
      <c r="D2618">
        <v>154.97375500000001</v>
      </c>
      <c r="E2618">
        <v>111.077499</v>
      </c>
      <c r="F2618">
        <v>2120.790039</v>
      </c>
      <c r="H2618" s="50">
        <f t="shared" si="329"/>
        <v>-1.9302541856416531E-2</v>
      </c>
      <c r="I2618" s="50">
        <f t="shared" si="330"/>
        <v>-1.2256814907300372E-2</v>
      </c>
      <c r="J2618" s="50">
        <f t="shared" si="331"/>
        <v>-2.3573103575660712E-2</v>
      </c>
      <c r="K2618" s="50">
        <f t="shared" si="332"/>
        <v>-3.5337600361278892E-2</v>
      </c>
      <c r="L2618" s="50">
        <f t="shared" si="333"/>
        <v>6.3586458512069699E-3</v>
      </c>
      <c r="P2618" s="50">
        <f t="shared" si="328"/>
        <v>6.3586458512069699E-3</v>
      </c>
      <c r="Q2618" s="51">
        <f t="shared" si="334"/>
        <v>56.375426917737627</v>
      </c>
      <c r="R2618" s="51">
        <f t="shared" si="335"/>
        <v>22.289783176443279</v>
      </c>
    </row>
    <row r="2619" spans="1:18" x14ac:dyDescent="0.15">
      <c r="A2619" s="59">
        <v>44709.75</v>
      </c>
      <c r="B2619">
        <v>39.930855000000001</v>
      </c>
      <c r="C2619">
        <v>454.55618299999998</v>
      </c>
      <c r="D2619">
        <v>158.71516399999999</v>
      </c>
      <c r="E2619">
        <v>115.1465</v>
      </c>
      <c r="F2619">
        <v>2107.389893</v>
      </c>
      <c r="H2619" s="50">
        <f t="shared" si="329"/>
        <v>-1.1661317070708304E-3</v>
      </c>
      <c r="I2619" s="50">
        <f t="shared" si="330"/>
        <v>9.7378858953064158E-3</v>
      </c>
      <c r="J2619" s="50">
        <f t="shared" si="331"/>
        <v>3.2493156759654078E-2</v>
      </c>
      <c r="K2619" s="50">
        <f t="shared" si="332"/>
        <v>-4.2118159327220538E-2</v>
      </c>
      <c r="L2619" s="50">
        <f t="shared" si="333"/>
        <v>-2.055228197309601E-3</v>
      </c>
      <c r="P2619" s="50">
        <f t="shared" si="328"/>
        <v>-2.055228197309601E-3</v>
      </c>
      <c r="Q2619" s="51">
        <f t="shared" si="334"/>
        <v>56.259562550700927</v>
      </c>
      <c r="R2619" s="51">
        <f t="shared" si="335"/>
        <v>22.263790353537495</v>
      </c>
    </row>
    <row r="2620" spans="1:18" x14ac:dyDescent="0.15">
      <c r="A2620" s="59">
        <v>44712.75</v>
      </c>
      <c r="B2620">
        <v>39.977474000000001</v>
      </c>
      <c r="C2620">
        <v>450.17245500000001</v>
      </c>
      <c r="D2620">
        <v>153.72030599999999</v>
      </c>
      <c r="E2620">
        <v>120.209503</v>
      </c>
      <c r="F2620">
        <v>2111.7299800000001</v>
      </c>
      <c r="H2620" s="50">
        <f t="shared" si="329"/>
        <v>2.5348772057003404E-2</v>
      </c>
      <c r="I2620" s="50">
        <f t="shared" si="330"/>
        <v>2.0197366015561664E-2</v>
      </c>
      <c r="J2620" s="50">
        <f t="shared" si="331"/>
        <v>3.4244742766210111E-2</v>
      </c>
      <c r="K2620" s="50">
        <f t="shared" si="332"/>
        <v>-1.2117410869422654E-2</v>
      </c>
      <c r="L2620" s="50">
        <f t="shared" si="333"/>
        <v>1.00961409796075E-3</v>
      </c>
      <c r="P2620" s="50">
        <f t="shared" si="328"/>
        <v>1.00961409796075E-3</v>
      </c>
      <c r="Q2620" s="51">
        <f t="shared" si="334"/>
        <v>56.316362998197221</v>
      </c>
      <c r="R2620" s="51">
        <f t="shared" si="335"/>
        <v>22.828150100334227</v>
      </c>
    </row>
    <row r="2621" spans="1:18" x14ac:dyDescent="0.15">
      <c r="A2621" s="59">
        <v>44713.75</v>
      </c>
      <c r="B2621">
        <v>38.989147000000003</v>
      </c>
      <c r="C2621">
        <v>441.26016199999998</v>
      </c>
      <c r="D2621">
        <v>148.630493</v>
      </c>
      <c r="E2621">
        <v>121.683998</v>
      </c>
      <c r="F2621">
        <v>2109.6000979999999</v>
      </c>
      <c r="H2621" s="50">
        <f t="shared" si="329"/>
        <v>-1.6155588392582205E-2</v>
      </c>
      <c r="I2621" s="50">
        <f t="shared" si="330"/>
        <v>-6.2796020608641964E-2</v>
      </c>
      <c r="J2621" s="50">
        <f t="shared" si="331"/>
        <v>-2.7282123027637523E-2</v>
      </c>
      <c r="K2621" s="50">
        <f t="shared" si="332"/>
        <v>-3.0491382739498821E-2</v>
      </c>
      <c r="L2621" s="50">
        <f t="shared" si="333"/>
        <v>-2.1143906569893798E-3</v>
      </c>
      <c r="P2621" s="50">
        <f t="shared" si="328"/>
        <v>-2.1143906569893798E-3</v>
      </c>
      <c r="Q2621" s="51">
        <f t="shared" si="334"/>
        <v>56.197288206438209</v>
      </c>
      <c r="R2621" s="51">
        <f t="shared" si="335"/>
        <v>22.459347903549141</v>
      </c>
    </row>
    <row r="2622" spans="1:18" x14ac:dyDescent="0.15">
      <c r="A2622" s="59">
        <v>44714.75</v>
      </c>
      <c r="B2622">
        <v>39.629382999999997</v>
      </c>
      <c r="C2622">
        <v>470.82617199999999</v>
      </c>
      <c r="D2622">
        <v>152.79917900000001</v>
      </c>
      <c r="E2622">
        <v>125.511002</v>
      </c>
      <c r="F2622">
        <v>2114.070068</v>
      </c>
      <c r="H2622" s="50">
        <f t="shared" si="329"/>
        <v>1.7475196762432282E-2</v>
      </c>
      <c r="I2622" s="50">
        <f t="shared" si="330"/>
        <v>2.3852978292339764E-2</v>
      </c>
      <c r="J2622" s="50">
        <f t="shared" si="331"/>
        <v>-8.0732978200387091E-4</v>
      </c>
      <c r="K2622" s="50">
        <f t="shared" si="332"/>
        <v>2.5835750320159428E-2</v>
      </c>
      <c r="L2622" s="50">
        <f t="shared" si="333"/>
        <v>8.6981731594782188E-3</v>
      </c>
      <c r="P2622" s="50">
        <f t="shared" si="328"/>
        <v>8.6981731594782188E-3</v>
      </c>
      <c r="Q2622" s="51">
        <f t="shared" si="334"/>
        <v>56.68610195035091</v>
      </c>
      <c r="R2622" s="51">
        <f t="shared" si="335"/>
        <v>22.851829427319583</v>
      </c>
    </row>
    <row r="2623" spans="1:18" x14ac:dyDescent="0.15">
      <c r="A2623" s="59">
        <v>44715.75</v>
      </c>
      <c r="B2623">
        <v>38.948746</v>
      </c>
      <c r="C2623">
        <v>459.85720800000001</v>
      </c>
      <c r="D2623">
        <v>152.92263800000001</v>
      </c>
      <c r="E2623">
        <v>122.349998</v>
      </c>
      <c r="F2623">
        <v>2095.8400879999999</v>
      </c>
      <c r="H2623" s="50">
        <f t="shared" si="329"/>
        <v>3.6037879674313076E-3</v>
      </c>
      <c r="I2623" s="50">
        <f t="shared" si="330"/>
        <v>8.0003990816747104E-3</v>
      </c>
      <c r="J2623" s="50">
        <f t="shared" si="331"/>
        <v>8.5801304541466717E-3</v>
      </c>
      <c r="K2623" s="50">
        <f t="shared" si="332"/>
        <v>-1.9552872669662085E-2</v>
      </c>
      <c r="L2623" s="50">
        <f t="shared" si="333"/>
        <v>1.4382486335806407E-3</v>
      </c>
      <c r="P2623" s="50">
        <f t="shared" si="328"/>
        <v>1.4382486335806407E-3</v>
      </c>
      <c r="Q2623" s="51">
        <f t="shared" si="334"/>
        <v>56.767630659024015</v>
      </c>
      <c r="R2623" s="51">
        <f t="shared" si="335"/>
        <v>22.93418257524355</v>
      </c>
    </row>
    <row r="2624" spans="1:18" x14ac:dyDescent="0.15">
      <c r="A2624" s="59">
        <v>44716.75</v>
      </c>
      <c r="B2624">
        <v>38.808886999999999</v>
      </c>
      <c r="C2624">
        <v>456.20736699999998</v>
      </c>
      <c r="D2624">
        <v>151.62170399999999</v>
      </c>
      <c r="E2624">
        <v>124.790001</v>
      </c>
      <c r="F2624">
        <v>2092.830078</v>
      </c>
      <c r="H2624" s="50">
        <f t="shared" si="329"/>
        <v>1.2158508307331574E-2</v>
      </c>
      <c r="I2624" s="50">
        <f t="shared" si="330"/>
        <v>1.4625683385362754E-3</v>
      </c>
      <c r="J2624" s="50">
        <f t="shared" si="331"/>
        <v>2.3657054948661261E-2</v>
      </c>
      <c r="K2624" s="50">
        <f t="shared" si="332"/>
        <v>1.4552853658536615E-2</v>
      </c>
      <c r="L2624" s="50">
        <f t="shared" si="333"/>
        <v>6.5167023253316419E-3</v>
      </c>
      <c r="P2624" s="50">
        <f t="shared" si="328"/>
        <v>6.5167023253316419E-3</v>
      </c>
      <c r="Q2624" s="51">
        <f t="shared" si="334"/>
        <v>57.137568409743245</v>
      </c>
      <c r="R2624" s="51">
        <f t="shared" si="335"/>
        <v>23.213028024606512</v>
      </c>
    </row>
    <row r="2625" spans="1:18" x14ac:dyDescent="0.15">
      <c r="A2625" s="59">
        <v>44719.75</v>
      </c>
      <c r="B2625">
        <v>38.342697000000001</v>
      </c>
      <c r="C2625">
        <v>455.54110700000001</v>
      </c>
      <c r="D2625">
        <v>148.11767599999999</v>
      </c>
      <c r="E2625">
        <v>123</v>
      </c>
      <c r="F2625">
        <v>2079.280029</v>
      </c>
      <c r="H2625" s="50">
        <f t="shared" si="329"/>
        <v>8.7489795816890065E-3</v>
      </c>
      <c r="I2625" s="50">
        <f t="shared" si="330"/>
        <v>8.0985297006971844E-3</v>
      </c>
      <c r="J2625" s="50">
        <f t="shared" si="331"/>
        <v>-4.5949229498886586E-3</v>
      </c>
      <c r="K2625" s="50">
        <f t="shared" si="332"/>
        <v>1.5018980029707816E-2</v>
      </c>
      <c r="L2625" s="50">
        <f t="shared" si="333"/>
        <v>-4.1817803570970614E-4</v>
      </c>
      <c r="P2625" s="50">
        <f t="shared" ref="P2625:P2688" si="336">(F2625-F2626)/F2626</f>
        <v>-4.1817803570970614E-4</v>
      </c>
      <c r="Q2625" s="51">
        <f t="shared" si="334"/>
        <v>57.113674733620428</v>
      </c>
      <c r="R2625" s="51">
        <f t="shared" si="335"/>
        <v>23.416118332822972</v>
      </c>
    </row>
    <row r="2626" spans="1:18" x14ac:dyDescent="0.15">
      <c r="A2626" s="59">
        <v>44720.75</v>
      </c>
      <c r="B2626">
        <v>38.010147000000003</v>
      </c>
      <c r="C2626">
        <v>451.881531</v>
      </c>
      <c r="D2626">
        <v>148.80140700000001</v>
      </c>
      <c r="E2626">
        <v>121.18</v>
      </c>
      <c r="F2626">
        <v>2080.1499020000001</v>
      </c>
      <c r="H2626" s="50">
        <f t="shared" ref="H2626:H2689" si="337">(B2626-B2627)/B2627</f>
        <v>1.0576744100226226E-2</v>
      </c>
      <c r="I2626" s="50">
        <f t="shared" ref="I2626:I2689" si="338">(C2626-C2627)/C2627</f>
        <v>-8.6007281261956236E-3</v>
      </c>
      <c r="J2626" s="50">
        <f t="shared" ref="J2626:J2689" si="339">(D2626-D2627)/D2627</f>
        <v>1.3911345370568574E-2</v>
      </c>
      <c r="K2626" s="50">
        <f t="shared" ref="K2626:K2689" si="340">(E2626-E2627)/E2627</f>
        <v>4.3306051772603556E-2</v>
      </c>
      <c r="L2626" s="50">
        <f t="shared" ref="L2626:L2689" si="341">(F2626-F2627)/F2627</f>
        <v>-1.1899130525868013E-2</v>
      </c>
      <c r="P2626" s="50">
        <f t="shared" si="336"/>
        <v>-1.1899130525868013E-2</v>
      </c>
      <c r="Q2626" s="51">
        <f t="shared" si="334"/>
        <v>56.434071663153112</v>
      </c>
      <c r="R2626" s="51">
        <f t="shared" si="335"/>
        <v>23.663784624249857</v>
      </c>
    </row>
    <row r="2627" spans="1:18" x14ac:dyDescent="0.15">
      <c r="A2627" s="59">
        <v>44721.75</v>
      </c>
      <c r="B2627">
        <v>37.612330999999998</v>
      </c>
      <c r="C2627">
        <v>455.80175800000001</v>
      </c>
      <c r="D2627">
        <v>146.759781</v>
      </c>
      <c r="E2627">
        <v>116.150002</v>
      </c>
      <c r="F2627">
        <v>2105.1999510000001</v>
      </c>
      <c r="H2627" s="50">
        <f t="shared" si="337"/>
        <v>-5.5874537184640895E-3</v>
      </c>
      <c r="I2627" s="50">
        <f t="shared" si="338"/>
        <v>1.8864293519731394E-2</v>
      </c>
      <c r="J2627" s="50">
        <f t="shared" si="339"/>
        <v>3.2604943770299058E-2</v>
      </c>
      <c r="K2627" s="50">
        <f t="shared" si="340"/>
        <v>5.9279524682544008E-2</v>
      </c>
      <c r="L2627" s="50">
        <f t="shared" si="341"/>
        <v>-1.7356087242822102E-3</v>
      </c>
      <c r="P2627" s="50">
        <f t="shared" si="336"/>
        <v>-1.7356087242822102E-3</v>
      </c>
      <c r="Q2627" s="51">
        <f t="shared" ref="Q2627:Q2690" si="342">Q2626*(1+P2627)</f>
        <v>56.336124196027775</v>
      </c>
      <c r="R2627" s="51">
        <f t="shared" ref="R2627:R2690" si="343">R2626*(1+H2627)</f>
        <v>23.531564322858156</v>
      </c>
    </row>
    <row r="2628" spans="1:18" x14ac:dyDescent="0.15">
      <c r="A2628" s="59">
        <v>44722.75</v>
      </c>
      <c r="B2628">
        <v>37.823669000000002</v>
      </c>
      <c r="C2628">
        <v>447.36257899999998</v>
      </c>
      <c r="D2628">
        <v>142.125778</v>
      </c>
      <c r="E2628">
        <v>109.650002</v>
      </c>
      <c r="F2628">
        <v>2108.860107</v>
      </c>
      <c r="H2628" s="50">
        <f t="shared" si="337"/>
        <v>1.917751353108503E-2</v>
      </c>
      <c r="I2628" s="50">
        <f t="shared" si="338"/>
        <v>2.4455458381417432E-2</v>
      </c>
      <c r="J2628" s="50">
        <f t="shared" si="339"/>
        <v>3.3561388996219868E-2</v>
      </c>
      <c r="K2628" s="50">
        <f t="shared" si="340"/>
        <v>5.7683072396702402E-2</v>
      </c>
      <c r="L2628" s="50">
        <f t="shared" si="341"/>
        <v>7.0435646868304809E-3</v>
      </c>
      <c r="P2628" s="50">
        <f t="shared" si="336"/>
        <v>7.0435646868304809E-3</v>
      </c>
      <c r="Q2628" s="51">
        <f t="shared" si="342"/>
        <v>56.732931331007819</v>
      </c>
      <c r="R2628" s="51">
        <f t="shared" si="343"/>
        <v>23.982841216067364</v>
      </c>
    </row>
    <row r="2629" spans="1:18" x14ac:dyDescent="0.15">
      <c r="A2629" s="59">
        <v>44723.75</v>
      </c>
      <c r="B2629">
        <v>37.111953999999997</v>
      </c>
      <c r="C2629">
        <v>436.683289</v>
      </c>
      <c r="D2629">
        <v>137.510727</v>
      </c>
      <c r="E2629">
        <v>103.66999800000001</v>
      </c>
      <c r="F2629">
        <v>2094.110107</v>
      </c>
      <c r="H2629" s="50">
        <f t="shared" si="337"/>
        <v>-4.1836927988163873E-4</v>
      </c>
      <c r="I2629" s="50">
        <f t="shared" si="338"/>
        <v>-5.6069790379691181E-3</v>
      </c>
      <c r="J2629" s="50">
        <f t="shared" si="339"/>
        <v>1.4786402465435963E-2</v>
      </c>
      <c r="K2629" s="50">
        <f t="shared" si="340"/>
        <v>1.3292933501963452E-2</v>
      </c>
      <c r="L2629" s="50">
        <f t="shared" si="341"/>
        <v>4.6440395291732755E-3</v>
      </c>
      <c r="P2629" s="50">
        <f t="shared" si="336"/>
        <v>4.6440395291732755E-3</v>
      </c>
      <c r="Q2629" s="51">
        <f t="shared" si="342"/>
        <v>56.996401306714894</v>
      </c>
      <c r="R2629" s="51">
        <f t="shared" si="343"/>
        <v>23.972807532058283</v>
      </c>
    </row>
    <row r="2630" spans="1:18" x14ac:dyDescent="0.15">
      <c r="A2630" s="59">
        <v>44726.75</v>
      </c>
      <c r="B2630">
        <v>37.127487000000002</v>
      </c>
      <c r="C2630">
        <v>439.14556900000002</v>
      </c>
      <c r="D2630">
        <v>135.50706500000001</v>
      </c>
      <c r="E2630">
        <v>102.30999799999999</v>
      </c>
      <c r="F2630">
        <v>2084.429932</v>
      </c>
      <c r="H2630" s="50">
        <f t="shared" si="337"/>
        <v>6.7014129971352393E-4</v>
      </c>
      <c r="I2630" s="50">
        <f t="shared" si="338"/>
        <v>-8.6966499403296517E-3</v>
      </c>
      <c r="J2630" s="50">
        <f t="shared" si="339"/>
        <v>-3.2148721801533962E-2</v>
      </c>
      <c r="K2630" s="50">
        <f t="shared" si="340"/>
        <v>-4.9781741428099713E-2</v>
      </c>
      <c r="L2630" s="50">
        <f t="shared" si="341"/>
        <v>-5.6576651032781873E-3</v>
      </c>
      <c r="P2630" s="50">
        <f t="shared" si="336"/>
        <v>-5.6576651032781873E-3</v>
      </c>
      <c r="Q2630" s="51">
        <f t="shared" si="342"/>
        <v>56.673934756029453</v>
      </c>
      <c r="R2630" s="51">
        <f t="shared" si="343"/>
        <v>23.988872700455598</v>
      </c>
    </row>
    <row r="2631" spans="1:18" x14ac:dyDescent="0.15">
      <c r="A2631" s="59">
        <v>44727.75</v>
      </c>
      <c r="B2631">
        <v>37.102623000000001</v>
      </c>
      <c r="C2631">
        <v>442.99816900000002</v>
      </c>
      <c r="D2631">
        <v>140.00814800000001</v>
      </c>
      <c r="E2631">
        <v>107.66999800000001</v>
      </c>
      <c r="F2631">
        <v>2096.290039</v>
      </c>
      <c r="H2631" s="50">
        <f t="shared" si="337"/>
        <v>-1.0280194409908265E-2</v>
      </c>
      <c r="I2631" s="50">
        <f t="shared" si="338"/>
        <v>1.5561292214240591E-2</v>
      </c>
      <c r="J2631" s="50">
        <f t="shared" si="339"/>
        <v>3.1842524347210688E-2</v>
      </c>
      <c r="K2631" s="50">
        <f t="shared" si="340"/>
        <v>3.8684100378772956E-2</v>
      </c>
      <c r="L2631" s="50">
        <f t="shared" si="341"/>
        <v>-1.9757299025766864E-3</v>
      </c>
      <c r="P2631" s="50">
        <f t="shared" si="336"/>
        <v>-1.9757299025766864E-3</v>
      </c>
      <c r="Q2631" s="51">
        <f t="shared" si="342"/>
        <v>56.561962368435289</v>
      </c>
      <c r="R2631" s="51">
        <f t="shared" si="343"/>
        <v>23.742262425420375</v>
      </c>
    </row>
    <row r="2632" spans="1:18" x14ac:dyDescent="0.15">
      <c r="A2632" s="59">
        <v>44728.75</v>
      </c>
      <c r="B2632">
        <v>37.488007000000003</v>
      </c>
      <c r="C2632">
        <v>436.21017499999999</v>
      </c>
      <c r="D2632">
        <v>135.68751499999999</v>
      </c>
      <c r="E2632">
        <v>103.660004</v>
      </c>
      <c r="F2632">
        <v>2100.4399410000001</v>
      </c>
      <c r="H2632" s="50">
        <f t="shared" si="337"/>
        <v>1.9697168385161334E-2</v>
      </c>
      <c r="I2632" s="50">
        <f t="shared" si="338"/>
        <v>1.1350057584864086E-2</v>
      </c>
      <c r="J2632" s="50">
        <f t="shared" si="339"/>
        <v>2.5771706632869883E-2</v>
      </c>
      <c r="K2632" s="50">
        <f t="shared" si="340"/>
        <v>-2.410089414327906E-2</v>
      </c>
      <c r="L2632" s="50">
        <f t="shared" si="341"/>
        <v>-9.805608558228221E-3</v>
      </c>
      <c r="P2632" s="50">
        <f t="shared" si="336"/>
        <v>-9.805608558228221E-3</v>
      </c>
      <c r="Q2632" s="51">
        <f t="shared" si="342"/>
        <v>56.007337906165176</v>
      </c>
      <c r="R2632" s="51">
        <f t="shared" si="343"/>
        <v>24.209917766258567</v>
      </c>
    </row>
    <row r="2633" spans="1:18" x14ac:dyDescent="0.15">
      <c r="A2633" s="59">
        <v>44729.75</v>
      </c>
      <c r="B2633">
        <v>36.763863000000001</v>
      </c>
      <c r="C2633">
        <v>431.314728</v>
      </c>
      <c r="D2633">
        <v>132.27847299999999</v>
      </c>
      <c r="E2633">
        <v>106.220001</v>
      </c>
      <c r="F2633">
        <v>2121.23999</v>
      </c>
      <c r="H2633" s="50">
        <f t="shared" si="337"/>
        <v>-3.1758946373667642E-2</v>
      </c>
      <c r="I2633" s="50">
        <f t="shared" si="338"/>
        <v>-3.5455897849926199E-2</v>
      </c>
      <c r="J2633" s="50">
        <f t="shared" si="339"/>
        <v>-3.7318473069623131E-2</v>
      </c>
      <c r="K2633" s="50">
        <f t="shared" si="340"/>
        <v>-2.2635250276039846E-2</v>
      </c>
      <c r="L2633" s="50">
        <f t="shared" si="341"/>
        <v>5.331778848865534E-3</v>
      </c>
      <c r="P2633" s="50">
        <f t="shared" si="336"/>
        <v>5.331778848865534E-3</v>
      </c>
      <c r="Q2633" s="51">
        <f t="shared" si="342"/>
        <v>56.305956645794538</v>
      </c>
      <c r="R2633" s="51">
        <f t="shared" si="343"/>
        <v>23.441036286209059</v>
      </c>
    </row>
    <row r="2634" spans="1:18" x14ac:dyDescent="0.15">
      <c r="A2634" s="59">
        <v>44730.75</v>
      </c>
      <c r="B2634">
        <v>37.969741999999997</v>
      </c>
      <c r="C2634">
        <v>447.16952500000002</v>
      </c>
      <c r="D2634">
        <v>137.40626499999999</v>
      </c>
      <c r="E2634">
        <v>108.68</v>
      </c>
      <c r="F2634">
        <v>2109.98999</v>
      </c>
      <c r="H2634" s="50">
        <f t="shared" si="337"/>
        <v>1.2262833097919019E-2</v>
      </c>
      <c r="I2634" s="50">
        <f t="shared" si="338"/>
        <v>6.8485362141143214E-3</v>
      </c>
      <c r="J2634" s="50">
        <f t="shared" si="339"/>
        <v>2.7625901785684696E-2</v>
      </c>
      <c r="K2634" s="50">
        <f t="shared" si="340"/>
        <v>-2.4781735423084904E-3</v>
      </c>
      <c r="L2634" s="50">
        <f t="shared" si="341"/>
        <v>-6.0579444644328602E-3</v>
      </c>
      <c r="P2634" s="50">
        <f t="shared" si="336"/>
        <v>-6.0579444644328602E-3</v>
      </c>
      <c r="Q2634" s="51">
        <f t="shared" si="342"/>
        <v>55.964858287417549</v>
      </c>
      <c r="R2634" s="51">
        <f t="shared" si="343"/>
        <v>23.728489801829106</v>
      </c>
    </row>
    <row r="2635" spans="1:18" x14ac:dyDescent="0.15">
      <c r="A2635" s="59">
        <v>44733.75</v>
      </c>
      <c r="B2635">
        <v>37.509765999999999</v>
      </c>
      <c r="C2635">
        <v>444.12789900000001</v>
      </c>
      <c r="D2635">
        <v>133.71234100000001</v>
      </c>
      <c r="E2635">
        <v>108.949997</v>
      </c>
      <c r="F2635">
        <v>2122.8500979999999</v>
      </c>
      <c r="H2635" s="50">
        <f t="shared" si="337"/>
        <v>-2.3701505141007533E-2</v>
      </c>
      <c r="I2635" s="50">
        <f t="shared" si="338"/>
        <v>-3.1663147092696853E-2</v>
      </c>
      <c r="J2635" s="50">
        <f t="shared" si="339"/>
        <v>-4.0869195871811342E-2</v>
      </c>
      <c r="K2635" s="50">
        <f t="shared" si="340"/>
        <v>-3.1038820152280062E-2</v>
      </c>
      <c r="L2635" s="50">
        <f t="shared" si="341"/>
        <v>-6.3546418940679393E-4</v>
      </c>
      <c r="P2635" s="50">
        <f t="shared" si="336"/>
        <v>-6.3546418940679393E-4</v>
      </c>
      <c r="Q2635" s="51">
        <f t="shared" si="342"/>
        <v>55.929294624110675</v>
      </c>
      <c r="R2635" s="51">
        <f t="shared" si="343"/>
        <v>23.166088878802707</v>
      </c>
    </row>
    <row r="2636" spans="1:18" x14ac:dyDescent="0.15">
      <c r="A2636" s="59">
        <v>44734.75</v>
      </c>
      <c r="B2636">
        <v>38.420386999999998</v>
      </c>
      <c r="C2636">
        <v>458.65020800000002</v>
      </c>
      <c r="D2636">
        <v>139.40991199999999</v>
      </c>
      <c r="E2636">
        <v>112.44000200000001</v>
      </c>
      <c r="F2636">
        <v>2124.1999510000001</v>
      </c>
      <c r="H2636" s="50">
        <f t="shared" si="337"/>
        <v>-8.0855151545931392E-4</v>
      </c>
      <c r="I2636" s="50">
        <f t="shared" si="338"/>
        <v>-1.9344791635857454E-2</v>
      </c>
      <c r="J2636" s="50">
        <f t="shared" si="339"/>
        <v>-2.3999606491178924E-2</v>
      </c>
      <c r="K2636" s="50">
        <f t="shared" si="340"/>
        <v>-3.4518264077951687E-2</v>
      </c>
      <c r="L2636" s="50">
        <f t="shared" si="341"/>
        <v>7.4077684613313979E-3</v>
      </c>
      <c r="P2636" s="50">
        <f t="shared" si="336"/>
        <v>7.4077684613313979E-3</v>
      </c>
      <c r="Q2636" s="51">
        <f t="shared" si="342"/>
        <v>56.343605888891673</v>
      </c>
      <c r="R2636" s="51">
        <f t="shared" si="343"/>
        <v>23.147357902532487</v>
      </c>
    </row>
    <row r="2637" spans="1:18" x14ac:dyDescent="0.15">
      <c r="A2637" s="59">
        <v>44735.75</v>
      </c>
      <c r="B2637">
        <v>38.451476999999997</v>
      </c>
      <c r="C2637">
        <v>467.697723</v>
      </c>
      <c r="D2637">
        <v>142.83796699999999</v>
      </c>
      <c r="E2637">
        <v>116.459999</v>
      </c>
      <c r="F2637">
        <v>2108.580078</v>
      </c>
      <c r="H2637" s="50">
        <f t="shared" si="337"/>
        <v>-3.2224877226743622E-3</v>
      </c>
      <c r="I2637" s="50">
        <f t="shared" si="338"/>
        <v>5.4384985646945896E-3</v>
      </c>
      <c r="J2637" s="50">
        <f t="shared" si="339"/>
        <v>5.4143572567073384E-3</v>
      </c>
      <c r="K2637" s="50">
        <f t="shared" si="340"/>
        <v>2.8616834228786133E-2</v>
      </c>
      <c r="L2637" s="50">
        <f t="shared" si="341"/>
        <v>2.9824425627219282E-3</v>
      </c>
      <c r="P2637" s="50">
        <f t="shared" si="336"/>
        <v>2.9824425627219282E-3</v>
      </c>
      <c r="Q2637" s="51">
        <f t="shared" si="342"/>
        <v>56.511647457231931</v>
      </c>
      <c r="R2637" s="51">
        <f t="shared" si="343"/>
        <v>23.072765825879227</v>
      </c>
    </row>
    <row r="2638" spans="1:18" x14ac:dyDescent="0.15">
      <c r="A2638" s="59">
        <v>44736.75</v>
      </c>
      <c r="B2638">
        <v>38.575786999999998</v>
      </c>
      <c r="C2638">
        <v>465.16790800000001</v>
      </c>
      <c r="D2638">
        <v>142.06875600000001</v>
      </c>
      <c r="E2638">
        <v>113.220001</v>
      </c>
      <c r="F2638">
        <v>2102.3100589999999</v>
      </c>
      <c r="H2638" s="50">
        <f t="shared" si="337"/>
        <v>1.4300863974761399E-2</v>
      </c>
      <c r="I2638" s="50">
        <f t="shared" si="338"/>
        <v>2.8040442453517164E-2</v>
      </c>
      <c r="J2638" s="50">
        <f t="shared" si="339"/>
        <v>3.5219817121174446E-2</v>
      </c>
      <c r="K2638" s="50">
        <f t="shared" si="340"/>
        <v>5.4189933813967674E-2</v>
      </c>
      <c r="L2638" s="50">
        <f t="shared" si="341"/>
        <v>3.3305511696415691E-4</v>
      </c>
      <c r="P2638" s="50">
        <f t="shared" si="336"/>
        <v>3.3305511696415691E-4</v>
      </c>
      <c r="Q2638" s="51">
        <f t="shared" si="342"/>
        <v>56.530468950585643</v>
      </c>
      <c r="R2638" s="51">
        <f t="shared" si="343"/>
        <v>23.402726311476652</v>
      </c>
    </row>
    <row r="2639" spans="1:18" x14ac:dyDescent="0.15">
      <c r="A2639" s="59">
        <v>44737.75</v>
      </c>
      <c r="B2639">
        <v>38.031897999999998</v>
      </c>
      <c r="C2639">
        <v>452.480164</v>
      </c>
      <c r="D2639">
        <v>137.23535200000001</v>
      </c>
      <c r="E2639">
        <v>107.400002</v>
      </c>
      <c r="F2639">
        <v>2101.610107</v>
      </c>
      <c r="H2639" s="50">
        <f t="shared" si="337"/>
        <v>3.6907479901850536E-3</v>
      </c>
      <c r="I2639" s="50">
        <f t="shared" si="338"/>
        <v>-2.6178890327102555E-3</v>
      </c>
      <c r="J2639" s="50">
        <f t="shared" si="339"/>
        <v>1.8463889961327806E-2</v>
      </c>
      <c r="K2639" s="50">
        <f t="shared" si="340"/>
        <v>-1.395516000652154E-2</v>
      </c>
      <c r="L2639" s="50">
        <f t="shared" si="341"/>
        <v>2.1369246460269685E-2</v>
      </c>
      <c r="P2639" s="50">
        <f t="shared" si="336"/>
        <v>2.1369246460269685E-2</v>
      </c>
      <c r="Q2639" s="51">
        <f t="shared" si="342"/>
        <v>57.738482474105332</v>
      </c>
      <c r="R2639" s="51">
        <f t="shared" si="343"/>
        <v>23.489099876575587</v>
      </c>
    </row>
    <row r="2640" spans="1:18" x14ac:dyDescent="0.15">
      <c r="A2640" s="59">
        <v>44740.75</v>
      </c>
      <c r="B2640">
        <v>37.892048000000003</v>
      </c>
      <c r="C2640">
        <v>453.66781600000002</v>
      </c>
      <c r="D2640">
        <v>134.74739099999999</v>
      </c>
      <c r="E2640">
        <v>108.91999800000001</v>
      </c>
      <c r="F2640">
        <v>2057.639893</v>
      </c>
      <c r="H2640" s="50">
        <f t="shared" si="337"/>
        <v>2.7965369635729025E-3</v>
      </c>
      <c r="I2640" s="50">
        <f t="shared" si="338"/>
        <v>-1.9696301329421576E-2</v>
      </c>
      <c r="J2640" s="50">
        <f t="shared" si="339"/>
        <v>4.7439372241429969E-3</v>
      </c>
      <c r="K2640" s="50">
        <f t="shared" si="340"/>
        <v>2.551547900871377E-2</v>
      </c>
      <c r="L2640" s="50">
        <f t="shared" si="341"/>
        <v>-2.6514406484849534E-3</v>
      </c>
      <c r="P2640" s="50">
        <f t="shared" si="336"/>
        <v>-2.6514406484849534E-3</v>
      </c>
      <c r="Q2640" s="51">
        <f t="shared" si="342"/>
        <v>57.585392314691653</v>
      </c>
      <c r="R2640" s="51">
        <f t="shared" si="343"/>
        <v>23.554788012621486</v>
      </c>
    </row>
    <row r="2641" spans="1:18" x14ac:dyDescent="0.15">
      <c r="A2641" s="59">
        <v>44741.75</v>
      </c>
      <c r="B2641">
        <v>37.786377000000002</v>
      </c>
      <c r="C2641">
        <v>462.78292800000003</v>
      </c>
      <c r="D2641">
        <v>134.111176</v>
      </c>
      <c r="E2641">
        <v>106.209999</v>
      </c>
      <c r="F2641">
        <v>2063.110107</v>
      </c>
      <c r="H2641" s="50">
        <f t="shared" si="337"/>
        <v>-8.5621841850374216E-3</v>
      </c>
      <c r="I2641" s="50">
        <f t="shared" si="338"/>
        <v>-1.3339927342554396E-2</v>
      </c>
      <c r="J2641" s="50">
        <f t="shared" si="339"/>
        <v>-8.0770341433517422E-3</v>
      </c>
      <c r="K2641" s="50">
        <f t="shared" si="340"/>
        <v>-3.0576844296766024E-2</v>
      </c>
      <c r="L2641" s="50">
        <f t="shared" si="341"/>
        <v>-6.8882631038906881E-3</v>
      </c>
      <c r="P2641" s="50">
        <f t="shared" si="336"/>
        <v>-6.8882631038906881E-3</v>
      </c>
      <c r="Q2641" s="51">
        <f t="shared" si="342"/>
        <v>57.188728981487294</v>
      </c>
      <c r="R2641" s="51">
        <f t="shared" si="343"/>
        <v>23.353107579217909</v>
      </c>
    </row>
    <row r="2642" spans="1:18" x14ac:dyDescent="0.15">
      <c r="A2642" s="59">
        <v>44742.75</v>
      </c>
      <c r="B2642">
        <v>38.112704999999998</v>
      </c>
      <c r="C2642">
        <v>469.03988600000002</v>
      </c>
      <c r="D2642">
        <v>135.203217</v>
      </c>
      <c r="E2642">
        <v>109.55999799999999</v>
      </c>
      <c r="F2642">
        <v>2077.419922</v>
      </c>
      <c r="H2642" s="50">
        <f t="shared" si="337"/>
        <v>-1.3038235359923626E-2</v>
      </c>
      <c r="I2642" s="50">
        <f t="shared" si="338"/>
        <v>-5.120206607210266E-3</v>
      </c>
      <c r="J2642" s="50">
        <f t="shared" si="339"/>
        <v>-2.2853658789715195E-2</v>
      </c>
      <c r="K2642" s="50">
        <f t="shared" si="340"/>
        <v>-3.4713674008810633E-2</v>
      </c>
      <c r="L2642" s="50">
        <f t="shared" si="341"/>
        <v>3.0811785122382315E-4</v>
      </c>
      <c r="P2642" s="50">
        <f t="shared" si="336"/>
        <v>3.0811785122382315E-4</v>
      </c>
      <c r="Q2642" s="51">
        <f t="shared" si="342"/>
        <v>57.206349849775293</v>
      </c>
      <c r="R2642" s="51">
        <f t="shared" si="343"/>
        <v>23.04862426621445</v>
      </c>
    </row>
    <row r="2643" spans="1:18" x14ac:dyDescent="0.15">
      <c r="A2643" s="59">
        <v>44743.75</v>
      </c>
      <c r="B2643">
        <v>38.616191999999998</v>
      </c>
      <c r="C2643">
        <v>471.45382699999999</v>
      </c>
      <c r="D2643">
        <v>138.36537200000001</v>
      </c>
      <c r="E2643">
        <v>113.5</v>
      </c>
      <c r="F2643">
        <v>2076.780029</v>
      </c>
      <c r="H2643" s="50">
        <f t="shared" si="337"/>
        <v>-7.0326608414724712E-3</v>
      </c>
      <c r="I2643" s="50">
        <f t="shared" si="338"/>
        <v>-8.9109877672944177E-3</v>
      </c>
      <c r="J2643" s="50">
        <f t="shared" si="339"/>
        <v>6.2151151306181736E-3</v>
      </c>
      <c r="K2643" s="50">
        <f t="shared" si="340"/>
        <v>-7.2597042375630617E-3</v>
      </c>
      <c r="L2643" s="50">
        <f t="shared" si="341"/>
        <v>3.876727586202736E-3</v>
      </c>
      <c r="P2643" s="50">
        <f t="shared" si="336"/>
        <v>3.876727586202736E-3</v>
      </c>
      <c r="Q2643" s="51">
        <f t="shared" si="342"/>
        <v>57.42812328434389</v>
      </c>
      <c r="R2643" s="51">
        <f t="shared" si="343"/>
        <v>22.886531108887631</v>
      </c>
    </row>
    <row r="2644" spans="1:18" x14ac:dyDescent="0.15">
      <c r="A2644" s="59">
        <v>44747.75</v>
      </c>
      <c r="B2644">
        <v>38.889690000000002</v>
      </c>
      <c r="C2644">
        <v>475.69271900000001</v>
      </c>
      <c r="D2644">
        <v>137.510727</v>
      </c>
      <c r="E2644">
        <v>114.33000199999999</v>
      </c>
      <c r="F2644">
        <v>2068.76001</v>
      </c>
      <c r="H2644" s="50">
        <f t="shared" si="337"/>
        <v>-1.5162490725631635E-3</v>
      </c>
      <c r="I2644" s="50">
        <f t="shared" si="338"/>
        <v>-4.6469803764141926E-3</v>
      </c>
      <c r="J2644" s="50">
        <f t="shared" si="339"/>
        <v>-3.4342607925775578E-2</v>
      </c>
      <c r="K2644" s="50">
        <f t="shared" si="340"/>
        <v>-1.719246940269115E-2</v>
      </c>
      <c r="L2644" s="50">
        <f t="shared" si="341"/>
        <v>-6.0442202946700552E-3</v>
      </c>
      <c r="P2644" s="50">
        <f t="shared" si="336"/>
        <v>-6.0442202946700552E-3</v>
      </c>
      <c r="Q2644" s="51">
        <f t="shared" si="342"/>
        <v>57.081015056103851</v>
      </c>
      <c r="R2644" s="51">
        <f t="shared" si="343"/>
        <v>22.85182942731959</v>
      </c>
    </row>
    <row r="2645" spans="1:18" x14ac:dyDescent="0.15">
      <c r="A2645" s="59">
        <v>44748.75</v>
      </c>
      <c r="B2645">
        <v>38.948746</v>
      </c>
      <c r="C2645">
        <v>477.91357399999998</v>
      </c>
      <c r="D2645">
        <v>142.40115399999999</v>
      </c>
      <c r="E2645">
        <v>116.33000199999999</v>
      </c>
      <c r="F2645">
        <v>2081.3400879999999</v>
      </c>
      <c r="H2645" s="50">
        <f t="shared" si="337"/>
        <v>-6.3786758659172503E-4</v>
      </c>
      <c r="I2645" s="50">
        <f t="shared" si="338"/>
        <v>-1.3139510049515421E-2</v>
      </c>
      <c r="J2645" s="50">
        <f t="shared" si="339"/>
        <v>1.3311799114043874E-2</v>
      </c>
      <c r="K2645" s="50">
        <f t="shared" si="340"/>
        <v>6.8374674845293575E-3</v>
      </c>
      <c r="L2645" s="50">
        <f t="shared" si="341"/>
        <v>1.693475926159585E-2</v>
      </c>
      <c r="P2645" s="50">
        <f t="shared" si="336"/>
        <v>1.693475926159585E-2</v>
      </c>
      <c r="Q2645" s="51">
        <f t="shared" si="342"/>
        <v>58.0476683044865</v>
      </c>
      <c r="R2645" s="51">
        <f t="shared" si="343"/>
        <v>22.83725298603358</v>
      </c>
    </row>
    <row r="2646" spans="1:18" x14ac:dyDescent="0.15">
      <c r="A2646" s="59">
        <v>44749.75</v>
      </c>
      <c r="B2646">
        <v>38.973605999999997</v>
      </c>
      <c r="C2646">
        <v>484.27673299999998</v>
      </c>
      <c r="D2646">
        <v>140.530441</v>
      </c>
      <c r="E2646">
        <v>115.540001</v>
      </c>
      <c r="F2646">
        <v>2046.6800539999999</v>
      </c>
      <c r="H2646" s="50">
        <f t="shared" si="337"/>
        <v>-3.9859810218484702E-4</v>
      </c>
      <c r="I2646" s="50">
        <f t="shared" si="338"/>
        <v>5.2917755237572167E-3</v>
      </c>
      <c r="J2646" s="50">
        <f t="shared" si="339"/>
        <v>1.0929688899000371E-2</v>
      </c>
      <c r="K2646" s="50">
        <f t="shared" si="340"/>
        <v>3.3914997762863566E-2</v>
      </c>
      <c r="L2646" s="50">
        <f t="shared" si="341"/>
        <v>-2.2570966196388078E-3</v>
      </c>
      <c r="P2646" s="50">
        <f t="shared" si="336"/>
        <v>-2.2570966196388078E-3</v>
      </c>
      <c r="Q2646" s="51">
        <f t="shared" si="342"/>
        <v>57.916649108578532</v>
      </c>
      <c r="R2646" s="51">
        <f t="shared" si="343"/>
        <v>22.828150100334231</v>
      </c>
    </row>
    <row r="2647" spans="1:18" x14ac:dyDescent="0.15">
      <c r="A2647" s="59">
        <v>44750.75</v>
      </c>
      <c r="B2647">
        <v>38.989147000000003</v>
      </c>
      <c r="C2647">
        <v>481.72753899999998</v>
      </c>
      <c r="D2647">
        <v>139.01109299999999</v>
      </c>
      <c r="E2647">
        <v>111.75</v>
      </c>
      <c r="F2647">
        <v>2051.3100589999999</v>
      </c>
      <c r="H2647" s="50">
        <f t="shared" si="337"/>
        <v>3.0382252621540032E-3</v>
      </c>
      <c r="I2647" s="50">
        <f t="shared" si="338"/>
        <v>1.6980176602688052E-2</v>
      </c>
      <c r="J2647" s="50">
        <f t="shared" si="339"/>
        <v>1.2659137702427976E-2</v>
      </c>
      <c r="K2647" s="50">
        <f t="shared" si="340"/>
        <v>2.316424626291666E-2</v>
      </c>
      <c r="L2647" s="50">
        <f t="shared" si="341"/>
        <v>-1.2188102095709414E-2</v>
      </c>
      <c r="P2647" s="50">
        <f t="shared" si="336"/>
        <v>-1.2188102095709414E-2</v>
      </c>
      <c r="Q2647" s="51">
        <f t="shared" si="342"/>
        <v>57.210755076201799</v>
      </c>
      <c r="R2647" s="51">
        <f t="shared" si="343"/>
        <v>22.897507162657309</v>
      </c>
    </row>
    <row r="2648" spans="1:18" x14ac:dyDescent="0.15">
      <c r="A2648" s="59">
        <v>44751.75</v>
      </c>
      <c r="B2648">
        <v>38.871048000000002</v>
      </c>
      <c r="C2648">
        <v>473.68429600000002</v>
      </c>
      <c r="D2648">
        <v>137.27333100000001</v>
      </c>
      <c r="E2648">
        <v>109.220001</v>
      </c>
      <c r="F2648">
        <v>2076.6201169999999</v>
      </c>
      <c r="H2648" s="50">
        <f t="shared" si="337"/>
        <v>-2.3929348431294783E-3</v>
      </c>
      <c r="I2648" s="50">
        <f t="shared" si="338"/>
        <v>-3.3522119382682338E-3</v>
      </c>
      <c r="J2648" s="50">
        <f t="shared" si="339"/>
        <v>-6.0507500329774503E-3</v>
      </c>
      <c r="K2648" s="50">
        <f t="shared" si="340"/>
        <v>-1.0688414661441803E-2</v>
      </c>
      <c r="L2648" s="50">
        <f t="shared" si="341"/>
        <v>-1.0944932333490467E-2</v>
      </c>
      <c r="P2648" s="50">
        <f t="shared" si="336"/>
        <v>-1.0944932333490467E-2</v>
      </c>
      <c r="Q2648" s="51">
        <f t="shared" si="342"/>
        <v>56.584587233144873</v>
      </c>
      <c r="R2648" s="51">
        <f t="shared" si="343"/>
        <v>22.842714919946978</v>
      </c>
    </row>
    <row r="2649" spans="1:18" x14ac:dyDescent="0.15">
      <c r="A2649" s="59">
        <v>44754.75</v>
      </c>
      <c r="B2649">
        <v>38.964286999999999</v>
      </c>
      <c r="C2649">
        <v>475.27752700000002</v>
      </c>
      <c r="D2649">
        <v>138.108994</v>
      </c>
      <c r="E2649">
        <v>110.400002</v>
      </c>
      <c r="F2649">
        <v>2099.6000979999999</v>
      </c>
      <c r="H2649" s="50">
        <f t="shared" si="337"/>
        <v>-1.9167625218262204E-2</v>
      </c>
      <c r="I2649" s="50">
        <f t="shared" si="338"/>
        <v>-3.8520084306901223E-2</v>
      </c>
      <c r="J2649" s="50">
        <f t="shared" si="339"/>
        <v>-5.8101823487413922E-3</v>
      </c>
      <c r="K2649" s="50">
        <f t="shared" si="340"/>
        <v>-2.078956939680676E-3</v>
      </c>
      <c r="L2649" s="50">
        <f t="shared" si="341"/>
        <v>-4.433416257966079E-3</v>
      </c>
      <c r="P2649" s="50">
        <f t="shared" si="336"/>
        <v>-4.433416257966079E-3</v>
      </c>
      <c r="Q2649" s="51">
        <f t="shared" si="342"/>
        <v>56.333724204155146</v>
      </c>
      <c r="R2649" s="51">
        <f t="shared" si="343"/>
        <v>22.404874321393827</v>
      </c>
    </row>
    <row r="2650" spans="1:18" x14ac:dyDescent="0.15">
      <c r="A2650" s="59">
        <v>44755.75</v>
      </c>
      <c r="B2650">
        <v>39.725735</v>
      </c>
      <c r="C2650">
        <v>494.31872600000003</v>
      </c>
      <c r="D2650">
        <v>138.916122</v>
      </c>
      <c r="E2650">
        <v>110.629997</v>
      </c>
      <c r="F2650">
        <v>2108.9499510000001</v>
      </c>
      <c r="H2650" s="50">
        <f t="shared" si="337"/>
        <v>-9.6846438048027051E-3</v>
      </c>
      <c r="I2650" s="50">
        <f t="shared" si="338"/>
        <v>-2.1053544249308699E-2</v>
      </c>
      <c r="J2650" s="50">
        <f t="shared" si="339"/>
        <v>-2.5908089523089687E-3</v>
      </c>
      <c r="K2650" s="50">
        <f t="shared" si="340"/>
        <v>-2.5715595974048547E-2</v>
      </c>
      <c r="L2650" s="50">
        <f t="shared" si="341"/>
        <v>7.3552674958791205E-4</v>
      </c>
      <c r="P2650" s="50">
        <f t="shared" si="336"/>
        <v>7.3552674958791205E-4</v>
      </c>
      <c r="Q2650" s="51">
        <f t="shared" si="342"/>
        <v>56.375159165211208</v>
      </c>
      <c r="R2650" s="51">
        <f t="shared" si="343"/>
        <v>22.187891094099758</v>
      </c>
    </row>
    <row r="2651" spans="1:18" x14ac:dyDescent="0.15">
      <c r="A2651" s="59">
        <v>44756.75</v>
      </c>
      <c r="B2651">
        <v>40.114227</v>
      </c>
      <c r="C2651">
        <v>504.94970699999999</v>
      </c>
      <c r="D2651">
        <v>139.276962</v>
      </c>
      <c r="E2651">
        <v>113.550003</v>
      </c>
      <c r="F2651">
        <v>2107.3999020000001</v>
      </c>
      <c r="H2651" s="50">
        <f t="shared" si="337"/>
        <v>2.3298277141353841E-3</v>
      </c>
      <c r="I2651" s="50">
        <f t="shared" si="338"/>
        <v>1.2880066816624647E-2</v>
      </c>
      <c r="J2651" s="50">
        <f t="shared" si="339"/>
        <v>-1.8010314923938921E-2</v>
      </c>
      <c r="K2651" s="50">
        <f t="shared" si="340"/>
        <v>-1.8459827382914099E-3</v>
      </c>
      <c r="L2651" s="50">
        <f t="shared" si="341"/>
        <v>-7.9509561735509639E-3</v>
      </c>
      <c r="P2651" s="50">
        <f t="shared" si="336"/>
        <v>-7.9509561735509639E-3</v>
      </c>
      <c r="Q2651" s="51">
        <f t="shared" si="342"/>
        <v>55.926922745411652</v>
      </c>
      <c r="R2651" s="51">
        <f t="shared" si="343"/>
        <v>22.239585057689013</v>
      </c>
    </row>
    <row r="2652" spans="1:18" x14ac:dyDescent="0.15">
      <c r="A2652" s="59">
        <v>44757.75</v>
      </c>
      <c r="B2652">
        <v>40.020985000000003</v>
      </c>
      <c r="C2652">
        <v>498.52862499999998</v>
      </c>
      <c r="D2652">
        <v>141.83139</v>
      </c>
      <c r="E2652">
        <v>113.760002</v>
      </c>
      <c r="F2652">
        <v>2124.290039</v>
      </c>
      <c r="H2652" s="50">
        <f t="shared" si="337"/>
        <v>-6.097597621686289E-3</v>
      </c>
      <c r="I2652" s="50">
        <f t="shared" si="338"/>
        <v>-7.5542543563821745E-3</v>
      </c>
      <c r="J2652" s="50">
        <f t="shared" si="339"/>
        <v>-2.6082381608797691E-2</v>
      </c>
      <c r="K2652" s="50">
        <f t="shared" si="340"/>
        <v>-3.7644844240291353E-2</v>
      </c>
      <c r="L2652" s="50">
        <f t="shared" si="341"/>
        <v>-1.1049609328475296E-3</v>
      </c>
      <c r="P2652" s="50">
        <f t="shared" si="336"/>
        <v>-1.1049609328475296E-3</v>
      </c>
      <c r="Q2652" s="51">
        <f t="shared" si="342"/>
        <v>55.86512568068359</v>
      </c>
      <c r="R2652" s="51">
        <f t="shared" si="343"/>
        <v>22.103977016733957</v>
      </c>
    </row>
    <row r="2653" spans="1:18" x14ac:dyDescent="0.15">
      <c r="A2653" s="59">
        <v>44758.75</v>
      </c>
      <c r="B2653">
        <v>40.266514000000001</v>
      </c>
      <c r="C2653">
        <v>502.32330300000001</v>
      </c>
      <c r="D2653">
        <v>145.629761</v>
      </c>
      <c r="E2653">
        <v>118.209999</v>
      </c>
      <c r="F2653">
        <v>2126.639893</v>
      </c>
      <c r="H2653" s="50">
        <f t="shared" si="337"/>
        <v>-8.2669228828637868E-3</v>
      </c>
      <c r="I2653" s="50">
        <f t="shared" si="338"/>
        <v>-7.5736732861908778E-3</v>
      </c>
      <c r="J2653" s="50">
        <f t="shared" si="339"/>
        <v>-2.0063959251173855E-2</v>
      </c>
      <c r="K2653" s="50">
        <f t="shared" si="340"/>
        <v>-3.7142609036636264E-2</v>
      </c>
      <c r="L2653" s="50">
        <f t="shared" si="341"/>
        <v>-7.7063919110805326E-4</v>
      </c>
      <c r="P2653" s="50">
        <f t="shared" si="336"/>
        <v>-7.7063919110805326E-4</v>
      </c>
      <c r="Q2653" s="51">
        <f t="shared" si="342"/>
        <v>55.822073825417874</v>
      </c>
      <c r="R2653" s="51">
        <f t="shared" si="343"/>
        <v>21.921245143332023</v>
      </c>
    </row>
    <row r="2654" spans="1:18" x14ac:dyDescent="0.15">
      <c r="A2654" s="59">
        <v>44761.75</v>
      </c>
      <c r="B2654">
        <v>40.602169000000004</v>
      </c>
      <c r="C2654">
        <v>506.156769</v>
      </c>
      <c r="D2654">
        <v>148.61149599999999</v>
      </c>
      <c r="E2654">
        <v>122.769997</v>
      </c>
      <c r="F2654">
        <v>2128.280029</v>
      </c>
      <c r="H2654" s="50">
        <f t="shared" si="337"/>
        <v>-1.4409653453389499E-2</v>
      </c>
      <c r="I2654" s="50">
        <f t="shared" si="338"/>
        <v>-9.9348883677638864E-3</v>
      </c>
      <c r="J2654" s="50">
        <f t="shared" si="339"/>
        <v>-1.36140728940426E-2</v>
      </c>
      <c r="K2654" s="50">
        <f t="shared" si="340"/>
        <v>-1.4924175918900162E-2</v>
      </c>
      <c r="L2654" s="50">
        <f t="shared" si="341"/>
        <v>4.2799289201717718E-3</v>
      </c>
      <c r="P2654" s="50">
        <f t="shared" si="336"/>
        <v>4.2799289201717718E-3</v>
      </c>
      <c r="Q2654" s="51">
        <f t="shared" si="342"/>
        <v>56.060988333567245</v>
      </c>
      <c r="R2654" s="51">
        <f t="shared" si="343"/>
        <v>21.605367597549812</v>
      </c>
    </row>
    <row r="2655" spans="1:18" x14ac:dyDescent="0.15">
      <c r="A2655" s="59">
        <v>44762.75</v>
      </c>
      <c r="B2655">
        <v>41.195785999999998</v>
      </c>
      <c r="C2655">
        <v>511.23584</v>
      </c>
      <c r="D2655">
        <v>150.66262800000001</v>
      </c>
      <c r="E2655">
        <v>124.629997</v>
      </c>
      <c r="F2655">
        <v>2119.209961</v>
      </c>
      <c r="H2655" s="50">
        <f t="shared" si="337"/>
        <v>2.5716158809765753E-3</v>
      </c>
      <c r="I2655" s="50">
        <f t="shared" si="338"/>
        <v>-4.904409106681549E-4</v>
      </c>
      <c r="J2655" s="50">
        <f t="shared" si="339"/>
        <v>5.8323841815327883E-3</v>
      </c>
      <c r="K2655" s="50">
        <f t="shared" si="340"/>
        <v>1.8052597909697696E-2</v>
      </c>
      <c r="L2655" s="50">
        <f t="shared" si="341"/>
        <v>2.3934248915902607E-3</v>
      </c>
      <c r="P2655" s="50">
        <f t="shared" si="336"/>
        <v>2.3934248915902607E-3</v>
      </c>
      <c r="Q2655" s="51">
        <f t="shared" si="342"/>
        <v>56.195166098491953</v>
      </c>
      <c r="R2655" s="51">
        <f t="shared" si="343"/>
        <v>21.660928303978007</v>
      </c>
    </row>
    <row r="2656" spans="1:18" x14ac:dyDescent="0.15">
      <c r="A2656" s="59">
        <v>44763.75</v>
      </c>
      <c r="B2656">
        <v>41.090117999999997</v>
      </c>
      <c r="C2656">
        <v>511.486694</v>
      </c>
      <c r="D2656">
        <v>149.78900100000001</v>
      </c>
      <c r="E2656">
        <v>122.41999800000001</v>
      </c>
      <c r="F2656">
        <v>2114.1499020000001</v>
      </c>
      <c r="H2656" s="50">
        <f t="shared" si="337"/>
        <v>1.439177782044923E-3</v>
      </c>
      <c r="I2656" s="50">
        <f t="shared" si="338"/>
        <v>1.0959829862256783E-3</v>
      </c>
      <c r="J2656" s="50">
        <f t="shared" si="339"/>
        <v>1.5873851704902677E-3</v>
      </c>
      <c r="K2656" s="50">
        <f t="shared" si="340"/>
        <v>1.056627877304179E-2</v>
      </c>
      <c r="L2656" s="50">
        <f t="shared" si="341"/>
        <v>5.7084416237791202E-3</v>
      </c>
      <c r="P2656" s="50">
        <f t="shared" si="336"/>
        <v>5.7084416237791202E-3</v>
      </c>
      <c r="Q2656" s="51">
        <f t="shared" si="342"/>
        <v>56.515952923703765</v>
      </c>
      <c r="R2656" s="51">
        <f t="shared" si="343"/>
        <v>21.69210223073156</v>
      </c>
    </row>
    <row r="2657" spans="1:18" x14ac:dyDescent="0.15">
      <c r="A2657" s="59">
        <v>44764.75</v>
      </c>
      <c r="B2657">
        <v>41.031067</v>
      </c>
      <c r="C2657">
        <v>510.92672700000003</v>
      </c>
      <c r="D2657">
        <v>149.551605</v>
      </c>
      <c r="E2657">
        <v>121.139999</v>
      </c>
      <c r="F2657">
        <v>2102.1499020000001</v>
      </c>
      <c r="H2657" s="50">
        <f t="shared" si="337"/>
        <v>8.2308631153904022E-2</v>
      </c>
      <c r="I2657" s="50">
        <f t="shared" si="338"/>
        <v>3.3617923694147379E-2</v>
      </c>
      <c r="J2657" s="50">
        <f t="shared" si="339"/>
        <v>3.7415380191175511E-2</v>
      </c>
      <c r="K2657" s="50">
        <f t="shared" si="340"/>
        <v>5.5134579829885635E-2</v>
      </c>
      <c r="L2657" s="50">
        <f t="shared" si="341"/>
        <v>1.0819128728523844E-2</v>
      </c>
      <c r="P2657" s="50">
        <f t="shared" si="336"/>
        <v>1.0819128728523844E-2</v>
      </c>
      <c r="Q2657" s="51">
        <f t="shared" si="342"/>
        <v>57.127406293600501</v>
      </c>
      <c r="R2657" s="51">
        <f t="shared" si="343"/>
        <v>23.477549472193623</v>
      </c>
    </row>
    <row r="2658" spans="1:18" x14ac:dyDescent="0.15">
      <c r="A2658" s="59">
        <v>44765.75</v>
      </c>
      <c r="B2658">
        <v>37.910690000000002</v>
      </c>
      <c r="C2658">
        <v>494.30908199999999</v>
      </c>
      <c r="D2658">
        <v>144.157883</v>
      </c>
      <c r="E2658">
        <v>114.80999799999999</v>
      </c>
      <c r="F2658">
        <v>2079.6499020000001</v>
      </c>
      <c r="H2658" s="50">
        <f t="shared" si="337"/>
        <v>-3.6416882136637942E-2</v>
      </c>
      <c r="I2658" s="50">
        <f t="shared" si="338"/>
        <v>-1.987317844035745E-2</v>
      </c>
      <c r="J2658" s="50">
        <f t="shared" si="339"/>
        <v>-1.8046775214098483E-2</v>
      </c>
      <c r="K2658" s="50">
        <f t="shared" si="340"/>
        <v>-5.0921740506557518E-2</v>
      </c>
      <c r="L2658" s="50">
        <f t="shared" si="341"/>
        <v>5.8085593340794E-3</v>
      </c>
      <c r="P2658" s="50">
        <f t="shared" si="336"/>
        <v>5.8085593340794E-3</v>
      </c>
      <c r="Q2658" s="51">
        <f t="shared" si="342"/>
        <v>57.459234222658935</v>
      </c>
      <c r="R2658" s="51">
        <f t="shared" si="343"/>
        <v>22.622570320207661</v>
      </c>
    </row>
    <row r="2659" spans="1:18" x14ac:dyDescent="0.15">
      <c r="A2659" s="59">
        <v>44768.75</v>
      </c>
      <c r="B2659">
        <v>39.343456000000003</v>
      </c>
      <c r="C2659">
        <v>504.33175699999998</v>
      </c>
      <c r="D2659">
        <v>146.80728099999999</v>
      </c>
      <c r="E2659">
        <v>120.970001</v>
      </c>
      <c r="F2659">
        <v>2067.639893</v>
      </c>
      <c r="H2659" s="50">
        <f t="shared" si="337"/>
        <v>-2.4354500674695922E-2</v>
      </c>
      <c r="I2659" s="50">
        <f t="shared" si="338"/>
        <v>-2.7546605022826909E-2</v>
      </c>
      <c r="J2659" s="50">
        <f t="shared" si="339"/>
        <v>-3.0234487711896896E-2</v>
      </c>
      <c r="K2659" s="50">
        <f t="shared" si="340"/>
        <v>-1.0713101167100985E-2</v>
      </c>
      <c r="L2659" s="50">
        <f t="shared" si="341"/>
        <v>-1.2234614594530024E-2</v>
      </c>
      <c r="P2659" s="50">
        <f t="shared" si="336"/>
        <v>-1.2234614594530024E-2</v>
      </c>
      <c r="Q2659" s="51">
        <f t="shared" si="342"/>
        <v>56.756242637047876</v>
      </c>
      <c r="R2659" s="51">
        <f t="shared" si="343"/>
        <v>22.071608916080809</v>
      </c>
    </row>
    <row r="2660" spans="1:18" x14ac:dyDescent="0.15">
      <c r="A2660" s="59">
        <v>44769.75</v>
      </c>
      <c r="B2660">
        <v>40.325564999999997</v>
      </c>
      <c r="C2660">
        <v>518.61792000000003</v>
      </c>
      <c r="D2660">
        <v>151.384308</v>
      </c>
      <c r="E2660">
        <v>122.279999</v>
      </c>
      <c r="F2660">
        <v>2093.25</v>
      </c>
      <c r="H2660" s="50">
        <f t="shared" si="337"/>
        <v>-1.7417597639788625E-2</v>
      </c>
      <c r="I2660" s="50">
        <f t="shared" si="338"/>
        <v>-9.4588880939856287E-3</v>
      </c>
      <c r="J2660" s="50">
        <f t="shared" si="339"/>
        <v>-2.4237959944735196E-2</v>
      </c>
      <c r="K2660" s="50">
        <f t="shared" si="340"/>
        <v>-9.3886611942644152E-2</v>
      </c>
      <c r="L2660" s="50">
        <f t="shared" si="341"/>
        <v>-7.2656195933442375E-3</v>
      </c>
      <c r="P2660" s="50">
        <f t="shared" si="336"/>
        <v>-7.2656195933442375E-3</v>
      </c>
      <c r="Q2660" s="51">
        <f t="shared" si="342"/>
        <v>56.343873368499537</v>
      </c>
      <c r="R2660" s="51">
        <f t="shared" si="343"/>
        <v>21.687174512717743</v>
      </c>
    </row>
    <row r="2661" spans="1:18" x14ac:dyDescent="0.15">
      <c r="A2661" s="59">
        <v>44770.75</v>
      </c>
      <c r="B2661">
        <v>41.040390000000002</v>
      </c>
      <c r="C2661">
        <v>523.57031300000006</v>
      </c>
      <c r="D2661">
        <v>155.144699</v>
      </c>
      <c r="E2661">
        <v>134.949997</v>
      </c>
      <c r="F2661">
        <v>2108.570068</v>
      </c>
      <c r="H2661" s="50">
        <f t="shared" si="337"/>
        <v>-3.6970160717875286E-3</v>
      </c>
      <c r="I2661" s="50">
        <f t="shared" si="338"/>
        <v>-1.0076744162452012E-2</v>
      </c>
      <c r="J2661" s="50">
        <f t="shared" si="339"/>
        <v>-1.3107845038477721E-2</v>
      </c>
      <c r="K2661" s="50">
        <f t="shared" si="340"/>
        <v>-3.2498855399208082E-3</v>
      </c>
      <c r="L2661" s="50">
        <f t="shared" si="341"/>
        <v>-2.8366761033933164E-5</v>
      </c>
      <c r="P2661" s="50">
        <f t="shared" si="336"/>
        <v>-2.8366761033933164E-5</v>
      </c>
      <c r="Q2661" s="51">
        <f t="shared" si="342"/>
        <v>56.342275075307967</v>
      </c>
      <c r="R2661" s="51">
        <f t="shared" si="343"/>
        <v>21.606996679992566</v>
      </c>
    </row>
    <row r="2662" spans="1:18" x14ac:dyDescent="0.15">
      <c r="A2662" s="59">
        <v>44771.75</v>
      </c>
      <c r="B2662">
        <v>41.192680000000003</v>
      </c>
      <c r="C2662">
        <v>528.899902</v>
      </c>
      <c r="D2662">
        <v>157.205322</v>
      </c>
      <c r="E2662">
        <v>135.38999899999999</v>
      </c>
      <c r="F2662">
        <v>2108.6298830000001</v>
      </c>
      <c r="H2662" s="50">
        <f t="shared" si="337"/>
        <v>-1.0550684523765058E-3</v>
      </c>
      <c r="I2662" s="50">
        <f t="shared" si="338"/>
        <v>6.1642457530505027E-3</v>
      </c>
      <c r="J2662" s="50">
        <f t="shared" si="339"/>
        <v>1.2662144862406428E-2</v>
      </c>
      <c r="K2662" s="50">
        <f t="shared" si="340"/>
        <v>9.1681198816899456E-3</v>
      </c>
      <c r="L2662" s="50">
        <f t="shared" si="341"/>
        <v>2.2766915733379352E-3</v>
      </c>
      <c r="P2662" s="50">
        <f t="shared" si="336"/>
        <v>2.2766915733379352E-3</v>
      </c>
      <c r="Q2662" s="51">
        <f t="shared" si="342"/>
        <v>56.470549058194607</v>
      </c>
      <c r="R2662" s="51">
        <f t="shared" si="343"/>
        <v>21.584199819444901</v>
      </c>
    </row>
    <row r="2663" spans="1:18" x14ac:dyDescent="0.15">
      <c r="A2663" s="59">
        <v>44772.75</v>
      </c>
      <c r="B2663">
        <v>41.236187000000001</v>
      </c>
      <c r="C2663">
        <v>525.65960700000005</v>
      </c>
      <c r="D2663">
        <v>155.239655</v>
      </c>
      <c r="E2663">
        <v>134.16000399999999</v>
      </c>
      <c r="F2663">
        <v>2103.8400879999999</v>
      </c>
      <c r="H2663" s="50">
        <f t="shared" si="337"/>
        <v>1.6704891549792177E-2</v>
      </c>
      <c r="I2663" s="50">
        <f t="shared" si="338"/>
        <v>-6.4896970848211839E-3</v>
      </c>
      <c r="J2663" s="50">
        <f t="shared" si="339"/>
        <v>-2.6441180059263623E-2</v>
      </c>
      <c r="K2663" s="50">
        <f t="shared" si="340"/>
        <v>-3.8417430091243501E-2</v>
      </c>
      <c r="L2663" s="50">
        <f t="shared" si="341"/>
        <v>2.7645082515986934E-3</v>
      </c>
      <c r="P2663" s="50">
        <f t="shared" si="336"/>
        <v>2.7645082515986934E-3</v>
      </c>
      <c r="Q2663" s="51">
        <f t="shared" si="342"/>
        <v>56.626662357038299</v>
      </c>
      <c r="R2663" s="51">
        <f t="shared" si="343"/>
        <v>21.944761536617776</v>
      </c>
    </row>
    <row r="2664" spans="1:18" x14ac:dyDescent="0.15">
      <c r="A2664" s="59">
        <v>44775.75</v>
      </c>
      <c r="B2664">
        <v>40.558658999999999</v>
      </c>
      <c r="C2664">
        <v>529.09326199999998</v>
      </c>
      <c r="D2664">
        <v>159.45585600000001</v>
      </c>
      <c r="E2664">
        <v>139.520004</v>
      </c>
      <c r="F2664">
        <v>2098.040039</v>
      </c>
      <c r="H2664" s="50">
        <f t="shared" si="337"/>
        <v>3.9260969799374192E-2</v>
      </c>
      <c r="I2664" s="50">
        <f t="shared" si="338"/>
        <v>6.8655115311593764E-3</v>
      </c>
      <c r="J2664" s="50">
        <f t="shared" si="339"/>
        <v>8.1652888787273458E-3</v>
      </c>
      <c r="K2664" s="50">
        <f t="shared" si="340"/>
        <v>-2.1393019921784839E-2</v>
      </c>
      <c r="L2664" s="50">
        <f t="shared" si="341"/>
        <v>2.2547775049562976E-3</v>
      </c>
      <c r="P2664" s="50">
        <f t="shared" si="336"/>
        <v>2.2547775049562976E-3</v>
      </c>
      <c r="Q2664" s="51">
        <f t="shared" si="342"/>
        <v>56.754342881501707</v>
      </c>
      <c r="R2664" s="51">
        <f t="shared" si="343"/>
        <v>22.806334156561395</v>
      </c>
    </row>
    <row r="2665" spans="1:18" x14ac:dyDescent="0.15">
      <c r="A2665" s="59">
        <v>44776.75</v>
      </c>
      <c r="B2665">
        <v>39.026443</v>
      </c>
      <c r="C2665">
        <v>525.48553500000003</v>
      </c>
      <c r="D2665">
        <v>158.16439800000001</v>
      </c>
      <c r="E2665">
        <v>142.570007</v>
      </c>
      <c r="F2665">
        <v>2093.320068</v>
      </c>
      <c r="H2665" s="50">
        <f t="shared" si="337"/>
        <v>-7.9791873721907144E-3</v>
      </c>
      <c r="I2665" s="50">
        <f t="shared" si="338"/>
        <v>4.827388667276146E-3</v>
      </c>
      <c r="J2665" s="50">
        <f t="shared" si="339"/>
        <v>2.5881344027107321E-3</v>
      </c>
      <c r="K2665" s="50">
        <f t="shared" si="340"/>
        <v>1.2571050868514542E-2</v>
      </c>
      <c r="L2665" s="50">
        <f t="shared" si="341"/>
        <v>-3.1050078704850078E-3</v>
      </c>
      <c r="P2665" s="50">
        <f t="shared" si="336"/>
        <v>-3.1050078704850078E-3</v>
      </c>
      <c r="Q2665" s="51">
        <f t="shared" si="342"/>
        <v>56.578120200170439</v>
      </c>
      <c r="R2665" s="51">
        <f t="shared" si="343"/>
        <v>22.624358143053399</v>
      </c>
    </row>
    <row r="2666" spans="1:18" x14ac:dyDescent="0.15">
      <c r="A2666" s="59">
        <v>44777.75</v>
      </c>
      <c r="B2666">
        <v>39.340347000000001</v>
      </c>
      <c r="C2666">
        <v>522.96099900000002</v>
      </c>
      <c r="D2666">
        <v>157.75610399999999</v>
      </c>
      <c r="E2666">
        <v>140.800003</v>
      </c>
      <c r="F2666">
        <v>2099.8400879999999</v>
      </c>
      <c r="H2666" s="50">
        <f t="shared" si="337"/>
        <v>-8.0713635678616221E-3</v>
      </c>
      <c r="I2666" s="50">
        <f t="shared" si="338"/>
        <v>-2.2698774810697899E-3</v>
      </c>
      <c r="J2666" s="50">
        <f t="shared" si="339"/>
        <v>-5.0307043843261243E-3</v>
      </c>
      <c r="K2666" s="50">
        <f t="shared" si="340"/>
        <v>9.9705828858595927E-3</v>
      </c>
      <c r="L2666" s="50">
        <f t="shared" si="341"/>
        <v>7.8135635830020554E-3</v>
      </c>
      <c r="P2666" s="50">
        <f t="shared" si="336"/>
        <v>7.8135635830020554E-3</v>
      </c>
      <c r="Q2666" s="51">
        <f t="shared" si="342"/>
        <v>57.020196939761206</v>
      </c>
      <c r="R2666" s="51">
        <f t="shared" si="343"/>
        <v>22.441748722991303</v>
      </c>
    </row>
    <row r="2667" spans="1:18" x14ac:dyDescent="0.15">
      <c r="A2667" s="59">
        <v>44778.75</v>
      </c>
      <c r="B2667">
        <v>39.660460999999998</v>
      </c>
      <c r="C2667">
        <v>524.150757</v>
      </c>
      <c r="D2667">
        <v>158.553741</v>
      </c>
      <c r="E2667">
        <v>139.41000399999999</v>
      </c>
      <c r="F2667">
        <v>2083.5600589999999</v>
      </c>
      <c r="H2667" s="50">
        <f t="shared" si="337"/>
        <v>-9.7774229729517582E-3</v>
      </c>
      <c r="I2667" s="50">
        <f t="shared" si="338"/>
        <v>1.1347218362906891E-2</v>
      </c>
      <c r="J2667" s="50">
        <f t="shared" si="339"/>
        <v>1.1204035802168616E-2</v>
      </c>
      <c r="K2667" s="50">
        <f t="shared" si="340"/>
        <v>1.1463411282544848E-2</v>
      </c>
      <c r="L2667" s="50">
        <f t="shared" si="341"/>
        <v>2.8831715917847535E-3</v>
      </c>
      <c r="P2667" s="50">
        <f t="shared" si="336"/>
        <v>2.8831715917847535E-3</v>
      </c>
      <c r="Q2667" s="51">
        <f t="shared" si="342"/>
        <v>57.184595951735901</v>
      </c>
      <c r="R2667" s="51">
        <f t="shared" si="343"/>
        <v>22.222326253473916</v>
      </c>
    </row>
    <row r="2668" spans="1:18" x14ac:dyDescent="0.15">
      <c r="A2668" s="59">
        <v>44779.75</v>
      </c>
      <c r="B2668">
        <v>40.052067000000001</v>
      </c>
      <c r="C2668">
        <v>518.26983600000005</v>
      </c>
      <c r="D2668">
        <v>156.79698200000001</v>
      </c>
      <c r="E2668">
        <v>137.83000200000001</v>
      </c>
      <c r="F2668">
        <v>2077.570068</v>
      </c>
      <c r="H2668" s="50">
        <f t="shared" si="337"/>
        <v>-2.090692742289854E-3</v>
      </c>
      <c r="I2668" s="50">
        <f t="shared" si="338"/>
        <v>-7.4097107827469817E-3</v>
      </c>
      <c r="J2668" s="50">
        <f t="shared" si="339"/>
        <v>-2.6816820715074352E-2</v>
      </c>
      <c r="K2668" s="50">
        <f t="shared" si="340"/>
        <v>-3.4059849547132148E-2</v>
      </c>
      <c r="L2668" s="50">
        <f t="shared" si="341"/>
        <v>-1.2646192274397195E-2</v>
      </c>
      <c r="P2668" s="50">
        <f t="shared" si="336"/>
        <v>-1.2646192274397195E-2</v>
      </c>
      <c r="Q2668" s="51">
        <f t="shared" si="342"/>
        <v>56.46142855619653</v>
      </c>
      <c r="R2668" s="51">
        <f t="shared" si="343"/>
        <v>22.17586619725898</v>
      </c>
    </row>
    <row r="2669" spans="1:18" x14ac:dyDescent="0.15">
      <c r="A2669" s="59">
        <v>44782.75</v>
      </c>
      <c r="B2669">
        <v>40.135978999999999</v>
      </c>
      <c r="C2669">
        <v>522.138733</v>
      </c>
      <c r="D2669">
        <v>161.11764500000001</v>
      </c>
      <c r="E2669">
        <v>142.69000199999999</v>
      </c>
      <c r="F2669">
        <v>2104.179932</v>
      </c>
      <c r="H2669" s="50">
        <f t="shared" si="337"/>
        <v>-1.8179083289553817E-2</v>
      </c>
      <c r="I2669" s="50">
        <f t="shared" si="338"/>
        <v>1.4317820209824396E-2</v>
      </c>
      <c r="J2669" s="50">
        <f t="shared" si="339"/>
        <v>4.1280049620012803E-4</v>
      </c>
      <c r="K2669" s="50">
        <f t="shared" si="340"/>
        <v>1.4576244415360129E-2</v>
      </c>
      <c r="L2669" s="50">
        <f t="shared" si="341"/>
        <v>9.6493224046438428E-3</v>
      </c>
      <c r="P2669" s="50">
        <f t="shared" si="336"/>
        <v>9.6493224046438428E-3</v>
      </c>
      <c r="Q2669" s="51">
        <f t="shared" si="342"/>
        <v>57.006243083762037</v>
      </c>
      <c r="R2669" s="51">
        <f t="shared" si="343"/>
        <v>21.772729278641005</v>
      </c>
    </row>
    <row r="2670" spans="1:18" x14ac:dyDescent="0.15">
      <c r="A2670" s="59">
        <v>44783.75</v>
      </c>
      <c r="B2670">
        <v>40.879123999999997</v>
      </c>
      <c r="C2670">
        <v>514.768372</v>
      </c>
      <c r="D2670">
        <v>161.051163</v>
      </c>
      <c r="E2670">
        <v>140.63999899999999</v>
      </c>
      <c r="F2670">
        <v>2084.070068</v>
      </c>
      <c r="H2670" s="50">
        <f t="shared" si="337"/>
        <v>-1.815163805623005E-2</v>
      </c>
      <c r="I2670" s="50">
        <f t="shared" si="338"/>
        <v>-9.3259296206609308E-3</v>
      </c>
      <c r="J2670" s="50">
        <f t="shared" si="339"/>
        <v>-1.6697593710622273E-2</v>
      </c>
      <c r="K2670" s="50">
        <f t="shared" si="340"/>
        <v>-2.0271709781852214E-2</v>
      </c>
      <c r="L2670" s="50">
        <f t="shared" si="341"/>
        <v>-9.4915316195270851E-4</v>
      </c>
      <c r="P2670" s="50">
        <f t="shared" si="336"/>
        <v>-9.4915316195270851E-4</v>
      </c>
      <c r="Q2670" s="51">
        <f t="shared" si="342"/>
        <v>56.952135427888045</v>
      </c>
      <c r="R2670" s="51">
        <f t="shared" si="343"/>
        <v>21.377518577278831</v>
      </c>
    </row>
    <row r="2671" spans="1:18" x14ac:dyDescent="0.15">
      <c r="A2671" s="59">
        <v>44784.75</v>
      </c>
      <c r="B2671">
        <v>41.634864999999998</v>
      </c>
      <c r="C2671">
        <v>519.61425799999995</v>
      </c>
      <c r="D2671">
        <v>163.78599500000001</v>
      </c>
      <c r="E2671">
        <v>143.550003</v>
      </c>
      <c r="F2671">
        <v>2086.0500489999999</v>
      </c>
      <c r="H2671" s="50">
        <f t="shared" si="337"/>
        <v>-2.8657732992000036E-3</v>
      </c>
      <c r="I2671" s="50">
        <f t="shared" si="338"/>
        <v>-1.5648139495698994E-2</v>
      </c>
      <c r="J2671" s="50">
        <f t="shared" si="339"/>
        <v>-5.2483165045278564E-3</v>
      </c>
      <c r="K2671" s="50">
        <f t="shared" si="340"/>
        <v>2.5842297673530946E-3</v>
      </c>
      <c r="L2671" s="50">
        <f t="shared" si="341"/>
        <v>1.2768402155246105E-3</v>
      </c>
      <c r="P2671" s="50">
        <f t="shared" si="336"/>
        <v>1.2768402155246105E-3</v>
      </c>
      <c r="Q2671" s="51">
        <f t="shared" si="342"/>
        <v>57.02485420476237</v>
      </c>
      <c r="R2671" s="51">
        <f t="shared" si="343"/>
        <v>21.316255455336915</v>
      </c>
    </row>
    <row r="2672" spans="1:18" x14ac:dyDescent="0.15">
      <c r="A2672" s="59">
        <v>44785.75</v>
      </c>
      <c r="B2672">
        <v>41.754524000000004</v>
      </c>
      <c r="C2672">
        <v>527.87451199999998</v>
      </c>
      <c r="D2672">
        <v>164.65013099999999</v>
      </c>
      <c r="E2672">
        <v>143.179993</v>
      </c>
      <c r="F2672">
        <v>2083.389893</v>
      </c>
      <c r="H2672" s="50">
        <f t="shared" si="337"/>
        <v>-4.8575453645898971E-2</v>
      </c>
      <c r="I2672" s="50">
        <f t="shared" si="338"/>
        <v>-1.3146301787234676E-2</v>
      </c>
      <c r="J2672" s="50">
        <f t="shared" si="339"/>
        <v>-4.3731652904312288E-2</v>
      </c>
      <c r="K2672" s="50">
        <f t="shared" si="340"/>
        <v>-1.1051291691195602E-2</v>
      </c>
      <c r="L2672" s="50">
        <f t="shared" si="341"/>
        <v>-3.8967200474424911E-3</v>
      </c>
      <c r="P2672" s="50">
        <f t="shared" si="336"/>
        <v>-3.8967200474424911E-3</v>
      </c>
      <c r="Q2672" s="51">
        <f t="shared" si="342"/>
        <v>56.802644312180192</v>
      </c>
      <c r="R2672" s="51">
        <f t="shared" si="343"/>
        <v>20.280808676562057</v>
      </c>
    </row>
    <row r="2673" spans="1:18" x14ac:dyDescent="0.15">
      <c r="A2673" s="59">
        <v>44786.75</v>
      </c>
      <c r="B2673">
        <v>43.886322</v>
      </c>
      <c r="C2673">
        <v>534.90655500000003</v>
      </c>
      <c r="D2673">
        <v>172.17984000000001</v>
      </c>
      <c r="E2673">
        <v>144.779999</v>
      </c>
      <c r="F2673">
        <v>2091.540039</v>
      </c>
      <c r="H2673" s="50">
        <f t="shared" si="337"/>
        <v>-1.0751917457905615E-3</v>
      </c>
      <c r="I2673" s="50">
        <f t="shared" si="338"/>
        <v>-5.9316921686602036E-3</v>
      </c>
      <c r="J2673" s="50">
        <f t="shared" si="339"/>
        <v>2.7660647851172414E-2</v>
      </c>
      <c r="K2673" s="50">
        <f t="shared" si="340"/>
        <v>1.8859907718793454E-2</v>
      </c>
      <c r="L2673" s="50">
        <f t="shared" si="341"/>
        <v>-5.1844058835829121E-3</v>
      </c>
      <c r="P2673" s="50">
        <f t="shared" si="336"/>
        <v>-5.1844058835829121E-3</v>
      </c>
      <c r="Q2673" s="51">
        <f t="shared" si="342"/>
        <v>56.508156348805059</v>
      </c>
      <c r="R2673" s="51">
        <f t="shared" si="343"/>
        <v>20.259002918475062</v>
      </c>
    </row>
    <row r="2674" spans="1:18" x14ac:dyDescent="0.15">
      <c r="A2674" s="59">
        <v>44789.75</v>
      </c>
      <c r="B2674">
        <v>43.933559000000002</v>
      </c>
      <c r="C2674">
        <v>538.098389</v>
      </c>
      <c r="D2674">
        <v>167.54542499999999</v>
      </c>
      <c r="E2674">
        <v>142.10000600000001</v>
      </c>
      <c r="F2674">
        <v>2102.4399410000001</v>
      </c>
      <c r="H2674" s="50">
        <f t="shared" si="337"/>
        <v>3.2357612404625286E-3</v>
      </c>
      <c r="I2674" s="50">
        <f t="shared" si="338"/>
        <v>-8.2714500206801239E-3</v>
      </c>
      <c r="J2674" s="50">
        <f t="shared" si="339"/>
        <v>1.3233082586726076E-2</v>
      </c>
      <c r="K2674" s="50">
        <f t="shared" si="340"/>
        <v>-1.4054602655208391E-3</v>
      </c>
      <c r="L2674" s="50">
        <f t="shared" si="341"/>
        <v>2.6324414881495162E-3</v>
      </c>
      <c r="P2674" s="50">
        <f t="shared" si="336"/>
        <v>2.6324414881495162E-3</v>
      </c>
      <c r="Q2674" s="51">
        <f t="shared" si="342"/>
        <v>56.656910763996493</v>
      </c>
      <c r="R2674" s="51">
        <f t="shared" si="343"/>
        <v>20.324556214889082</v>
      </c>
    </row>
    <row r="2675" spans="1:18" x14ac:dyDescent="0.15">
      <c r="A2675" s="59">
        <v>44790.75</v>
      </c>
      <c r="B2675">
        <v>43.791859000000002</v>
      </c>
      <c r="C2675">
        <v>542.586365</v>
      </c>
      <c r="D2675">
        <v>165.35723899999999</v>
      </c>
      <c r="E2675">
        <v>142.300003</v>
      </c>
      <c r="F2675">
        <v>2096.919922</v>
      </c>
      <c r="H2675" s="50">
        <f t="shared" si="337"/>
        <v>1.4961341325607964E-2</v>
      </c>
      <c r="I2675" s="50">
        <f t="shared" si="338"/>
        <v>1.1595346010508972E-2</v>
      </c>
      <c r="J2675" s="50">
        <f t="shared" si="339"/>
        <v>3.5979486687275235E-2</v>
      </c>
      <c r="K2675" s="50">
        <f t="shared" si="340"/>
        <v>2.9443732314077504E-2</v>
      </c>
      <c r="L2675" s="50">
        <f t="shared" si="341"/>
        <v>8.3235866866269628E-3</v>
      </c>
      <c r="P2675" s="50">
        <f t="shared" si="336"/>
        <v>8.3235866866269628E-3</v>
      </c>
      <c r="Q2675" s="51">
        <f t="shared" si="342"/>
        <v>57.128499472137101</v>
      </c>
      <c r="R2675" s="51">
        <f t="shared" si="343"/>
        <v>20.628638837711545</v>
      </c>
    </row>
    <row r="2676" spans="1:18" x14ac:dyDescent="0.15">
      <c r="A2676" s="59">
        <v>44791.75</v>
      </c>
      <c r="B2676">
        <v>43.146332000000001</v>
      </c>
      <c r="C2676">
        <v>536.36700399999995</v>
      </c>
      <c r="D2676">
        <v>159.614395</v>
      </c>
      <c r="E2676">
        <v>138.229996</v>
      </c>
      <c r="F2676">
        <v>2079.610107</v>
      </c>
      <c r="H2676" s="50">
        <f t="shared" si="337"/>
        <v>1.8206105314683026E-2</v>
      </c>
      <c r="I2676" s="50">
        <f t="shared" si="338"/>
        <v>1.6609517718372567E-2</v>
      </c>
      <c r="J2676" s="50">
        <f t="shared" si="339"/>
        <v>3.136565329289772E-2</v>
      </c>
      <c r="K2676" s="50">
        <f t="shared" si="340"/>
        <v>3.7606928106838883E-2</v>
      </c>
      <c r="L2676" s="50">
        <f t="shared" si="341"/>
        <v>2.1554983927681754E-2</v>
      </c>
      <c r="P2676" s="50">
        <f t="shared" si="336"/>
        <v>2.1554983927681754E-2</v>
      </c>
      <c r="Q2676" s="51">
        <f t="shared" si="342"/>
        <v>58.359903360071598</v>
      </c>
      <c r="R2676" s="51">
        <f t="shared" si="343"/>
        <v>21.004206008889479</v>
      </c>
    </row>
    <row r="2677" spans="1:18" x14ac:dyDescent="0.15">
      <c r="A2677" s="59">
        <v>44792.75</v>
      </c>
      <c r="B2677">
        <v>42.374851</v>
      </c>
      <c r="C2677">
        <v>527.60375999999997</v>
      </c>
      <c r="D2677">
        <v>154.76023900000001</v>
      </c>
      <c r="E2677">
        <v>133.220001</v>
      </c>
      <c r="F2677">
        <v>2035.7299800000001</v>
      </c>
      <c r="H2677" s="50">
        <f t="shared" si="337"/>
        <v>4.2537613494107876E-3</v>
      </c>
      <c r="I2677" s="50">
        <f t="shared" si="338"/>
        <v>6.2722489647804832E-3</v>
      </c>
      <c r="J2677" s="50">
        <f t="shared" si="339"/>
        <v>-6.1814382580383147E-5</v>
      </c>
      <c r="K2677" s="50">
        <f t="shared" si="340"/>
        <v>-2.9935190463073469E-3</v>
      </c>
      <c r="L2677" s="50">
        <f t="shared" si="341"/>
        <v>3.289882464598113E-2</v>
      </c>
      <c r="P2677" s="50">
        <f t="shared" si="336"/>
        <v>3.289882464598113E-2</v>
      </c>
      <c r="Q2677" s="51">
        <f t="shared" si="342"/>
        <v>60.279875587070997</v>
      </c>
      <c r="R2677" s="51">
        <f t="shared" si="343"/>
        <v>21.093552888585155</v>
      </c>
    </row>
    <row r="2678" spans="1:18" x14ac:dyDescent="0.15">
      <c r="A2678" s="59">
        <v>44793.75</v>
      </c>
      <c r="B2678">
        <v>42.195362000000003</v>
      </c>
      <c r="C2678">
        <v>524.31512499999997</v>
      </c>
      <c r="D2678">
        <v>154.76980599999999</v>
      </c>
      <c r="E2678">
        <v>133.61999499999999</v>
      </c>
      <c r="F2678">
        <v>1970.8900149999999</v>
      </c>
      <c r="H2678" s="50">
        <f t="shared" si="337"/>
        <v>-7.1868514314631943E-3</v>
      </c>
      <c r="I2678" s="50">
        <f t="shared" si="338"/>
        <v>-2.1168349190368685E-3</v>
      </c>
      <c r="J2678" s="50">
        <f t="shared" si="339"/>
        <v>-7.1107689066503997E-3</v>
      </c>
      <c r="K2678" s="50">
        <f t="shared" si="340"/>
        <v>-1.3453512403883506E-3</v>
      </c>
      <c r="L2678" s="50">
        <f t="shared" si="341"/>
        <v>4.1030871166011111E-2</v>
      </c>
      <c r="P2678" s="50">
        <f t="shared" si="336"/>
        <v>4.1030871166011111E-2</v>
      </c>
      <c r="Q2678" s="51">
        <f t="shared" si="342"/>
        <v>62.753211396187282</v>
      </c>
      <c r="R2678" s="51">
        <f t="shared" si="343"/>
        <v>20.941956657813179</v>
      </c>
    </row>
    <row r="2679" spans="1:18" x14ac:dyDescent="0.15">
      <c r="A2679" s="59">
        <v>44796.75</v>
      </c>
      <c r="B2679">
        <v>42.500808999999997</v>
      </c>
      <c r="C2679">
        <v>525.427368</v>
      </c>
      <c r="D2679">
        <v>155.87822</v>
      </c>
      <c r="E2679">
        <v>133.800003</v>
      </c>
      <c r="F2679">
        <v>1893.209961</v>
      </c>
      <c r="H2679" s="50">
        <f t="shared" si="337"/>
        <v>-6.6239624384791702E-3</v>
      </c>
      <c r="I2679" s="50">
        <f t="shared" si="338"/>
        <v>-1.370801986796912E-2</v>
      </c>
      <c r="J2679" s="50">
        <f t="shared" si="339"/>
        <v>-2.6089545865955036E-2</v>
      </c>
      <c r="K2679" s="50">
        <f t="shared" si="340"/>
        <v>-2.5349621396777544E-2</v>
      </c>
      <c r="L2679" s="50">
        <f t="shared" si="341"/>
        <v>1.3707345862150104E-2</v>
      </c>
      <c r="P2679" s="50">
        <f t="shared" si="336"/>
        <v>1.3707345862150104E-2</v>
      </c>
      <c r="Q2679" s="51">
        <f t="shared" si="342"/>
        <v>63.613391368755444</v>
      </c>
      <c r="R2679" s="51">
        <f t="shared" si="343"/>
        <v>20.803237923523564</v>
      </c>
    </row>
    <row r="2680" spans="1:18" x14ac:dyDescent="0.15">
      <c r="A2680" s="59">
        <v>44797.75</v>
      </c>
      <c r="B2680">
        <v>42.784210000000002</v>
      </c>
      <c r="C2680">
        <v>532.73004200000003</v>
      </c>
      <c r="D2680">
        <v>160.053955</v>
      </c>
      <c r="E2680">
        <v>137.279999</v>
      </c>
      <c r="F2680">
        <v>1867.6099850000001</v>
      </c>
      <c r="H2680" s="50">
        <f t="shared" si="337"/>
        <v>3.2446842846671563E-2</v>
      </c>
      <c r="I2680" s="50">
        <f t="shared" si="338"/>
        <v>3.5632060029975168E-2</v>
      </c>
      <c r="J2680" s="50">
        <f t="shared" si="339"/>
        <v>4.2834130426377605E-2</v>
      </c>
      <c r="K2680" s="50">
        <f t="shared" si="340"/>
        <v>4.9942630975143433E-2</v>
      </c>
      <c r="L2680" s="50">
        <f t="shared" si="341"/>
        <v>-3.7567456299800232E-2</v>
      </c>
      <c r="P2680" s="50">
        <f t="shared" si="336"/>
        <v>-3.7567456299800232E-2</v>
      </c>
      <c r="Q2680" s="51">
        <f t="shared" si="342"/>
        <v>61.223598068427634</v>
      </c>
      <c r="R2680" s="51">
        <f t="shared" si="343"/>
        <v>21.478237315130052</v>
      </c>
    </row>
    <row r="2681" spans="1:18" x14ac:dyDescent="0.15">
      <c r="A2681" s="59">
        <v>44798.75</v>
      </c>
      <c r="B2681">
        <v>41.439624999999999</v>
      </c>
      <c r="C2681">
        <v>514.40087900000003</v>
      </c>
      <c r="D2681">
        <v>153.479782</v>
      </c>
      <c r="E2681">
        <v>130.75</v>
      </c>
      <c r="F2681">
        <v>1940.51001</v>
      </c>
      <c r="H2681" s="50">
        <f t="shared" si="337"/>
        <v>-9.632676031617762E-3</v>
      </c>
      <c r="I2681" s="50">
        <f t="shared" si="338"/>
        <v>1.4311017815514168E-3</v>
      </c>
      <c r="J2681" s="50">
        <f t="shared" si="339"/>
        <v>1.2161999699410887E-2</v>
      </c>
      <c r="K2681" s="50">
        <f t="shared" si="340"/>
        <v>7.3966180119910338E-3</v>
      </c>
      <c r="L2681" s="50">
        <f t="shared" si="341"/>
        <v>-2.3721372464844775E-2</v>
      </c>
      <c r="P2681" s="50">
        <f t="shared" si="336"/>
        <v>-2.3721372464844775E-2</v>
      </c>
      <c r="Q2681" s="51">
        <f t="shared" si="342"/>
        <v>59.771290295008512</v>
      </c>
      <c r="R2681" s="51">
        <f t="shared" si="343"/>
        <v>21.271344413343201</v>
      </c>
    </row>
    <row r="2682" spans="1:18" x14ac:dyDescent="0.15">
      <c r="A2682" s="59">
        <v>44799.75</v>
      </c>
      <c r="B2682">
        <v>41.842682000000003</v>
      </c>
      <c r="C2682">
        <v>513.66577099999995</v>
      </c>
      <c r="D2682">
        <v>151.63559000000001</v>
      </c>
      <c r="E2682">
        <v>129.78999300000001</v>
      </c>
      <c r="F2682">
        <v>1987.660034</v>
      </c>
      <c r="H2682" s="50">
        <f t="shared" si="337"/>
        <v>3.0191722592269E-3</v>
      </c>
      <c r="I2682" s="50">
        <f t="shared" si="338"/>
        <v>1.3202669884293555E-2</v>
      </c>
      <c r="J2682" s="50">
        <f t="shared" si="339"/>
        <v>-1.2999186566348535E-2</v>
      </c>
      <c r="K2682" s="50">
        <f t="shared" si="340"/>
        <v>8.2342657728351823E-3</v>
      </c>
      <c r="L2682" s="50">
        <f t="shared" si="341"/>
        <v>-6.0836605863724192E-4</v>
      </c>
      <c r="P2682" s="50">
        <f t="shared" si="336"/>
        <v>-6.0836605863724192E-4</v>
      </c>
      <c r="Q2682" s="51">
        <f t="shared" si="342"/>
        <v>59.734927470712073</v>
      </c>
      <c r="R2682" s="51">
        <f t="shared" si="343"/>
        <v>21.33556626631243</v>
      </c>
    </row>
    <row r="2683" spans="1:18" x14ac:dyDescent="0.15">
      <c r="A2683" s="59">
        <v>44800.75</v>
      </c>
      <c r="B2683">
        <v>41.716732</v>
      </c>
      <c r="C2683">
        <v>506.97238199999998</v>
      </c>
      <c r="D2683">
        <v>153.63269</v>
      </c>
      <c r="E2683">
        <v>128.729996</v>
      </c>
      <c r="F2683">
        <v>1988.869995</v>
      </c>
      <c r="H2683" s="50">
        <f t="shared" si="337"/>
        <v>-5.2807014715074466E-4</v>
      </c>
      <c r="I2683" s="50">
        <f t="shared" si="338"/>
        <v>3.9072237251716645E-3</v>
      </c>
      <c r="J2683" s="50">
        <f t="shared" si="339"/>
        <v>2.7441669970905396E-3</v>
      </c>
      <c r="K2683" s="50">
        <f t="shared" si="340"/>
        <v>1.5461063708946812E-2</v>
      </c>
      <c r="L2683" s="50">
        <f t="shared" si="341"/>
        <v>8.462686237065092E-3</v>
      </c>
      <c r="P2683" s="50">
        <f t="shared" si="336"/>
        <v>8.462686237065092E-3</v>
      </c>
      <c r="Q2683" s="51">
        <f t="shared" si="342"/>
        <v>60.240445419290552</v>
      </c>
      <c r="R2683" s="51">
        <f t="shared" si="343"/>
        <v>21.324299590694633</v>
      </c>
    </row>
    <row r="2684" spans="1:18" x14ac:dyDescent="0.15">
      <c r="A2684" s="59">
        <v>44803.75</v>
      </c>
      <c r="B2684">
        <v>41.738773000000002</v>
      </c>
      <c r="C2684">
        <v>504.99923699999999</v>
      </c>
      <c r="D2684">
        <v>153.21225000000001</v>
      </c>
      <c r="E2684">
        <v>126.769997</v>
      </c>
      <c r="F2684">
        <v>1972.1800539999999</v>
      </c>
      <c r="H2684" s="50">
        <f t="shared" si="337"/>
        <v>-1.4351664727270579E-2</v>
      </c>
      <c r="I2684" s="50">
        <f t="shared" si="338"/>
        <v>-1.3360504162681329E-2</v>
      </c>
      <c r="J2684" s="50">
        <f t="shared" si="339"/>
        <v>-2.7299198467836707E-2</v>
      </c>
      <c r="K2684" s="50">
        <f t="shared" si="340"/>
        <v>-8.2147003598810019E-3</v>
      </c>
      <c r="L2684" s="50">
        <f t="shared" si="341"/>
        <v>3.0477873778754307E-2</v>
      </c>
      <c r="P2684" s="50">
        <f t="shared" si="336"/>
        <v>3.0477873778754307E-2</v>
      </c>
      <c r="Q2684" s="51">
        <f t="shared" si="342"/>
        <v>62.076446111155626</v>
      </c>
      <c r="R2684" s="51">
        <f t="shared" si="343"/>
        <v>21.018260392425109</v>
      </c>
    </row>
    <row r="2685" spans="1:18" x14ac:dyDescent="0.15">
      <c r="A2685" s="59">
        <v>44804.75</v>
      </c>
      <c r="B2685">
        <v>42.346516000000001</v>
      </c>
      <c r="C2685">
        <v>511.83764600000001</v>
      </c>
      <c r="D2685">
        <v>157.51220699999999</v>
      </c>
      <c r="E2685">
        <v>127.82</v>
      </c>
      <c r="F2685">
        <v>1913.849976</v>
      </c>
      <c r="H2685" s="50">
        <f t="shared" si="337"/>
        <v>1.1127906527514508E-2</v>
      </c>
      <c r="I2685" s="50">
        <f t="shared" si="338"/>
        <v>1.9379327815064958E-2</v>
      </c>
      <c r="J2685" s="50">
        <f t="shared" si="339"/>
        <v>1.4580353286122764E-3</v>
      </c>
      <c r="K2685" s="50">
        <f t="shared" si="340"/>
        <v>2.4311661449114646E-3</v>
      </c>
      <c r="L2685" s="50">
        <f t="shared" si="341"/>
        <v>-1.7964353144641163E-2</v>
      </c>
      <c r="P2685" s="50">
        <f t="shared" si="336"/>
        <v>-1.7964353144641163E-2</v>
      </c>
      <c r="Q2685" s="51">
        <f t="shared" si="342"/>
        <v>60.961282911250535</v>
      </c>
      <c r="R2685" s="51">
        <f t="shared" si="343"/>
        <v>21.252149629442975</v>
      </c>
    </row>
    <row r="2686" spans="1:18" x14ac:dyDescent="0.15">
      <c r="A2686" s="59">
        <v>44805.75</v>
      </c>
      <c r="B2686">
        <v>41.880474</v>
      </c>
      <c r="C2686">
        <v>502.107147</v>
      </c>
      <c r="D2686">
        <v>157.282883</v>
      </c>
      <c r="E2686">
        <v>127.510002</v>
      </c>
      <c r="F2686">
        <v>1948.8599850000001</v>
      </c>
      <c r="H2686" s="50">
        <f t="shared" si="337"/>
        <v>4.9870839744312803E-3</v>
      </c>
      <c r="I2686" s="50">
        <f t="shared" si="338"/>
        <v>4.046470610987902E-4</v>
      </c>
      <c r="J2686" s="50">
        <f t="shared" si="339"/>
        <v>6.2354682953733196E-3</v>
      </c>
      <c r="K2686" s="50">
        <f t="shared" si="340"/>
        <v>1.1101427237321196E-2</v>
      </c>
      <c r="L2686" s="50">
        <f t="shared" si="341"/>
        <v>-1.1634386197653351E-3</v>
      </c>
      <c r="P2686" s="50">
        <f t="shared" si="336"/>
        <v>-1.1634386197653351E-3</v>
      </c>
      <c r="Q2686" s="51">
        <f t="shared" si="342"/>
        <v>60.890358200401145</v>
      </c>
      <c r="R2686" s="51">
        <f t="shared" si="343"/>
        <v>21.358135884282184</v>
      </c>
    </row>
    <row r="2687" spans="1:18" x14ac:dyDescent="0.15">
      <c r="A2687" s="59">
        <v>44806.75</v>
      </c>
      <c r="B2687">
        <v>41.672649</v>
      </c>
      <c r="C2687">
        <v>501.90405299999998</v>
      </c>
      <c r="D2687">
        <v>156.30822800000001</v>
      </c>
      <c r="E2687">
        <v>126.110001</v>
      </c>
      <c r="F2687">
        <v>1951.130005</v>
      </c>
      <c r="H2687" s="50">
        <f t="shared" si="337"/>
        <v>-2.5047732074599535E-2</v>
      </c>
      <c r="I2687" s="50">
        <f t="shared" si="338"/>
        <v>-2.0277962524195413E-2</v>
      </c>
      <c r="J2687" s="50">
        <f t="shared" si="339"/>
        <v>-4.2215543860456617E-2</v>
      </c>
      <c r="K2687" s="50">
        <f t="shared" si="340"/>
        <v>-2.602714785378896E-2</v>
      </c>
      <c r="L2687" s="50">
        <f t="shared" si="341"/>
        <v>1.5568250617565539E-2</v>
      </c>
      <c r="P2687" s="50">
        <f t="shared" si="336"/>
        <v>1.5568250617565539E-2</v>
      </c>
      <c r="Q2687" s="51">
        <f t="shared" si="342"/>
        <v>61.838314557058332</v>
      </c>
      <c r="R2687" s="51">
        <f t="shared" si="343"/>
        <v>20.823163019039793</v>
      </c>
    </row>
    <row r="2688" spans="1:18" x14ac:dyDescent="0.15">
      <c r="A2688" s="59">
        <v>44807.75</v>
      </c>
      <c r="B2688">
        <v>42.743271</v>
      </c>
      <c r="C2688">
        <v>512.29229699999996</v>
      </c>
      <c r="D2688">
        <v>163.19770800000001</v>
      </c>
      <c r="E2688">
        <v>129.479996</v>
      </c>
      <c r="F2688">
        <v>1921.219971</v>
      </c>
      <c r="H2688" s="50">
        <f t="shared" si="337"/>
        <v>-5.0575937718485998E-3</v>
      </c>
      <c r="I2688" s="50">
        <f t="shared" si="338"/>
        <v>9.8286740967192475E-4</v>
      </c>
      <c r="J2688" s="50">
        <f t="shared" si="339"/>
        <v>-6.4572298608456813E-3</v>
      </c>
      <c r="K2688" s="50">
        <f t="shared" si="340"/>
        <v>-2.6190955297052485E-3</v>
      </c>
      <c r="L2688" s="50">
        <f t="shared" si="341"/>
        <v>-2.4469288857091306E-2</v>
      </c>
      <c r="P2688" s="50">
        <f t="shared" si="336"/>
        <v>-2.4469288857091306E-2</v>
      </c>
      <c r="Q2688" s="51">
        <f t="shared" si="342"/>
        <v>60.325174975726</v>
      </c>
      <c r="R2688" s="51">
        <f t="shared" si="343"/>
        <v>20.717847919444509</v>
      </c>
    </row>
    <row r="2689" spans="1:18" x14ac:dyDescent="0.15">
      <c r="A2689" s="59">
        <v>44811.75</v>
      </c>
      <c r="B2689">
        <v>42.960548000000003</v>
      </c>
      <c r="C2689">
        <v>511.78927599999997</v>
      </c>
      <c r="D2689">
        <v>164.25836200000001</v>
      </c>
      <c r="E2689">
        <v>129.820007</v>
      </c>
      <c r="F2689">
        <v>1969.410034</v>
      </c>
      <c r="H2689" s="50">
        <f t="shared" si="337"/>
        <v>-2.9962874849525883E-3</v>
      </c>
      <c r="I2689" s="50">
        <f t="shared" si="338"/>
        <v>-1.3902888755526093E-2</v>
      </c>
      <c r="J2689" s="50">
        <f t="shared" si="339"/>
        <v>-1.0077679664511631E-2</v>
      </c>
      <c r="K2689" s="50">
        <f t="shared" si="340"/>
        <v>-2.5887273178141393E-2</v>
      </c>
      <c r="L2689" s="50">
        <f t="shared" si="341"/>
        <v>1.4093424672177944E-2</v>
      </c>
      <c r="P2689" s="50">
        <f t="shared" ref="P2689:P2736" si="344">(F2689-F2690)/F2690</f>
        <v>1.4093424672177944E-2</v>
      </c>
      <c r="Q2689" s="51">
        <f t="shared" si="342"/>
        <v>61.175363285082355</v>
      </c>
      <c r="R2689" s="51">
        <f t="shared" si="343"/>
        <v>20.655771291008325</v>
      </c>
    </row>
    <row r="2690" spans="1:18" x14ac:dyDescent="0.15">
      <c r="A2690" s="59">
        <v>44812.75</v>
      </c>
      <c r="B2690">
        <v>43.089657000000003</v>
      </c>
      <c r="C2690">
        <v>519.00494400000002</v>
      </c>
      <c r="D2690">
        <v>165.93055699999999</v>
      </c>
      <c r="E2690">
        <v>133.270004</v>
      </c>
      <c r="F2690">
        <v>1942.040039</v>
      </c>
      <c r="H2690" s="50">
        <f t="shared" ref="H2690:H2736" si="345">(B2690-B2691)/B2691</f>
        <v>-8.9085546754011889E-3</v>
      </c>
      <c r="I2690" s="50">
        <f t="shared" ref="I2690:I2736" si="346">(C2690-C2691)/C2691</f>
        <v>-5.4493764815285711E-3</v>
      </c>
      <c r="J2690" s="50">
        <f t="shared" ref="J2690:J2736" si="347">(D2690-D2691)/D2691</f>
        <v>-1.1505541579222103E-3</v>
      </c>
      <c r="K2690" s="50">
        <f t="shared" ref="K2690:K2736" si="348">(E2690-E2691)/E2691</f>
        <v>-2.3305189226204205E-2</v>
      </c>
      <c r="L2690" s="50">
        <f t="shared" ref="L2690:L2736" si="349">(F2690-F2691)/F2691</f>
        <v>-5.2502444796830722E-3</v>
      </c>
      <c r="P2690" s="50">
        <f t="shared" si="344"/>
        <v>-5.2502444796830722E-3</v>
      </c>
      <c r="Q2690" s="51">
        <f t="shared" si="342"/>
        <v>60.854177671702246</v>
      </c>
      <c r="R2690" s="51">
        <f t="shared" si="343"/>
        <v>20.471758223099794</v>
      </c>
    </row>
    <row r="2691" spans="1:18" x14ac:dyDescent="0.15">
      <c r="A2691" s="59">
        <v>44813.75</v>
      </c>
      <c r="B2691">
        <v>43.476973999999998</v>
      </c>
      <c r="C2691">
        <v>521.84869400000002</v>
      </c>
      <c r="D2691">
        <v>166.121689</v>
      </c>
      <c r="E2691">
        <v>136.449997</v>
      </c>
      <c r="F2691">
        <v>1952.290039</v>
      </c>
      <c r="H2691" s="50">
        <f t="shared" si="345"/>
        <v>2.1076912335033053E-2</v>
      </c>
      <c r="I2691" s="50">
        <f t="shared" si="346"/>
        <v>5.7260640084677683E-2</v>
      </c>
      <c r="J2691" s="50">
        <f t="shared" si="347"/>
        <v>4.5777237007577548E-2</v>
      </c>
      <c r="K2691" s="50">
        <f t="shared" si="348"/>
        <v>7.5934371550228696E-2</v>
      </c>
      <c r="L2691" s="50">
        <f t="shared" si="349"/>
        <v>-4.4669997099089668E-3</v>
      </c>
      <c r="P2691" s="50">
        <f t="shared" si="344"/>
        <v>-4.4669997099089668E-3</v>
      </c>
      <c r="Q2691" s="51">
        <f t="shared" ref="Q2691:Q2736" si="350">Q2690*(1+P2691)</f>
        <v>60.582342077696005</v>
      </c>
      <c r="R2691" s="51">
        <f t="shared" ref="R2691:R2736" si="351">R2690*(1+H2691)</f>
        <v>20.903239676512058</v>
      </c>
    </row>
    <row r="2692" spans="1:18" x14ac:dyDescent="0.15">
      <c r="A2692" s="59">
        <v>44814.75</v>
      </c>
      <c r="B2692">
        <v>42.579529000000001</v>
      </c>
      <c r="C2692">
        <v>493.58566300000001</v>
      </c>
      <c r="D2692">
        <v>158.849976</v>
      </c>
      <c r="E2692">
        <v>126.82</v>
      </c>
      <c r="F2692">
        <v>1961.0500489999999</v>
      </c>
      <c r="H2692" s="50">
        <f t="shared" si="345"/>
        <v>2.2235344743053837E-3</v>
      </c>
      <c r="I2692" s="50">
        <f t="shared" si="346"/>
        <v>4.5275060411131187E-3</v>
      </c>
      <c r="J2692" s="50">
        <f t="shared" si="347"/>
        <v>5.2000967371561057E-3</v>
      </c>
      <c r="K2692" s="50">
        <f t="shared" si="348"/>
        <v>-1.3457821545130658E-2</v>
      </c>
      <c r="L2692" s="50">
        <f t="shared" si="349"/>
        <v>4.1064499167513474E-3</v>
      </c>
      <c r="P2692" s="50">
        <f t="shared" si="344"/>
        <v>4.1064499167513474E-3</v>
      </c>
      <c r="Q2692" s="51">
        <f t="shared" si="350"/>
        <v>60.831120431277562</v>
      </c>
      <c r="R2692" s="51">
        <f t="shared" si="351"/>
        <v>20.949718750557452</v>
      </c>
    </row>
    <row r="2693" spans="1:18" x14ac:dyDescent="0.15">
      <c r="A2693" s="59">
        <v>44817.75</v>
      </c>
      <c r="B2693">
        <v>42.485061999999999</v>
      </c>
      <c r="C2693">
        <v>491.36102299999999</v>
      </c>
      <c r="D2693">
        <v>158.02821399999999</v>
      </c>
      <c r="E2693">
        <v>128.550003</v>
      </c>
      <c r="F2693">
        <v>1953.030029</v>
      </c>
      <c r="H2693" s="50">
        <f t="shared" si="345"/>
        <v>1.0863897992572558E-2</v>
      </c>
      <c r="I2693" s="50">
        <f t="shared" si="346"/>
        <v>8.9373602720608514E-3</v>
      </c>
      <c r="J2693" s="50">
        <f t="shared" si="347"/>
        <v>2.2423515480470657E-3</v>
      </c>
      <c r="K2693" s="50">
        <f t="shared" si="348"/>
        <v>1.7975958330503312E-2</v>
      </c>
      <c r="L2693" s="50">
        <f t="shared" si="349"/>
        <v>-1.2668754925578542E-2</v>
      </c>
      <c r="P2693" s="50">
        <f t="shared" si="344"/>
        <v>-1.2668754925578542E-2</v>
      </c>
      <c r="Q2693" s="51">
        <f t="shared" si="350"/>
        <v>60.060465874685356</v>
      </c>
      <c r="R2693" s="51">
        <f t="shared" si="351"/>
        <v>21.177314358036593</v>
      </c>
    </row>
    <row r="2694" spans="1:18" x14ac:dyDescent="0.15">
      <c r="A2694" s="59">
        <v>44818.75</v>
      </c>
      <c r="B2694">
        <v>42.028469000000001</v>
      </c>
      <c r="C2694">
        <v>487.00845299999997</v>
      </c>
      <c r="D2694">
        <v>157.67465200000001</v>
      </c>
      <c r="E2694">
        <v>126.279999</v>
      </c>
      <c r="F2694">
        <v>1978.089966</v>
      </c>
      <c r="H2694" s="50">
        <f t="shared" si="345"/>
        <v>2.1021545289705962E-3</v>
      </c>
      <c r="I2694" s="50">
        <f t="shared" si="346"/>
        <v>-1.2694506268507305E-3</v>
      </c>
      <c r="J2694" s="50">
        <f t="shared" si="347"/>
        <v>5.6066962156776671E-3</v>
      </c>
      <c r="K2694" s="50">
        <f t="shared" si="348"/>
        <v>2.2261798933552974E-2</v>
      </c>
      <c r="L2694" s="50">
        <f t="shared" si="349"/>
        <v>-8.6302842620009593E-3</v>
      </c>
      <c r="P2694" s="50">
        <f t="shared" si="344"/>
        <v>-8.6302842620009593E-3</v>
      </c>
      <c r="Q2694" s="51">
        <f t="shared" si="350"/>
        <v>59.542126981278614</v>
      </c>
      <c r="R2694" s="51">
        <f t="shared" si="351"/>
        <v>21.221832345325772</v>
      </c>
    </row>
    <row r="2695" spans="1:18" x14ac:dyDescent="0.15">
      <c r="A2695" s="59">
        <v>44819.75</v>
      </c>
      <c r="B2695">
        <v>41.940303999999998</v>
      </c>
      <c r="C2695">
        <v>487.62747200000001</v>
      </c>
      <c r="D2695">
        <v>156.795547</v>
      </c>
      <c r="E2695">
        <v>123.529999</v>
      </c>
      <c r="F2695">
        <v>1995.3100589999999</v>
      </c>
      <c r="H2695" s="50">
        <f t="shared" si="345"/>
        <v>-8.4864340697667611E-3</v>
      </c>
      <c r="I2695" s="50">
        <f t="shared" si="346"/>
        <v>-4.7969574136382618E-3</v>
      </c>
      <c r="J2695" s="50">
        <f t="shared" si="347"/>
        <v>-4.0665030613120465E-3</v>
      </c>
      <c r="K2695" s="50">
        <f t="shared" si="348"/>
        <v>-9.064695682185259E-3</v>
      </c>
      <c r="L2695" s="50">
        <f t="shared" si="349"/>
        <v>2.5676354767430374E-3</v>
      </c>
      <c r="P2695" s="50">
        <f t="shared" si="344"/>
        <v>2.5676354767430374E-3</v>
      </c>
      <c r="Q2695" s="51">
        <f t="shared" si="350"/>
        <v>59.695009458876484</v>
      </c>
      <c r="R2695" s="51">
        <f t="shared" si="351"/>
        <v>21.041734664287521</v>
      </c>
    </row>
    <row r="2696" spans="1:18" x14ac:dyDescent="0.15">
      <c r="A2696" s="59">
        <v>44820.75</v>
      </c>
      <c r="B2696">
        <v>42.299273999999997</v>
      </c>
      <c r="C2696">
        <v>489.97787499999998</v>
      </c>
      <c r="D2696">
        <v>157.43575999999999</v>
      </c>
      <c r="E2696">
        <v>124.660004</v>
      </c>
      <c r="F2696">
        <v>1990.1999510000001</v>
      </c>
      <c r="H2696" s="50">
        <f t="shared" si="345"/>
        <v>5.8404665410699622E-3</v>
      </c>
      <c r="I2696" s="50">
        <f t="shared" si="346"/>
        <v>1.4113628226277045E-2</v>
      </c>
      <c r="J2696" s="50">
        <f t="shared" si="347"/>
        <v>2.9556933765825924E-2</v>
      </c>
      <c r="K2696" s="50">
        <f t="shared" si="348"/>
        <v>2.0214436202398899E-2</v>
      </c>
      <c r="L2696" s="50">
        <f t="shared" si="349"/>
        <v>1.6403821969361916E-2</v>
      </c>
      <c r="P2696" s="50">
        <f t="shared" si="344"/>
        <v>1.6403821969361916E-2</v>
      </c>
      <c r="Q2696" s="51">
        <f t="shared" si="350"/>
        <v>60.674235766499265</v>
      </c>
      <c r="R2696" s="51">
        <f t="shared" si="351"/>
        <v>21.164628211560366</v>
      </c>
    </row>
    <row r="2697" spans="1:18" x14ac:dyDescent="0.15">
      <c r="A2697" s="59">
        <v>44821.75</v>
      </c>
      <c r="B2697">
        <v>42.053660999999998</v>
      </c>
      <c r="C2697">
        <v>483.15875199999999</v>
      </c>
      <c r="D2697">
        <v>152.916031</v>
      </c>
      <c r="E2697">
        <v>122.19000200000001</v>
      </c>
      <c r="F2697">
        <v>1958.079956</v>
      </c>
      <c r="H2697" s="50">
        <f t="shared" si="345"/>
        <v>-9.0524661158437464E-3</v>
      </c>
      <c r="I2697" s="50">
        <f t="shared" si="346"/>
        <v>1.308124512376329E-2</v>
      </c>
      <c r="J2697" s="50">
        <f t="shared" si="347"/>
        <v>6.288055326484656E-3</v>
      </c>
      <c r="K2697" s="50">
        <f t="shared" si="348"/>
        <v>3.0791302254164845E-2</v>
      </c>
      <c r="L2697" s="50">
        <f t="shared" si="349"/>
        <v>-4.5196495783208623E-3</v>
      </c>
      <c r="P2697" s="50">
        <f t="shared" si="344"/>
        <v>-4.5196495783208623E-3</v>
      </c>
      <c r="Q2697" s="51">
        <f t="shared" si="350"/>
        <v>60.400009482402268</v>
      </c>
      <c r="R2697" s="51">
        <f t="shared" si="351"/>
        <v>20.973036131820784</v>
      </c>
    </row>
    <row r="2698" spans="1:18" x14ac:dyDescent="0.15">
      <c r="A2698" s="59">
        <v>44824.75</v>
      </c>
      <c r="B2698">
        <v>42.437828000000003</v>
      </c>
      <c r="C2698">
        <v>476.92004400000002</v>
      </c>
      <c r="D2698">
        <v>151.96049500000001</v>
      </c>
      <c r="E2698">
        <v>118.540001</v>
      </c>
      <c r="F2698">
        <v>1966.969971</v>
      </c>
      <c r="H2698" s="50">
        <f t="shared" si="345"/>
        <v>1.0345548958425462E-2</v>
      </c>
      <c r="I2698" s="50">
        <f t="shared" si="346"/>
        <v>1.2110772674370787E-2</v>
      </c>
      <c r="J2698" s="50">
        <f t="shared" si="347"/>
        <v>3.9683514965027658E-2</v>
      </c>
      <c r="K2698" s="50">
        <f t="shared" si="348"/>
        <v>1.0485065390590244E-2</v>
      </c>
      <c r="L2698" s="50">
        <f t="shared" si="349"/>
        <v>1.2472065806397464E-2</v>
      </c>
      <c r="P2698" s="50">
        <f t="shared" si="344"/>
        <v>1.2472065806397464E-2</v>
      </c>
      <c r="Q2698" s="51">
        <f t="shared" si="350"/>
        <v>61.153322375373818</v>
      </c>
      <c r="R2698" s="51">
        <f t="shared" si="351"/>
        <v>21.190013703929363</v>
      </c>
    </row>
    <row r="2699" spans="1:18" x14ac:dyDescent="0.15">
      <c r="A2699" s="59">
        <v>44825.75</v>
      </c>
      <c r="B2699">
        <v>42.003281000000001</v>
      </c>
      <c r="C2699">
        <v>471.21328699999998</v>
      </c>
      <c r="D2699">
        <v>146.16033899999999</v>
      </c>
      <c r="E2699">
        <v>117.30999799999999</v>
      </c>
      <c r="F2699">
        <v>1942.73999</v>
      </c>
      <c r="H2699" s="50">
        <f t="shared" si="345"/>
        <v>2.560361031152162E-2</v>
      </c>
      <c r="I2699" s="50">
        <f t="shared" si="346"/>
        <v>4.4532634768186766E-2</v>
      </c>
      <c r="J2699" s="50">
        <f t="shared" si="347"/>
        <v>2.2935366164971061E-3</v>
      </c>
      <c r="K2699" s="50">
        <f t="shared" si="348"/>
        <v>3.1024776155956807E-2</v>
      </c>
      <c r="L2699" s="50">
        <f t="shared" si="349"/>
        <v>2.0528482016709581E-3</v>
      </c>
      <c r="P2699" s="50">
        <f t="shared" si="344"/>
        <v>2.0528482016709581E-3</v>
      </c>
      <c r="Q2699" s="51">
        <f t="shared" si="350"/>
        <v>61.278860863238314</v>
      </c>
      <c r="R2699" s="51">
        <f t="shared" si="351"/>
        <v>21.732554557300574</v>
      </c>
    </row>
    <row r="2700" spans="1:18" x14ac:dyDescent="0.15">
      <c r="A2700" s="59">
        <v>44826.75</v>
      </c>
      <c r="B2700">
        <v>40.954692999999999</v>
      </c>
      <c r="C2700">
        <v>451.12356599999998</v>
      </c>
      <c r="D2700">
        <v>145.82588200000001</v>
      </c>
      <c r="E2700">
        <v>113.779999</v>
      </c>
      <c r="F2700">
        <v>1938.76001</v>
      </c>
      <c r="H2700" s="50">
        <f t="shared" si="345"/>
        <v>-9.5195186821304227E-3</v>
      </c>
      <c r="I2700" s="50">
        <f t="shared" si="346"/>
        <v>-2.8940207341066195E-2</v>
      </c>
      <c r="J2700" s="50">
        <f t="shared" si="347"/>
        <v>2.6225499361861662E-2</v>
      </c>
      <c r="K2700" s="50">
        <f t="shared" si="348"/>
        <v>-1.1897550813763745E-2</v>
      </c>
      <c r="L2700" s="50">
        <f t="shared" si="349"/>
        <v>3.3743323985339583E-3</v>
      </c>
      <c r="P2700" s="50">
        <f t="shared" si="344"/>
        <v>3.3743323985339583E-3</v>
      </c>
      <c r="Q2700" s="51">
        <f t="shared" si="350"/>
        <v>61.485636108794395</v>
      </c>
      <c r="R2700" s="51">
        <f t="shared" si="351"/>
        <v>21.525671098181935</v>
      </c>
    </row>
    <row r="2701" spans="1:18" x14ac:dyDescent="0.15">
      <c r="A2701" s="59">
        <v>44827.75</v>
      </c>
      <c r="B2701">
        <v>41.348309</v>
      </c>
      <c r="C2701">
        <v>464.56826799999999</v>
      </c>
      <c r="D2701">
        <v>142.09925799999999</v>
      </c>
      <c r="E2701">
        <v>115.150002</v>
      </c>
      <c r="F2701">
        <v>1932.23999</v>
      </c>
      <c r="H2701" s="50">
        <f t="shared" si="345"/>
        <v>2.7491729284871442E-3</v>
      </c>
      <c r="I2701" s="50">
        <f t="shared" si="346"/>
        <v>4.1813804273971474E-3</v>
      </c>
      <c r="J2701" s="50">
        <f t="shared" si="347"/>
        <v>1.6165442372599208E-3</v>
      </c>
      <c r="K2701" s="50">
        <f t="shared" si="348"/>
        <v>6.4679483797588184E-3</v>
      </c>
      <c r="L2701" s="50">
        <f t="shared" si="349"/>
        <v>4.6601013588719488E-4</v>
      </c>
      <c r="P2701" s="50">
        <f t="shared" si="344"/>
        <v>4.6601013588719488E-4</v>
      </c>
      <c r="Q2701" s="51">
        <f t="shared" si="350"/>
        <v>61.514289038432558</v>
      </c>
      <c r="R2701" s="51">
        <f t="shared" si="351"/>
        <v>21.584848890432575</v>
      </c>
    </row>
    <row r="2702" spans="1:18" x14ac:dyDescent="0.15">
      <c r="A2702" s="59">
        <v>44828.75</v>
      </c>
      <c r="B2702">
        <v>41.234946999999998</v>
      </c>
      <c r="C2702">
        <v>462.63382000000001</v>
      </c>
      <c r="D2702">
        <v>141.86991900000001</v>
      </c>
      <c r="E2702">
        <v>114.410004</v>
      </c>
      <c r="F2702">
        <v>1931.339966</v>
      </c>
      <c r="H2702" s="50">
        <f t="shared" si="345"/>
        <v>-1.6227202255835613E-2</v>
      </c>
      <c r="I2702" s="50">
        <f t="shared" si="346"/>
        <v>-2.0459135212914932E-2</v>
      </c>
      <c r="J2702" s="50">
        <f t="shared" si="347"/>
        <v>-4.7475386016745252E-2</v>
      </c>
      <c r="K2702" s="50">
        <f t="shared" si="348"/>
        <v>-3.0505871866691431E-2</v>
      </c>
      <c r="L2702" s="50">
        <f t="shared" si="349"/>
        <v>2.6342191380007252E-2</v>
      </c>
      <c r="P2702" s="50">
        <f t="shared" si="344"/>
        <v>2.6342191380007252E-2</v>
      </c>
      <c r="Q2702" s="51">
        <f t="shared" si="350"/>
        <v>63.134710212888031</v>
      </c>
      <c r="R2702" s="51">
        <f t="shared" si="351"/>
        <v>21.234587181825876</v>
      </c>
    </row>
    <row r="2703" spans="1:18" x14ac:dyDescent="0.15">
      <c r="A2703" s="59">
        <v>44831.75</v>
      </c>
      <c r="B2703">
        <v>41.915112000000001</v>
      </c>
      <c r="C2703">
        <v>472.29660000000001</v>
      </c>
      <c r="D2703">
        <v>148.94094799999999</v>
      </c>
      <c r="E2703">
        <v>118.010002</v>
      </c>
      <c r="F2703">
        <v>1881.7700199999999</v>
      </c>
      <c r="H2703" s="50">
        <f t="shared" si="345"/>
        <v>6.5028337847676063E-3</v>
      </c>
      <c r="I2703" s="50">
        <f t="shared" si="346"/>
        <v>1.9437079541907959E-2</v>
      </c>
      <c r="J2703" s="50">
        <f t="shared" si="347"/>
        <v>2.6879187984351672E-2</v>
      </c>
      <c r="K2703" s="50">
        <f t="shared" si="348"/>
        <v>2.7961663032360688E-2</v>
      </c>
      <c r="L2703" s="50">
        <f t="shared" si="349"/>
        <v>-1.2313350433713168E-3</v>
      </c>
      <c r="P2703" s="50">
        <f t="shared" si="344"/>
        <v>-1.2313350433713168E-3</v>
      </c>
      <c r="Q2703" s="51">
        <f t="shared" si="350"/>
        <v>63.056970231749808</v>
      </c>
      <c r="R2703" s="51">
        <f t="shared" si="351"/>
        <v>21.372672172757447</v>
      </c>
    </row>
    <row r="2704" spans="1:18" x14ac:dyDescent="0.15">
      <c r="A2704" s="59">
        <v>44832.75</v>
      </c>
      <c r="B2704">
        <v>41.644306</v>
      </c>
      <c r="C2704">
        <v>463.29156499999999</v>
      </c>
      <c r="D2704">
        <v>145.042328</v>
      </c>
      <c r="E2704">
        <v>114.800003</v>
      </c>
      <c r="F2704">
        <v>1884.089966</v>
      </c>
      <c r="H2704" s="50">
        <f t="shared" si="345"/>
        <v>1.9660643349621875E-2</v>
      </c>
      <c r="I2704" s="50">
        <f t="shared" si="346"/>
        <v>1.4208001508647063E-2</v>
      </c>
      <c r="J2704" s="50">
        <f t="shared" si="347"/>
        <v>2.2912476770442388E-2</v>
      </c>
      <c r="K2704" s="50">
        <f t="shared" si="348"/>
        <v>1.5929230088495609E-2</v>
      </c>
      <c r="L2704" s="50">
        <f t="shared" si="349"/>
        <v>-1.8718490053365726E-2</v>
      </c>
      <c r="P2704" s="50">
        <f t="shared" si="344"/>
        <v>-1.8718490053365726E-2</v>
      </c>
      <c r="Q2704" s="51">
        <f t="shared" si="350"/>
        <v>61.876638961671425</v>
      </c>
      <c r="R2704" s="51">
        <f t="shared" si="351"/>
        <v>21.792872657774417</v>
      </c>
    </row>
    <row r="2705" spans="1:18" x14ac:dyDescent="0.15">
      <c r="A2705" s="59">
        <v>44833.75</v>
      </c>
      <c r="B2705">
        <v>40.841338999999998</v>
      </c>
      <c r="C2705">
        <v>456.801331</v>
      </c>
      <c r="D2705">
        <v>141.793488</v>
      </c>
      <c r="E2705">
        <v>113</v>
      </c>
      <c r="F2705">
        <v>1920.030029</v>
      </c>
      <c r="H2705" s="50">
        <f t="shared" si="345"/>
        <v>-2.1353538221732669E-2</v>
      </c>
      <c r="I2705" s="50">
        <f t="shared" si="346"/>
        <v>-1.1429037294680961E-2</v>
      </c>
      <c r="J2705" s="50">
        <f t="shared" si="347"/>
        <v>-2.239925437490221E-2</v>
      </c>
      <c r="K2705" s="50">
        <f t="shared" si="348"/>
        <v>-2.4853271268206911E-2</v>
      </c>
      <c r="L2705" s="50">
        <f t="shared" si="349"/>
        <v>-1.9699956889832866E-3</v>
      </c>
      <c r="P2705" s="50">
        <f t="shared" si="344"/>
        <v>-1.9699956889832866E-3</v>
      </c>
      <c r="Q2705" s="51">
        <f t="shared" si="350"/>
        <v>61.754742249668162</v>
      </c>
      <c r="R2705" s="51">
        <f t="shared" si="351"/>
        <v>21.327517718515278</v>
      </c>
    </row>
    <row r="2706" spans="1:18" x14ac:dyDescent="0.15">
      <c r="A2706" s="59">
        <v>44834.75</v>
      </c>
      <c r="B2706">
        <v>41.732475000000001</v>
      </c>
      <c r="C2706">
        <v>462.08248900000001</v>
      </c>
      <c r="D2706">
        <v>145.042328</v>
      </c>
      <c r="E2706">
        <v>115.879997</v>
      </c>
      <c r="F2706">
        <v>1923.8199460000001</v>
      </c>
      <c r="H2706" s="50">
        <f t="shared" si="345"/>
        <v>-1.2811984835155533E-2</v>
      </c>
      <c r="I2706" s="50">
        <f t="shared" si="346"/>
        <v>-1.7279350708258825E-2</v>
      </c>
      <c r="J2706" s="50">
        <f t="shared" si="347"/>
        <v>-3.2938406626111229E-2</v>
      </c>
      <c r="K2706" s="50">
        <f t="shared" si="348"/>
        <v>-4.302584170537091E-2</v>
      </c>
      <c r="L2706" s="50">
        <f t="shared" si="349"/>
        <v>-1.4113253941711826E-2</v>
      </c>
      <c r="P2706" s="50">
        <f t="shared" si="344"/>
        <v>-1.4113253941711826E-2</v>
      </c>
      <c r="Q2706" s="51">
        <f t="shared" si="350"/>
        <v>60.883181890193633</v>
      </c>
      <c r="R2706" s="51">
        <f t="shared" si="351"/>
        <v>21.054269884934147</v>
      </c>
    </row>
    <row r="2707" spans="1:18" x14ac:dyDescent="0.15">
      <c r="A2707" s="59">
        <v>44835.75</v>
      </c>
      <c r="B2707">
        <v>42.274090000000001</v>
      </c>
      <c r="C2707">
        <v>470.20736699999998</v>
      </c>
      <c r="D2707">
        <v>149.98251300000001</v>
      </c>
      <c r="E2707">
        <v>121.089996</v>
      </c>
      <c r="F2707">
        <v>1951.3599850000001</v>
      </c>
      <c r="H2707" s="50">
        <f t="shared" si="345"/>
        <v>1.000609672155592E-2</v>
      </c>
      <c r="I2707" s="50">
        <f t="shared" si="346"/>
        <v>1.2096080628501026E-2</v>
      </c>
      <c r="J2707" s="50">
        <f t="shared" si="347"/>
        <v>3.5164506061294903E-3</v>
      </c>
      <c r="K2707" s="50">
        <f t="shared" si="348"/>
        <v>1.1574948612855533E-3</v>
      </c>
      <c r="L2707" s="50">
        <f t="shared" si="349"/>
        <v>-1.7961331179333517E-2</v>
      </c>
      <c r="P2707" s="50">
        <f t="shared" si="344"/>
        <v>-1.7961331179333517E-2</v>
      </c>
      <c r="Q2707" s="51">
        <f t="shared" si="350"/>
        <v>59.789638897012267</v>
      </c>
      <c r="R2707" s="51">
        <f t="shared" si="351"/>
        <v>21.26494094580454</v>
      </c>
    </row>
    <row r="2708" spans="1:18" x14ac:dyDescent="0.15">
      <c r="A2708" s="59">
        <v>44838.75</v>
      </c>
      <c r="B2708">
        <v>41.855282000000003</v>
      </c>
      <c r="C2708">
        <v>464.58767699999999</v>
      </c>
      <c r="D2708">
        <v>149.45695499999999</v>
      </c>
      <c r="E2708">
        <v>120.949997</v>
      </c>
      <c r="F2708">
        <v>1987.0500489999999</v>
      </c>
      <c r="H2708" s="50">
        <f t="shared" si="345"/>
        <v>9.4167785667547046E-3</v>
      </c>
      <c r="I2708" s="50">
        <f t="shared" si="346"/>
        <v>-4.4975320322825892E-3</v>
      </c>
      <c r="J2708" s="50">
        <f t="shared" si="347"/>
        <v>4.237564364802388E-3</v>
      </c>
      <c r="K2708" s="50">
        <f t="shared" si="348"/>
        <v>5.4031087596896604E-3</v>
      </c>
      <c r="L2708" s="50">
        <f t="shared" si="349"/>
        <v>3.6011580475721386E-3</v>
      </c>
      <c r="P2708" s="50">
        <f t="shared" si="344"/>
        <v>3.6011580475721386E-3</v>
      </c>
      <c r="Q2708" s="51">
        <f t="shared" si="350"/>
        <v>60.004950836287676</v>
      </c>
      <c r="R2708" s="51">
        <f t="shared" si="351"/>
        <v>21.465188185926298</v>
      </c>
    </row>
    <row r="2709" spans="1:18" x14ac:dyDescent="0.15">
      <c r="A2709" s="59">
        <v>44839.75</v>
      </c>
      <c r="B2709">
        <v>41.464816999999996</v>
      </c>
      <c r="C2709">
        <v>466.68661500000002</v>
      </c>
      <c r="D2709">
        <v>148.82629399999999</v>
      </c>
      <c r="E2709">
        <v>120.300003</v>
      </c>
      <c r="F2709">
        <v>1979.920044</v>
      </c>
      <c r="H2709" s="50">
        <f t="shared" si="345"/>
        <v>2.4268945038841815E-2</v>
      </c>
      <c r="I2709" s="50">
        <f t="shared" si="346"/>
        <v>3.0631323141505434E-2</v>
      </c>
      <c r="J2709" s="50">
        <f t="shared" si="347"/>
        <v>2.2384112935458878E-2</v>
      </c>
      <c r="K2709" s="50">
        <f t="shared" si="348"/>
        <v>5.0104793123337966E-2</v>
      </c>
      <c r="L2709" s="50">
        <f t="shared" si="349"/>
        <v>-7.9715769132388328E-3</v>
      </c>
      <c r="P2709" s="50">
        <f t="shared" si="344"/>
        <v>-7.9715769132388328E-3</v>
      </c>
      <c r="Q2709" s="51">
        <f t="shared" si="350"/>
        <v>59.526616755521097</v>
      </c>
      <c r="R2709" s="51">
        <f t="shared" si="351"/>
        <v>21.986125658258938</v>
      </c>
    </row>
    <row r="2710" spans="1:18" x14ac:dyDescent="0.15">
      <c r="A2710" s="59">
        <v>44840.75</v>
      </c>
      <c r="B2710">
        <v>40.482353000000003</v>
      </c>
      <c r="C2710">
        <v>452.81625400000001</v>
      </c>
      <c r="D2710">
        <v>145.56788599999999</v>
      </c>
      <c r="E2710">
        <v>114.55999799999999</v>
      </c>
      <c r="F2710">
        <v>1995.829956</v>
      </c>
      <c r="H2710" s="50">
        <f t="shared" si="345"/>
        <v>-5.8769443455070989E-3</v>
      </c>
      <c r="I2710" s="50">
        <f t="shared" si="346"/>
        <v>3.9457865677230385E-3</v>
      </c>
      <c r="J2710" s="50">
        <f t="shared" si="347"/>
        <v>-4.9640553510231413E-3</v>
      </c>
      <c r="K2710" s="50">
        <f t="shared" si="348"/>
        <v>7.8296825517669699E-3</v>
      </c>
      <c r="L2710" s="50">
        <f t="shared" si="349"/>
        <v>-8.741350594739801E-3</v>
      </c>
      <c r="P2710" s="50">
        <f t="shared" si="344"/>
        <v>-8.741350594739801E-3</v>
      </c>
      <c r="Q2710" s="51">
        <f t="shared" si="350"/>
        <v>59.006273728742372</v>
      </c>
      <c r="R2710" s="51">
        <f t="shared" si="351"/>
        <v>21.856914421392023</v>
      </c>
    </row>
    <row r="2711" spans="1:18" x14ac:dyDescent="0.15">
      <c r="A2711" s="59">
        <v>44841.75</v>
      </c>
      <c r="B2711">
        <v>40.721671999999998</v>
      </c>
      <c r="C2711">
        <v>451.03656000000001</v>
      </c>
      <c r="D2711">
        <v>146.29409799999999</v>
      </c>
      <c r="E2711">
        <v>113.66999800000001</v>
      </c>
      <c r="F2711">
        <v>2013.4300539999999</v>
      </c>
      <c r="H2711" s="50">
        <f t="shared" si="345"/>
        <v>-2.5250574760187241E-2</v>
      </c>
      <c r="I2711" s="50">
        <f t="shared" si="346"/>
        <v>-1.2096887461826982E-2</v>
      </c>
      <c r="J2711" s="50">
        <f t="shared" si="347"/>
        <v>-9.0616199013164329E-3</v>
      </c>
      <c r="K2711" s="50">
        <f t="shared" si="348"/>
        <v>1.3011309268437035E-2</v>
      </c>
      <c r="L2711" s="50">
        <f t="shared" si="349"/>
        <v>-7.2458595215184546E-4</v>
      </c>
      <c r="P2711" s="50">
        <f t="shared" si="344"/>
        <v>-7.2458595215184546E-4</v>
      </c>
      <c r="Q2711" s="51">
        <f t="shared" si="350"/>
        <v>58.963518611709695</v>
      </c>
      <c r="R2711" s="51">
        <f t="shared" si="351"/>
        <v>21.305014769767649</v>
      </c>
    </row>
    <row r="2712" spans="1:18" x14ac:dyDescent="0.15">
      <c r="A2712" s="59">
        <v>44842.75</v>
      </c>
      <c r="B2712">
        <v>41.776553999999997</v>
      </c>
      <c r="C2712">
        <v>456.55950899999999</v>
      </c>
      <c r="D2712">
        <v>147.63188199999999</v>
      </c>
      <c r="E2712">
        <v>112.209999</v>
      </c>
      <c r="F2712">
        <v>2014.8900149999999</v>
      </c>
      <c r="H2712" s="50">
        <f t="shared" si="345"/>
        <v>1.1435539101599709E-2</v>
      </c>
      <c r="I2712" s="50">
        <f t="shared" si="346"/>
        <v>1.209319439349598E-2</v>
      </c>
      <c r="J2712" s="50">
        <f t="shared" si="347"/>
        <v>2.2056389237126053E-3</v>
      </c>
      <c r="K2712" s="50">
        <f t="shared" si="348"/>
        <v>-6.1116296525841017E-3</v>
      </c>
      <c r="L2712" s="50">
        <f t="shared" si="349"/>
        <v>-1.2738522943108227E-3</v>
      </c>
      <c r="P2712" s="50">
        <f t="shared" si="344"/>
        <v>-1.2738522943108227E-3</v>
      </c>
      <c r="Q2712" s="51">
        <f t="shared" si="350"/>
        <v>58.888407798245524</v>
      </c>
      <c r="R2712" s="51">
        <f t="shared" si="351"/>
        <v>21.548649099227486</v>
      </c>
    </row>
    <row r="2713" spans="1:18" x14ac:dyDescent="0.15">
      <c r="A2713" s="59">
        <v>44845.75</v>
      </c>
      <c r="B2713">
        <v>41.304217999999999</v>
      </c>
      <c r="C2713">
        <v>451.104218</v>
      </c>
      <c r="D2713">
        <v>147.30697599999999</v>
      </c>
      <c r="E2713">
        <v>112.900002</v>
      </c>
      <c r="F2713">
        <v>2017.459961</v>
      </c>
      <c r="H2713" s="50">
        <f t="shared" si="345"/>
        <v>-8.3913931304770359E-3</v>
      </c>
      <c r="I2713" s="50">
        <f t="shared" si="346"/>
        <v>-3.4402771241651129E-3</v>
      </c>
      <c r="J2713" s="50">
        <f t="shared" si="347"/>
        <v>2.596477739897415E-4</v>
      </c>
      <c r="K2713" s="50">
        <f t="shared" si="348"/>
        <v>3.2880387744426884E-3</v>
      </c>
      <c r="L2713" s="50">
        <f t="shared" si="349"/>
        <v>6.8723307524953684E-3</v>
      </c>
      <c r="P2713" s="50">
        <f t="shared" si="344"/>
        <v>6.8723307524953684E-3</v>
      </c>
      <c r="Q2713" s="51">
        <f t="shared" si="350"/>
        <v>59.293108414122898</v>
      </c>
      <c r="R2713" s="51">
        <f t="shared" si="351"/>
        <v>21.36782591320517</v>
      </c>
    </row>
    <row r="2714" spans="1:18" x14ac:dyDescent="0.15">
      <c r="A2714" s="59">
        <v>44846.75</v>
      </c>
      <c r="B2714">
        <v>41.653751</v>
      </c>
      <c r="C2714">
        <v>452.66149899999999</v>
      </c>
      <c r="D2714">
        <v>147.26873800000001</v>
      </c>
      <c r="E2714">
        <v>112.529999</v>
      </c>
      <c r="F2714">
        <v>2003.6899410000001</v>
      </c>
      <c r="H2714" s="50">
        <f t="shared" si="345"/>
        <v>1.4183904678122212E-2</v>
      </c>
      <c r="I2714" s="50">
        <f t="shared" si="346"/>
        <v>2.9341282224854621E-2</v>
      </c>
      <c r="J2714" s="50">
        <f t="shared" si="347"/>
        <v>5.7862583801687323E-2</v>
      </c>
      <c r="K2714" s="50">
        <f t="shared" si="348"/>
        <v>5.2666013981926801E-2</v>
      </c>
      <c r="L2714" s="50">
        <f t="shared" si="349"/>
        <v>4.7386227572339757E-3</v>
      </c>
      <c r="P2714" s="50">
        <f t="shared" si="344"/>
        <v>4.7386227572339757E-3</v>
      </c>
      <c r="Q2714" s="51">
        <f t="shared" si="350"/>
        <v>59.574076087001195</v>
      </c>
      <c r="R2714" s="51">
        <f t="shared" si="351"/>
        <v>21.670905119136783</v>
      </c>
    </row>
    <row r="2715" spans="1:18" x14ac:dyDescent="0.15">
      <c r="A2715" s="59">
        <v>44847.75</v>
      </c>
      <c r="B2715">
        <v>41.071201000000002</v>
      </c>
      <c r="C2715">
        <v>439.75842299999999</v>
      </c>
      <c r="D2715">
        <v>139.21348599999999</v>
      </c>
      <c r="E2715">
        <v>106.900002</v>
      </c>
      <c r="F2715">
        <v>1994.23999</v>
      </c>
      <c r="H2715" s="50">
        <f t="shared" si="345"/>
        <v>-7.155475317004183E-3</v>
      </c>
      <c r="I2715" s="50">
        <f t="shared" si="346"/>
        <v>-2.0509745519741475E-2</v>
      </c>
      <c r="J2715" s="50">
        <f t="shared" si="347"/>
        <v>-2.3852627132386138E-2</v>
      </c>
      <c r="K2715" s="50">
        <f t="shared" si="348"/>
        <v>-6.0550126895596065E-2</v>
      </c>
      <c r="L2715" s="50">
        <f t="shared" si="349"/>
        <v>-1.4635397319740978E-2</v>
      </c>
      <c r="P2715" s="50">
        <f t="shared" si="344"/>
        <v>-1.4635397319740978E-2</v>
      </c>
      <c r="Q2715" s="51">
        <f t="shared" si="350"/>
        <v>58.702185813511456</v>
      </c>
      <c r="R2715" s="51">
        <f t="shared" si="351"/>
        <v>21.515839492459659</v>
      </c>
    </row>
    <row r="2716" spans="1:18" x14ac:dyDescent="0.15">
      <c r="A2716" s="59">
        <v>44848.75</v>
      </c>
      <c r="B2716">
        <v>41.367203000000003</v>
      </c>
      <c r="C2716">
        <v>448.96661399999999</v>
      </c>
      <c r="D2716">
        <v>142.61523399999999</v>
      </c>
      <c r="E2716">
        <v>113.790001</v>
      </c>
      <c r="F2716">
        <v>2023.8599850000001</v>
      </c>
      <c r="H2716" s="50">
        <f t="shared" si="345"/>
        <v>-2.0650032627082728E-2</v>
      </c>
      <c r="I2716" s="50">
        <f t="shared" si="346"/>
        <v>-1.9227992676692701E-2</v>
      </c>
      <c r="J2716" s="50">
        <f t="shared" si="347"/>
        <v>-5.0753693608062984E-2</v>
      </c>
      <c r="K2716" s="50">
        <f t="shared" si="348"/>
        <v>-2.2086627517302903E-2</v>
      </c>
      <c r="L2716" s="50">
        <f t="shared" si="349"/>
        <v>-4.5496800803917154E-3</v>
      </c>
      <c r="P2716" s="50">
        <f t="shared" si="344"/>
        <v>-4.5496800803917154E-3</v>
      </c>
      <c r="Q2716" s="51">
        <f t="shared" si="350"/>
        <v>58.435109648040267</v>
      </c>
      <c r="R2716" s="51">
        <f t="shared" si="351"/>
        <v>21.071536704941291</v>
      </c>
    </row>
    <row r="2717" spans="1:18" x14ac:dyDescent="0.15">
      <c r="A2717" s="59">
        <v>44849.75</v>
      </c>
      <c r="B2717">
        <v>42.239449</v>
      </c>
      <c r="C2717">
        <v>457.76858499999997</v>
      </c>
      <c r="D2717">
        <v>150.24049400000001</v>
      </c>
      <c r="E2717">
        <v>116.360001</v>
      </c>
      <c r="F2717">
        <v>2033.1099850000001</v>
      </c>
      <c r="H2717" s="50">
        <f t="shared" si="345"/>
        <v>2.8409449059681475E-3</v>
      </c>
      <c r="I2717" s="50">
        <f t="shared" si="346"/>
        <v>3.9031331471298131E-3</v>
      </c>
      <c r="J2717" s="50">
        <f t="shared" si="347"/>
        <v>1.1840999380970135E-2</v>
      </c>
      <c r="K2717" s="50">
        <f t="shared" si="348"/>
        <v>1.1210576171026365E-2</v>
      </c>
      <c r="L2717" s="50">
        <f t="shared" si="349"/>
        <v>-2.7047244416661653E-4</v>
      </c>
      <c r="P2717" s="50">
        <f t="shared" si="344"/>
        <v>-2.7047244416661653E-4</v>
      </c>
      <c r="Q2717" s="51">
        <f t="shared" si="350"/>
        <v>58.419304561108618</v>
      </c>
      <c r="R2717" s="51">
        <f t="shared" si="351"/>
        <v>21.131399779804113</v>
      </c>
    </row>
    <row r="2718" spans="1:18" x14ac:dyDescent="0.15">
      <c r="A2718" s="59">
        <v>44852.75</v>
      </c>
      <c r="B2718">
        <v>42.119788999999997</v>
      </c>
      <c r="C2718">
        <v>455.98880000000003</v>
      </c>
      <c r="D2718">
        <v>148.482315</v>
      </c>
      <c r="E2718">
        <v>115.07</v>
      </c>
      <c r="F2718">
        <v>2033.660034</v>
      </c>
      <c r="H2718" s="50">
        <f t="shared" si="345"/>
        <v>-2.4610819917391244E-3</v>
      </c>
      <c r="I2718" s="50">
        <f t="shared" si="346"/>
        <v>1.465706799459234E-2</v>
      </c>
      <c r="J2718" s="50">
        <f t="shared" si="347"/>
        <v>6.4119738492046966E-3</v>
      </c>
      <c r="K2718" s="50">
        <f t="shared" si="348"/>
        <v>-1.5618221258135083E-3</v>
      </c>
      <c r="L2718" s="50">
        <f t="shared" si="349"/>
        <v>1.4231124014722576E-3</v>
      </c>
      <c r="P2718" s="50">
        <f t="shared" si="344"/>
        <v>1.4231124014722576E-3</v>
      </c>
      <c r="Q2718" s="51">
        <f t="shared" si="350"/>
        <v>58.502441797914919</v>
      </c>
      <c r="R2718" s="51">
        <f t="shared" si="351"/>
        <v>21.079393672345798</v>
      </c>
    </row>
    <row r="2719" spans="1:18" x14ac:dyDescent="0.15">
      <c r="A2719" s="59">
        <v>44853.75</v>
      </c>
      <c r="B2719">
        <v>42.223705000000002</v>
      </c>
      <c r="C2719">
        <v>449.40188599999999</v>
      </c>
      <c r="D2719">
        <v>147.536316</v>
      </c>
      <c r="E2719">
        <v>115.25</v>
      </c>
      <c r="F2719">
        <v>2030.7700199999999</v>
      </c>
      <c r="H2719" s="50">
        <f t="shared" si="345"/>
        <v>-1.9809986572667946E-2</v>
      </c>
      <c r="I2719" s="50">
        <f t="shared" si="346"/>
        <v>-2.8357559657044212E-2</v>
      </c>
      <c r="J2719" s="50">
        <f t="shared" si="347"/>
        <v>-3.0089773895159082E-2</v>
      </c>
      <c r="K2719" s="50">
        <f t="shared" si="348"/>
        <v>-3.4109956419711644E-2</v>
      </c>
      <c r="L2719" s="50">
        <f t="shared" si="349"/>
        <v>5.8595497368486805E-3</v>
      </c>
      <c r="P2719" s="50">
        <f t="shared" si="344"/>
        <v>5.8595497368486805E-3</v>
      </c>
      <c r="Q2719" s="51">
        <f t="shared" si="350"/>
        <v>58.845239765356901</v>
      </c>
      <c r="R2719" s="51">
        <f t="shared" si="351"/>
        <v>20.661811166736644</v>
      </c>
    </row>
    <row r="2720" spans="1:18" x14ac:dyDescent="0.15">
      <c r="A2720" s="59">
        <v>44854.75</v>
      </c>
      <c r="B2720">
        <v>43.077061</v>
      </c>
      <c r="C2720">
        <v>462.51776100000001</v>
      </c>
      <c r="D2720">
        <v>152.113373</v>
      </c>
      <c r="E2720">
        <v>119.32</v>
      </c>
      <c r="F2720">
        <v>2018.9399410000001</v>
      </c>
      <c r="H2720" s="50">
        <f t="shared" si="345"/>
        <v>-1.8721756427480765E-2</v>
      </c>
      <c r="I2720" s="50">
        <f t="shared" si="346"/>
        <v>-3.7809195266747288E-2</v>
      </c>
      <c r="J2720" s="50">
        <f t="shared" si="347"/>
        <v>-1.6252664121888839E-2</v>
      </c>
      <c r="K2720" s="50">
        <f t="shared" si="348"/>
        <v>-4.1729260557502919E-3</v>
      </c>
      <c r="L2720" s="50">
        <f t="shared" si="349"/>
        <v>-1.6355617676134929E-2</v>
      </c>
      <c r="P2720" s="50">
        <f t="shared" si="344"/>
        <v>-1.6355617676134929E-2</v>
      </c>
      <c r="Q2720" s="51">
        <f t="shared" si="350"/>
        <v>57.882789521694235</v>
      </c>
      <c r="R2720" s="51">
        <f t="shared" si="351"/>
        <v>20.274985770722399</v>
      </c>
    </row>
    <row r="2721" spans="1:18" x14ac:dyDescent="0.15">
      <c r="A2721" s="59">
        <v>44855.75</v>
      </c>
      <c r="B2721">
        <v>43.898926000000003</v>
      </c>
      <c r="C2721">
        <v>480.69235200000003</v>
      </c>
      <c r="D2721">
        <v>154.626465</v>
      </c>
      <c r="E2721">
        <v>119.82</v>
      </c>
      <c r="F2721">
        <v>2052.51001</v>
      </c>
      <c r="H2721" s="50">
        <f t="shared" si="345"/>
        <v>-4.7118411580992737E-3</v>
      </c>
      <c r="I2721" s="50">
        <f t="shared" si="346"/>
        <v>-4.1877502674529388E-3</v>
      </c>
      <c r="J2721" s="50">
        <f t="shared" si="347"/>
        <v>-2.4004804407208487E-2</v>
      </c>
      <c r="K2721" s="50">
        <f t="shared" si="348"/>
        <v>-6.4676452150522106E-3</v>
      </c>
      <c r="L2721" s="50">
        <f t="shared" si="349"/>
        <v>-1.0910003165641257E-2</v>
      </c>
      <c r="P2721" s="50">
        <f t="shared" si="344"/>
        <v>-1.0910003165641257E-2</v>
      </c>
      <c r="Q2721" s="51">
        <f t="shared" si="350"/>
        <v>57.2512881047764</v>
      </c>
      <c r="R2721" s="51">
        <f t="shared" si="351"/>
        <v>20.179453258288031</v>
      </c>
    </row>
    <row r="2722" spans="1:18" x14ac:dyDescent="0.15">
      <c r="A2722" s="59">
        <v>44856.75</v>
      </c>
      <c r="B2722">
        <v>44.106749999999998</v>
      </c>
      <c r="C2722">
        <v>482.71383700000001</v>
      </c>
      <c r="D2722">
        <v>158.42953499999999</v>
      </c>
      <c r="E2722">
        <v>120.599998</v>
      </c>
      <c r="F2722">
        <v>2075.1499020000001</v>
      </c>
      <c r="H2722" s="50">
        <f t="shared" si="345"/>
        <v>-7.5812117028004212E-3</v>
      </c>
      <c r="I2722" s="50">
        <f t="shared" si="346"/>
        <v>-7.8086105935506361E-4</v>
      </c>
      <c r="J2722" s="50">
        <f t="shared" si="347"/>
        <v>-5.8163023261068938E-3</v>
      </c>
      <c r="K2722" s="50">
        <f t="shared" si="348"/>
        <v>4.2711342116156237E-2</v>
      </c>
      <c r="L2722" s="50">
        <f t="shared" si="349"/>
        <v>1.9167673163801701E-3</v>
      </c>
      <c r="P2722" s="50">
        <f t="shared" si="344"/>
        <v>1.9167673163801701E-3</v>
      </c>
      <c r="Q2722" s="51">
        <f t="shared" si="350"/>
        <v>57.361025502636302</v>
      </c>
      <c r="R2722" s="51">
        <f t="shared" si="351"/>
        <v>20.026468551090183</v>
      </c>
    </row>
    <row r="2723" spans="1:18" x14ac:dyDescent="0.15">
      <c r="A2723" s="59">
        <v>44859.75</v>
      </c>
      <c r="B2723">
        <v>44.443686999999997</v>
      </c>
      <c r="C2723">
        <v>483.09106400000002</v>
      </c>
      <c r="D2723">
        <v>159.35640000000001</v>
      </c>
      <c r="E2723">
        <v>115.660004</v>
      </c>
      <c r="F2723">
        <v>2071.179932</v>
      </c>
      <c r="H2723" s="50">
        <f t="shared" si="345"/>
        <v>2.9134430003271636E-3</v>
      </c>
      <c r="I2723" s="50">
        <f t="shared" si="346"/>
        <v>4.0479865086044276E-3</v>
      </c>
      <c r="J2723" s="50">
        <f t="shared" si="347"/>
        <v>-7.7890968332764191E-4</v>
      </c>
      <c r="K2723" s="50">
        <f t="shared" si="348"/>
        <v>4.2357651787650115E-2</v>
      </c>
      <c r="L2723" s="50">
        <f t="shared" si="349"/>
        <v>2.5606587349715926E-3</v>
      </c>
      <c r="P2723" s="50">
        <f t="shared" si="344"/>
        <v>2.5606587349715926E-3</v>
      </c>
      <c r="Q2723" s="51">
        <f t="shared" si="350"/>
        <v>57.507907513636553</v>
      </c>
      <c r="R2723" s="51">
        <f t="shared" si="351"/>
        <v>20.084814525711629</v>
      </c>
    </row>
    <row r="2724" spans="1:18" x14ac:dyDescent="0.15">
      <c r="A2724" s="59">
        <v>44860.75</v>
      </c>
      <c r="B2724">
        <v>44.314579000000002</v>
      </c>
      <c r="C2724">
        <v>481.14340199999998</v>
      </c>
      <c r="D2724">
        <v>159.48062100000001</v>
      </c>
      <c r="E2724">
        <v>110.959999</v>
      </c>
      <c r="F2724">
        <v>2065.889893</v>
      </c>
      <c r="H2724" s="50">
        <f t="shared" si="345"/>
        <v>-1.2490338736747526E-2</v>
      </c>
      <c r="I2724" s="50">
        <f t="shared" si="346"/>
        <v>-2.8050173855149459E-2</v>
      </c>
      <c r="J2724" s="50">
        <f t="shared" si="347"/>
        <v>-3.701140892689908E-3</v>
      </c>
      <c r="K2724" s="50">
        <f t="shared" si="348"/>
        <v>7.301029598645016E-2</v>
      </c>
      <c r="L2724" s="50">
        <f t="shared" si="349"/>
        <v>-1.1701487240535848E-2</v>
      </c>
      <c r="P2724" s="50">
        <f t="shared" si="344"/>
        <v>-1.1701487240535848E-2</v>
      </c>
      <c r="Q2724" s="51">
        <f t="shared" si="350"/>
        <v>56.834979467635819</v>
      </c>
      <c r="R2724" s="51">
        <f t="shared" si="351"/>
        <v>19.833948388820744</v>
      </c>
    </row>
    <row r="2725" spans="1:18" x14ac:dyDescent="0.15">
      <c r="A2725" s="59">
        <v>44861.75</v>
      </c>
      <c r="B2725">
        <v>44.875084000000001</v>
      </c>
      <c r="C2725">
        <v>495.02905299999998</v>
      </c>
      <c r="D2725">
        <v>160.07307399999999</v>
      </c>
      <c r="E2725">
        <v>103.410004</v>
      </c>
      <c r="F2725">
        <v>2090.3500979999999</v>
      </c>
      <c r="H2725" s="50">
        <f t="shared" si="345"/>
        <v>1.2647260664207897E-3</v>
      </c>
      <c r="I2725" s="50">
        <f t="shared" si="346"/>
        <v>1.8683971095478893E-2</v>
      </c>
      <c r="J2725" s="50">
        <f t="shared" si="347"/>
        <v>1.9908659048100952E-2</v>
      </c>
      <c r="K2725" s="50">
        <f t="shared" si="348"/>
        <v>9.4689767772553717E-3</v>
      </c>
      <c r="L2725" s="50">
        <f t="shared" si="349"/>
        <v>4.4997680665727227E-4</v>
      </c>
      <c r="P2725" s="50">
        <f t="shared" si="344"/>
        <v>4.4997680665727227E-4</v>
      </c>
      <c r="Q2725" s="51">
        <f t="shared" si="350"/>
        <v>56.860553890203093</v>
      </c>
      <c r="R2725" s="51">
        <f t="shared" si="351"/>
        <v>19.859032900348129</v>
      </c>
    </row>
    <row r="2726" spans="1:18" x14ac:dyDescent="0.15">
      <c r="A2726" s="59">
        <v>44862.75</v>
      </c>
      <c r="B2726">
        <v>44.818401000000001</v>
      </c>
      <c r="C2726">
        <v>485.94958500000001</v>
      </c>
      <c r="D2726">
        <v>156.948441</v>
      </c>
      <c r="E2726">
        <v>102.44000200000001</v>
      </c>
      <c r="F2726">
        <v>2089.4099120000001</v>
      </c>
      <c r="H2726" s="50">
        <f t="shared" si="345"/>
        <v>4.5169012412367105E-3</v>
      </c>
      <c r="I2726" s="50">
        <f t="shared" si="346"/>
        <v>3.0802485360651353E-3</v>
      </c>
      <c r="J2726" s="50">
        <f t="shared" si="347"/>
        <v>-2.0655699346297405E-3</v>
      </c>
      <c r="K2726" s="50">
        <f t="shared" si="348"/>
        <v>5.8373808674720473E-2</v>
      </c>
      <c r="L2726" s="50">
        <f t="shared" si="349"/>
        <v>4.8331238856455109E-3</v>
      </c>
      <c r="P2726" s="50">
        <f t="shared" si="344"/>
        <v>4.8331238856455109E-3</v>
      </c>
      <c r="Q2726" s="51">
        <f t="shared" si="350"/>
        <v>57.135367991360873</v>
      </c>
      <c r="R2726" s="51">
        <f t="shared" si="351"/>
        <v>19.948734190705473</v>
      </c>
    </row>
    <row r="2727" spans="1:18" x14ac:dyDescent="0.15">
      <c r="A2727" s="59">
        <v>44863.75</v>
      </c>
      <c r="B2727">
        <v>44.616871000000003</v>
      </c>
      <c r="C2727">
        <v>484.457336</v>
      </c>
      <c r="D2727">
        <v>157.27330000000001</v>
      </c>
      <c r="E2727">
        <v>96.790001000000004</v>
      </c>
      <c r="F2727">
        <v>2079.360107</v>
      </c>
      <c r="H2727" s="50">
        <f t="shared" si="345"/>
        <v>6.6785236834122023E-3</v>
      </c>
      <c r="I2727" s="50">
        <f t="shared" si="346"/>
        <v>3.4022021627003469E-2</v>
      </c>
      <c r="J2727" s="50">
        <f t="shared" si="347"/>
        <v>2.7403094867497972E-2</v>
      </c>
      <c r="K2727" s="50">
        <f t="shared" si="348"/>
        <v>5.0694722621752487E-2</v>
      </c>
      <c r="L2727" s="50">
        <f t="shared" si="349"/>
        <v>-1.1734484173384782E-2</v>
      </c>
      <c r="P2727" s="50">
        <f t="shared" si="344"/>
        <v>-1.1734484173384782E-2</v>
      </c>
      <c r="Q2727" s="51">
        <f t="shared" si="350"/>
        <v>56.464913919925735</v>
      </c>
      <c r="R2727" s="51">
        <f t="shared" si="351"/>
        <v>20.081962284452192</v>
      </c>
    </row>
    <row r="2728" spans="1:18" x14ac:dyDescent="0.15">
      <c r="A2728" s="59">
        <v>44866.75</v>
      </c>
      <c r="B2728">
        <v>44.320872999999999</v>
      </c>
      <c r="C2728">
        <v>468.517426</v>
      </c>
      <c r="D2728">
        <v>153.07847599999999</v>
      </c>
      <c r="E2728">
        <v>92.120002999999997</v>
      </c>
      <c r="F2728">
        <v>2104.0500489999999</v>
      </c>
      <c r="H2728" s="50">
        <f t="shared" si="345"/>
        <v>2.1315043153200753E-4</v>
      </c>
      <c r="I2728" s="50">
        <f t="shared" si="346"/>
        <v>-5.7168560141811486E-3</v>
      </c>
      <c r="J2728" s="50">
        <f t="shared" si="347"/>
        <v>2.5032246536673803E-3</v>
      </c>
      <c r="K2728" s="50">
        <f t="shared" si="348"/>
        <v>3.1578946307538124E-2</v>
      </c>
      <c r="L2728" s="50">
        <f t="shared" si="349"/>
        <v>-2.7206451324041131E-3</v>
      </c>
      <c r="P2728" s="50">
        <f t="shared" si="344"/>
        <v>-2.7206451324041131E-3</v>
      </c>
      <c r="Q2728" s="51">
        <f t="shared" si="350"/>
        <v>56.311292926717869</v>
      </c>
      <c r="R2728" s="51">
        <f t="shared" si="351"/>
        <v>20.086242763379133</v>
      </c>
    </row>
    <row r="2729" spans="1:18" x14ac:dyDescent="0.15">
      <c r="A2729" s="59">
        <v>44867.75</v>
      </c>
      <c r="B2729">
        <v>44.311427999999999</v>
      </c>
      <c r="C2729">
        <v>471.21127300000001</v>
      </c>
      <c r="D2729">
        <v>152.69624300000001</v>
      </c>
      <c r="E2729">
        <v>89.300003000000004</v>
      </c>
      <c r="F2729">
        <v>2109.790039</v>
      </c>
      <c r="H2729" s="50">
        <f t="shared" si="345"/>
        <v>-1.7734564188922157E-3</v>
      </c>
      <c r="I2729" s="50">
        <f t="shared" si="346"/>
        <v>-2.465610513814661E-4</v>
      </c>
      <c r="J2729" s="50">
        <f t="shared" si="347"/>
        <v>1.0648786443173783E-3</v>
      </c>
      <c r="K2729" s="50">
        <f t="shared" si="348"/>
        <v>-1.8465596225579292E-2</v>
      </c>
      <c r="L2729" s="50">
        <f t="shared" si="349"/>
        <v>3.5579813586384353E-3</v>
      </c>
      <c r="P2729" s="50">
        <f t="shared" si="344"/>
        <v>3.5579813586384353E-3</v>
      </c>
      <c r="Q2729" s="51">
        <f t="shared" si="350"/>
        <v>56.511647457231959</v>
      </c>
      <c r="R2729" s="51">
        <f t="shared" si="351"/>
        <v>20.050620687218991</v>
      </c>
    </row>
    <row r="2730" spans="1:18" x14ac:dyDescent="0.15">
      <c r="A2730" s="59">
        <v>44868.75</v>
      </c>
      <c r="B2730">
        <v>44.390152</v>
      </c>
      <c r="C2730">
        <v>471.32748400000003</v>
      </c>
      <c r="D2730">
        <v>152.53381300000001</v>
      </c>
      <c r="E2730">
        <v>90.980002999999996</v>
      </c>
      <c r="F2730">
        <v>2102.3100589999999</v>
      </c>
      <c r="H2730" s="50">
        <f t="shared" si="345"/>
        <v>-1.0389602861946089E-2</v>
      </c>
      <c r="I2730" s="50">
        <f t="shared" si="346"/>
        <v>-4.3803001286922541E-3</v>
      </c>
      <c r="J2730" s="50">
        <f t="shared" si="347"/>
        <v>-1.5011802127289941E-3</v>
      </c>
      <c r="K2730" s="50">
        <f t="shared" si="348"/>
        <v>4.9707721746466904E-3</v>
      </c>
      <c r="L2730" s="50">
        <f t="shared" si="349"/>
        <v>1.1334316272796012E-3</v>
      </c>
      <c r="P2730" s="50">
        <f t="shared" si="344"/>
        <v>1.1334316272796012E-3</v>
      </c>
      <c r="Q2730" s="51">
        <f t="shared" si="350"/>
        <v>56.575699545769659</v>
      </c>
      <c r="R2730" s="51">
        <f t="shared" si="351"/>
        <v>19.842302701143264</v>
      </c>
    </row>
    <row r="2731" spans="1:18" x14ac:dyDescent="0.15">
      <c r="A2731" s="59">
        <v>44869.75</v>
      </c>
      <c r="B2731">
        <v>44.856189999999998</v>
      </c>
      <c r="C2731">
        <v>473.40112299999998</v>
      </c>
      <c r="D2731">
        <v>152.763138</v>
      </c>
      <c r="E2731">
        <v>90.529999000000004</v>
      </c>
      <c r="F2731">
        <v>2099.929932</v>
      </c>
      <c r="H2731" s="50">
        <f t="shared" si="345"/>
        <v>-2.3811222021681501E-3</v>
      </c>
      <c r="I2731" s="50">
        <f t="shared" si="346"/>
        <v>-8.5437357599316942E-3</v>
      </c>
      <c r="J2731" s="50">
        <f t="shared" si="347"/>
        <v>-1.0827903137642434E-2</v>
      </c>
      <c r="K2731" s="50">
        <f t="shared" si="348"/>
        <v>6.1124247795369298E-3</v>
      </c>
      <c r="L2731" s="50">
        <f t="shared" si="349"/>
        <v>3.4774248144023155E-4</v>
      </c>
      <c r="P2731" s="50">
        <f t="shared" si="344"/>
        <v>3.4774248144023155E-4</v>
      </c>
      <c r="Q2731" s="51">
        <f t="shared" si="350"/>
        <v>56.59537331991892</v>
      </c>
      <c r="R2731" s="51">
        <f t="shared" si="351"/>
        <v>19.795055753639431</v>
      </c>
    </row>
    <row r="2732" spans="1:18" x14ac:dyDescent="0.15">
      <c r="A2732" s="59">
        <v>44870.75</v>
      </c>
      <c r="B2732">
        <v>44.963253000000002</v>
      </c>
      <c r="C2732">
        <v>477.480591</v>
      </c>
      <c r="D2732">
        <v>154.435349</v>
      </c>
      <c r="E2732">
        <v>89.980002999999996</v>
      </c>
      <c r="F2732">
        <v>2099.1999510000001</v>
      </c>
      <c r="H2732" s="50">
        <f t="shared" si="345"/>
        <v>2.3804394098285754E-2</v>
      </c>
      <c r="I2732" s="50">
        <f t="shared" si="346"/>
        <v>5.6941028804037728E-3</v>
      </c>
      <c r="J2732" s="50">
        <f t="shared" si="347"/>
        <v>5.6408964615527218E-2</v>
      </c>
      <c r="K2732" s="50">
        <f t="shared" si="348"/>
        <v>4.457863994170691E-2</v>
      </c>
      <c r="L2732" s="50">
        <f t="shared" si="349"/>
        <v>9.9201725342429169E-3</v>
      </c>
      <c r="P2732" s="50">
        <f t="shared" si="344"/>
        <v>9.9201725342429169E-3</v>
      </c>
      <c r="Q2732" s="51">
        <f t="shared" si="350"/>
        <v>57.156809187892399</v>
      </c>
      <c r="R2732" s="51">
        <f t="shared" si="351"/>
        <v>20.266265061996602</v>
      </c>
    </row>
    <row r="2733" spans="1:18" x14ac:dyDescent="0.15">
      <c r="A2733" s="59">
        <v>44873.75</v>
      </c>
      <c r="B2733">
        <v>43.917816000000002</v>
      </c>
      <c r="C2733">
        <v>474.77716099999998</v>
      </c>
      <c r="D2733">
        <v>146.18897999999999</v>
      </c>
      <c r="E2733">
        <v>86.139999000000003</v>
      </c>
      <c r="F2733">
        <v>2078.580078</v>
      </c>
      <c r="H2733" s="50">
        <f t="shared" si="345"/>
        <v>-2.0300726418891257E-2</v>
      </c>
      <c r="I2733" s="50">
        <f t="shared" si="346"/>
        <v>-4.5134588629994934E-2</v>
      </c>
      <c r="J2733" s="50">
        <f t="shared" si="347"/>
        <v>-6.9290746469936451E-2</v>
      </c>
      <c r="K2733" s="50">
        <f t="shared" si="348"/>
        <v>-0.10855840138337167</v>
      </c>
      <c r="L2733" s="50">
        <f t="shared" si="349"/>
        <v>-1.5083167014493849E-3</v>
      </c>
      <c r="P2733" s="50">
        <f t="shared" si="344"/>
        <v>-1.5083167014493849E-3</v>
      </c>
      <c r="Q2733" s="51">
        <f t="shared" si="350"/>
        <v>57.070598617992751</v>
      </c>
      <c r="R2733" s="51">
        <f t="shared" si="351"/>
        <v>19.854845159440274</v>
      </c>
    </row>
    <row r="2734" spans="1:18" x14ac:dyDescent="0.15">
      <c r="A2734" s="59">
        <v>44874.75</v>
      </c>
      <c r="B2734">
        <v>44.827854000000002</v>
      </c>
      <c r="C2734">
        <v>497.21893299999999</v>
      </c>
      <c r="D2734">
        <v>157.07266200000001</v>
      </c>
      <c r="E2734">
        <v>96.629997000000003</v>
      </c>
      <c r="F2734">
        <v>2081.719971</v>
      </c>
      <c r="H2734" s="50">
        <f t="shared" si="345"/>
        <v>-1.5428827569694166E-3</v>
      </c>
      <c r="I2734" s="50">
        <f t="shared" si="346"/>
        <v>-4.5395153624205389E-3</v>
      </c>
      <c r="J2734" s="50">
        <f t="shared" si="347"/>
        <v>-5.1580926273395687E-2</v>
      </c>
      <c r="K2734" s="50">
        <f t="shared" si="348"/>
        <v>-4.1273975183312085E-2</v>
      </c>
      <c r="L2734" s="50">
        <f t="shared" si="349"/>
        <v>3.238540240963849E-3</v>
      </c>
      <c r="P2734" s="50">
        <f t="shared" si="344"/>
        <v>3.238540240963849E-3</v>
      </c>
      <c r="Q2734" s="51">
        <f t="shared" si="350"/>
        <v>57.255424048193014</v>
      </c>
      <c r="R2734" s="51">
        <f t="shared" si="351"/>
        <v>19.824211461201475</v>
      </c>
    </row>
    <row r="2735" spans="1:18" x14ac:dyDescent="0.15">
      <c r="A2735" s="59">
        <v>44875.75</v>
      </c>
      <c r="B2735">
        <v>44.897125000000003</v>
      </c>
      <c r="C2735">
        <v>499.48635899999999</v>
      </c>
      <c r="D2735">
        <v>165.61525</v>
      </c>
      <c r="E2735">
        <v>100.790001</v>
      </c>
      <c r="F2735">
        <v>2075</v>
      </c>
      <c r="H2735" s="50">
        <f t="shared" si="345"/>
        <v>3.027667614490117E-2</v>
      </c>
      <c r="I2735" s="50">
        <f t="shared" si="346"/>
        <v>1.1360025500818256E-2</v>
      </c>
      <c r="J2735" s="50">
        <f t="shared" si="347"/>
        <v>3.4636219458852565E-4</v>
      </c>
      <c r="K2735" s="50">
        <f t="shared" si="348"/>
        <v>2.3352655566101277E-2</v>
      </c>
      <c r="L2735" s="50">
        <f t="shared" si="349"/>
        <v>1.4188883224816408E-2</v>
      </c>
      <c r="P2735" s="50">
        <f t="shared" si="344"/>
        <v>1.4188883224816408E-2</v>
      </c>
      <c r="Q2735" s="51">
        <f t="shared" si="350"/>
        <v>58.067814574000174</v>
      </c>
      <c r="R2735" s="51">
        <f t="shared" si="351"/>
        <v>20.424422691440309</v>
      </c>
    </row>
    <row r="2736" spans="1:18" x14ac:dyDescent="0.15">
      <c r="A2736" s="59">
        <v>44876.75</v>
      </c>
      <c r="B2736">
        <v>43.577736000000002</v>
      </c>
      <c r="C2736">
        <v>493.87591600000002</v>
      </c>
      <c r="D2736">
        <v>165.557907</v>
      </c>
      <c r="E2736">
        <v>98.489998</v>
      </c>
      <c r="F2736">
        <v>2045.969971</v>
      </c>
      <c r="H2736" s="50">
        <f t="shared" si="345"/>
        <v>-6.1380989224877863E-2</v>
      </c>
      <c r="I2736" s="50">
        <f t="shared" si="346"/>
        <v>-3.1891714385503769E-2</v>
      </c>
      <c r="J2736" s="50">
        <f t="shared" si="347"/>
        <v>-3.7993060574343852E-2</v>
      </c>
      <c r="K2736" s="50">
        <f t="shared" si="348"/>
        <v>-4.5482513735951502E-3</v>
      </c>
      <c r="L2736" s="50">
        <f t="shared" si="349"/>
        <v>-1.8719438369304564E-2</v>
      </c>
      <c r="P2736" s="50">
        <f t="shared" si="344"/>
        <v>-1.8719438369304564E-2</v>
      </c>
      <c r="Q2736" s="51">
        <f t="shared" si="350"/>
        <v>56.980817697841971</v>
      </c>
      <c r="R2736" s="51">
        <f t="shared" si="351"/>
        <v>19.17075142229266</v>
      </c>
    </row>
    <row r="2737" spans="1:16" x14ac:dyDescent="0.15">
      <c r="A2737" s="59">
        <v>44880</v>
      </c>
      <c r="B2737">
        <v>46.427501999999997</v>
      </c>
      <c r="C2737">
        <v>510.14532500000001</v>
      </c>
      <c r="D2737">
        <v>172.09637499999999</v>
      </c>
      <c r="E2737">
        <v>98.940002000000007</v>
      </c>
      <c r="F2737">
        <v>2085</v>
      </c>
      <c r="H2737"/>
      <c r="I2737"/>
      <c r="J2737"/>
      <c r="K2737"/>
      <c r="L2737"/>
      <c r="M2737"/>
      <c r="N2737"/>
      <c r="O2737"/>
      <c r="P2737"/>
    </row>
    <row r="2738" spans="1:16" x14ac:dyDescent="0.15">
      <c r="A2738" s="59">
        <v>2556.75</v>
      </c>
      <c r="F2738" s="53"/>
      <c r="G2738" s="54"/>
      <c r="H2738" s="55" t="s">
        <v>187</v>
      </c>
      <c r="I2738" s="56"/>
      <c r="J2738" s="56"/>
      <c r="K2738" s="56"/>
      <c r="L2738" s="56"/>
      <c r="M2738" s="56"/>
      <c r="N2738" s="56"/>
      <c r="O2738" s="56"/>
      <c r="P2738" s="5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standardized</vt:lpstr>
      <vt:lpstr>common size IS</vt:lpstr>
      <vt:lpstr>Balance sheet</vt:lpstr>
      <vt:lpstr>common size balance sheet </vt:lpstr>
      <vt:lpstr>financial ratios</vt:lpstr>
      <vt:lpstr>Compare with another </vt:lpstr>
      <vt:lpstr>projected IS </vt:lpstr>
      <vt:lpstr>relative value </vt:lpstr>
      <vt:lpstr>Stock Price 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Hemanth Kumar Kottapalli</cp:lastModifiedBy>
  <dcterms:created xsi:type="dcterms:W3CDTF">2024-01-14T15:54:35Z</dcterms:created>
  <dcterms:modified xsi:type="dcterms:W3CDTF">2024-10-12T20:02:57Z</dcterms:modified>
  <cp:category/>
</cp:coreProperties>
</file>