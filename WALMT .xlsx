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n\OneDrive\Desktop\"/>
    </mc:Choice>
  </mc:AlternateContent>
  <xr:revisionPtr revIDLastSave="0" documentId="13_ncr:1_{F2B579C6-EC72-41FD-80E6-7BE3F28C7A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andardized" sheetId="1" r:id="rId1"/>
    <sheet name="common size IS" sheetId="2" r:id="rId2"/>
    <sheet name="Balance sheet" sheetId="3" r:id="rId3"/>
    <sheet name="common size balance sheet " sheetId="4" r:id="rId4"/>
    <sheet name="financial ratios" sheetId="5" r:id="rId5"/>
    <sheet name="Sheet1" sheetId="6" r:id="rId6"/>
  </sheets>
  <externalReferences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/>
  <c r="E18" i="5"/>
  <c r="F18" i="5"/>
  <c r="G18" i="5"/>
  <c r="H18" i="5"/>
  <c r="I18" i="5"/>
  <c r="J18" i="5"/>
  <c r="K18" i="5"/>
  <c r="L18" i="5"/>
  <c r="C18" i="5"/>
  <c r="D15" i="5"/>
  <c r="E15" i="5"/>
  <c r="F15" i="5"/>
  <c r="G15" i="5"/>
  <c r="H15" i="5"/>
  <c r="I15" i="5"/>
  <c r="J15" i="5"/>
  <c r="K15" i="5"/>
  <c r="L15" i="5"/>
  <c r="D14" i="5"/>
  <c r="E14" i="5"/>
  <c r="F14" i="5"/>
  <c r="G14" i="5"/>
  <c r="H14" i="5"/>
  <c r="I14" i="5"/>
  <c r="J14" i="5"/>
  <c r="K14" i="5"/>
  <c r="L14" i="5"/>
  <c r="D13" i="5"/>
  <c r="E13" i="5"/>
  <c r="F13" i="5"/>
  <c r="G13" i="5"/>
  <c r="H13" i="5"/>
  <c r="I13" i="5"/>
  <c r="J13" i="5"/>
  <c r="K13" i="5"/>
  <c r="L13" i="5"/>
  <c r="C15" i="5"/>
  <c r="C14" i="5"/>
  <c r="C13" i="5"/>
  <c r="D17" i="5" l="1"/>
  <c r="E17" i="5"/>
  <c r="F17" i="5"/>
  <c r="G17" i="5"/>
  <c r="H17" i="5"/>
  <c r="I17" i="5"/>
  <c r="J17" i="5"/>
  <c r="K17" i="5"/>
  <c r="L17" i="5"/>
  <c r="C17" i="5"/>
  <c r="K48" i="1"/>
  <c r="J48" i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C6" i="5"/>
  <c r="C9" i="1"/>
  <c r="D9" i="1"/>
  <c r="E9" i="1"/>
  <c r="F9" i="1"/>
  <c r="G9" i="1"/>
  <c r="H9" i="1"/>
  <c r="I9" i="1"/>
  <c r="J9" i="1"/>
  <c r="K9" i="1"/>
  <c r="L9" i="1" l="1"/>
  <c r="C15" i="6"/>
  <c r="D15" i="6"/>
  <c r="E15" i="6"/>
  <c r="F15" i="6"/>
  <c r="G15" i="6"/>
  <c r="H15" i="6"/>
  <c r="I15" i="6"/>
  <c r="J15" i="6"/>
  <c r="B15" i="6"/>
  <c r="C14" i="6"/>
  <c r="D14" i="6"/>
  <c r="E14" i="6"/>
  <c r="F14" i="6"/>
  <c r="G14" i="6"/>
  <c r="H14" i="6"/>
  <c r="I14" i="6"/>
  <c r="J14" i="6"/>
  <c r="B14" i="6"/>
  <c r="D10" i="6"/>
  <c r="E10" i="6"/>
  <c r="F10" i="6"/>
  <c r="F5" i="6" s="1"/>
  <c r="G10" i="6"/>
  <c r="G5" i="6" s="1"/>
  <c r="H10" i="6"/>
  <c r="H5" i="6" s="1"/>
  <c r="I10" i="6"/>
  <c r="I5" i="6" s="1"/>
  <c r="J10" i="6"/>
  <c r="J5" i="6" s="1"/>
  <c r="K10" i="6"/>
  <c r="K5" i="6" s="1"/>
  <c r="L10" i="6"/>
  <c r="M10" i="6"/>
  <c r="D11" i="6"/>
  <c r="E6" i="6" s="1"/>
  <c r="E11" i="6"/>
  <c r="F11" i="6"/>
  <c r="G6" i="6" s="1"/>
  <c r="G11" i="6"/>
  <c r="H6" i="6" s="1"/>
  <c r="H11" i="6"/>
  <c r="I6" i="6" s="1"/>
  <c r="I11" i="6"/>
  <c r="J6" i="6" s="1"/>
  <c r="J11" i="6"/>
  <c r="K11" i="6"/>
  <c r="L11" i="6"/>
  <c r="M6" i="6" s="1"/>
  <c r="F6" i="6"/>
  <c r="K6" i="6"/>
  <c r="L6" i="6"/>
  <c r="L5" i="6"/>
  <c r="M5" i="6"/>
  <c r="E5" i="6"/>
  <c r="M4" i="6"/>
  <c r="L4" i="6"/>
  <c r="K4" i="6"/>
  <c r="J4" i="6"/>
  <c r="I4" i="6"/>
  <c r="H4" i="6"/>
  <c r="G4" i="6"/>
  <c r="F4" i="6"/>
  <c r="E4" i="6"/>
  <c r="B12" i="5"/>
  <c r="A12" i="5"/>
  <c r="E27" i="5"/>
  <c r="E28" i="5" s="1"/>
  <c r="E29" i="5" s="1"/>
  <c r="F27" i="5"/>
  <c r="F28" i="5" s="1"/>
  <c r="F29" i="5" s="1"/>
  <c r="G27" i="5"/>
  <c r="G28" i="5" s="1"/>
  <c r="G29" i="5" s="1"/>
  <c r="H27" i="5"/>
  <c r="H28" i="5" s="1"/>
  <c r="H29" i="5" s="1"/>
  <c r="I27" i="5"/>
  <c r="I28" i="5" s="1"/>
  <c r="I29" i="5" s="1"/>
  <c r="J27" i="5"/>
  <c r="J28" i="5" s="1"/>
  <c r="J29" i="5" s="1"/>
  <c r="K27" i="5"/>
  <c r="K28" i="5" s="1"/>
  <c r="K29" i="5" s="1"/>
  <c r="L27" i="5"/>
  <c r="L28" i="5" s="1"/>
  <c r="L29" i="5" s="1"/>
  <c r="D27" i="5"/>
  <c r="D28" i="5" s="1"/>
  <c r="D29" i="5" s="1"/>
  <c r="D24" i="5"/>
  <c r="D25" i="5" s="1"/>
  <c r="E24" i="5"/>
  <c r="E25" i="5" s="1"/>
  <c r="F24" i="5"/>
  <c r="F25" i="5" s="1"/>
  <c r="G24" i="5"/>
  <c r="G25" i="5" s="1"/>
  <c r="H24" i="5"/>
  <c r="H25" i="5" s="1"/>
  <c r="I24" i="5"/>
  <c r="I25" i="5" s="1"/>
  <c r="J24" i="5"/>
  <c r="J25" i="5" s="1"/>
  <c r="K24" i="5"/>
  <c r="K25" i="5" s="1"/>
  <c r="L24" i="5"/>
  <c r="L25" i="5" s="1"/>
  <c r="E22" i="5"/>
  <c r="E23" i="5" s="1"/>
  <c r="F22" i="5"/>
  <c r="F23" i="5" s="1"/>
  <c r="G22" i="5"/>
  <c r="G23" i="5" s="1"/>
  <c r="H22" i="5"/>
  <c r="H23" i="5" s="1"/>
  <c r="I22" i="5"/>
  <c r="I23" i="5" s="1"/>
  <c r="J22" i="5"/>
  <c r="J23" i="5" s="1"/>
  <c r="K22" i="5"/>
  <c r="K23" i="5" s="1"/>
  <c r="L22" i="5"/>
  <c r="L23" i="5" s="1"/>
  <c r="D22" i="5"/>
  <c r="D23" i="5" s="1"/>
  <c r="I20" i="5"/>
  <c r="I21" i="5" s="1"/>
  <c r="J20" i="5"/>
  <c r="J21" i="5" s="1"/>
  <c r="K20" i="5"/>
  <c r="K21" i="5" s="1"/>
  <c r="L20" i="5"/>
  <c r="L21" i="5" s="1"/>
  <c r="E20" i="5"/>
  <c r="E21" i="5" s="1"/>
  <c r="F20" i="5"/>
  <c r="F21" i="5" s="1"/>
  <c r="G20" i="5"/>
  <c r="G21" i="5" s="1"/>
  <c r="H20" i="5"/>
  <c r="H21" i="5" s="1"/>
  <c r="D20" i="5"/>
  <c r="D21" i="5" s="1"/>
  <c r="C16" i="6"/>
  <c r="D16" i="6"/>
  <c r="E16" i="6"/>
  <c r="F16" i="6"/>
  <c r="G16" i="6"/>
  <c r="H16" i="6"/>
  <c r="I16" i="6"/>
  <c r="J16" i="6"/>
  <c r="B16" i="6"/>
  <c r="D10" i="5"/>
  <c r="E10" i="5"/>
  <c r="F10" i="5"/>
  <c r="G10" i="5"/>
  <c r="H10" i="5"/>
  <c r="I10" i="5"/>
  <c r="J10" i="5"/>
  <c r="K10" i="5"/>
  <c r="L10" i="5"/>
  <c r="C10" i="5"/>
  <c r="D9" i="5"/>
  <c r="E9" i="5"/>
  <c r="F9" i="5"/>
  <c r="G9" i="5"/>
  <c r="H9" i="5"/>
  <c r="I9" i="5"/>
  <c r="J9" i="5"/>
  <c r="K9" i="5"/>
  <c r="L9" i="5"/>
  <c r="C9" i="5"/>
  <c r="D8" i="5"/>
  <c r="E8" i="5"/>
  <c r="F8" i="5"/>
  <c r="G8" i="5"/>
  <c r="H8" i="5"/>
  <c r="I8" i="5"/>
  <c r="J8" i="5"/>
  <c r="K8" i="5"/>
  <c r="L8" i="5"/>
  <c r="C8" i="5"/>
  <c r="D7" i="5"/>
  <c r="E7" i="5"/>
  <c r="F7" i="5"/>
  <c r="G7" i="5"/>
  <c r="H7" i="5"/>
  <c r="I7" i="5"/>
  <c r="J7" i="5"/>
  <c r="K7" i="5"/>
  <c r="L7" i="5"/>
  <c r="C7" i="5"/>
  <c r="E6" i="5"/>
  <c r="F6" i="5"/>
  <c r="G6" i="5"/>
  <c r="H6" i="5"/>
  <c r="I6" i="5"/>
  <c r="J6" i="5"/>
  <c r="K6" i="5"/>
  <c r="L6" i="5"/>
  <c r="D6" i="5"/>
  <c r="L5" i="5"/>
  <c r="L12" i="5" s="1"/>
  <c r="D5" i="5"/>
  <c r="C13" i="6" s="1"/>
  <c r="E5" i="5"/>
  <c r="D13" i="6" s="1"/>
  <c r="F5" i="5"/>
  <c r="E13" i="6" s="1"/>
  <c r="G5" i="5"/>
  <c r="F13" i="6" s="1"/>
  <c r="H5" i="5"/>
  <c r="G13" i="6" s="1"/>
  <c r="I5" i="5"/>
  <c r="H13" i="6" s="1"/>
  <c r="J5" i="5"/>
  <c r="I13" i="6" s="1"/>
  <c r="K5" i="5"/>
  <c r="J13" i="6" s="1"/>
  <c r="C5" i="5"/>
  <c r="B13" i="6" s="1"/>
  <c r="L8" i="4"/>
  <c r="L9" i="4"/>
  <c r="L10" i="4"/>
  <c r="L11" i="4"/>
  <c r="L12" i="4"/>
  <c r="L13" i="4"/>
  <c r="L14" i="4"/>
  <c r="L15" i="4"/>
  <c r="L16" i="4"/>
  <c r="L17" i="4"/>
  <c r="L18" i="4"/>
  <c r="L19" i="4"/>
  <c r="K8" i="4"/>
  <c r="K9" i="4"/>
  <c r="K10" i="4"/>
  <c r="K11" i="4"/>
  <c r="K12" i="4"/>
  <c r="K13" i="4"/>
  <c r="K14" i="4"/>
  <c r="K15" i="4"/>
  <c r="K16" i="4"/>
  <c r="K17" i="4"/>
  <c r="K18" i="4"/>
  <c r="K19" i="4"/>
  <c r="J8" i="4"/>
  <c r="J9" i="4"/>
  <c r="J10" i="4"/>
  <c r="J11" i="4"/>
  <c r="J12" i="4"/>
  <c r="J13" i="4"/>
  <c r="J14" i="4"/>
  <c r="J15" i="4"/>
  <c r="J16" i="4"/>
  <c r="J17" i="4"/>
  <c r="J18" i="4"/>
  <c r="J19" i="4"/>
  <c r="I8" i="4"/>
  <c r="I9" i="4"/>
  <c r="I10" i="4"/>
  <c r="I11" i="4"/>
  <c r="I12" i="4"/>
  <c r="I13" i="4"/>
  <c r="I14" i="4"/>
  <c r="I15" i="4"/>
  <c r="I16" i="4"/>
  <c r="I17" i="4"/>
  <c r="I18" i="4"/>
  <c r="I19" i="4"/>
  <c r="H8" i="4"/>
  <c r="H9" i="4"/>
  <c r="H10" i="4"/>
  <c r="H11" i="4"/>
  <c r="H12" i="4"/>
  <c r="H13" i="4"/>
  <c r="H14" i="4"/>
  <c r="H15" i="4"/>
  <c r="H16" i="4"/>
  <c r="H17" i="4"/>
  <c r="H18" i="4"/>
  <c r="H19" i="4"/>
  <c r="G8" i="4"/>
  <c r="G9" i="4"/>
  <c r="G10" i="4"/>
  <c r="G11" i="4"/>
  <c r="G12" i="4"/>
  <c r="G13" i="4"/>
  <c r="G14" i="4"/>
  <c r="G15" i="4"/>
  <c r="G16" i="4"/>
  <c r="G17" i="4"/>
  <c r="G18" i="4"/>
  <c r="G19" i="4"/>
  <c r="F8" i="4"/>
  <c r="F9" i="4"/>
  <c r="F10" i="4"/>
  <c r="F11" i="4"/>
  <c r="F12" i="4"/>
  <c r="F13" i="4"/>
  <c r="F14" i="4"/>
  <c r="F15" i="4"/>
  <c r="F16" i="4"/>
  <c r="F17" i="4"/>
  <c r="F18" i="4"/>
  <c r="F19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8" i="4"/>
  <c r="E9" i="4"/>
  <c r="E10" i="4"/>
  <c r="E11" i="4"/>
  <c r="E12" i="4"/>
  <c r="E13" i="4"/>
  <c r="E14" i="4"/>
  <c r="E15" i="4"/>
  <c r="E16" i="4"/>
  <c r="E17" i="4"/>
  <c r="E18" i="4"/>
  <c r="E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8" i="4"/>
  <c r="D9" i="4"/>
  <c r="D10" i="4"/>
  <c r="D11" i="4"/>
  <c r="D12" i="4"/>
  <c r="D13" i="4"/>
  <c r="D14" i="4"/>
  <c r="D15" i="4"/>
  <c r="D16" i="4"/>
  <c r="D17" i="4"/>
  <c r="D18" i="4"/>
  <c r="D19" i="4"/>
  <c r="L20" i="4"/>
  <c r="K20" i="4"/>
  <c r="J20" i="4"/>
  <c r="I20" i="4"/>
  <c r="H20" i="4"/>
  <c r="G20" i="4"/>
  <c r="F20" i="4"/>
  <c r="E20" i="4"/>
  <c r="D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L6" i="4"/>
  <c r="D6" i="4"/>
  <c r="E6" i="4"/>
  <c r="F6" i="4"/>
  <c r="G6" i="4"/>
  <c r="H6" i="4"/>
  <c r="I6" i="4"/>
  <c r="J6" i="4"/>
  <c r="K6" i="4"/>
  <c r="C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8" i="4"/>
  <c r="C13" i="2"/>
  <c r="D13" i="2"/>
  <c r="E13" i="2"/>
  <c r="F13" i="2"/>
  <c r="D22" i="2"/>
  <c r="E22" i="2"/>
  <c r="F22" i="2"/>
  <c r="G22" i="2"/>
  <c r="H22" i="2"/>
  <c r="I22" i="2"/>
  <c r="J22" i="2"/>
  <c r="K22" i="2"/>
  <c r="L22" i="2"/>
  <c r="C22" i="2"/>
  <c r="C21" i="2"/>
  <c r="D8" i="2"/>
  <c r="E8" i="2"/>
  <c r="F8" i="2"/>
  <c r="G8" i="2"/>
  <c r="H8" i="2"/>
  <c r="I8" i="2"/>
  <c r="J8" i="2"/>
  <c r="K8" i="2"/>
  <c r="L8" i="2"/>
  <c r="D9" i="2"/>
  <c r="E9" i="2"/>
  <c r="F9" i="2"/>
  <c r="G9" i="2"/>
  <c r="H9" i="2"/>
  <c r="I9" i="2"/>
  <c r="J9" i="2"/>
  <c r="K9" i="2"/>
  <c r="L9" i="2"/>
  <c r="D10" i="2"/>
  <c r="E10" i="2"/>
  <c r="F10" i="2"/>
  <c r="G10" i="2"/>
  <c r="H10" i="2"/>
  <c r="I10" i="2"/>
  <c r="J10" i="2"/>
  <c r="K10" i="2"/>
  <c r="L10" i="2"/>
  <c r="D11" i="2"/>
  <c r="E11" i="2"/>
  <c r="F11" i="2"/>
  <c r="G11" i="2"/>
  <c r="H11" i="2"/>
  <c r="I11" i="2"/>
  <c r="J11" i="2"/>
  <c r="K11" i="2"/>
  <c r="L11" i="2"/>
  <c r="D12" i="2"/>
  <c r="E12" i="2"/>
  <c r="F12" i="2"/>
  <c r="G12" i="2"/>
  <c r="H12" i="2"/>
  <c r="I12" i="2"/>
  <c r="J12" i="2"/>
  <c r="K12" i="2"/>
  <c r="L12" i="2"/>
  <c r="G13" i="2"/>
  <c r="H13" i="2"/>
  <c r="I13" i="2"/>
  <c r="J13" i="2"/>
  <c r="K13" i="2"/>
  <c r="L13" i="2"/>
  <c r="D14" i="2"/>
  <c r="E14" i="2"/>
  <c r="F14" i="2"/>
  <c r="G14" i="2"/>
  <c r="H14" i="2"/>
  <c r="I14" i="2"/>
  <c r="J14" i="2"/>
  <c r="K14" i="2"/>
  <c r="L14" i="2"/>
  <c r="D15" i="2"/>
  <c r="E15" i="2"/>
  <c r="F15" i="2"/>
  <c r="G15" i="2"/>
  <c r="H15" i="2"/>
  <c r="I15" i="2"/>
  <c r="J15" i="2"/>
  <c r="K15" i="2"/>
  <c r="L15" i="2"/>
  <c r="D16" i="2"/>
  <c r="E16" i="2"/>
  <c r="F16" i="2"/>
  <c r="G16" i="2"/>
  <c r="H16" i="2"/>
  <c r="I16" i="2"/>
  <c r="J16" i="2"/>
  <c r="K16" i="2"/>
  <c r="L16" i="2"/>
  <c r="D17" i="2"/>
  <c r="E17" i="2"/>
  <c r="F17" i="2"/>
  <c r="G17" i="2"/>
  <c r="H17" i="2"/>
  <c r="I17" i="2"/>
  <c r="J17" i="2"/>
  <c r="K17" i="2"/>
  <c r="L17" i="2"/>
  <c r="D18" i="2"/>
  <c r="E18" i="2"/>
  <c r="F18" i="2"/>
  <c r="G18" i="2"/>
  <c r="H18" i="2"/>
  <c r="I18" i="2"/>
  <c r="J18" i="2"/>
  <c r="K18" i="2"/>
  <c r="L18" i="2"/>
  <c r="D19" i="2"/>
  <c r="E19" i="2"/>
  <c r="F19" i="2"/>
  <c r="G19" i="2"/>
  <c r="H19" i="2"/>
  <c r="I19" i="2"/>
  <c r="J19" i="2"/>
  <c r="K19" i="2"/>
  <c r="L19" i="2"/>
  <c r="D20" i="2"/>
  <c r="E20" i="2"/>
  <c r="F20" i="2"/>
  <c r="G20" i="2"/>
  <c r="H20" i="2"/>
  <c r="I20" i="2"/>
  <c r="J20" i="2"/>
  <c r="K20" i="2"/>
  <c r="L20" i="2"/>
  <c r="D21" i="2"/>
  <c r="E21" i="2"/>
  <c r="F21" i="2"/>
  <c r="G21" i="2"/>
  <c r="H21" i="2"/>
  <c r="I21" i="2"/>
  <c r="J21" i="2"/>
  <c r="K21" i="2"/>
  <c r="L21" i="2"/>
  <c r="C11" i="2"/>
  <c r="C12" i="2"/>
  <c r="C14" i="2"/>
  <c r="C15" i="2"/>
  <c r="C16" i="2"/>
  <c r="C17" i="2"/>
  <c r="C18" i="2"/>
  <c r="C19" i="2"/>
  <c r="C20" i="2"/>
  <c r="C8" i="2"/>
  <c r="C9" i="2"/>
  <c r="C10" i="2"/>
  <c r="C6" i="2"/>
  <c r="D6" i="2"/>
  <c r="E6" i="2"/>
  <c r="F6" i="2"/>
  <c r="G6" i="2"/>
  <c r="H6" i="2"/>
  <c r="I6" i="2"/>
  <c r="J6" i="2"/>
  <c r="K6" i="2"/>
  <c r="L6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8" i="2"/>
  <c r="M16" i="2" l="1"/>
  <c r="M15" i="2"/>
  <c r="M10" i="2"/>
  <c r="M9" i="2"/>
  <c r="M14" i="2"/>
  <c r="M21" i="2"/>
  <c r="M8" i="2"/>
  <c r="M12" i="2"/>
  <c r="M20" i="2"/>
  <c r="M11" i="2"/>
  <c r="M19" i="2"/>
  <c r="M18" i="2"/>
  <c r="M22" i="2"/>
  <c r="M17" i="2"/>
  <c r="M13" i="2"/>
  <c r="D12" i="5"/>
  <c r="E12" i="5"/>
  <c r="K12" i="5"/>
  <c r="C12" i="5"/>
  <c r="J12" i="5"/>
  <c r="I12" i="5"/>
  <c r="H12" i="5"/>
  <c r="G12" i="5"/>
  <c r="F12" i="5"/>
</calcChain>
</file>

<file path=xl/sharedStrings.xml><?xml version="1.0" encoding="utf-8"?>
<sst xmlns="http://schemas.openxmlformats.org/spreadsheetml/2006/main" count="131" uniqueCount="105">
  <si>
    <t>Powered by Clearbit</t>
  </si>
  <si>
    <t>Walmart Inc (NYS: WMT)</t>
  </si>
  <si>
    <t xml:space="preserve">Exchange rate used is that of the Year End reported date </t>
  </si>
  <si>
    <t xml:space="preserve">Standardized Annual Income Statement </t>
  </si>
  <si>
    <t>Report Date</t>
  </si>
  <si>
    <t>01/31/2023</t>
  </si>
  <si>
    <t>01/31/2022</t>
  </si>
  <si>
    <t>01/31/2021</t>
  </si>
  <si>
    <t>01/31/2020</t>
  </si>
  <si>
    <t>01/31/2019</t>
  </si>
  <si>
    <t>01/31/2018</t>
  </si>
  <si>
    <t>01/31/2017</t>
  </si>
  <si>
    <t>01/31/2016</t>
  </si>
  <si>
    <t>01/31/2015</t>
  </si>
  <si>
    <t>Sales Revenue</t>
  </si>
  <si>
    <t>Other Revenue</t>
  </si>
  <si>
    <t>Total Revenue</t>
  </si>
  <si>
    <t>Direct Costs</t>
  </si>
  <si>
    <t>Gross Profit</t>
  </si>
  <si>
    <t>Selling General &amp; Admin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</si>
  <si>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</si>
  <si>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</si>
  <si>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</si>
  <si>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</si>
  <si>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</si>
  <si>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</si>
  <si>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</si>
  <si>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Minority Interests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</si>
  <si>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</si>
  <si>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</si>
  <si>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</si>
  <si>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</si>
  <si>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</si>
  <si>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</si>
  <si>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</si>
  <si>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</si>
  <si>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</si>
  <si>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</si>
  <si>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>Revenue growth</t>
  </si>
  <si>
    <t xml:space="preserve">Standardized Annual Balance Sheet </t>
  </si>
  <si>
    <t>Cash &amp; Equivalents</t>
  </si>
  <si>
    <t>Cash &amp; Equivs &amp; ST Investments</t>
  </si>
  <si>
    <t>Receivables (ST)</t>
  </si>
  <si>
    <t>Inventories</t>
  </si>
  <si>
    <t>Discontinued Ops (ST Asset)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</si>
  <si>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</si>
  <si>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</si>
  <si>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</si>
  <si>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</si>
  <si>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</si>
  <si>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</si>
  <si>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</si>
  <si>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</si>
  <si>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</si>
  <si>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</si>
  <si>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</si>
  <si>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</si>
  <si>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</si>
  <si>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</si>
  <si>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</si>
  <si>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</si>
  <si>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</si>
  <si>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</si>
  <si>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</si>
  <si>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</si>
  <si>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</si>
  <si>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</si>
  <si>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</si>
  <si>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</si>
  <si>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</si>
  <si>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</si>
  <si>
    <t>Profitability ratios</t>
  </si>
  <si>
    <t xml:space="preserve">Report Date </t>
  </si>
  <si>
    <t xml:space="preserve">Net Profit Margin </t>
  </si>
  <si>
    <t xml:space="preserve">Gross Profit Margin </t>
  </si>
  <si>
    <t xml:space="preserve">Operating Profit Margin </t>
  </si>
  <si>
    <t>Return On Assets</t>
  </si>
  <si>
    <t xml:space="preserve">Return on equity </t>
  </si>
  <si>
    <t>Liquidity Ratio</t>
  </si>
  <si>
    <t>Current Ratio</t>
  </si>
  <si>
    <t>Quick Ratios</t>
  </si>
  <si>
    <t>Cash Ratio</t>
  </si>
  <si>
    <t>Leverage Ratio</t>
  </si>
  <si>
    <t>Debt to Equity Ratio</t>
  </si>
  <si>
    <t>Debt Ratio</t>
  </si>
  <si>
    <t>Efficiency Ratio</t>
  </si>
  <si>
    <t xml:space="preserve">Inventory Turnover ratio </t>
  </si>
  <si>
    <t xml:space="preserve">Average inventory </t>
  </si>
  <si>
    <t xml:space="preserve">Fixed Assets Turnover </t>
  </si>
  <si>
    <t xml:space="preserve">Average fixed assets </t>
  </si>
  <si>
    <t xml:space="preserve">Average total assets </t>
  </si>
  <si>
    <t xml:space="preserve">Total Assets Turnover </t>
  </si>
  <si>
    <t>Average Recivables</t>
  </si>
  <si>
    <t xml:space="preserve">Receivables Turnover </t>
  </si>
  <si>
    <t xml:space="preserve">Average Collection period </t>
  </si>
  <si>
    <t xml:space="preserve">Average Collection Period </t>
  </si>
  <si>
    <t>ROA WALMART</t>
  </si>
  <si>
    <t>Roa costco</t>
  </si>
  <si>
    <t>Roa amazon</t>
  </si>
  <si>
    <t>Return on Assets</t>
  </si>
  <si>
    <t>Debt to equity costco</t>
  </si>
  <si>
    <t>Debt to equity amazon</t>
  </si>
  <si>
    <t>Debt to equity walmart</t>
  </si>
  <si>
    <t>01/31/2024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</si>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</sst>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0.0000000"/>
    <numFmt numFmtId="167" formatCode="_(&quot;$&quot;* #,##0_);_(&quot;$&quot;* \(#,##0\);_(&quot;$&quot;* &quot;-&quot;??_);_(@_)"/>
  </numFmts>
  <fonts count="9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right" vertical="top" wrapText="1"/>
    </xf>
    <xf numFmtId="164" fontId="0" fillId="0" borderId="0" xfId="0" applyNumberFormat="1"/>
    <xf numFmtId="164" fontId="4" fillId="0" borderId="0" xfId="0" applyNumberFormat="1" applyFont="1"/>
    <xf numFmtId="164" fontId="3" fillId="0" borderId="0" xfId="0" applyNumberFormat="1" applyFont="1"/>
    <xf numFmtId="0" fontId="6" fillId="0" borderId="0" xfId="0" applyFont="1"/>
    <xf numFmtId="10" fontId="0" fillId="0" borderId="0" xfId="1" applyNumberFormat="1" applyFont="1"/>
    <xf numFmtId="10" fontId="0" fillId="0" borderId="0" xfId="0" applyNumberFormat="1"/>
    <xf numFmtId="10" fontId="6" fillId="0" borderId="0" xfId="1" applyNumberFormat="1" applyFont="1"/>
    <xf numFmtId="10" fontId="0" fillId="2" borderId="0" xfId="0" applyNumberFormat="1" applyFill="1"/>
    <xf numFmtId="0" fontId="6" fillId="0" borderId="0" xfId="0" applyFont="1" applyAlignment="1">
      <alignment horizontal="left"/>
    </xf>
    <xf numFmtId="0" fontId="7" fillId="0" borderId="0" xfId="0" applyFont="1"/>
    <xf numFmtId="165" fontId="3" fillId="0" borderId="0" xfId="0" applyNumberFormat="1" applyFont="1" applyAlignment="1">
      <alignment horizontal="right" vertical="top" wrapText="1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3" fillId="0" borderId="0" xfId="0" applyNumberFormat="1" applyFont="1"/>
    <xf numFmtId="165" fontId="6" fillId="0" borderId="0" xfId="0" applyNumberFormat="1" applyFont="1"/>
    <xf numFmtId="9" fontId="0" fillId="0" borderId="0" xfId="1" applyFont="1"/>
    <xf numFmtId="0" fontId="5" fillId="0" borderId="0" xfId="0" applyFont="1"/>
    <xf numFmtId="166" fontId="0" fillId="0" borderId="0" xfId="0" applyNumberFormat="1"/>
    <xf numFmtId="0" fontId="3" fillId="0" borderId="0" xfId="0" applyFont="1" applyAlignment="1">
      <alignment horizontal="right" vertical="top" wrapText="1"/>
    </xf>
    <xf numFmtId="44" fontId="0" fillId="0" borderId="0" xfId="2" applyFont="1"/>
    <xf numFmtId="44" fontId="4" fillId="0" borderId="0" xfId="2" applyFont="1"/>
    <xf numFmtId="44" fontId="3" fillId="0" borderId="0" xfId="2" applyFont="1"/>
    <xf numFmtId="167" fontId="0" fillId="0" borderId="0" xfId="2" applyNumberFormat="1" applyFont="1"/>
    <xf numFmtId="167" fontId="3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standardized!$A$17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standardized!$B$13:$K$13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standardized!$B$17:$K$17</c:f>
              <c:numCache>
                <c:formatCode>_-[$$-409]* #,##0.00_ ;_-[$$-409]* \-#,##0.00\ ;_-[$$-409]* "-"??_ ;_-@_ </c:formatCode>
                <c:ptCount val="10"/>
                <c:pt idx="0">
                  <c:v>485651000</c:v>
                </c:pt>
                <c:pt idx="1">
                  <c:v>482130000</c:v>
                </c:pt>
                <c:pt idx="2">
                  <c:v>485873000</c:v>
                </c:pt>
                <c:pt idx="3">
                  <c:v>500343000</c:v>
                </c:pt>
                <c:pt idx="4">
                  <c:v>514405000</c:v>
                </c:pt>
                <c:pt idx="5">
                  <c:v>523964000</c:v>
                </c:pt>
                <c:pt idx="6">
                  <c:v>559151000</c:v>
                </c:pt>
                <c:pt idx="7">
                  <c:v>572754000</c:v>
                </c:pt>
                <c:pt idx="8">
                  <c:v>611289000</c:v>
                </c:pt>
                <c:pt idx="9" formatCode="_(&quot;$&quot;* #,##0.00_);_(&quot;$&quot;* \(#,##0.00\);_(&quot;$&quot;* &quot;-&quot;??_);_(@_)">
                  <c:v>648125000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B79-AE0B-641BCA3EB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952928"/>
        <c:axId val="582024944"/>
      </c:barChart>
      <c:catAx>
        <c:axId val="182895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24944"/>
        <c:crosses val="autoZero"/>
        <c:auto val="1"/>
        <c:lblAlgn val="ctr"/>
        <c:lblOffset val="100"/>
        <c:noMultiLvlLbl val="0"/>
      </c:catAx>
      <c:valAx>
        <c:axId val="5820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9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contribution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standardized!$A$15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standardized!$B$13:$K$13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standardized!$B$15:$K$15</c:f>
              <c:numCache>
                <c:formatCode>_-[$$-409]* #,##0.00_ ;_-[$$-409]* \-#,##0.00\ ;_-[$$-409]* "-"??_ ;_-@_ </c:formatCode>
                <c:ptCount val="10"/>
                <c:pt idx="0">
                  <c:v>482229000</c:v>
                </c:pt>
                <c:pt idx="1">
                  <c:v>478614000</c:v>
                </c:pt>
                <c:pt idx="2">
                  <c:v>481317000</c:v>
                </c:pt>
                <c:pt idx="3">
                  <c:v>495761000</c:v>
                </c:pt>
                <c:pt idx="4">
                  <c:v>510329000</c:v>
                </c:pt>
                <c:pt idx="5">
                  <c:v>519926000</c:v>
                </c:pt>
                <c:pt idx="6">
                  <c:v>555233000</c:v>
                </c:pt>
                <c:pt idx="7">
                  <c:v>567762000</c:v>
                </c:pt>
                <c:pt idx="8">
                  <c:v>605881000</c:v>
                </c:pt>
                <c:pt idx="9" formatCode="_(&quot;$&quot;* #,##0.00_);_(&quot;$&quot;* \(#,##0.00\);_(&quot;$&quot;* &quot;-&quot;??_);_(@_)">
                  <c:v>642637000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C-4D1E-BBE7-0DA91C8BD5DB}"/>
            </c:ext>
          </c:extLst>
        </c:ser>
        <c:ser>
          <c:idx val="1"/>
          <c:order val="1"/>
          <c:tx>
            <c:strRef>
              <c:f>standardized!$A$16</c:f>
              <c:strCache>
                <c:ptCount val="1"/>
                <c:pt idx="0">
                  <c:v>Other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standardized!$B$13:$K$13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standardized!$B$16:$K$16</c:f>
              <c:numCache>
                <c:formatCode>_-[$$-409]* #,##0.00_ ;_-[$$-409]* \-#,##0.00\ ;_-[$$-409]* "-"??_ ;_-@_ </c:formatCode>
                <c:ptCount val="10"/>
                <c:pt idx="0">
                  <c:v>3422000</c:v>
                </c:pt>
                <c:pt idx="1">
                  <c:v>3516000</c:v>
                </c:pt>
                <c:pt idx="2">
                  <c:v>4556000</c:v>
                </c:pt>
                <c:pt idx="3">
                  <c:v>4582000</c:v>
                </c:pt>
                <c:pt idx="4">
                  <c:v>4076000</c:v>
                </c:pt>
                <c:pt idx="5">
                  <c:v>4038000</c:v>
                </c:pt>
                <c:pt idx="6">
                  <c:v>3918000</c:v>
                </c:pt>
                <c:pt idx="7">
                  <c:v>4992000</c:v>
                </c:pt>
                <c:pt idx="8">
                  <c:v>5408000</c:v>
                </c:pt>
                <c:pt idx="9" formatCode="_(&quot;$&quot;* #,##0.00_);_(&quot;$&quot;* \(#,##0.00\);_(&quot;$&quot;* &quot;-&quot;??_);_(@_)">
                  <c:v>5488000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C-4D1E-BBE7-0DA91C8BD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2726896"/>
        <c:axId val="585788896"/>
        <c:axId val="0"/>
      </c:bar3DChart>
      <c:catAx>
        <c:axId val="58272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788896"/>
        <c:crosses val="autoZero"/>
        <c:auto val="1"/>
        <c:lblAlgn val="ctr"/>
        <c:lblOffset val="100"/>
        <c:noMultiLvlLbl val="0"/>
      </c:catAx>
      <c:valAx>
        <c:axId val="5857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2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[1]WMT!$B$1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[1]WMT!$A$2:$A$2516</c:f>
              <c:numCache>
                <c:formatCode>General</c:formatCode>
                <c:ptCount val="2515"/>
                <c:pt idx="0">
                  <c:v>41660</c:v>
                </c:pt>
                <c:pt idx="1">
                  <c:v>41661</c:v>
                </c:pt>
                <c:pt idx="2">
                  <c:v>41662</c:v>
                </c:pt>
                <c:pt idx="3">
                  <c:v>41663</c:v>
                </c:pt>
                <c:pt idx="4">
                  <c:v>41666</c:v>
                </c:pt>
                <c:pt idx="5">
                  <c:v>41667</c:v>
                </c:pt>
                <c:pt idx="6">
                  <c:v>41668</c:v>
                </c:pt>
                <c:pt idx="7">
                  <c:v>41669</c:v>
                </c:pt>
                <c:pt idx="8">
                  <c:v>41670</c:v>
                </c:pt>
                <c:pt idx="9">
                  <c:v>41673</c:v>
                </c:pt>
                <c:pt idx="10">
                  <c:v>41674</c:v>
                </c:pt>
                <c:pt idx="11">
                  <c:v>41675</c:v>
                </c:pt>
                <c:pt idx="12">
                  <c:v>41676</c:v>
                </c:pt>
                <c:pt idx="13">
                  <c:v>41677</c:v>
                </c:pt>
                <c:pt idx="14">
                  <c:v>41680</c:v>
                </c:pt>
                <c:pt idx="15">
                  <c:v>41681</c:v>
                </c:pt>
                <c:pt idx="16">
                  <c:v>41682</c:v>
                </c:pt>
                <c:pt idx="17">
                  <c:v>41683</c:v>
                </c:pt>
                <c:pt idx="18">
                  <c:v>41684</c:v>
                </c:pt>
                <c:pt idx="19">
                  <c:v>41688</c:v>
                </c:pt>
                <c:pt idx="20">
                  <c:v>41689</c:v>
                </c:pt>
                <c:pt idx="21">
                  <c:v>41690</c:v>
                </c:pt>
                <c:pt idx="22">
                  <c:v>41691</c:v>
                </c:pt>
                <c:pt idx="23">
                  <c:v>41694</c:v>
                </c:pt>
                <c:pt idx="24">
                  <c:v>41695</c:v>
                </c:pt>
                <c:pt idx="25">
                  <c:v>41696</c:v>
                </c:pt>
                <c:pt idx="26">
                  <c:v>41697</c:v>
                </c:pt>
                <c:pt idx="27">
                  <c:v>41698</c:v>
                </c:pt>
                <c:pt idx="28">
                  <c:v>41701</c:v>
                </c:pt>
                <c:pt idx="29">
                  <c:v>41702</c:v>
                </c:pt>
                <c:pt idx="30">
                  <c:v>41703</c:v>
                </c:pt>
                <c:pt idx="31">
                  <c:v>41704</c:v>
                </c:pt>
                <c:pt idx="32">
                  <c:v>41705</c:v>
                </c:pt>
                <c:pt idx="33">
                  <c:v>41708</c:v>
                </c:pt>
                <c:pt idx="34">
                  <c:v>41709</c:v>
                </c:pt>
                <c:pt idx="35">
                  <c:v>41710</c:v>
                </c:pt>
                <c:pt idx="36">
                  <c:v>41711</c:v>
                </c:pt>
                <c:pt idx="37">
                  <c:v>41712</c:v>
                </c:pt>
                <c:pt idx="38">
                  <c:v>41715</c:v>
                </c:pt>
                <c:pt idx="39">
                  <c:v>41716</c:v>
                </c:pt>
                <c:pt idx="40">
                  <c:v>41717</c:v>
                </c:pt>
                <c:pt idx="41">
                  <c:v>41718</c:v>
                </c:pt>
                <c:pt idx="42">
                  <c:v>41719</c:v>
                </c:pt>
                <c:pt idx="43">
                  <c:v>41722</c:v>
                </c:pt>
                <c:pt idx="44">
                  <c:v>41723</c:v>
                </c:pt>
                <c:pt idx="45">
                  <c:v>41724</c:v>
                </c:pt>
                <c:pt idx="46">
                  <c:v>41725</c:v>
                </c:pt>
                <c:pt idx="47">
                  <c:v>41726</c:v>
                </c:pt>
                <c:pt idx="48">
                  <c:v>41729</c:v>
                </c:pt>
                <c:pt idx="49">
                  <c:v>41730</c:v>
                </c:pt>
                <c:pt idx="50">
                  <c:v>41731</c:v>
                </c:pt>
                <c:pt idx="51">
                  <c:v>41732</c:v>
                </c:pt>
                <c:pt idx="52">
                  <c:v>41733</c:v>
                </c:pt>
                <c:pt idx="53">
                  <c:v>41736</c:v>
                </c:pt>
                <c:pt idx="54">
                  <c:v>41737</c:v>
                </c:pt>
                <c:pt idx="55">
                  <c:v>41738</c:v>
                </c:pt>
                <c:pt idx="56">
                  <c:v>41739</c:v>
                </c:pt>
                <c:pt idx="57">
                  <c:v>41740</c:v>
                </c:pt>
                <c:pt idx="58">
                  <c:v>41743</c:v>
                </c:pt>
                <c:pt idx="59">
                  <c:v>41744</c:v>
                </c:pt>
                <c:pt idx="60">
                  <c:v>41745</c:v>
                </c:pt>
                <c:pt idx="61">
                  <c:v>41746</c:v>
                </c:pt>
                <c:pt idx="62">
                  <c:v>41750</c:v>
                </c:pt>
                <c:pt idx="63">
                  <c:v>41751</c:v>
                </c:pt>
                <c:pt idx="64">
                  <c:v>41752</c:v>
                </c:pt>
                <c:pt idx="65">
                  <c:v>41753</c:v>
                </c:pt>
                <c:pt idx="66">
                  <c:v>41754</c:v>
                </c:pt>
                <c:pt idx="67">
                  <c:v>41757</c:v>
                </c:pt>
                <c:pt idx="68">
                  <c:v>41758</c:v>
                </c:pt>
                <c:pt idx="69">
                  <c:v>41759</c:v>
                </c:pt>
                <c:pt idx="70">
                  <c:v>41760</c:v>
                </c:pt>
                <c:pt idx="71">
                  <c:v>41761</c:v>
                </c:pt>
                <c:pt idx="72">
                  <c:v>41764</c:v>
                </c:pt>
                <c:pt idx="73">
                  <c:v>41765</c:v>
                </c:pt>
                <c:pt idx="74">
                  <c:v>41766</c:v>
                </c:pt>
                <c:pt idx="75">
                  <c:v>41767</c:v>
                </c:pt>
                <c:pt idx="76">
                  <c:v>41768</c:v>
                </c:pt>
                <c:pt idx="77">
                  <c:v>41771</c:v>
                </c:pt>
                <c:pt idx="78">
                  <c:v>41772</c:v>
                </c:pt>
                <c:pt idx="79">
                  <c:v>41773</c:v>
                </c:pt>
                <c:pt idx="80">
                  <c:v>41774</c:v>
                </c:pt>
                <c:pt idx="81">
                  <c:v>41775</c:v>
                </c:pt>
                <c:pt idx="82">
                  <c:v>41778</c:v>
                </c:pt>
                <c:pt idx="83">
                  <c:v>41779</c:v>
                </c:pt>
                <c:pt idx="84">
                  <c:v>41780</c:v>
                </c:pt>
                <c:pt idx="85">
                  <c:v>41781</c:v>
                </c:pt>
                <c:pt idx="86">
                  <c:v>41782</c:v>
                </c:pt>
                <c:pt idx="87">
                  <c:v>41786</c:v>
                </c:pt>
                <c:pt idx="88">
                  <c:v>41787</c:v>
                </c:pt>
                <c:pt idx="89">
                  <c:v>41788</c:v>
                </c:pt>
                <c:pt idx="90">
                  <c:v>41789</c:v>
                </c:pt>
                <c:pt idx="91">
                  <c:v>41792</c:v>
                </c:pt>
                <c:pt idx="92">
                  <c:v>41793</c:v>
                </c:pt>
                <c:pt idx="93">
                  <c:v>41794</c:v>
                </c:pt>
                <c:pt idx="94">
                  <c:v>41795</c:v>
                </c:pt>
                <c:pt idx="95">
                  <c:v>41796</c:v>
                </c:pt>
                <c:pt idx="96">
                  <c:v>41799</c:v>
                </c:pt>
                <c:pt idx="97">
                  <c:v>41800</c:v>
                </c:pt>
                <c:pt idx="98">
                  <c:v>41801</c:v>
                </c:pt>
                <c:pt idx="99">
                  <c:v>41802</c:v>
                </c:pt>
                <c:pt idx="100">
                  <c:v>41803</c:v>
                </c:pt>
                <c:pt idx="101">
                  <c:v>41806</c:v>
                </c:pt>
                <c:pt idx="102">
                  <c:v>41807</c:v>
                </c:pt>
                <c:pt idx="103">
                  <c:v>41808</c:v>
                </c:pt>
                <c:pt idx="104">
                  <c:v>41809</c:v>
                </c:pt>
                <c:pt idx="105">
                  <c:v>41810</c:v>
                </c:pt>
                <c:pt idx="106">
                  <c:v>41813</c:v>
                </c:pt>
                <c:pt idx="107">
                  <c:v>41814</c:v>
                </c:pt>
                <c:pt idx="108">
                  <c:v>41815</c:v>
                </c:pt>
                <c:pt idx="109">
                  <c:v>41816</c:v>
                </c:pt>
                <c:pt idx="110">
                  <c:v>41817</c:v>
                </c:pt>
                <c:pt idx="111">
                  <c:v>41820</c:v>
                </c:pt>
                <c:pt idx="112">
                  <c:v>41821</c:v>
                </c:pt>
                <c:pt idx="113">
                  <c:v>41822</c:v>
                </c:pt>
                <c:pt idx="114">
                  <c:v>41823</c:v>
                </c:pt>
                <c:pt idx="115">
                  <c:v>41827</c:v>
                </c:pt>
                <c:pt idx="116">
                  <c:v>41828</c:v>
                </c:pt>
                <c:pt idx="117">
                  <c:v>41829</c:v>
                </c:pt>
                <c:pt idx="118">
                  <c:v>41830</c:v>
                </c:pt>
                <c:pt idx="119">
                  <c:v>41831</c:v>
                </c:pt>
                <c:pt idx="120">
                  <c:v>41834</c:v>
                </c:pt>
                <c:pt idx="121">
                  <c:v>41835</c:v>
                </c:pt>
                <c:pt idx="122">
                  <c:v>41836</c:v>
                </c:pt>
                <c:pt idx="123">
                  <c:v>41837</c:v>
                </c:pt>
                <c:pt idx="124">
                  <c:v>41838</c:v>
                </c:pt>
                <c:pt idx="125">
                  <c:v>41841</c:v>
                </c:pt>
                <c:pt idx="126">
                  <c:v>41842</c:v>
                </c:pt>
                <c:pt idx="127">
                  <c:v>41843</c:v>
                </c:pt>
                <c:pt idx="128">
                  <c:v>41844</c:v>
                </c:pt>
                <c:pt idx="129">
                  <c:v>41845</c:v>
                </c:pt>
                <c:pt idx="130">
                  <c:v>41848</c:v>
                </c:pt>
                <c:pt idx="131">
                  <c:v>41849</c:v>
                </c:pt>
                <c:pt idx="132">
                  <c:v>41850</c:v>
                </c:pt>
                <c:pt idx="133">
                  <c:v>41851</c:v>
                </c:pt>
                <c:pt idx="134">
                  <c:v>41852</c:v>
                </c:pt>
                <c:pt idx="135">
                  <c:v>41855</c:v>
                </c:pt>
                <c:pt idx="136">
                  <c:v>41856</c:v>
                </c:pt>
                <c:pt idx="137">
                  <c:v>41857</c:v>
                </c:pt>
                <c:pt idx="138">
                  <c:v>41858</c:v>
                </c:pt>
                <c:pt idx="139">
                  <c:v>41859</c:v>
                </c:pt>
                <c:pt idx="140">
                  <c:v>41862</c:v>
                </c:pt>
                <c:pt idx="141">
                  <c:v>41863</c:v>
                </c:pt>
                <c:pt idx="142">
                  <c:v>41864</c:v>
                </c:pt>
                <c:pt idx="143">
                  <c:v>41865</c:v>
                </c:pt>
                <c:pt idx="144">
                  <c:v>41866</c:v>
                </c:pt>
                <c:pt idx="145">
                  <c:v>41869</c:v>
                </c:pt>
                <c:pt idx="146">
                  <c:v>41870</c:v>
                </c:pt>
                <c:pt idx="147">
                  <c:v>41871</c:v>
                </c:pt>
                <c:pt idx="148">
                  <c:v>41872</c:v>
                </c:pt>
                <c:pt idx="149">
                  <c:v>41873</c:v>
                </c:pt>
                <c:pt idx="150">
                  <c:v>41876</c:v>
                </c:pt>
                <c:pt idx="151">
                  <c:v>41877</c:v>
                </c:pt>
                <c:pt idx="152">
                  <c:v>41878</c:v>
                </c:pt>
                <c:pt idx="153">
                  <c:v>41879</c:v>
                </c:pt>
                <c:pt idx="154">
                  <c:v>41880</c:v>
                </c:pt>
                <c:pt idx="155">
                  <c:v>41884</c:v>
                </c:pt>
                <c:pt idx="156">
                  <c:v>41885</c:v>
                </c:pt>
                <c:pt idx="157">
                  <c:v>41886</c:v>
                </c:pt>
                <c:pt idx="158">
                  <c:v>41887</c:v>
                </c:pt>
                <c:pt idx="159">
                  <c:v>41890</c:v>
                </c:pt>
                <c:pt idx="160">
                  <c:v>41891</c:v>
                </c:pt>
                <c:pt idx="161">
                  <c:v>41892</c:v>
                </c:pt>
                <c:pt idx="162">
                  <c:v>41893</c:v>
                </c:pt>
                <c:pt idx="163">
                  <c:v>41894</c:v>
                </c:pt>
                <c:pt idx="164">
                  <c:v>41897</c:v>
                </c:pt>
                <c:pt idx="165">
                  <c:v>41898</c:v>
                </c:pt>
                <c:pt idx="166">
                  <c:v>41899</c:v>
                </c:pt>
                <c:pt idx="167">
                  <c:v>41900</c:v>
                </c:pt>
                <c:pt idx="168">
                  <c:v>41901</c:v>
                </c:pt>
                <c:pt idx="169">
                  <c:v>41904</c:v>
                </c:pt>
                <c:pt idx="170">
                  <c:v>41905</c:v>
                </c:pt>
                <c:pt idx="171">
                  <c:v>41906</c:v>
                </c:pt>
                <c:pt idx="172">
                  <c:v>41907</c:v>
                </c:pt>
                <c:pt idx="173">
                  <c:v>41908</c:v>
                </c:pt>
                <c:pt idx="174">
                  <c:v>41911</c:v>
                </c:pt>
                <c:pt idx="175">
                  <c:v>41912</c:v>
                </c:pt>
                <c:pt idx="176">
                  <c:v>41913</c:v>
                </c:pt>
                <c:pt idx="177">
                  <c:v>41914</c:v>
                </c:pt>
                <c:pt idx="178">
                  <c:v>41915</c:v>
                </c:pt>
                <c:pt idx="179">
                  <c:v>41918</c:v>
                </c:pt>
                <c:pt idx="180">
                  <c:v>41919</c:v>
                </c:pt>
                <c:pt idx="181">
                  <c:v>41920</c:v>
                </c:pt>
                <c:pt idx="182">
                  <c:v>41921</c:v>
                </c:pt>
                <c:pt idx="183">
                  <c:v>41922</c:v>
                </c:pt>
                <c:pt idx="184">
                  <c:v>41925</c:v>
                </c:pt>
                <c:pt idx="185">
                  <c:v>41926</c:v>
                </c:pt>
                <c:pt idx="186">
                  <c:v>41927</c:v>
                </c:pt>
                <c:pt idx="187">
                  <c:v>41928</c:v>
                </c:pt>
                <c:pt idx="188">
                  <c:v>41929</c:v>
                </c:pt>
                <c:pt idx="189">
                  <c:v>41932</c:v>
                </c:pt>
                <c:pt idx="190">
                  <c:v>41933</c:v>
                </c:pt>
                <c:pt idx="191">
                  <c:v>41934</c:v>
                </c:pt>
                <c:pt idx="192">
                  <c:v>41935</c:v>
                </c:pt>
                <c:pt idx="193">
                  <c:v>41936</c:v>
                </c:pt>
                <c:pt idx="194">
                  <c:v>41939</c:v>
                </c:pt>
                <c:pt idx="195">
                  <c:v>41940</c:v>
                </c:pt>
                <c:pt idx="196">
                  <c:v>41941</c:v>
                </c:pt>
                <c:pt idx="197">
                  <c:v>41942</c:v>
                </c:pt>
                <c:pt idx="198">
                  <c:v>41943</c:v>
                </c:pt>
                <c:pt idx="199">
                  <c:v>41946</c:v>
                </c:pt>
                <c:pt idx="200">
                  <c:v>41947</c:v>
                </c:pt>
                <c:pt idx="201">
                  <c:v>41948</c:v>
                </c:pt>
                <c:pt idx="202">
                  <c:v>41949</c:v>
                </c:pt>
                <c:pt idx="203">
                  <c:v>41950</c:v>
                </c:pt>
                <c:pt idx="204">
                  <c:v>41953</c:v>
                </c:pt>
                <c:pt idx="205">
                  <c:v>41954</c:v>
                </c:pt>
                <c:pt idx="206">
                  <c:v>41955</c:v>
                </c:pt>
                <c:pt idx="207">
                  <c:v>41956</c:v>
                </c:pt>
                <c:pt idx="208">
                  <c:v>41957</c:v>
                </c:pt>
                <c:pt idx="209">
                  <c:v>41960</c:v>
                </c:pt>
                <c:pt idx="210">
                  <c:v>41961</c:v>
                </c:pt>
                <c:pt idx="211">
                  <c:v>41962</c:v>
                </c:pt>
                <c:pt idx="212">
                  <c:v>41963</c:v>
                </c:pt>
                <c:pt idx="213">
                  <c:v>41964</c:v>
                </c:pt>
                <c:pt idx="214">
                  <c:v>41967</c:v>
                </c:pt>
                <c:pt idx="215">
                  <c:v>41968</c:v>
                </c:pt>
                <c:pt idx="216">
                  <c:v>41969</c:v>
                </c:pt>
                <c:pt idx="217">
                  <c:v>41971</c:v>
                </c:pt>
                <c:pt idx="218">
                  <c:v>41974</c:v>
                </c:pt>
                <c:pt idx="219">
                  <c:v>41975</c:v>
                </c:pt>
                <c:pt idx="220">
                  <c:v>41976</c:v>
                </c:pt>
                <c:pt idx="221">
                  <c:v>41977</c:v>
                </c:pt>
                <c:pt idx="222">
                  <c:v>41978</c:v>
                </c:pt>
                <c:pt idx="223">
                  <c:v>41981</c:v>
                </c:pt>
                <c:pt idx="224">
                  <c:v>41982</c:v>
                </c:pt>
                <c:pt idx="225">
                  <c:v>41983</c:v>
                </c:pt>
                <c:pt idx="226">
                  <c:v>41984</c:v>
                </c:pt>
                <c:pt idx="227">
                  <c:v>41985</c:v>
                </c:pt>
                <c:pt idx="228">
                  <c:v>41988</c:v>
                </c:pt>
                <c:pt idx="229">
                  <c:v>41989</c:v>
                </c:pt>
                <c:pt idx="230">
                  <c:v>41990</c:v>
                </c:pt>
                <c:pt idx="231">
                  <c:v>41991</c:v>
                </c:pt>
                <c:pt idx="232">
                  <c:v>41992</c:v>
                </c:pt>
                <c:pt idx="233">
                  <c:v>41995</c:v>
                </c:pt>
                <c:pt idx="234">
                  <c:v>41996</c:v>
                </c:pt>
                <c:pt idx="235">
                  <c:v>41997</c:v>
                </c:pt>
                <c:pt idx="236">
                  <c:v>41999</c:v>
                </c:pt>
                <c:pt idx="237">
                  <c:v>42002</c:v>
                </c:pt>
                <c:pt idx="238">
                  <c:v>42003</c:v>
                </c:pt>
                <c:pt idx="239">
                  <c:v>42004</c:v>
                </c:pt>
                <c:pt idx="240">
                  <c:v>42006</c:v>
                </c:pt>
                <c:pt idx="241">
                  <c:v>42009</c:v>
                </c:pt>
                <c:pt idx="242">
                  <c:v>42010</c:v>
                </c:pt>
                <c:pt idx="243">
                  <c:v>42011</c:v>
                </c:pt>
                <c:pt idx="244">
                  <c:v>42012</c:v>
                </c:pt>
                <c:pt idx="245">
                  <c:v>42013</c:v>
                </c:pt>
                <c:pt idx="246">
                  <c:v>42016</c:v>
                </c:pt>
                <c:pt idx="247">
                  <c:v>42017</c:v>
                </c:pt>
                <c:pt idx="248">
                  <c:v>42018</c:v>
                </c:pt>
                <c:pt idx="249">
                  <c:v>42019</c:v>
                </c:pt>
                <c:pt idx="250">
                  <c:v>42020</c:v>
                </c:pt>
                <c:pt idx="251">
                  <c:v>42024</c:v>
                </c:pt>
                <c:pt idx="252">
                  <c:v>42025</c:v>
                </c:pt>
                <c:pt idx="253">
                  <c:v>42026</c:v>
                </c:pt>
                <c:pt idx="254">
                  <c:v>42027</c:v>
                </c:pt>
                <c:pt idx="255">
                  <c:v>42030</c:v>
                </c:pt>
                <c:pt idx="256">
                  <c:v>42031</c:v>
                </c:pt>
                <c:pt idx="257">
                  <c:v>42032</c:v>
                </c:pt>
                <c:pt idx="258">
                  <c:v>42033</c:v>
                </c:pt>
                <c:pt idx="259">
                  <c:v>42034</c:v>
                </c:pt>
                <c:pt idx="260">
                  <c:v>42037</c:v>
                </c:pt>
                <c:pt idx="261">
                  <c:v>42038</c:v>
                </c:pt>
                <c:pt idx="262">
                  <c:v>42039</c:v>
                </c:pt>
                <c:pt idx="263">
                  <c:v>42040</c:v>
                </c:pt>
                <c:pt idx="264">
                  <c:v>42041</c:v>
                </c:pt>
                <c:pt idx="265">
                  <c:v>42044</c:v>
                </c:pt>
                <c:pt idx="266">
                  <c:v>42045</c:v>
                </c:pt>
                <c:pt idx="267">
                  <c:v>42046</c:v>
                </c:pt>
                <c:pt idx="268">
                  <c:v>42047</c:v>
                </c:pt>
                <c:pt idx="269">
                  <c:v>42048</c:v>
                </c:pt>
                <c:pt idx="270">
                  <c:v>42052</c:v>
                </c:pt>
                <c:pt idx="271">
                  <c:v>42053</c:v>
                </c:pt>
                <c:pt idx="272">
                  <c:v>42054</c:v>
                </c:pt>
                <c:pt idx="273">
                  <c:v>42055</c:v>
                </c:pt>
                <c:pt idx="274">
                  <c:v>42058</c:v>
                </c:pt>
                <c:pt idx="275">
                  <c:v>42059</c:v>
                </c:pt>
                <c:pt idx="276">
                  <c:v>42060</c:v>
                </c:pt>
                <c:pt idx="277">
                  <c:v>42061</c:v>
                </c:pt>
                <c:pt idx="278">
                  <c:v>42062</c:v>
                </c:pt>
                <c:pt idx="279">
                  <c:v>42065</c:v>
                </c:pt>
                <c:pt idx="280">
                  <c:v>42066</c:v>
                </c:pt>
                <c:pt idx="281">
                  <c:v>42067</c:v>
                </c:pt>
                <c:pt idx="282">
                  <c:v>42068</c:v>
                </c:pt>
                <c:pt idx="283">
                  <c:v>42069</c:v>
                </c:pt>
                <c:pt idx="284">
                  <c:v>42072</c:v>
                </c:pt>
                <c:pt idx="285">
                  <c:v>42073</c:v>
                </c:pt>
                <c:pt idx="286">
                  <c:v>42074</c:v>
                </c:pt>
                <c:pt idx="287">
                  <c:v>42075</c:v>
                </c:pt>
                <c:pt idx="288">
                  <c:v>42076</c:v>
                </c:pt>
                <c:pt idx="289">
                  <c:v>42079</c:v>
                </c:pt>
                <c:pt idx="290">
                  <c:v>42080</c:v>
                </c:pt>
                <c:pt idx="291">
                  <c:v>42081</c:v>
                </c:pt>
                <c:pt idx="292">
                  <c:v>42082</c:v>
                </c:pt>
                <c:pt idx="293">
                  <c:v>42083</c:v>
                </c:pt>
                <c:pt idx="294">
                  <c:v>42086</c:v>
                </c:pt>
                <c:pt idx="295">
                  <c:v>42087</c:v>
                </c:pt>
                <c:pt idx="296">
                  <c:v>42088</c:v>
                </c:pt>
                <c:pt idx="297">
                  <c:v>42089</c:v>
                </c:pt>
                <c:pt idx="298">
                  <c:v>42090</c:v>
                </c:pt>
                <c:pt idx="299">
                  <c:v>42093</c:v>
                </c:pt>
                <c:pt idx="300">
                  <c:v>42094</c:v>
                </c:pt>
                <c:pt idx="301">
                  <c:v>42095</c:v>
                </c:pt>
                <c:pt idx="302">
                  <c:v>42096</c:v>
                </c:pt>
                <c:pt idx="303">
                  <c:v>42100</c:v>
                </c:pt>
                <c:pt idx="304">
                  <c:v>42101</c:v>
                </c:pt>
                <c:pt idx="305">
                  <c:v>42102</c:v>
                </c:pt>
                <c:pt idx="306">
                  <c:v>42103</c:v>
                </c:pt>
                <c:pt idx="307">
                  <c:v>42104</c:v>
                </c:pt>
                <c:pt idx="308">
                  <c:v>42107</c:v>
                </c:pt>
                <c:pt idx="309">
                  <c:v>42108</c:v>
                </c:pt>
                <c:pt idx="310">
                  <c:v>42109</c:v>
                </c:pt>
                <c:pt idx="311">
                  <c:v>42110</c:v>
                </c:pt>
                <c:pt idx="312">
                  <c:v>42111</c:v>
                </c:pt>
                <c:pt idx="313">
                  <c:v>42114</c:v>
                </c:pt>
                <c:pt idx="314">
                  <c:v>42115</c:v>
                </c:pt>
                <c:pt idx="315">
                  <c:v>42116</c:v>
                </c:pt>
                <c:pt idx="316">
                  <c:v>42117</c:v>
                </c:pt>
                <c:pt idx="317">
                  <c:v>42118</c:v>
                </c:pt>
                <c:pt idx="318">
                  <c:v>42121</c:v>
                </c:pt>
                <c:pt idx="319">
                  <c:v>42122</c:v>
                </c:pt>
                <c:pt idx="320">
                  <c:v>42123</c:v>
                </c:pt>
                <c:pt idx="321">
                  <c:v>42124</c:v>
                </c:pt>
                <c:pt idx="322">
                  <c:v>42125</c:v>
                </c:pt>
                <c:pt idx="323">
                  <c:v>42128</c:v>
                </c:pt>
                <c:pt idx="324">
                  <c:v>42129</c:v>
                </c:pt>
                <c:pt idx="325">
                  <c:v>42130</c:v>
                </c:pt>
                <c:pt idx="326">
                  <c:v>42131</c:v>
                </c:pt>
                <c:pt idx="327">
                  <c:v>42132</c:v>
                </c:pt>
                <c:pt idx="328">
                  <c:v>42135</c:v>
                </c:pt>
                <c:pt idx="329">
                  <c:v>42136</c:v>
                </c:pt>
                <c:pt idx="330">
                  <c:v>42137</c:v>
                </c:pt>
                <c:pt idx="331">
                  <c:v>42138</c:v>
                </c:pt>
                <c:pt idx="332">
                  <c:v>42139</c:v>
                </c:pt>
                <c:pt idx="333">
                  <c:v>42142</c:v>
                </c:pt>
                <c:pt idx="334">
                  <c:v>42143</c:v>
                </c:pt>
                <c:pt idx="335">
                  <c:v>42144</c:v>
                </c:pt>
                <c:pt idx="336">
                  <c:v>42145</c:v>
                </c:pt>
                <c:pt idx="337">
                  <c:v>42146</c:v>
                </c:pt>
                <c:pt idx="338">
                  <c:v>42150</c:v>
                </c:pt>
                <c:pt idx="339">
                  <c:v>42151</c:v>
                </c:pt>
                <c:pt idx="340">
                  <c:v>42152</c:v>
                </c:pt>
                <c:pt idx="341">
                  <c:v>42153</c:v>
                </c:pt>
                <c:pt idx="342">
                  <c:v>42156</c:v>
                </c:pt>
                <c:pt idx="343">
                  <c:v>42157</c:v>
                </c:pt>
                <c:pt idx="344">
                  <c:v>42158</c:v>
                </c:pt>
                <c:pt idx="345">
                  <c:v>42159</c:v>
                </c:pt>
                <c:pt idx="346">
                  <c:v>42160</c:v>
                </c:pt>
                <c:pt idx="347">
                  <c:v>42163</c:v>
                </c:pt>
                <c:pt idx="348">
                  <c:v>42164</c:v>
                </c:pt>
                <c:pt idx="349">
                  <c:v>42165</c:v>
                </c:pt>
                <c:pt idx="350">
                  <c:v>42166</c:v>
                </c:pt>
                <c:pt idx="351">
                  <c:v>42167</c:v>
                </c:pt>
                <c:pt idx="352">
                  <c:v>42170</c:v>
                </c:pt>
                <c:pt idx="353">
                  <c:v>42171</c:v>
                </c:pt>
                <c:pt idx="354">
                  <c:v>42172</c:v>
                </c:pt>
                <c:pt idx="355">
                  <c:v>42173</c:v>
                </c:pt>
                <c:pt idx="356">
                  <c:v>42174</c:v>
                </c:pt>
                <c:pt idx="357">
                  <c:v>42177</c:v>
                </c:pt>
                <c:pt idx="358">
                  <c:v>42178</c:v>
                </c:pt>
                <c:pt idx="359">
                  <c:v>42179</c:v>
                </c:pt>
                <c:pt idx="360">
                  <c:v>42180</c:v>
                </c:pt>
                <c:pt idx="361">
                  <c:v>42181</c:v>
                </c:pt>
                <c:pt idx="362">
                  <c:v>42184</c:v>
                </c:pt>
                <c:pt idx="363">
                  <c:v>42185</c:v>
                </c:pt>
                <c:pt idx="364">
                  <c:v>42186</c:v>
                </c:pt>
                <c:pt idx="365">
                  <c:v>42187</c:v>
                </c:pt>
                <c:pt idx="366">
                  <c:v>42191</c:v>
                </c:pt>
                <c:pt idx="367">
                  <c:v>42192</c:v>
                </c:pt>
                <c:pt idx="368">
                  <c:v>42193</c:v>
                </c:pt>
                <c:pt idx="369">
                  <c:v>42194</c:v>
                </c:pt>
                <c:pt idx="370">
                  <c:v>42195</c:v>
                </c:pt>
                <c:pt idx="371">
                  <c:v>42198</c:v>
                </c:pt>
                <c:pt idx="372">
                  <c:v>42199</c:v>
                </c:pt>
                <c:pt idx="373">
                  <c:v>42200</c:v>
                </c:pt>
                <c:pt idx="374">
                  <c:v>42201</c:v>
                </c:pt>
                <c:pt idx="375">
                  <c:v>42202</c:v>
                </c:pt>
                <c:pt idx="376">
                  <c:v>42205</c:v>
                </c:pt>
                <c:pt idx="377">
                  <c:v>42206</c:v>
                </c:pt>
                <c:pt idx="378">
                  <c:v>42207</c:v>
                </c:pt>
                <c:pt idx="379">
                  <c:v>42208</c:v>
                </c:pt>
                <c:pt idx="380">
                  <c:v>42209</c:v>
                </c:pt>
                <c:pt idx="381">
                  <c:v>42212</c:v>
                </c:pt>
                <c:pt idx="382">
                  <c:v>42213</c:v>
                </c:pt>
                <c:pt idx="383">
                  <c:v>42214</c:v>
                </c:pt>
                <c:pt idx="384">
                  <c:v>42215</c:v>
                </c:pt>
                <c:pt idx="385">
                  <c:v>42216</c:v>
                </c:pt>
                <c:pt idx="386">
                  <c:v>42219</c:v>
                </c:pt>
                <c:pt idx="387">
                  <c:v>42220</c:v>
                </c:pt>
                <c:pt idx="388">
                  <c:v>42221</c:v>
                </c:pt>
                <c:pt idx="389">
                  <c:v>42222</c:v>
                </c:pt>
                <c:pt idx="390">
                  <c:v>42223</c:v>
                </c:pt>
                <c:pt idx="391">
                  <c:v>42226</c:v>
                </c:pt>
                <c:pt idx="392">
                  <c:v>42227</c:v>
                </c:pt>
                <c:pt idx="393">
                  <c:v>42228</c:v>
                </c:pt>
                <c:pt idx="394">
                  <c:v>42229</c:v>
                </c:pt>
                <c:pt idx="395">
                  <c:v>42230</c:v>
                </c:pt>
                <c:pt idx="396">
                  <c:v>42233</c:v>
                </c:pt>
                <c:pt idx="397">
                  <c:v>42234</c:v>
                </c:pt>
                <c:pt idx="398">
                  <c:v>42235</c:v>
                </c:pt>
                <c:pt idx="399">
                  <c:v>42236</c:v>
                </c:pt>
                <c:pt idx="400">
                  <c:v>42237</c:v>
                </c:pt>
                <c:pt idx="401">
                  <c:v>42240</c:v>
                </c:pt>
                <c:pt idx="402">
                  <c:v>42241</c:v>
                </c:pt>
                <c:pt idx="403">
                  <c:v>42242</c:v>
                </c:pt>
                <c:pt idx="404">
                  <c:v>42243</c:v>
                </c:pt>
                <c:pt idx="405">
                  <c:v>42244</c:v>
                </c:pt>
                <c:pt idx="406">
                  <c:v>42247</c:v>
                </c:pt>
                <c:pt idx="407">
                  <c:v>42248</c:v>
                </c:pt>
                <c:pt idx="408">
                  <c:v>42249</c:v>
                </c:pt>
                <c:pt idx="409">
                  <c:v>42250</c:v>
                </c:pt>
                <c:pt idx="410">
                  <c:v>42251</c:v>
                </c:pt>
                <c:pt idx="411">
                  <c:v>42255</c:v>
                </c:pt>
                <c:pt idx="412">
                  <c:v>42256</c:v>
                </c:pt>
                <c:pt idx="413">
                  <c:v>42257</c:v>
                </c:pt>
                <c:pt idx="414">
                  <c:v>42258</c:v>
                </c:pt>
                <c:pt idx="415">
                  <c:v>42261</c:v>
                </c:pt>
                <c:pt idx="416">
                  <c:v>42262</c:v>
                </c:pt>
                <c:pt idx="417">
                  <c:v>42263</c:v>
                </c:pt>
                <c:pt idx="418">
                  <c:v>42264</c:v>
                </c:pt>
                <c:pt idx="419">
                  <c:v>42265</c:v>
                </c:pt>
                <c:pt idx="420">
                  <c:v>42268</c:v>
                </c:pt>
                <c:pt idx="421">
                  <c:v>42269</c:v>
                </c:pt>
                <c:pt idx="422">
                  <c:v>42270</c:v>
                </c:pt>
                <c:pt idx="423">
                  <c:v>42271</c:v>
                </c:pt>
                <c:pt idx="424">
                  <c:v>42272</c:v>
                </c:pt>
                <c:pt idx="425">
                  <c:v>42275</c:v>
                </c:pt>
                <c:pt idx="426">
                  <c:v>42276</c:v>
                </c:pt>
                <c:pt idx="427">
                  <c:v>42277</c:v>
                </c:pt>
                <c:pt idx="428">
                  <c:v>42278</c:v>
                </c:pt>
                <c:pt idx="429">
                  <c:v>42279</c:v>
                </c:pt>
                <c:pt idx="430">
                  <c:v>42282</c:v>
                </c:pt>
                <c:pt idx="431">
                  <c:v>42283</c:v>
                </c:pt>
                <c:pt idx="432">
                  <c:v>42284</c:v>
                </c:pt>
                <c:pt idx="433">
                  <c:v>42285</c:v>
                </c:pt>
                <c:pt idx="434">
                  <c:v>42286</c:v>
                </c:pt>
                <c:pt idx="435">
                  <c:v>42289</c:v>
                </c:pt>
                <c:pt idx="436">
                  <c:v>42290</c:v>
                </c:pt>
                <c:pt idx="437">
                  <c:v>42291</c:v>
                </c:pt>
                <c:pt idx="438">
                  <c:v>42292</c:v>
                </c:pt>
                <c:pt idx="439">
                  <c:v>42293</c:v>
                </c:pt>
                <c:pt idx="440">
                  <c:v>42296</c:v>
                </c:pt>
                <c:pt idx="441">
                  <c:v>42297</c:v>
                </c:pt>
                <c:pt idx="442">
                  <c:v>42298</c:v>
                </c:pt>
                <c:pt idx="443">
                  <c:v>42299</c:v>
                </c:pt>
                <c:pt idx="444">
                  <c:v>42300</c:v>
                </c:pt>
                <c:pt idx="445">
                  <c:v>42303</c:v>
                </c:pt>
                <c:pt idx="446">
                  <c:v>42304</c:v>
                </c:pt>
                <c:pt idx="447">
                  <c:v>42305</c:v>
                </c:pt>
                <c:pt idx="448">
                  <c:v>42306</c:v>
                </c:pt>
                <c:pt idx="449">
                  <c:v>42307</c:v>
                </c:pt>
                <c:pt idx="450">
                  <c:v>42310</c:v>
                </c:pt>
                <c:pt idx="451">
                  <c:v>42311</c:v>
                </c:pt>
                <c:pt idx="452">
                  <c:v>42312</c:v>
                </c:pt>
                <c:pt idx="453">
                  <c:v>42313</c:v>
                </c:pt>
                <c:pt idx="454">
                  <c:v>42314</c:v>
                </c:pt>
                <c:pt idx="455">
                  <c:v>42317</c:v>
                </c:pt>
                <c:pt idx="456">
                  <c:v>42318</c:v>
                </c:pt>
                <c:pt idx="457">
                  <c:v>42319</c:v>
                </c:pt>
                <c:pt idx="458">
                  <c:v>42320</c:v>
                </c:pt>
                <c:pt idx="459">
                  <c:v>42321</c:v>
                </c:pt>
                <c:pt idx="460">
                  <c:v>42324</c:v>
                </c:pt>
                <c:pt idx="461">
                  <c:v>42325</c:v>
                </c:pt>
                <c:pt idx="462">
                  <c:v>42326</c:v>
                </c:pt>
                <c:pt idx="463">
                  <c:v>42327</c:v>
                </c:pt>
                <c:pt idx="464">
                  <c:v>42328</c:v>
                </c:pt>
                <c:pt idx="465">
                  <c:v>42331</c:v>
                </c:pt>
                <c:pt idx="466">
                  <c:v>42332</c:v>
                </c:pt>
                <c:pt idx="467">
                  <c:v>42333</c:v>
                </c:pt>
                <c:pt idx="468">
                  <c:v>42335</c:v>
                </c:pt>
                <c:pt idx="469">
                  <c:v>42338</c:v>
                </c:pt>
                <c:pt idx="470">
                  <c:v>42339</c:v>
                </c:pt>
                <c:pt idx="471">
                  <c:v>42340</c:v>
                </c:pt>
                <c:pt idx="472">
                  <c:v>42341</c:v>
                </c:pt>
                <c:pt idx="473">
                  <c:v>42342</c:v>
                </c:pt>
                <c:pt idx="474">
                  <c:v>42345</c:v>
                </c:pt>
                <c:pt idx="475">
                  <c:v>42346</c:v>
                </c:pt>
                <c:pt idx="476">
                  <c:v>42347</c:v>
                </c:pt>
                <c:pt idx="477">
                  <c:v>42348</c:v>
                </c:pt>
                <c:pt idx="478">
                  <c:v>42349</c:v>
                </c:pt>
                <c:pt idx="479">
                  <c:v>42352</c:v>
                </c:pt>
                <c:pt idx="480">
                  <c:v>42353</c:v>
                </c:pt>
                <c:pt idx="481">
                  <c:v>42354</c:v>
                </c:pt>
                <c:pt idx="482">
                  <c:v>42355</c:v>
                </c:pt>
                <c:pt idx="483">
                  <c:v>42356</c:v>
                </c:pt>
                <c:pt idx="484">
                  <c:v>42359</c:v>
                </c:pt>
                <c:pt idx="485">
                  <c:v>42360</c:v>
                </c:pt>
                <c:pt idx="486">
                  <c:v>42361</c:v>
                </c:pt>
                <c:pt idx="487">
                  <c:v>42362</c:v>
                </c:pt>
                <c:pt idx="488">
                  <c:v>42366</c:v>
                </c:pt>
                <c:pt idx="489">
                  <c:v>42367</c:v>
                </c:pt>
                <c:pt idx="490">
                  <c:v>42368</c:v>
                </c:pt>
                <c:pt idx="491">
                  <c:v>42369</c:v>
                </c:pt>
                <c:pt idx="492">
                  <c:v>42373</c:v>
                </c:pt>
                <c:pt idx="493">
                  <c:v>42374</c:v>
                </c:pt>
                <c:pt idx="494">
                  <c:v>42375</c:v>
                </c:pt>
                <c:pt idx="495">
                  <c:v>42376</c:v>
                </c:pt>
                <c:pt idx="496">
                  <c:v>42377</c:v>
                </c:pt>
                <c:pt idx="497">
                  <c:v>42380</c:v>
                </c:pt>
                <c:pt idx="498">
                  <c:v>42381</c:v>
                </c:pt>
                <c:pt idx="499">
                  <c:v>42382</c:v>
                </c:pt>
                <c:pt idx="500">
                  <c:v>42383</c:v>
                </c:pt>
                <c:pt idx="501">
                  <c:v>42384</c:v>
                </c:pt>
                <c:pt idx="502">
                  <c:v>42388</c:v>
                </c:pt>
                <c:pt idx="503">
                  <c:v>42389</c:v>
                </c:pt>
                <c:pt idx="504">
                  <c:v>42390</c:v>
                </c:pt>
                <c:pt idx="505">
                  <c:v>42391</c:v>
                </c:pt>
                <c:pt idx="506">
                  <c:v>42394</c:v>
                </c:pt>
                <c:pt idx="507">
                  <c:v>42395</c:v>
                </c:pt>
                <c:pt idx="508">
                  <c:v>42396</c:v>
                </c:pt>
                <c:pt idx="509">
                  <c:v>42397</c:v>
                </c:pt>
                <c:pt idx="510">
                  <c:v>42398</c:v>
                </c:pt>
                <c:pt idx="511">
                  <c:v>42401</c:v>
                </c:pt>
                <c:pt idx="512">
                  <c:v>42402</c:v>
                </c:pt>
                <c:pt idx="513">
                  <c:v>42403</c:v>
                </c:pt>
                <c:pt idx="514">
                  <c:v>42404</c:v>
                </c:pt>
                <c:pt idx="515">
                  <c:v>42405</c:v>
                </c:pt>
                <c:pt idx="516">
                  <c:v>42408</c:v>
                </c:pt>
                <c:pt idx="517">
                  <c:v>42409</c:v>
                </c:pt>
                <c:pt idx="518">
                  <c:v>42410</c:v>
                </c:pt>
                <c:pt idx="519">
                  <c:v>42411</c:v>
                </c:pt>
                <c:pt idx="520">
                  <c:v>42412</c:v>
                </c:pt>
                <c:pt idx="521">
                  <c:v>42416</c:v>
                </c:pt>
                <c:pt idx="522">
                  <c:v>42417</c:v>
                </c:pt>
                <c:pt idx="523">
                  <c:v>42418</c:v>
                </c:pt>
                <c:pt idx="524">
                  <c:v>42419</c:v>
                </c:pt>
                <c:pt idx="525">
                  <c:v>42422</c:v>
                </c:pt>
                <c:pt idx="526">
                  <c:v>42423</c:v>
                </c:pt>
                <c:pt idx="527">
                  <c:v>42424</c:v>
                </c:pt>
                <c:pt idx="528">
                  <c:v>42425</c:v>
                </c:pt>
                <c:pt idx="529">
                  <c:v>42426</c:v>
                </c:pt>
                <c:pt idx="530">
                  <c:v>42429</c:v>
                </c:pt>
                <c:pt idx="531">
                  <c:v>42430</c:v>
                </c:pt>
                <c:pt idx="532">
                  <c:v>42431</c:v>
                </c:pt>
                <c:pt idx="533">
                  <c:v>42432</c:v>
                </c:pt>
                <c:pt idx="534">
                  <c:v>42433</c:v>
                </c:pt>
                <c:pt idx="535">
                  <c:v>42436</c:v>
                </c:pt>
                <c:pt idx="536">
                  <c:v>42437</c:v>
                </c:pt>
                <c:pt idx="537">
                  <c:v>42438</c:v>
                </c:pt>
                <c:pt idx="538">
                  <c:v>42439</c:v>
                </c:pt>
                <c:pt idx="539">
                  <c:v>42440</c:v>
                </c:pt>
                <c:pt idx="540">
                  <c:v>42443</c:v>
                </c:pt>
                <c:pt idx="541">
                  <c:v>42444</c:v>
                </c:pt>
                <c:pt idx="542">
                  <c:v>42445</c:v>
                </c:pt>
                <c:pt idx="543">
                  <c:v>42446</c:v>
                </c:pt>
                <c:pt idx="544">
                  <c:v>42447</c:v>
                </c:pt>
                <c:pt idx="545">
                  <c:v>42450</c:v>
                </c:pt>
                <c:pt idx="546">
                  <c:v>42451</c:v>
                </c:pt>
                <c:pt idx="547">
                  <c:v>42452</c:v>
                </c:pt>
                <c:pt idx="548">
                  <c:v>42453</c:v>
                </c:pt>
                <c:pt idx="549">
                  <c:v>42457</c:v>
                </c:pt>
                <c:pt idx="550">
                  <c:v>42458</c:v>
                </c:pt>
                <c:pt idx="551">
                  <c:v>42459</c:v>
                </c:pt>
                <c:pt idx="552">
                  <c:v>42460</c:v>
                </c:pt>
                <c:pt idx="553">
                  <c:v>42461</c:v>
                </c:pt>
                <c:pt idx="554">
                  <c:v>42464</c:v>
                </c:pt>
                <c:pt idx="555">
                  <c:v>42465</c:v>
                </c:pt>
                <c:pt idx="556">
                  <c:v>42466</c:v>
                </c:pt>
                <c:pt idx="557">
                  <c:v>42467</c:v>
                </c:pt>
                <c:pt idx="558">
                  <c:v>42468</c:v>
                </c:pt>
                <c:pt idx="559">
                  <c:v>42471</c:v>
                </c:pt>
                <c:pt idx="560">
                  <c:v>42472</c:v>
                </c:pt>
                <c:pt idx="561">
                  <c:v>42473</c:v>
                </c:pt>
                <c:pt idx="562">
                  <c:v>42474</c:v>
                </c:pt>
                <c:pt idx="563">
                  <c:v>42475</c:v>
                </c:pt>
                <c:pt idx="564">
                  <c:v>42478</c:v>
                </c:pt>
                <c:pt idx="565">
                  <c:v>42479</c:v>
                </c:pt>
                <c:pt idx="566">
                  <c:v>42480</c:v>
                </c:pt>
                <c:pt idx="567">
                  <c:v>42481</c:v>
                </c:pt>
                <c:pt idx="568">
                  <c:v>42482</c:v>
                </c:pt>
                <c:pt idx="569">
                  <c:v>42485</c:v>
                </c:pt>
                <c:pt idx="570">
                  <c:v>42486</c:v>
                </c:pt>
                <c:pt idx="571">
                  <c:v>42487</c:v>
                </c:pt>
                <c:pt idx="572">
                  <c:v>42488</c:v>
                </c:pt>
                <c:pt idx="573">
                  <c:v>42489</c:v>
                </c:pt>
                <c:pt idx="574">
                  <c:v>42492</c:v>
                </c:pt>
                <c:pt idx="575">
                  <c:v>42493</c:v>
                </c:pt>
                <c:pt idx="576">
                  <c:v>42494</c:v>
                </c:pt>
                <c:pt idx="577">
                  <c:v>42495</c:v>
                </c:pt>
                <c:pt idx="578">
                  <c:v>42496</c:v>
                </c:pt>
                <c:pt idx="579">
                  <c:v>42499</c:v>
                </c:pt>
                <c:pt idx="580">
                  <c:v>42500</c:v>
                </c:pt>
                <c:pt idx="581">
                  <c:v>42501</c:v>
                </c:pt>
                <c:pt idx="582">
                  <c:v>42502</c:v>
                </c:pt>
                <c:pt idx="583">
                  <c:v>42503</c:v>
                </c:pt>
                <c:pt idx="584">
                  <c:v>42506</c:v>
                </c:pt>
                <c:pt idx="585">
                  <c:v>42507</c:v>
                </c:pt>
                <c:pt idx="586">
                  <c:v>42508</c:v>
                </c:pt>
                <c:pt idx="587">
                  <c:v>42509</c:v>
                </c:pt>
                <c:pt idx="588">
                  <c:v>42510</c:v>
                </c:pt>
                <c:pt idx="589">
                  <c:v>42513</c:v>
                </c:pt>
                <c:pt idx="590">
                  <c:v>42514</c:v>
                </c:pt>
                <c:pt idx="591">
                  <c:v>42515</c:v>
                </c:pt>
                <c:pt idx="592">
                  <c:v>42516</c:v>
                </c:pt>
                <c:pt idx="593">
                  <c:v>42517</c:v>
                </c:pt>
                <c:pt idx="594">
                  <c:v>42521</c:v>
                </c:pt>
                <c:pt idx="595">
                  <c:v>42522</c:v>
                </c:pt>
                <c:pt idx="596">
                  <c:v>42523</c:v>
                </c:pt>
                <c:pt idx="597">
                  <c:v>42524</c:v>
                </c:pt>
                <c:pt idx="598">
                  <c:v>42527</c:v>
                </c:pt>
                <c:pt idx="599">
                  <c:v>42528</c:v>
                </c:pt>
                <c:pt idx="600">
                  <c:v>42529</c:v>
                </c:pt>
                <c:pt idx="601">
                  <c:v>42530</c:v>
                </c:pt>
                <c:pt idx="602">
                  <c:v>42531</c:v>
                </c:pt>
                <c:pt idx="603">
                  <c:v>42534</c:v>
                </c:pt>
                <c:pt idx="604">
                  <c:v>42535</c:v>
                </c:pt>
                <c:pt idx="605">
                  <c:v>42536</c:v>
                </c:pt>
                <c:pt idx="606">
                  <c:v>42537</c:v>
                </c:pt>
                <c:pt idx="607">
                  <c:v>42538</c:v>
                </c:pt>
                <c:pt idx="608">
                  <c:v>42541</c:v>
                </c:pt>
                <c:pt idx="609">
                  <c:v>42542</c:v>
                </c:pt>
                <c:pt idx="610">
                  <c:v>42543</c:v>
                </c:pt>
                <c:pt idx="611">
                  <c:v>42544</c:v>
                </c:pt>
                <c:pt idx="612">
                  <c:v>42545</c:v>
                </c:pt>
                <c:pt idx="613">
                  <c:v>42548</c:v>
                </c:pt>
                <c:pt idx="614">
                  <c:v>42549</c:v>
                </c:pt>
                <c:pt idx="615">
                  <c:v>42550</c:v>
                </c:pt>
                <c:pt idx="616">
                  <c:v>42551</c:v>
                </c:pt>
                <c:pt idx="617">
                  <c:v>42552</c:v>
                </c:pt>
                <c:pt idx="618">
                  <c:v>42556</c:v>
                </c:pt>
                <c:pt idx="619">
                  <c:v>42557</c:v>
                </c:pt>
                <c:pt idx="620">
                  <c:v>42558</c:v>
                </c:pt>
                <c:pt idx="621">
                  <c:v>42559</c:v>
                </c:pt>
                <c:pt idx="622">
                  <c:v>42562</c:v>
                </c:pt>
                <c:pt idx="623">
                  <c:v>42563</c:v>
                </c:pt>
                <c:pt idx="624">
                  <c:v>42564</c:v>
                </c:pt>
                <c:pt idx="625">
                  <c:v>42565</c:v>
                </c:pt>
                <c:pt idx="626">
                  <c:v>42566</c:v>
                </c:pt>
                <c:pt idx="627">
                  <c:v>42569</c:v>
                </c:pt>
                <c:pt idx="628">
                  <c:v>42570</c:v>
                </c:pt>
                <c:pt idx="629">
                  <c:v>42571</c:v>
                </c:pt>
                <c:pt idx="630">
                  <c:v>42572</c:v>
                </c:pt>
                <c:pt idx="631">
                  <c:v>42573</c:v>
                </c:pt>
                <c:pt idx="632">
                  <c:v>42576</c:v>
                </c:pt>
                <c:pt idx="633">
                  <c:v>42577</c:v>
                </c:pt>
                <c:pt idx="634">
                  <c:v>42578</c:v>
                </c:pt>
                <c:pt idx="635">
                  <c:v>42579</c:v>
                </c:pt>
                <c:pt idx="636">
                  <c:v>42580</c:v>
                </c:pt>
                <c:pt idx="637">
                  <c:v>42583</c:v>
                </c:pt>
                <c:pt idx="638">
                  <c:v>42584</c:v>
                </c:pt>
                <c:pt idx="639">
                  <c:v>42585</c:v>
                </c:pt>
                <c:pt idx="640">
                  <c:v>42586</c:v>
                </c:pt>
                <c:pt idx="641">
                  <c:v>42587</c:v>
                </c:pt>
                <c:pt idx="642">
                  <c:v>42590</c:v>
                </c:pt>
                <c:pt idx="643">
                  <c:v>42591</c:v>
                </c:pt>
                <c:pt idx="644">
                  <c:v>42592</c:v>
                </c:pt>
                <c:pt idx="645">
                  <c:v>42593</c:v>
                </c:pt>
                <c:pt idx="646">
                  <c:v>42594</c:v>
                </c:pt>
                <c:pt idx="647">
                  <c:v>42597</c:v>
                </c:pt>
                <c:pt idx="648">
                  <c:v>42598</c:v>
                </c:pt>
                <c:pt idx="649">
                  <c:v>42599</c:v>
                </c:pt>
                <c:pt idx="650">
                  <c:v>42600</c:v>
                </c:pt>
                <c:pt idx="651">
                  <c:v>42601</c:v>
                </c:pt>
                <c:pt idx="652">
                  <c:v>42604</c:v>
                </c:pt>
                <c:pt idx="653">
                  <c:v>42605</c:v>
                </c:pt>
                <c:pt idx="654">
                  <c:v>42606</c:v>
                </c:pt>
                <c:pt idx="655">
                  <c:v>42607</c:v>
                </c:pt>
                <c:pt idx="656">
                  <c:v>42608</c:v>
                </c:pt>
                <c:pt idx="657">
                  <c:v>42611</c:v>
                </c:pt>
                <c:pt idx="658">
                  <c:v>42612</c:v>
                </c:pt>
                <c:pt idx="659">
                  <c:v>42613</c:v>
                </c:pt>
                <c:pt idx="660">
                  <c:v>42614</c:v>
                </c:pt>
                <c:pt idx="661">
                  <c:v>42615</c:v>
                </c:pt>
                <c:pt idx="662">
                  <c:v>42619</c:v>
                </c:pt>
                <c:pt idx="663">
                  <c:v>42620</c:v>
                </c:pt>
                <c:pt idx="664">
                  <c:v>42621</c:v>
                </c:pt>
                <c:pt idx="665">
                  <c:v>42622</c:v>
                </c:pt>
                <c:pt idx="666">
                  <c:v>42625</c:v>
                </c:pt>
                <c:pt idx="667">
                  <c:v>42626</c:v>
                </c:pt>
                <c:pt idx="668">
                  <c:v>42627</c:v>
                </c:pt>
                <c:pt idx="669">
                  <c:v>42628</c:v>
                </c:pt>
                <c:pt idx="670">
                  <c:v>42629</c:v>
                </c:pt>
                <c:pt idx="671">
                  <c:v>42632</c:v>
                </c:pt>
                <c:pt idx="672">
                  <c:v>42633</c:v>
                </c:pt>
                <c:pt idx="673">
                  <c:v>42634</c:v>
                </c:pt>
                <c:pt idx="674">
                  <c:v>42635</c:v>
                </c:pt>
                <c:pt idx="675">
                  <c:v>42636</c:v>
                </c:pt>
                <c:pt idx="676">
                  <c:v>42639</c:v>
                </c:pt>
                <c:pt idx="677">
                  <c:v>42640</c:v>
                </c:pt>
                <c:pt idx="678">
                  <c:v>42641</c:v>
                </c:pt>
                <c:pt idx="679">
                  <c:v>42642</c:v>
                </c:pt>
                <c:pt idx="680">
                  <c:v>42643</c:v>
                </c:pt>
                <c:pt idx="681">
                  <c:v>42646</c:v>
                </c:pt>
                <c:pt idx="682">
                  <c:v>42647</c:v>
                </c:pt>
                <c:pt idx="683">
                  <c:v>42648</c:v>
                </c:pt>
                <c:pt idx="684">
                  <c:v>42649</c:v>
                </c:pt>
                <c:pt idx="685">
                  <c:v>42650</c:v>
                </c:pt>
                <c:pt idx="686">
                  <c:v>42653</c:v>
                </c:pt>
                <c:pt idx="687">
                  <c:v>42654</c:v>
                </c:pt>
                <c:pt idx="688">
                  <c:v>42655</c:v>
                </c:pt>
                <c:pt idx="689">
                  <c:v>42656</c:v>
                </c:pt>
                <c:pt idx="690">
                  <c:v>42657</c:v>
                </c:pt>
                <c:pt idx="691">
                  <c:v>42660</c:v>
                </c:pt>
                <c:pt idx="692">
                  <c:v>42661</c:v>
                </c:pt>
                <c:pt idx="693">
                  <c:v>42662</c:v>
                </c:pt>
                <c:pt idx="694">
                  <c:v>42663</c:v>
                </c:pt>
                <c:pt idx="695">
                  <c:v>42664</c:v>
                </c:pt>
                <c:pt idx="696">
                  <c:v>42667</c:v>
                </c:pt>
                <c:pt idx="697">
                  <c:v>42668</c:v>
                </c:pt>
                <c:pt idx="698">
                  <c:v>42669</c:v>
                </c:pt>
                <c:pt idx="699">
                  <c:v>42670</c:v>
                </c:pt>
                <c:pt idx="700">
                  <c:v>42671</c:v>
                </c:pt>
                <c:pt idx="701">
                  <c:v>42674</c:v>
                </c:pt>
                <c:pt idx="702">
                  <c:v>42675</c:v>
                </c:pt>
                <c:pt idx="703">
                  <c:v>42676</c:v>
                </c:pt>
                <c:pt idx="704">
                  <c:v>42677</c:v>
                </c:pt>
                <c:pt idx="705">
                  <c:v>42678</c:v>
                </c:pt>
                <c:pt idx="706">
                  <c:v>42681</c:v>
                </c:pt>
                <c:pt idx="707">
                  <c:v>42682</c:v>
                </c:pt>
                <c:pt idx="708">
                  <c:v>42683</c:v>
                </c:pt>
                <c:pt idx="709">
                  <c:v>42684</c:v>
                </c:pt>
                <c:pt idx="710">
                  <c:v>42685</c:v>
                </c:pt>
                <c:pt idx="711">
                  <c:v>42688</c:v>
                </c:pt>
                <c:pt idx="712">
                  <c:v>42689</c:v>
                </c:pt>
                <c:pt idx="713">
                  <c:v>42690</c:v>
                </c:pt>
                <c:pt idx="714">
                  <c:v>42691</c:v>
                </c:pt>
                <c:pt idx="715">
                  <c:v>42692</c:v>
                </c:pt>
                <c:pt idx="716">
                  <c:v>42695</c:v>
                </c:pt>
                <c:pt idx="717">
                  <c:v>42696</c:v>
                </c:pt>
                <c:pt idx="718">
                  <c:v>42697</c:v>
                </c:pt>
                <c:pt idx="719">
                  <c:v>42699</c:v>
                </c:pt>
                <c:pt idx="720">
                  <c:v>42702</c:v>
                </c:pt>
                <c:pt idx="721">
                  <c:v>42703</c:v>
                </c:pt>
                <c:pt idx="722">
                  <c:v>42704</c:v>
                </c:pt>
                <c:pt idx="723">
                  <c:v>42705</c:v>
                </c:pt>
                <c:pt idx="724">
                  <c:v>42706</c:v>
                </c:pt>
                <c:pt idx="725">
                  <c:v>42709</c:v>
                </c:pt>
                <c:pt idx="726">
                  <c:v>42710</c:v>
                </c:pt>
                <c:pt idx="727">
                  <c:v>42711</c:v>
                </c:pt>
                <c:pt idx="728">
                  <c:v>42712</c:v>
                </c:pt>
                <c:pt idx="729">
                  <c:v>42713</c:v>
                </c:pt>
                <c:pt idx="730">
                  <c:v>42716</c:v>
                </c:pt>
                <c:pt idx="731">
                  <c:v>42717</c:v>
                </c:pt>
                <c:pt idx="732">
                  <c:v>42718</c:v>
                </c:pt>
                <c:pt idx="733">
                  <c:v>42719</c:v>
                </c:pt>
                <c:pt idx="734">
                  <c:v>42720</c:v>
                </c:pt>
                <c:pt idx="735">
                  <c:v>42723</c:v>
                </c:pt>
                <c:pt idx="736">
                  <c:v>42724</c:v>
                </c:pt>
                <c:pt idx="737">
                  <c:v>42725</c:v>
                </c:pt>
                <c:pt idx="738">
                  <c:v>42726</c:v>
                </c:pt>
                <c:pt idx="739">
                  <c:v>42727</c:v>
                </c:pt>
                <c:pt idx="740">
                  <c:v>42731</c:v>
                </c:pt>
                <c:pt idx="741">
                  <c:v>42732</c:v>
                </c:pt>
                <c:pt idx="742">
                  <c:v>42733</c:v>
                </c:pt>
                <c:pt idx="743">
                  <c:v>42734</c:v>
                </c:pt>
                <c:pt idx="744">
                  <c:v>42738</c:v>
                </c:pt>
                <c:pt idx="745">
                  <c:v>42739</c:v>
                </c:pt>
                <c:pt idx="746">
                  <c:v>42740</c:v>
                </c:pt>
                <c:pt idx="747">
                  <c:v>42741</c:v>
                </c:pt>
                <c:pt idx="748">
                  <c:v>42744</c:v>
                </c:pt>
                <c:pt idx="749">
                  <c:v>42745</c:v>
                </c:pt>
                <c:pt idx="750">
                  <c:v>42746</c:v>
                </c:pt>
                <c:pt idx="751">
                  <c:v>42747</c:v>
                </c:pt>
                <c:pt idx="752">
                  <c:v>42748</c:v>
                </c:pt>
                <c:pt idx="753">
                  <c:v>42752</c:v>
                </c:pt>
                <c:pt idx="754">
                  <c:v>42753</c:v>
                </c:pt>
                <c:pt idx="755">
                  <c:v>42754</c:v>
                </c:pt>
                <c:pt idx="756">
                  <c:v>42755</c:v>
                </c:pt>
                <c:pt idx="757">
                  <c:v>42758</c:v>
                </c:pt>
                <c:pt idx="758">
                  <c:v>42759</c:v>
                </c:pt>
                <c:pt idx="759">
                  <c:v>42760</c:v>
                </c:pt>
                <c:pt idx="760">
                  <c:v>42761</c:v>
                </c:pt>
                <c:pt idx="761">
                  <c:v>42762</c:v>
                </c:pt>
                <c:pt idx="762">
                  <c:v>42765</c:v>
                </c:pt>
                <c:pt idx="763">
                  <c:v>42766</c:v>
                </c:pt>
                <c:pt idx="764">
                  <c:v>42767</c:v>
                </c:pt>
                <c:pt idx="765">
                  <c:v>42768</c:v>
                </c:pt>
                <c:pt idx="766">
                  <c:v>42769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42787</c:v>
                </c:pt>
                <c:pt idx="778">
                  <c:v>42788</c:v>
                </c:pt>
                <c:pt idx="779">
                  <c:v>42789</c:v>
                </c:pt>
                <c:pt idx="780">
                  <c:v>42790</c:v>
                </c:pt>
                <c:pt idx="781">
                  <c:v>42793</c:v>
                </c:pt>
                <c:pt idx="782">
                  <c:v>42794</c:v>
                </c:pt>
                <c:pt idx="783">
                  <c:v>42795</c:v>
                </c:pt>
                <c:pt idx="784">
                  <c:v>42796</c:v>
                </c:pt>
                <c:pt idx="785">
                  <c:v>42797</c:v>
                </c:pt>
                <c:pt idx="786">
                  <c:v>42800</c:v>
                </c:pt>
                <c:pt idx="787">
                  <c:v>42801</c:v>
                </c:pt>
                <c:pt idx="788">
                  <c:v>42802</c:v>
                </c:pt>
                <c:pt idx="789">
                  <c:v>42803</c:v>
                </c:pt>
                <c:pt idx="790">
                  <c:v>42804</c:v>
                </c:pt>
                <c:pt idx="791">
                  <c:v>42807</c:v>
                </c:pt>
                <c:pt idx="792">
                  <c:v>42808</c:v>
                </c:pt>
                <c:pt idx="793">
                  <c:v>42809</c:v>
                </c:pt>
                <c:pt idx="794">
                  <c:v>42810</c:v>
                </c:pt>
                <c:pt idx="795">
                  <c:v>42811</c:v>
                </c:pt>
                <c:pt idx="796">
                  <c:v>42814</c:v>
                </c:pt>
                <c:pt idx="797">
                  <c:v>42815</c:v>
                </c:pt>
                <c:pt idx="798">
                  <c:v>42816</c:v>
                </c:pt>
                <c:pt idx="799">
                  <c:v>42817</c:v>
                </c:pt>
                <c:pt idx="800">
                  <c:v>42818</c:v>
                </c:pt>
                <c:pt idx="801">
                  <c:v>42821</c:v>
                </c:pt>
                <c:pt idx="802">
                  <c:v>42822</c:v>
                </c:pt>
                <c:pt idx="803">
                  <c:v>42823</c:v>
                </c:pt>
                <c:pt idx="804">
                  <c:v>42824</c:v>
                </c:pt>
                <c:pt idx="805">
                  <c:v>42825</c:v>
                </c:pt>
                <c:pt idx="806">
                  <c:v>42828</c:v>
                </c:pt>
                <c:pt idx="807">
                  <c:v>42829</c:v>
                </c:pt>
                <c:pt idx="808">
                  <c:v>42830</c:v>
                </c:pt>
                <c:pt idx="809">
                  <c:v>42831</c:v>
                </c:pt>
                <c:pt idx="810">
                  <c:v>42832</c:v>
                </c:pt>
                <c:pt idx="811">
                  <c:v>42835</c:v>
                </c:pt>
                <c:pt idx="812">
                  <c:v>42836</c:v>
                </c:pt>
                <c:pt idx="813">
                  <c:v>42837</c:v>
                </c:pt>
                <c:pt idx="814">
                  <c:v>42838</c:v>
                </c:pt>
                <c:pt idx="815">
                  <c:v>42842</c:v>
                </c:pt>
                <c:pt idx="816">
                  <c:v>42843</c:v>
                </c:pt>
                <c:pt idx="817">
                  <c:v>42844</c:v>
                </c:pt>
                <c:pt idx="818">
                  <c:v>42845</c:v>
                </c:pt>
                <c:pt idx="819">
                  <c:v>42846</c:v>
                </c:pt>
                <c:pt idx="820">
                  <c:v>42849</c:v>
                </c:pt>
                <c:pt idx="821">
                  <c:v>42850</c:v>
                </c:pt>
                <c:pt idx="822">
                  <c:v>42851</c:v>
                </c:pt>
                <c:pt idx="823">
                  <c:v>42852</c:v>
                </c:pt>
                <c:pt idx="824">
                  <c:v>42853</c:v>
                </c:pt>
                <c:pt idx="825">
                  <c:v>42856</c:v>
                </c:pt>
                <c:pt idx="826">
                  <c:v>42857</c:v>
                </c:pt>
                <c:pt idx="827">
                  <c:v>42858</c:v>
                </c:pt>
                <c:pt idx="828">
                  <c:v>42859</c:v>
                </c:pt>
                <c:pt idx="829">
                  <c:v>42860</c:v>
                </c:pt>
                <c:pt idx="830">
                  <c:v>42863</c:v>
                </c:pt>
                <c:pt idx="831">
                  <c:v>42864</c:v>
                </c:pt>
                <c:pt idx="832">
                  <c:v>42865</c:v>
                </c:pt>
                <c:pt idx="833">
                  <c:v>42866</c:v>
                </c:pt>
                <c:pt idx="834">
                  <c:v>42867</c:v>
                </c:pt>
                <c:pt idx="835">
                  <c:v>42870</c:v>
                </c:pt>
                <c:pt idx="836">
                  <c:v>42871</c:v>
                </c:pt>
                <c:pt idx="837">
                  <c:v>42872</c:v>
                </c:pt>
                <c:pt idx="838">
                  <c:v>42873</c:v>
                </c:pt>
                <c:pt idx="839">
                  <c:v>42874</c:v>
                </c:pt>
                <c:pt idx="840">
                  <c:v>42877</c:v>
                </c:pt>
                <c:pt idx="841">
                  <c:v>42878</c:v>
                </c:pt>
                <c:pt idx="842">
                  <c:v>42879</c:v>
                </c:pt>
                <c:pt idx="843">
                  <c:v>42880</c:v>
                </c:pt>
                <c:pt idx="844">
                  <c:v>42881</c:v>
                </c:pt>
                <c:pt idx="845">
                  <c:v>42885</c:v>
                </c:pt>
                <c:pt idx="846">
                  <c:v>42886</c:v>
                </c:pt>
                <c:pt idx="847">
                  <c:v>42887</c:v>
                </c:pt>
                <c:pt idx="848">
                  <c:v>42888</c:v>
                </c:pt>
                <c:pt idx="849">
                  <c:v>42891</c:v>
                </c:pt>
                <c:pt idx="850">
                  <c:v>42892</c:v>
                </c:pt>
                <c:pt idx="851">
                  <c:v>42893</c:v>
                </c:pt>
                <c:pt idx="852">
                  <c:v>42894</c:v>
                </c:pt>
                <c:pt idx="853">
                  <c:v>42895</c:v>
                </c:pt>
                <c:pt idx="854">
                  <c:v>42898</c:v>
                </c:pt>
                <c:pt idx="855">
                  <c:v>42899</c:v>
                </c:pt>
                <c:pt idx="856">
                  <c:v>42900</c:v>
                </c:pt>
                <c:pt idx="857">
                  <c:v>42901</c:v>
                </c:pt>
                <c:pt idx="858">
                  <c:v>42902</c:v>
                </c:pt>
                <c:pt idx="859">
                  <c:v>42905</c:v>
                </c:pt>
                <c:pt idx="860">
                  <c:v>42906</c:v>
                </c:pt>
                <c:pt idx="861">
                  <c:v>42907</c:v>
                </c:pt>
                <c:pt idx="862">
                  <c:v>42908</c:v>
                </c:pt>
                <c:pt idx="863">
                  <c:v>42909</c:v>
                </c:pt>
                <c:pt idx="864">
                  <c:v>42912</c:v>
                </c:pt>
                <c:pt idx="865">
                  <c:v>42913</c:v>
                </c:pt>
                <c:pt idx="866">
                  <c:v>42914</c:v>
                </c:pt>
                <c:pt idx="867">
                  <c:v>42915</c:v>
                </c:pt>
                <c:pt idx="868">
                  <c:v>42916</c:v>
                </c:pt>
                <c:pt idx="869">
                  <c:v>42919</c:v>
                </c:pt>
                <c:pt idx="870">
                  <c:v>42921</c:v>
                </c:pt>
                <c:pt idx="871">
                  <c:v>42922</c:v>
                </c:pt>
                <c:pt idx="872">
                  <c:v>42923</c:v>
                </c:pt>
                <c:pt idx="873">
                  <c:v>42926</c:v>
                </c:pt>
                <c:pt idx="874">
                  <c:v>42927</c:v>
                </c:pt>
                <c:pt idx="875">
                  <c:v>42928</c:v>
                </c:pt>
                <c:pt idx="876">
                  <c:v>42929</c:v>
                </c:pt>
                <c:pt idx="877">
                  <c:v>42930</c:v>
                </c:pt>
                <c:pt idx="878">
                  <c:v>42933</c:v>
                </c:pt>
                <c:pt idx="879">
                  <c:v>42934</c:v>
                </c:pt>
                <c:pt idx="880">
                  <c:v>42935</c:v>
                </c:pt>
                <c:pt idx="881">
                  <c:v>42936</c:v>
                </c:pt>
                <c:pt idx="882">
                  <c:v>42937</c:v>
                </c:pt>
                <c:pt idx="883">
                  <c:v>42940</c:v>
                </c:pt>
                <c:pt idx="884">
                  <c:v>42941</c:v>
                </c:pt>
                <c:pt idx="885">
                  <c:v>42942</c:v>
                </c:pt>
                <c:pt idx="886">
                  <c:v>42943</c:v>
                </c:pt>
                <c:pt idx="887">
                  <c:v>42944</c:v>
                </c:pt>
                <c:pt idx="888">
                  <c:v>42947</c:v>
                </c:pt>
                <c:pt idx="889">
                  <c:v>42948</c:v>
                </c:pt>
                <c:pt idx="890">
                  <c:v>42949</c:v>
                </c:pt>
                <c:pt idx="891">
                  <c:v>42950</c:v>
                </c:pt>
                <c:pt idx="892">
                  <c:v>42951</c:v>
                </c:pt>
                <c:pt idx="893">
                  <c:v>42954</c:v>
                </c:pt>
                <c:pt idx="894">
                  <c:v>42955</c:v>
                </c:pt>
                <c:pt idx="895">
                  <c:v>42956</c:v>
                </c:pt>
                <c:pt idx="896">
                  <c:v>42957</c:v>
                </c:pt>
                <c:pt idx="897">
                  <c:v>42958</c:v>
                </c:pt>
                <c:pt idx="898">
                  <c:v>42961</c:v>
                </c:pt>
                <c:pt idx="899">
                  <c:v>42962</c:v>
                </c:pt>
                <c:pt idx="900">
                  <c:v>42963</c:v>
                </c:pt>
                <c:pt idx="901">
                  <c:v>42964</c:v>
                </c:pt>
                <c:pt idx="902">
                  <c:v>42965</c:v>
                </c:pt>
                <c:pt idx="903">
                  <c:v>42968</c:v>
                </c:pt>
                <c:pt idx="904">
                  <c:v>42969</c:v>
                </c:pt>
                <c:pt idx="905">
                  <c:v>42970</c:v>
                </c:pt>
                <c:pt idx="906">
                  <c:v>42971</c:v>
                </c:pt>
                <c:pt idx="907">
                  <c:v>42972</c:v>
                </c:pt>
                <c:pt idx="908">
                  <c:v>42975</c:v>
                </c:pt>
                <c:pt idx="909">
                  <c:v>42976</c:v>
                </c:pt>
                <c:pt idx="910">
                  <c:v>42977</c:v>
                </c:pt>
                <c:pt idx="911">
                  <c:v>42978</c:v>
                </c:pt>
                <c:pt idx="912">
                  <c:v>42979</c:v>
                </c:pt>
                <c:pt idx="913">
                  <c:v>42983</c:v>
                </c:pt>
                <c:pt idx="914">
                  <c:v>42984</c:v>
                </c:pt>
                <c:pt idx="915">
                  <c:v>42985</c:v>
                </c:pt>
                <c:pt idx="916">
                  <c:v>42986</c:v>
                </c:pt>
                <c:pt idx="917">
                  <c:v>42989</c:v>
                </c:pt>
                <c:pt idx="918">
                  <c:v>42990</c:v>
                </c:pt>
                <c:pt idx="919">
                  <c:v>42991</c:v>
                </c:pt>
                <c:pt idx="920">
                  <c:v>42992</c:v>
                </c:pt>
                <c:pt idx="921">
                  <c:v>42993</c:v>
                </c:pt>
                <c:pt idx="922">
                  <c:v>42996</c:v>
                </c:pt>
                <c:pt idx="923">
                  <c:v>42997</c:v>
                </c:pt>
                <c:pt idx="924">
                  <c:v>42998</c:v>
                </c:pt>
                <c:pt idx="925">
                  <c:v>42999</c:v>
                </c:pt>
                <c:pt idx="926">
                  <c:v>43000</c:v>
                </c:pt>
                <c:pt idx="927">
                  <c:v>43003</c:v>
                </c:pt>
                <c:pt idx="928">
                  <c:v>43004</c:v>
                </c:pt>
                <c:pt idx="929">
                  <c:v>43005</c:v>
                </c:pt>
                <c:pt idx="930">
                  <c:v>43006</c:v>
                </c:pt>
                <c:pt idx="931">
                  <c:v>43007</c:v>
                </c:pt>
                <c:pt idx="932">
                  <c:v>43010</c:v>
                </c:pt>
                <c:pt idx="933">
                  <c:v>43011</c:v>
                </c:pt>
                <c:pt idx="934">
                  <c:v>43012</c:v>
                </c:pt>
                <c:pt idx="935">
                  <c:v>43013</c:v>
                </c:pt>
                <c:pt idx="936">
                  <c:v>43014</c:v>
                </c:pt>
                <c:pt idx="937">
                  <c:v>43017</c:v>
                </c:pt>
                <c:pt idx="938">
                  <c:v>43018</c:v>
                </c:pt>
                <c:pt idx="939">
                  <c:v>43019</c:v>
                </c:pt>
                <c:pt idx="940">
                  <c:v>43020</c:v>
                </c:pt>
                <c:pt idx="941">
                  <c:v>43021</c:v>
                </c:pt>
                <c:pt idx="942">
                  <c:v>43024</c:v>
                </c:pt>
                <c:pt idx="943">
                  <c:v>43025</c:v>
                </c:pt>
                <c:pt idx="944">
                  <c:v>43026</c:v>
                </c:pt>
                <c:pt idx="945">
                  <c:v>43027</c:v>
                </c:pt>
                <c:pt idx="946">
                  <c:v>43028</c:v>
                </c:pt>
                <c:pt idx="947">
                  <c:v>43031</c:v>
                </c:pt>
                <c:pt idx="948">
                  <c:v>43032</c:v>
                </c:pt>
                <c:pt idx="949">
                  <c:v>43033</c:v>
                </c:pt>
                <c:pt idx="950">
                  <c:v>43034</c:v>
                </c:pt>
                <c:pt idx="951">
                  <c:v>43035</c:v>
                </c:pt>
                <c:pt idx="952">
                  <c:v>43038</c:v>
                </c:pt>
                <c:pt idx="953">
                  <c:v>43039</c:v>
                </c:pt>
                <c:pt idx="954">
                  <c:v>43040</c:v>
                </c:pt>
                <c:pt idx="955">
                  <c:v>43041</c:v>
                </c:pt>
                <c:pt idx="956">
                  <c:v>43042</c:v>
                </c:pt>
                <c:pt idx="957">
                  <c:v>43045</c:v>
                </c:pt>
                <c:pt idx="958">
                  <c:v>43046</c:v>
                </c:pt>
                <c:pt idx="959">
                  <c:v>43047</c:v>
                </c:pt>
                <c:pt idx="960">
                  <c:v>43048</c:v>
                </c:pt>
                <c:pt idx="961">
                  <c:v>43049</c:v>
                </c:pt>
                <c:pt idx="962">
                  <c:v>43052</c:v>
                </c:pt>
                <c:pt idx="963">
                  <c:v>43053</c:v>
                </c:pt>
                <c:pt idx="964">
                  <c:v>43054</c:v>
                </c:pt>
                <c:pt idx="965">
                  <c:v>43055</c:v>
                </c:pt>
                <c:pt idx="966">
                  <c:v>43056</c:v>
                </c:pt>
                <c:pt idx="967">
                  <c:v>43059</c:v>
                </c:pt>
                <c:pt idx="968">
                  <c:v>43060</c:v>
                </c:pt>
                <c:pt idx="969">
                  <c:v>43061</c:v>
                </c:pt>
                <c:pt idx="970">
                  <c:v>43063</c:v>
                </c:pt>
                <c:pt idx="971">
                  <c:v>43066</c:v>
                </c:pt>
                <c:pt idx="972">
                  <c:v>43067</c:v>
                </c:pt>
                <c:pt idx="973">
                  <c:v>43068</c:v>
                </c:pt>
                <c:pt idx="974">
                  <c:v>43069</c:v>
                </c:pt>
                <c:pt idx="975">
                  <c:v>43070</c:v>
                </c:pt>
                <c:pt idx="976">
                  <c:v>43073</c:v>
                </c:pt>
                <c:pt idx="977">
                  <c:v>43074</c:v>
                </c:pt>
                <c:pt idx="978">
                  <c:v>43075</c:v>
                </c:pt>
                <c:pt idx="979">
                  <c:v>43076</c:v>
                </c:pt>
                <c:pt idx="980">
                  <c:v>43077</c:v>
                </c:pt>
                <c:pt idx="981">
                  <c:v>43080</c:v>
                </c:pt>
                <c:pt idx="982">
                  <c:v>43081</c:v>
                </c:pt>
                <c:pt idx="983">
                  <c:v>43082</c:v>
                </c:pt>
                <c:pt idx="984">
                  <c:v>43083</c:v>
                </c:pt>
                <c:pt idx="985">
                  <c:v>43084</c:v>
                </c:pt>
                <c:pt idx="986">
                  <c:v>43087</c:v>
                </c:pt>
                <c:pt idx="987">
                  <c:v>43088</c:v>
                </c:pt>
                <c:pt idx="988">
                  <c:v>43089</c:v>
                </c:pt>
                <c:pt idx="989">
                  <c:v>43090</c:v>
                </c:pt>
                <c:pt idx="990">
                  <c:v>43091</c:v>
                </c:pt>
                <c:pt idx="991">
                  <c:v>43095</c:v>
                </c:pt>
                <c:pt idx="992">
                  <c:v>43096</c:v>
                </c:pt>
                <c:pt idx="993">
                  <c:v>43097</c:v>
                </c:pt>
                <c:pt idx="994">
                  <c:v>43098</c:v>
                </c:pt>
                <c:pt idx="995">
                  <c:v>43102</c:v>
                </c:pt>
                <c:pt idx="996">
                  <c:v>43103</c:v>
                </c:pt>
                <c:pt idx="997">
                  <c:v>43104</c:v>
                </c:pt>
                <c:pt idx="998">
                  <c:v>43105</c:v>
                </c:pt>
                <c:pt idx="999">
                  <c:v>43108</c:v>
                </c:pt>
                <c:pt idx="1000">
                  <c:v>43109</c:v>
                </c:pt>
                <c:pt idx="1001">
                  <c:v>43110</c:v>
                </c:pt>
                <c:pt idx="1002">
                  <c:v>43111</c:v>
                </c:pt>
                <c:pt idx="1003">
                  <c:v>43112</c:v>
                </c:pt>
                <c:pt idx="1004">
                  <c:v>43116</c:v>
                </c:pt>
                <c:pt idx="1005">
                  <c:v>43117</c:v>
                </c:pt>
                <c:pt idx="1006">
                  <c:v>43118</c:v>
                </c:pt>
                <c:pt idx="1007">
                  <c:v>43119</c:v>
                </c:pt>
                <c:pt idx="1008">
                  <c:v>43122</c:v>
                </c:pt>
                <c:pt idx="1009">
                  <c:v>43123</c:v>
                </c:pt>
                <c:pt idx="1010">
                  <c:v>43124</c:v>
                </c:pt>
                <c:pt idx="1011">
                  <c:v>43125</c:v>
                </c:pt>
                <c:pt idx="1012">
                  <c:v>43126</c:v>
                </c:pt>
                <c:pt idx="1013">
                  <c:v>43129</c:v>
                </c:pt>
                <c:pt idx="1014">
                  <c:v>43130</c:v>
                </c:pt>
                <c:pt idx="1015">
                  <c:v>43131</c:v>
                </c:pt>
                <c:pt idx="1016">
                  <c:v>43132</c:v>
                </c:pt>
                <c:pt idx="1017">
                  <c:v>43133</c:v>
                </c:pt>
                <c:pt idx="1018">
                  <c:v>43136</c:v>
                </c:pt>
                <c:pt idx="1019">
                  <c:v>43137</c:v>
                </c:pt>
                <c:pt idx="1020">
                  <c:v>43138</c:v>
                </c:pt>
                <c:pt idx="1021">
                  <c:v>43139</c:v>
                </c:pt>
                <c:pt idx="1022">
                  <c:v>43140</c:v>
                </c:pt>
                <c:pt idx="1023">
                  <c:v>43143</c:v>
                </c:pt>
                <c:pt idx="1024">
                  <c:v>43144</c:v>
                </c:pt>
                <c:pt idx="1025">
                  <c:v>43145</c:v>
                </c:pt>
                <c:pt idx="1026">
                  <c:v>43146</c:v>
                </c:pt>
                <c:pt idx="1027">
                  <c:v>43147</c:v>
                </c:pt>
                <c:pt idx="1028">
                  <c:v>43151</c:v>
                </c:pt>
                <c:pt idx="1029">
                  <c:v>43152</c:v>
                </c:pt>
                <c:pt idx="1030">
                  <c:v>43153</c:v>
                </c:pt>
                <c:pt idx="1031">
                  <c:v>43154</c:v>
                </c:pt>
                <c:pt idx="1032">
                  <c:v>43157</c:v>
                </c:pt>
                <c:pt idx="1033">
                  <c:v>43158</c:v>
                </c:pt>
                <c:pt idx="1034">
                  <c:v>43159</c:v>
                </c:pt>
                <c:pt idx="1035">
                  <c:v>43160</c:v>
                </c:pt>
                <c:pt idx="1036">
                  <c:v>43161</c:v>
                </c:pt>
                <c:pt idx="1037">
                  <c:v>43164</c:v>
                </c:pt>
                <c:pt idx="1038">
                  <c:v>43165</c:v>
                </c:pt>
                <c:pt idx="1039">
                  <c:v>43166</c:v>
                </c:pt>
                <c:pt idx="1040">
                  <c:v>43167</c:v>
                </c:pt>
                <c:pt idx="1041">
                  <c:v>43168</c:v>
                </c:pt>
                <c:pt idx="1042">
                  <c:v>43171</c:v>
                </c:pt>
                <c:pt idx="1043">
                  <c:v>43172</c:v>
                </c:pt>
                <c:pt idx="1044">
                  <c:v>43173</c:v>
                </c:pt>
                <c:pt idx="1045">
                  <c:v>43174</c:v>
                </c:pt>
                <c:pt idx="1046">
                  <c:v>43175</c:v>
                </c:pt>
                <c:pt idx="1047">
                  <c:v>43178</c:v>
                </c:pt>
                <c:pt idx="1048">
                  <c:v>43179</c:v>
                </c:pt>
                <c:pt idx="1049">
                  <c:v>43180</c:v>
                </c:pt>
                <c:pt idx="1050">
                  <c:v>43181</c:v>
                </c:pt>
                <c:pt idx="1051">
                  <c:v>43182</c:v>
                </c:pt>
                <c:pt idx="1052">
                  <c:v>43185</c:v>
                </c:pt>
                <c:pt idx="1053">
                  <c:v>43186</c:v>
                </c:pt>
                <c:pt idx="1054">
                  <c:v>43187</c:v>
                </c:pt>
                <c:pt idx="1055">
                  <c:v>43188</c:v>
                </c:pt>
                <c:pt idx="1056">
                  <c:v>43192</c:v>
                </c:pt>
                <c:pt idx="1057">
                  <c:v>43193</c:v>
                </c:pt>
                <c:pt idx="1058">
                  <c:v>43194</c:v>
                </c:pt>
                <c:pt idx="1059">
                  <c:v>43195</c:v>
                </c:pt>
                <c:pt idx="1060">
                  <c:v>43196</c:v>
                </c:pt>
                <c:pt idx="1061">
                  <c:v>43199</c:v>
                </c:pt>
                <c:pt idx="1062">
                  <c:v>43200</c:v>
                </c:pt>
                <c:pt idx="1063">
                  <c:v>43201</c:v>
                </c:pt>
                <c:pt idx="1064">
                  <c:v>43202</c:v>
                </c:pt>
                <c:pt idx="1065">
                  <c:v>43203</c:v>
                </c:pt>
                <c:pt idx="1066">
                  <c:v>43206</c:v>
                </c:pt>
                <c:pt idx="1067">
                  <c:v>43207</c:v>
                </c:pt>
                <c:pt idx="1068">
                  <c:v>43208</c:v>
                </c:pt>
                <c:pt idx="1069">
                  <c:v>43209</c:v>
                </c:pt>
                <c:pt idx="1070">
                  <c:v>43210</c:v>
                </c:pt>
                <c:pt idx="1071">
                  <c:v>43213</c:v>
                </c:pt>
                <c:pt idx="1072">
                  <c:v>43214</c:v>
                </c:pt>
                <c:pt idx="1073">
                  <c:v>43215</c:v>
                </c:pt>
                <c:pt idx="1074">
                  <c:v>43216</c:v>
                </c:pt>
                <c:pt idx="1075">
                  <c:v>43217</c:v>
                </c:pt>
                <c:pt idx="1076">
                  <c:v>43220</c:v>
                </c:pt>
                <c:pt idx="1077">
                  <c:v>43221</c:v>
                </c:pt>
                <c:pt idx="1078">
                  <c:v>43222</c:v>
                </c:pt>
                <c:pt idx="1079">
                  <c:v>43223</c:v>
                </c:pt>
                <c:pt idx="1080">
                  <c:v>43224</c:v>
                </c:pt>
                <c:pt idx="1081">
                  <c:v>43227</c:v>
                </c:pt>
                <c:pt idx="1082">
                  <c:v>43228</c:v>
                </c:pt>
                <c:pt idx="1083">
                  <c:v>43229</c:v>
                </c:pt>
                <c:pt idx="1084">
                  <c:v>43230</c:v>
                </c:pt>
                <c:pt idx="1085">
                  <c:v>43231</c:v>
                </c:pt>
                <c:pt idx="1086">
                  <c:v>43234</c:v>
                </c:pt>
                <c:pt idx="1087">
                  <c:v>43235</c:v>
                </c:pt>
                <c:pt idx="1088">
                  <c:v>43236</c:v>
                </c:pt>
                <c:pt idx="1089">
                  <c:v>43237</c:v>
                </c:pt>
                <c:pt idx="1090">
                  <c:v>43238</c:v>
                </c:pt>
                <c:pt idx="1091">
                  <c:v>43241</c:v>
                </c:pt>
                <c:pt idx="1092">
                  <c:v>43242</c:v>
                </c:pt>
                <c:pt idx="1093">
                  <c:v>43243</c:v>
                </c:pt>
                <c:pt idx="1094">
                  <c:v>43244</c:v>
                </c:pt>
                <c:pt idx="1095">
                  <c:v>43245</c:v>
                </c:pt>
                <c:pt idx="1096">
                  <c:v>43249</c:v>
                </c:pt>
                <c:pt idx="1097">
                  <c:v>43250</c:v>
                </c:pt>
                <c:pt idx="1098">
                  <c:v>43251</c:v>
                </c:pt>
                <c:pt idx="1099">
                  <c:v>43252</c:v>
                </c:pt>
                <c:pt idx="1100">
                  <c:v>43255</c:v>
                </c:pt>
                <c:pt idx="1101">
                  <c:v>43256</c:v>
                </c:pt>
                <c:pt idx="1102">
                  <c:v>43257</c:v>
                </c:pt>
                <c:pt idx="1103">
                  <c:v>43258</c:v>
                </c:pt>
                <c:pt idx="1104">
                  <c:v>43259</c:v>
                </c:pt>
                <c:pt idx="1105">
                  <c:v>43262</c:v>
                </c:pt>
                <c:pt idx="1106">
                  <c:v>43263</c:v>
                </c:pt>
                <c:pt idx="1107">
                  <c:v>43264</c:v>
                </c:pt>
                <c:pt idx="1108">
                  <c:v>43265</c:v>
                </c:pt>
                <c:pt idx="1109">
                  <c:v>43266</c:v>
                </c:pt>
                <c:pt idx="1110">
                  <c:v>43269</c:v>
                </c:pt>
                <c:pt idx="1111">
                  <c:v>43270</c:v>
                </c:pt>
                <c:pt idx="1112">
                  <c:v>43271</c:v>
                </c:pt>
                <c:pt idx="1113">
                  <c:v>43272</c:v>
                </c:pt>
                <c:pt idx="1114">
                  <c:v>43273</c:v>
                </c:pt>
                <c:pt idx="1115">
                  <c:v>43276</c:v>
                </c:pt>
                <c:pt idx="1116">
                  <c:v>43277</c:v>
                </c:pt>
                <c:pt idx="1117">
                  <c:v>43278</c:v>
                </c:pt>
                <c:pt idx="1118">
                  <c:v>43279</c:v>
                </c:pt>
                <c:pt idx="1119">
                  <c:v>43280</c:v>
                </c:pt>
                <c:pt idx="1120">
                  <c:v>43283</c:v>
                </c:pt>
                <c:pt idx="1121">
                  <c:v>43284</c:v>
                </c:pt>
                <c:pt idx="1122">
                  <c:v>43286</c:v>
                </c:pt>
                <c:pt idx="1123">
                  <c:v>43287</c:v>
                </c:pt>
                <c:pt idx="1124">
                  <c:v>43290</c:v>
                </c:pt>
                <c:pt idx="1125">
                  <c:v>43291</c:v>
                </c:pt>
                <c:pt idx="1126">
                  <c:v>43292</c:v>
                </c:pt>
                <c:pt idx="1127">
                  <c:v>43293</c:v>
                </c:pt>
                <c:pt idx="1128">
                  <c:v>43294</c:v>
                </c:pt>
                <c:pt idx="1129">
                  <c:v>43297</c:v>
                </c:pt>
                <c:pt idx="1130">
                  <c:v>43298</c:v>
                </c:pt>
                <c:pt idx="1131">
                  <c:v>43299</c:v>
                </c:pt>
                <c:pt idx="1132">
                  <c:v>43300</c:v>
                </c:pt>
                <c:pt idx="1133">
                  <c:v>43301</c:v>
                </c:pt>
                <c:pt idx="1134">
                  <c:v>43304</c:v>
                </c:pt>
                <c:pt idx="1135">
                  <c:v>43305</c:v>
                </c:pt>
                <c:pt idx="1136">
                  <c:v>43306</c:v>
                </c:pt>
                <c:pt idx="1137">
                  <c:v>43307</c:v>
                </c:pt>
                <c:pt idx="1138">
                  <c:v>43308</c:v>
                </c:pt>
                <c:pt idx="1139">
                  <c:v>43311</c:v>
                </c:pt>
                <c:pt idx="1140">
                  <c:v>43312</c:v>
                </c:pt>
                <c:pt idx="1141">
                  <c:v>43313</c:v>
                </c:pt>
                <c:pt idx="1142">
                  <c:v>43314</c:v>
                </c:pt>
                <c:pt idx="1143">
                  <c:v>43315</c:v>
                </c:pt>
                <c:pt idx="1144">
                  <c:v>43318</c:v>
                </c:pt>
                <c:pt idx="1145">
                  <c:v>43319</c:v>
                </c:pt>
                <c:pt idx="1146">
                  <c:v>43320</c:v>
                </c:pt>
                <c:pt idx="1147">
                  <c:v>43321</c:v>
                </c:pt>
                <c:pt idx="1148">
                  <c:v>43322</c:v>
                </c:pt>
                <c:pt idx="1149">
                  <c:v>43325</c:v>
                </c:pt>
                <c:pt idx="1150">
                  <c:v>43326</c:v>
                </c:pt>
                <c:pt idx="1151">
                  <c:v>43327</c:v>
                </c:pt>
                <c:pt idx="1152">
                  <c:v>43328</c:v>
                </c:pt>
                <c:pt idx="1153">
                  <c:v>43329</c:v>
                </c:pt>
                <c:pt idx="1154">
                  <c:v>43332</c:v>
                </c:pt>
                <c:pt idx="1155">
                  <c:v>43333</c:v>
                </c:pt>
                <c:pt idx="1156">
                  <c:v>43334</c:v>
                </c:pt>
                <c:pt idx="1157">
                  <c:v>43335</c:v>
                </c:pt>
                <c:pt idx="1158">
                  <c:v>43336</c:v>
                </c:pt>
                <c:pt idx="1159">
                  <c:v>43339</c:v>
                </c:pt>
                <c:pt idx="1160">
                  <c:v>43340</c:v>
                </c:pt>
                <c:pt idx="1161">
                  <c:v>43341</c:v>
                </c:pt>
                <c:pt idx="1162">
                  <c:v>43342</c:v>
                </c:pt>
                <c:pt idx="1163">
                  <c:v>43343</c:v>
                </c:pt>
                <c:pt idx="1164">
                  <c:v>43347</c:v>
                </c:pt>
                <c:pt idx="1165">
                  <c:v>43348</c:v>
                </c:pt>
                <c:pt idx="1166">
                  <c:v>43349</c:v>
                </c:pt>
                <c:pt idx="1167">
                  <c:v>43350</c:v>
                </c:pt>
                <c:pt idx="1168">
                  <c:v>43353</c:v>
                </c:pt>
                <c:pt idx="1169">
                  <c:v>43354</c:v>
                </c:pt>
                <c:pt idx="1170">
                  <c:v>43355</c:v>
                </c:pt>
                <c:pt idx="1171">
                  <c:v>43356</c:v>
                </c:pt>
                <c:pt idx="1172">
                  <c:v>43357</c:v>
                </c:pt>
                <c:pt idx="1173">
                  <c:v>43360</c:v>
                </c:pt>
                <c:pt idx="1174">
                  <c:v>43361</c:v>
                </c:pt>
                <c:pt idx="1175">
                  <c:v>43362</c:v>
                </c:pt>
                <c:pt idx="1176">
                  <c:v>43363</c:v>
                </c:pt>
                <c:pt idx="1177">
                  <c:v>43364</c:v>
                </c:pt>
                <c:pt idx="1178">
                  <c:v>43367</c:v>
                </c:pt>
                <c:pt idx="1179">
                  <c:v>43368</c:v>
                </c:pt>
                <c:pt idx="1180">
                  <c:v>43369</c:v>
                </c:pt>
                <c:pt idx="1181">
                  <c:v>43370</c:v>
                </c:pt>
                <c:pt idx="1182">
                  <c:v>43371</c:v>
                </c:pt>
                <c:pt idx="1183">
                  <c:v>43374</c:v>
                </c:pt>
                <c:pt idx="1184">
                  <c:v>43375</c:v>
                </c:pt>
                <c:pt idx="1185">
                  <c:v>43376</c:v>
                </c:pt>
                <c:pt idx="1186">
                  <c:v>43377</c:v>
                </c:pt>
                <c:pt idx="1187">
                  <c:v>43378</c:v>
                </c:pt>
                <c:pt idx="1188">
                  <c:v>43381</c:v>
                </c:pt>
                <c:pt idx="1189">
                  <c:v>43382</c:v>
                </c:pt>
                <c:pt idx="1190">
                  <c:v>43383</c:v>
                </c:pt>
                <c:pt idx="1191">
                  <c:v>43384</c:v>
                </c:pt>
                <c:pt idx="1192">
                  <c:v>43385</c:v>
                </c:pt>
                <c:pt idx="1193">
                  <c:v>43388</c:v>
                </c:pt>
                <c:pt idx="1194">
                  <c:v>43389</c:v>
                </c:pt>
                <c:pt idx="1195">
                  <c:v>43390</c:v>
                </c:pt>
                <c:pt idx="1196">
                  <c:v>43391</c:v>
                </c:pt>
                <c:pt idx="1197">
                  <c:v>43392</c:v>
                </c:pt>
                <c:pt idx="1198">
                  <c:v>43395</c:v>
                </c:pt>
                <c:pt idx="1199">
                  <c:v>43396</c:v>
                </c:pt>
                <c:pt idx="1200">
                  <c:v>43397</c:v>
                </c:pt>
                <c:pt idx="1201">
                  <c:v>43398</c:v>
                </c:pt>
                <c:pt idx="1202">
                  <c:v>43399</c:v>
                </c:pt>
                <c:pt idx="1203">
                  <c:v>43402</c:v>
                </c:pt>
                <c:pt idx="1204">
                  <c:v>43403</c:v>
                </c:pt>
                <c:pt idx="1205">
                  <c:v>43404</c:v>
                </c:pt>
                <c:pt idx="1206">
                  <c:v>43405</c:v>
                </c:pt>
                <c:pt idx="1207">
                  <c:v>43406</c:v>
                </c:pt>
                <c:pt idx="1208">
                  <c:v>43409</c:v>
                </c:pt>
                <c:pt idx="1209">
                  <c:v>43410</c:v>
                </c:pt>
                <c:pt idx="1210">
                  <c:v>43411</c:v>
                </c:pt>
                <c:pt idx="1211">
                  <c:v>43412</c:v>
                </c:pt>
                <c:pt idx="1212">
                  <c:v>43413</c:v>
                </c:pt>
                <c:pt idx="1213">
                  <c:v>43416</c:v>
                </c:pt>
                <c:pt idx="1214">
                  <c:v>43417</c:v>
                </c:pt>
                <c:pt idx="1215">
                  <c:v>43418</c:v>
                </c:pt>
                <c:pt idx="1216">
                  <c:v>43419</c:v>
                </c:pt>
                <c:pt idx="1217">
                  <c:v>43420</c:v>
                </c:pt>
                <c:pt idx="1218">
                  <c:v>43423</c:v>
                </c:pt>
                <c:pt idx="1219">
                  <c:v>43424</c:v>
                </c:pt>
                <c:pt idx="1220">
                  <c:v>43425</c:v>
                </c:pt>
                <c:pt idx="1221">
                  <c:v>43427</c:v>
                </c:pt>
                <c:pt idx="1222">
                  <c:v>43430</c:v>
                </c:pt>
                <c:pt idx="1223">
                  <c:v>43431</c:v>
                </c:pt>
                <c:pt idx="1224">
                  <c:v>43432</c:v>
                </c:pt>
                <c:pt idx="1225">
                  <c:v>43433</c:v>
                </c:pt>
                <c:pt idx="1226">
                  <c:v>43434</c:v>
                </c:pt>
                <c:pt idx="1227">
                  <c:v>43437</c:v>
                </c:pt>
                <c:pt idx="1228">
                  <c:v>43438</c:v>
                </c:pt>
                <c:pt idx="1229">
                  <c:v>43440</c:v>
                </c:pt>
                <c:pt idx="1230">
                  <c:v>43441</c:v>
                </c:pt>
                <c:pt idx="1231">
                  <c:v>43444</c:v>
                </c:pt>
                <c:pt idx="1232">
                  <c:v>43445</c:v>
                </c:pt>
                <c:pt idx="1233">
                  <c:v>43446</c:v>
                </c:pt>
                <c:pt idx="1234">
                  <c:v>43447</c:v>
                </c:pt>
                <c:pt idx="1235">
                  <c:v>43448</c:v>
                </c:pt>
                <c:pt idx="1236">
                  <c:v>43451</c:v>
                </c:pt>
                <c:pt idx="1237">
                  <c:v>43452</c:v>
                </c:pt>
                <c:pt idx="1238">
                  <c:v>43453</c:v>
                </c:pt>
                <c:pt idx="1239">
                  <c:v>43454</c:v>
                </c:pt>
                <c:pt idx="1240">
                  <c:v>43455</c:v>
                </c:pt>
                <c:pt idx="1241">
                  <c:v>43458</c:v>
                </c:pt>
                <c:pt idx="1242">
                  <c:v>43460</c:v>
                </c:pt>
                <c:pt idx="1243">
                  <c:v>43461</c:v>
                </c:pt>
                <c:pt idx="1244">
                  <c:v>43462</c:v>
                </c:pt>
                <c:pt idx="1245">
                  <c:v>43465</c:v>
                </c:pt>
                <c:pt idx="1246">
                  <c:v>43467</c:v>
                </c:pt>
                <c:pt idx="1247">
                  <c:v>43468</c:v>
                </c:pt>
                <c:pt idx="1248">
                  <c:v>43469</c:v>
                </c:pt>
                <c:pt idx="1249">
                  <c:v>43472</c:v>
                </c:pt>
                <c:pt idx="1250">
                  <c:v>43473</c:v>
                </c:pt>
                <c:pt idx="1251">
                  <c:v>43474</c:v>
                </c:pt>
                <c:pt idx="1252">
                  <c:v>43475</c:v>
                </c:pt>
                <c:pt idx="1253">
                  <c:v>43476</c:v>
                </c:pt>
                <c:pt idx="1254">
                  <c:v>43479</c:v>
                </c:pt>
                <c:pt idx="1255">
                  <c:v>43480</c:v>
                </c:pt>
                <c:pt idx="1256">
                  <c:v>43481</c:v>
                </c:pt>
                <c:pt idx="1257">
                  <c:v>43482</c:v>
                </c:pt>
                <c:pt idx="1258">
                  <c:v>43483</c:v>
                </c:pt>
                <c:pt idx="1259">
                  <c:v>43487</c:v>
                </c:pt>
                <c:pt idx="1260">
                  <c:v>43488</c:v>
                </c:pt>
                <c:pt idx="1261">
                  <c:v>43489</c:v>
                </c:pt>
                <c:pt idx="1262">
                  <c:v>43490</c:v>
                </c:pt>
                <c:pt idx="1263">
                  <c:v>43493</c:v>
                </c:pt>
                <c:pt idx="1264">
                  <c:v>43494</c:v>
                </c:pt>
                <c:pt idx="1265">
                  <c:v>43495</c:v>
                </c:pt>
                <c:pt idx="1266">
                  <c:v>43496</c:v>
                </c:pt>
                <c:pt idx="1267">
                  <c:v>43497</c:v>
                </c:pt>
                <c:pt idx="1268">
                  <c:v>43500</c:v>
                </c:pt>
                <c:pt idx="1269">
                  <c:v>43501</c:v>
                </c:pt>
                <c:pt idx="1270">
                  <c:v>43502</c:v>
                </c:pt>
                <c:pt idx="1271">
                  <c:v>43503</c:v>
                </c:pt>
                <c:pt idx="1272">
                  <c:v>43504</c:v>
                </c:pt>
                <c:pt idx="1273">
                  <c:v>43507</c:v>
                </c:pt>
                <c:pt idx="1274">
                  <c:v>43508</c:v>
                </c:pt>
                <c:pt idx="1275">
                  <c:v>43509</c:v>
                </c:pt>
                <c:pt idx="1276">
                  <c:v>43510</c:v>
                </c:pt>
                <c:pt idx="1277">
                  <c:v>43511</c:v>
                </c:pt>
                <c:pt idx="1278">
                  <c:v>43515</c:v>
                </c:pt>
                <c:pt idx="1279">
                  <c:v>43516</c:v>
                </c:pt>
                <c:pt idx="1280">
                  <c:v>43517</c:v>
                </c:pt>
                <c:pt idx="1281">
                  <c:v>43518</c:v>
                </c:pt>
                <c:pt idx="1282">
                  <c:v>43521</c:v>
                </c:pt>
                <c:pt idx="1283">
                  <c:v>43522</c:v>
                </c:pt>
                <c:pt idx="1284">
                  <c:v>43523</c:v>
                </c:pt>
                <c:pt idx="1285">
                  <c:v>43524</c:v>
                </c:pt>
                <c:pt idx="1286">
                  <c:v>43525</c:v>
                </c:pt>
                <c:pt idx="1287">
                  <c:v>43528</c:v>
                </c:pt>
                <c:pt idx="1288">
                  <c:v>43529</c:v>
                </c:pt>
                <c:pt idx="1289">
                  <c:v>43530</c:v>
                </c:pt>
                <c:pt idx="1290">
                  <c:v>43531</c:v>
                </c:pt>
                <c:pt idx="1291">
                  <c:v>43532</c:v>
                </c:pt>
                <c:pt idx="1292">
                  <c:v>43535</c:v>
                </c:pt>
                <c:pt idx="1293">
                  <c:v>43536</c:v>
                </c:pt>
                <c:pt idx="1294">
                  <c:v>43537</c:v>
                </c:pt>
                <c:pt idx="1295">
                  <c:v>43538</c:v>
                </c:pt>
                <c:pt idx="1296">
                  <c:v>43539</c:v>
                </c:pt>
                <c:pt idx="1297">
                  <c:v>43542</c:v>
                </c:pt>
                <c:pt idx="1298">
                  <c:v>43543</c:v>
                </c:pt>
                <c:pt idx="1299">
                  <c:v>43544</c:v>
                </c:pt>
                <c:pt idx="1300">
                  <c:v>43545</c:v>
                </c:pt>
                <c:pt idx="1301">
                  <c:v>43546</c:v>
                </c:pt>
                <c:pt idx="1302">
                  <c:v>43549</c:v>
                </c:pt>
                <c:pt idx="1303">
                  <c:v>43550</c:v>
                </c:pt>
                <c:pt idx="1304">
                  <c:v>43551</c:v>
                </c:pt>
                <c:pt idx="1305">
                  <c:v>43552</c:v>
                </c:pt>
                <c:pt idx="1306">
                  <c:v>43553</c:v>
                </c:pt>
                <c:pt idx="1307">
                  <c:v>43556</c:v>
                </c:pt>
                <c:pt idx="1308">
                  <c:v>43557</c:v>
                </c:pt>
                <c:pt idx="1309">
                  <c:v>43558</c:v>
                </c:pt>
                <c:pt idx="1310">
                  <c:v>43559</c:v>
                </c:pt>
                <c:pt idx="1311">
                  <c:v>43560</c:v>
                </c:pt>
                <c:pt idx="1312">
                  <c:v>43563</c:v>
                </c:pt>
                <c:pt idx="1313">
                  <c:v>43564</c:v>
                </c:pt>
                <c:pt idx="1314">
                  <c:v>43565</c:v>
                </c:pt>
                <c:pt idx="1315">
                  <c:v>43566</c:v>
                </c:pt>
                <c:pt idx="1316">
                  <c:v>43567</c:v>
                </c:pt>
                <c:pt idx="1317">
                  <c:v>43570</c:v>
                </c:pt>
                <c:pt idx="1318">
                  <c:v>43571</c:v>
                </c:pt>
                <c:pt idx="1319">
                  <c:v>43572</c:v>
                </c:pt>
                <c:pt idx="1320">
                  <c:v>43573</c:v>
                </c:pt>
                <c:pt idx="1321">
                  <c:v>43577</c:v>
                </c:pt>
                <c:pt idx="1322">
                  <c:v>43578</c:v>
                </c:pt>
                <c:pt idx="1323">
                  <c:v>43579</c:v>
                </c:pt>
                <c:pt idx="1324">
                  <c:v>43580</c:v>
                </c:pt>
                <c:pt idx="1325">
                  <c:v>43581</c:v>
                </c:pt>
                <c:pt idx="1326">
                  <c:v>43584</c:v>
                </c:pt>
                <c:pt idx="1327">
                  <c:v>43585</c:v>
                </c:pt>
                <c:pt idx="1328">
                  <c:v>43586</c:v>
                </c:pt>
                <c:pt idx="1329">
                  <c:v>43587</c:v>
                </c:pt>
                <c:pt idx="1330">
                  <c:v>43588</c:v>
                </c:pt>
                <c:pt idx="1331">
                  <c:v>43591</c:v>
                </c:pt>
                <c:pt idx="1332">
                  <c:v>43592</c:v>
                </c:pt>
                <c:pt idx="1333">
                  <c:v>43593</c:v>
                </c:pt>
                <c:pt idx="1334">
                  <c:v>43594</c:v>
                </c:pt>
                <c:pt idx="1335">
                  <c:v>43595</c:v>
                </c:pt>
                <c:pt idx="1336">
                  <c:v>43598</c:v>
                </c:pt>
                <c:pt idx="1337">
                  <c:v>43599</c:v>
                </c:pt>
                <c:pt idx="1338">
                  <c:v>43600</c:v>
                </c:pt>
                <c:pt idx="1339">
                  <c:v>43601</c:v>
                </c:pt>
                <c:pt idx="1340">
                  <c:v>43602</c:v>
                </c:pt>
                <c:pt idx="1341">
                  <c:v>43605</c:v>
                </c:pt>
                <c:pt idx="1342">
                  <c:v>43606</c:v>
                </c:pt>
                <c:pt idx="1343">
                  <c:v>43607</c:v>
                </c:pt>
                <c:pt idx="1344">
                  <c:v>43608</c:v>
                </c:pt>
                <c:pt idx="1345">
                  <c:v>43609</c:v>
                </c:pt>
                <c:pt idx="1346">
                  <c:v>43613</c:v>
                </c:pt>
                <c:pt idx="1347">
                  <c:v>43614</c:v>
                </c:pt>
                <c:pt idx="1348">
                  <c:v>43615</c:v>
                </c:pt>
                <c:pt idx="1349">
                  <c:v>43616</c:v>
                </c:pt>
                <c:pt idx="1350">
                  <c:v>43619</c:v>
                </c:pt>
                <c:pt idx="1351">
                  <c:v>43620</c:v>
                </c:pt>
                <c:pt idx="1352">
                  <c:v>43621</c:v>
                </c:pt>
                <c:pt idx="1353">
                  <c:v>43622</c:v>
                </c:pt>
                <c:pt idx="1354">
                  <c:v>43623</c:v>
                </c:pt>
                <c:pt idx="1355">
                  <c:v>43626</c:v>
                </c:pt>
                <c:pt idx="1356">
                  <c:v>43627</c:v>
                </c:pt>
                <c:pt idx="1357">
                  <c:v>43628</c:v>
                </c:pt>
                <c:pt idx="1358">
                  <c:v>43629</c:v>
                </c:pt>
                <c:pt idx="1359">
                  <c:v>43630</c:v>
                </c:pt>
                <c:pt idx="1360">
                  <c:v>43633</c:v>
                </c:pt>
                <c:pt idx="1361">
                  <c:v>43634</c:v>
                </c:pt>
                <c:pt idx="1362">
                  <c:v>43635</c:v>
                </c:pt>
                <c:pt idx="1363">
                  <c:v>43636</c:v>
                </c:pt>
                <c:pt idx="1364">
                  <c:v>43637</c:v>
                </c:pt>
                <c:pt idx="1365">
                  <c:v>43640</c:v>
                </c:pt>
                <c:pt idx="1366">
                  <c:v>43641</c:v>
                </c:pt>
                <c:pt idx="1367">
                  <c:v>43642</c:v>
                </c:pt>
                <c:pt idx="1368">
                  <c:v>43643</c:v>
                </c:pt>
                <c:pt idx="1369">
                  <c:v>43644</c:v>
                </c:pt>
                <c:pt idx="1370">
                  <c:v>43647</c:v>
                </c:pt>
                <c:pt idx="1371">
                  <c:v>43648</c:v>
                </c:pt>
                <c:pt idx="1372">
                  <c:v>43649</c:v>
                </c:pt>
                <c:pt idx="1373">
                  <c:v>43651</c:v>
                </c:pt>
                <c:pt idx="1374">
                  <c:v>43654</c:v>
                </c:pt>
                <c:pt idx="1375">
                  <c:v>43655</c:v>
                </c:pt>
                <c:pt idx="1376">
                  <c:v>43656</c:v>
                </c:pt>
                <c:pt idx="1377">
                  <c:v>43657</c:v>
                </c:pt>
                <c:pt idx="1378">
                  <c:v>43658</c:v>
                </c:pt>
                <c:pt idx="1379">
                  <c:v>43661</c:v>
                </c:pt>
                <c:pt idx="1380">
                  <c:v>43662</c:v>
                </c:pt>
                <c:pt idx="1381">
                  <c:v>43663</c:v>
                </c:pt>
                <c:pt idx="1382">
                  <c:v>43664</c:v>
                </c:pt>
                <c:pt idx="1383">
                  <c:v>43665</c:v>
                </c:pt>
                <c:pt idx="1384">
                  <c:v>43668</c:v>
                </c:pt>
                <c:pt idx="1385">
                  <c:v>43669</c:v>
                </c:pt>
                <c:pt idx="1386">
                  <c:v>43670</c:v>
                </c:pt>
                <c:pt idx="1387">
                  <c:v>43671</c:v>
                </c:pt>
                <c:pt idx="1388">
                  <c:v>43672</c:v>
                </c:pt>
                <c:pt idx="1389">
                  <c:v>43675</c:v>
                </c:pt>
                <c:pt idx="1390">
                  <c:v>43676</c:v>
                </c:pt>
                <c:pt idx="1391">
                  <c:v>43677</c:v>
                </c:pt>
                <c:pt idx="1392">
                  <c:v>43678</c:v>
                </c:pt>
                <c:pt idx="1393">
                  <c:v>43679</c:v>
                </c:pt>
                <c:pt idx="1394">
                  <c:v>43682</c:v>
                </c:pt>
                <c:pt idx="1395">
                  <c:v>43683</c:v>
                </c:pt>
                <c:pt idx="1396">
                  <c:v>43684</c:v>
                </c:pt>
                <c:pt idx="1397">
                  <c:v>43685</c:v>
                </c:pt>
                <c:pt idx="1398">
                  <c:v>43686</c:v>
                </c:pt>
                <c:pt idx="1399">
                  <c:v>43689</c:v>
                </c:pt>
                <c:pt idx="1400">
                  <c:v>43690</c:v>
                </c:pt>
                <c:pt idx="1401">
                  <c:v>43691</c:v>
                </c:pt>
                <c:pt idx="1402">
                  <c:v>43692</c:v>
                </c:pt>
                <c:pt idx="1403">
                  <c:v>43693</c:v>
                </c:pt>
                <c:pt idx="1404">
                  <c:v>43696</c:v>
                </c:pt>
                <c:pt idx="1405">
                  <c:v>43697</c:v>
                </c:pt>
                <c:pt idx="1406">
                  <c:v>43698</c:v>
                </c:pt>
                <c:pt idx="1407">
                  <c:v>43699</c:v>
                </c:pt>
                <c:pt idx="1408">
                  <c:v>43700</c:v>
                </c:pt>
                <c:pt idx="1409">
                  <c:v>43703</c:v>
                </c:pt>
                <c:pt idx="1410">
                  <c:v>43704</c:v>
                </c:pt>
                <c:pt idx="1411">
                  <c:v>43705</c:v>
                </c:pt>
                <c:pt idx="1412">
                  <c:v>43706</c:v>
                </c:pt>
                <c:pt idx="1413">
                  <c:v>43707</c:v>
                </c:pt>
                <c:pt idx="1414">
                  <c:v>43711</c:v>
                </c:pt>
                <c:pt idx="1415">
                  <c:v>43712</c:v>
                </c:pt>
                <c:pt idx="1416">
                  <c:v>43713</c:v>
                </c:pt>
                <c:pt idx="1417">
                  <c:v>43714</c:v>
                </c:pt>
                <c:pt idx="1418">
                  <c:v>43717</c:v>
                </c:pt>
                <c:pt idx="1419">
                  <c:v>43718</c:v>
                </c:pt>
                <c:pt idx="1420">
                  <c:v>43719</c:v>
                </c:pt>
                <c:pt idx="1421">
                  <c:v>43720</c:v>
                </c:pt>
                <c:pt idx="1422">
                  <c:v>43721</c:v>
                </c:pt>
                <c:pt idx="1423">
                  <c:v>43724</c:v>
                </c:pt>
                <c:pt idx="1424">
                  <c:v>43725</c:v>
                </c:pt>
                <c:pt idx="1425">
                  <c:v>43726</c:v>
                </c:pt>
                <c:pt idx="1426">
                  <c:v>43727</c:v>
                </c:pt>
                <c:pt idx="1427">
                  <c:v>43728</c:v>
                </c:pt>
                <c:pt idx="1428">
                  <c:v>43731</c:v>
                </c:pt>
                <c:pt idx="1429">
                  <c:v>43732</c:v>
                </c:pt>
                <c:pt idx="1430">
                  <c:v>43733</c:v>
                </c:pt>
                <c:pt idx="1431">
                  <c:v>43734</c:v>
                </c:pt>
                <c:pt idx="1432">
                  <c:v>43735</c:v>
                </c:pt>
                <c:pt idx="1433">
                  <c:v>43738</c:v>
                </c:pt>
                <c:pt idx="1434">
                  <c:v>43739</c:v>
                </c:pt>
                <c:pt idx="1435">
                  <c:v>43740</c:v>
                </c:pt>
                <c:pt idx="1436">
                  <c:v>43741</c:v>
                </c:pt>
                <c:pt idx="1437">
                  <c:v>43742</c:v>
                </c:pt>
                <c:pt idx="1438">
                  <c:v>43745</c:v>
                </c:pt>
                <c:pt idx="1439">
                  <c:v>43746</c:v>
                </c:pt>
                <c:pt idx="1440">
                  <c:v>43747</c:v>
                </c:pt>
                <c:pt idx="1441">
                  <c:v>43748</c:v>
                </c:pt>
                <c:pt idx="1442">
                  <c:v>43749</c:v>
                </c:pt>
                <c:pt idx="1443">
                  <c:v>43752</c:v>
                </c:pt>
                <c:pt idx="1444">
                  <c:v>43753</c:v>
                </c:pt>
                <c:pt idx="1445">
                  <c:v>43754</c:v>
                </c:pt>
                <c:pt idx="1446">
                  <c:v>43755</c:v>
                </c:pt>
                <c:pt idx="1447">
                  <c:v>43756</c:v>
                </c:pt>
                <c:pt idx="1448">
                  <c:v>43759</c:v>
                </c:pt>
                <c:pt idx="1449">
                  <c:v>43760</c:v>
                </c:pt>
                <c:pt idx="1450">
                  <c:v>43761</c:v>
                </c:pt>
                <c:pt idx="1451">
                  <c:v>43762</c:v>
                </c:pt>
                <c:pt idx="1452">
                  <c:v>43763</c:v>
                </c:pt>
                <c:pt idx="1453">
                  <c:v>43766</c:v>
                </c:pt>
                <c:pt idx="1454">
                  <c:v>43767</c:v>
                </c:pt>
                <c:pt idx="1455">
                  <c:v>43768</c:v>
                </c:pt>
                <c:pt idx="1456">
                  <c:v>43769</c:v>
                </c:pt>
                <c:pt idx="1457">
                  <c:v>43770</c:v>
                </c:pt>
                <c:pt idx="1458">
                  <c:v>43773</c:v>
                </c:pt>
                <c:pt idx="1459">
                  <c:v>43774</c:v>
                </c:pt>
                <c:pt idx="1460">
                  <c:v>43775</c:v>
                </c:pt>
                <c:pt idx="1461">
                  <c:v>43776</c:v>
                </c:pt>
                <c:pt idx="1462">
                  <c:v>43777</c:v>
                </c:pt>
                <c:pt idx="1463">
                  <c:v>43780</c:v>
                </c:pt>
                <c:pt idx="1464">
                  <c:v>43781</c:v>
                </c:pt>
                <c:pt idx="1465">
                  <c:v>43782</c:v>
                </c:pt>
                <c:pt idx="1466">
                  <c:v>43783</c:v>
                </c:pt>
                <c:pt idx="1467">
                  <c:v>43784</c:v>
                </c:pt>
                <c:pt idx="1468">
                  <c:v>43787</c:v>
                </c:pt>
                <c:pt idx="1469">
                  <c:v>43788</c:v>
                </c:pt>
                <c:pt idx="1470">
                  <c:v>43789</c:v>
                </c:pt>
                <c:pt idx="1471">
                  <c:v>43790</c:v>
                </c:pt>
                <c:pt idx="1472">
                  <c:v>43791</c:v>
                </c:pt>
                <c:pt idx="1473">
                  <c:v>43794</c:v>
                </c:pt>
                <c:pt idx="1474">
                  <c:v>43795</c:v>
                </c:pt>
                <c:pt idx="1475">
                  <c:v>43796</c:v>
                </c:pt>
                <c:pt idx="1476">
                  <c:v>43798</c:v>
                </c:pt>
                <c:pt idx="1477">
                  <c:v>43801</c:v>
                </c:pt>
                <c:pt idx="1478">
                  <c:v>43802</c:v>
                </c:pt>
                <c:pt idx="1479">
                  <c:v>43803</c:v>
                </c:pt>
                <c:pt idx="1480">
                  <c:v>43804</c:v>
                </c:pt>
                <c:pt idx="1481">
                  <c:v>43805</c:v>
                </c:pt>
                <c:pt idx="1482">
                  <c:v>43808</c:v>
                </c:pt>
                <c:pt idx="1483">
                  <c:v>43809</c:v>
                </c:pt>
                <c:pt idx="1484">
                  <c:v>43810</c:v>
                </c:pt>
                <c:pt idx="1485">
                  <c:v>43811</c:v>
                </c:pt>
                <c:pt idx="1486">
                  <c:v>43812</c:v>
                </c:pt>
                <c:pt idx="1487">
                  <c:v>43815</c:v>
                </c:pt>
                <c:pt idx="1488">
                  <c:v>43816</c:v>
                </c:pt>
                <c:pt idx="1489">
                  <c:v>43817</c:v>
                </c:pt>
                <c:pt idx="1490">
                  <c:v>43818</c:v>
                </c:pt>
                <c:pt idx="1491">
                  <c:v>43819</c:v>
                </c:pt>
                <c:pt idx="1492">
                  <c:v>43822</c:v>
                </c:pt>
                <c:pt idx="1493">
                  <c:v>43823</c:v>
                </c:pt>
                <c:pt idx="1494">
                  <c:v>43825</c:v>
                </c:pt>
                <c:pt idx="1495">
                  <c:v>43826</c:v>
                </c:pt>
                <c:pt idx="1496">
                  <c:v>43829</c:v>
                </c:pt>
                <c:pt idx="1497">
                  <c:v>43830</c:v>
                </c:pt>
                <c:pt idx="1498">
                  <c:v>43832</c:v>
                </c:pt>
                <c:pt idx="1499">
                  <c:v>43833</c:v>
                </c:pt>
                <c:pt idx="1500">
                  <c:v>43836</c:v>
                </c:pt>
                <c:pt idx="1501">
                  <c:v>43837</c:v>
                </c:pt>
                <c:pt idx="1502">
                  <c:v>43838</c:v>
                </c:pt>
                <c:pt idx="1503">
                  <c:v>43839</c:v>
                </c:pt>
                <c:pt idx="1504">
                  <c:v>43840</c:v>
                </c:pt>
                <c:pt idx="1505">
                  <c:v>43843</c:v>
                </c:pt>
                <c:pt idx="1506">
                  <c:v>43844</c:v>
                </c:pt>
                <c:pt idx="1507">
                  <c:v>43845</c:v>
                </c:pt>
                <c:pt idx="1508">
                  <c:v>43846</c:v>
                </c:pt>
                <c:pt idx="1509">
                  <c:v>43847</c:v>
                </c:pt>
                <c:pt idx="1510">
                  <c:v>43851</c:v>
                </c:pt>
                <c:pt idx="1511">
                  <c:v>43852</c:v>
                </c:pt>
                <c:pt idx="1512">
                  <c:v>43853</c:v>
                </c:pt>
                <c:pt idx="1513">
                  <c:v>43854</c:v>
                </c:pt>
                <c:pt idx="1514">
                  <c:v>43857</c:v>
                </c:pt>
                <c:pt idx="1515">
                  <c:v>43858</c:v>
                </c:pt>
                <c:pt idx="1516">
                  <c:v>43859</c:v>
                </c:pt>
                <c:pt idx="1517">
                  <c:v>43860</c:v>
                </c:pt>
                <c:pt idx="1518">
                  <c:v>43861</c:v>
                </c:pt>
                <c:pt idx="1519">
                  <c:v>43864</c:v>
                </c:pt>
                <c:pt idx="1520">
                  <c:v>43865</c:v>
                </c:pt>
                <c:pt idx="1521">
                  <c:v>43866</c:v>
                </c:pt>
                <c:pt idx="1522">
                  <c:v>43867</c:v>
                </c:pt>
                <c:pt idx="1523">
                  <c:v>43868</c:v>
                </c:pt>
                <c:pt idx="1524">
                  <c:v>43871</c:v>
                </c:pt>
                <c:pt idx="1525">
                  <c:v>43872</c:v>
                </c:pt>
                <c:pt idx="1526">
                  <c:v>43873</c:v>
                </c:pt>
                <c:pt idx="1527">
                  <c:v>43874</c:v>
                </c:pt>
                <c:pt idx="1528">
                  <c:v>43875</c:v>
                </c:pt>
                <c:pt idx="1529">
                  <c:v>43879</c:v>
                </c:pt>
                <c:pt idx="1530">
                  <c:v>43880</c:v>
                </c:pt>
                <c:pt idx="1531">
                  <c:v>43881</c:v>
                </c:pt>
                <c:pt idx="1532">
                  <c:v>43882</c:v>
                </c:pt>
                <c:pt idx="1533">
                  <c:v>43885</c:v>
                </c:pt>
                <c:pt idx="1534">
                  <c:v>43886</c:v>
                </c:pt>
                <c:pt idx="1535">
                  <c:v>43887</c:v>
                </c:pt>
                <c:pt idx="1536">
                  <c:v>43888</c:v>
                </c:pt>
                <c:pt idx="1537">
                  <c:v>43889</c:v>
                </c:pt>
                <c:pt idx="1538">
                  <c:v>43892</c:v>
                </c:pt>
                <c:pt idx="1539">
                  <c:v>43893</c:v>
                </c:pt>
                <c:pt idx="1540">
                  <c:v>43894</c:v>
                </c:pt>
                <c:pt idx="1541">
                  <c:v>43895</c:v>
                </c:pt>
                <c:pt idx="1542">
                  <c:v>43896</c:v>
                </c:pt>
                <c:pt idx="1543">
                  <c:v>43899</c:v>
                </c:pt>
                <c:pt idx="1544">
                  <c:v>43900</c:v>
                </c:pt>
                <c:pt idx="1545">
                  <c:v>43901</c:v>
                </c:pt>
                <c:pt idx="1546">
                  <c:v>43902</c:v>
                </c:pt>
                <c:pt idx="1547">
                  <c:v>43903</c:v>
                </c:pt>
                <c:pt idx="1548">
                  <c:v>43906</c:v>
                </c:pt>
                <c:pt idx="1549">
                  <c:v>43907</c:v>
                </c:pt>
                <c:pt idx="1550">
                  <c:v>43908</c:v>
                </c:pt>
                <c:pt idx="1551">
                  <c:v>43909</c:v>
                </c:pt>
                <c:pt idx="1552">
                  <c:v>43910</c:v>
                </c:pt>
                <c:pt idx="1553">
                  <c:v>43913</c:v>
                </c:pt>
                <c:pt idx="1554">
                  <c:v>43914</c:v>
                </c:pt>
                <c:pt idx="1555">
                  <c:v>43915</c:v>
                </c:pt>
                <c:pt idx="1556">
                  <c:v>43916</c:v>
                </c:pt>
                <c:pt idx="1557">
                  <c:v>43917</c:v>
                </c:pt>
                <c:pt idx="1558">
                  <c:v>43920</c:v>
                </c:pt>
                <c:pt idx="1559">
                  <c:v>43921</c:v>
                </c:pt>
                <c:pt idx="1560">
                  <c:v>43922</c:v>
                </c:pt>
                <c:pt idx="1561">
                  <c:v>43923</c:v>
                </c:pt>
                <c:pt idx="1562">
                  <c:v>43924</c:v>
                </c:pt>
                <c:pt idx="1563">
                  <c:v>43927</c:v>
                </c:pt>
                <c:pt idx="1564">
                  <c:v>43928</c:v>
                </c:pt>
                <c:pt idx="1565">
                  <c:v>43929</c:v>
                </c:pt>
                <c:pt idx="1566">
                  <c:v>43930</c:v>
                </c:pt>
                <c:pt idx="1567">
                  <c:v>43934</c:v>
                </c:pt>
                <c:pt idx="1568">
                  <c:v>43935</c:v>
                </c:pt>
                <c:pt idx="1569">
                  <c:v>43936</c:v>
                </c:pt>
                <c:pt idx="1570">
                  <c:v>43937</c:v>
                </c:pt>
                <c:pt idx="1571">
                  <c:v>43938</c:v>
                </c:pt>
                <c:pt idx="1572">
                  <c:v>43941</c:v>
                </c:pt>
                <c:pt idx="1573">
                  <c:v>43942</c:v>
                </c:pt>
                <c:pt idx="1574">
                  <c:v>43943</c:v>
                </c:pt>
                <c:pt idx="1575">
                  <c:v>43944</c:v>
                </c:pt>
                <c:pt idx="1576">
                  <c:v>43945</c:v>
                </c:pt>
                <c:pt idx="1577">
                  <c:v>43948</c:v>
                </c:pt>
                <c:pt idx="1578">
                  <c:v>43949</c:v>
                </c:pt>
                <c:pt idx="1579">
                  <c:v>43950</c:v>
                </c:pt>
                <c:pt idx="1580">
                  <c:v>43951</c:v>
                </c:pt>
                <c:pt idx="1581">
                  <c:v>43952</c:v>
                </c:pt>
                <c:pt idx="1582">
                  <c:v>43955</c:v>
                </c:pt>
                <c:pt idx="1583">
                  <c:v>43956</c:v>
                </c:pt>
                <c:pt idx="1584">
                  <c:v>43957</c:v>
                </c:pt>
                <c:pt idx="1585">
                  <c:v>43958</c:v>
                </c:pt>
                <c:pt idx="1586">
                  <c:v>43959</c:v>
                </c:pt>
                <c:pt idx="1587">
                  <c:v>43962</c:v>
                </c:pt>
                <c:pt idx="1588">
                  <c:v>43963</c:v>
                </c:pt>
                <c:pt idx="1589">
                  <c:v>43964</c:v>
                </c:pt>
                <c:pt idx="1590">
                  <c:v>43965</c:v>
                </c:pt>
                <c:pt idx="1591">
                  <c:v>43966</c:v>
                </c:pt>
                <c:pt idx="1592">
                  <c:v>43969</c:v>
                </c:pt>
                <c:pt idx="1593">
                  <c:v>43970</c:v>
                </c:pt>
                <c:pt idx="1594">
                  <c:v>43971</c:v>
                </c:pt>
                <c:pt idx="1595">
                  <c:v>43972</c:v>
                </c:pt>
                <c:pt idx="1596">
                  <c:v>43973</c:v>
                </c:pt>
                <c:pt idx="1597">
                  <c:v>43977</c:v>
                </c:pt>
                <c:pt idx="1598">
                  <c:v>43978</c:v>
                </c:pt>
                <c:pt idx="1599">
                  <c:v>43979</c:v>
                </c:pt>
                <c:pt idx="1600">
                  <c:v>43980</c:v>
                </c:pt>
                <c:pt idx="1601">
                  <c:v>43983</c:v>
                </c:pt>
                <c:pt idx="1602">
                  <c:v>43984</c:v>
                </c:pt>
                <c:pt idx="1603">
                  <c:v>43985</c:v>
                </c:pt>
                <c:pt idx="1604">
                  <c:v>43986</c:v>
                </c:pt>
                <c:pt idx="1605">
                  <c:v>43987</c:v>
                </c:pt>
                <c:pt idx="1606">
                  <c:v>43990</c:v>
                </c:pt>
                <c:pt idx="1607">
                  <c:v>43991</c:v>
                </c:pt>
                <c:pt idx="1608">
                  <c:v>43992</c:v>
                </c:pt>
                <c:pt idx="1609">
                  <c:v>43993</c:v>
                </c:pt>
                <c:pt idx="1610">
                  <c:v>43994</c:v>
                </c:pt>
                <c:pt idx="1611">
                  <c:v>43997</c:v>
                </c:pt>
                <c:pt idx="1612">
                  <c:v>43998</c:v>
                </c:pt>
                <c:pt idx="1613">
                  <c:v>43999</c:v>
                </c:pt>
                <c:pt idx="1614">
                  <c:v>44000</c:v>
                </c:pt>
                <c:pt idx="1615">
                  <c:v>44001</c:v>
                </c:pt>
                <c:pt idx="1616">
                  <c:v>44004</c:v>
                </c:pt>
                <c:pt idx="1617">
                  <c:v>44005</c:v>
                </c:pt>
                <c:pt idx="1618">
                  <c:v>44006</c:v>
                </c:pt>
                <c:pt idx="1619">
                  <c:v>44007</c:v>
                </c:pt>
                <c:pt idx="1620">
                  <c:v>44008</c:v>
                </c:pt>
                <c:pt idx="1621">
                  <c:v>44011</c:v>
                </c:pt>
                <c:pt idx="1622">
                  <c:v>44012</c:v>
                </c:pt>
                <c:pt idx="1623">
                  <c:v>44013</c:v>
                </c:pt>
                <c:pt idx="1624">
                  <c:v>44014</c:v>
                </c:pt>
                <c:pt idx="1625">
                  <c:v>44018</c:v>
                </c:pt>
                <c:pt idx="1626">
                  <c:v>44019</c:v>
                </c:pt>
                <c:pt idx="1627">
                  <c:v>44020</c:v>
                </c:pt>
                <c:pt idx="1628">
                  <c:v>44021</c:v>
                </c:pt>
                <c:pt idx="1629">
                  <c:v>44022</c:v>
                </c:pt>
                <c:pt idx="1630">
                  <c:v>44025</c:v>
                </c:pt>
                <c:pt idx="1631">
                  <c:v>44026</c:v>
                </c:pt>
                <c:pt idx="1632">
                  <c:v>44027</c:v>
                </c:pt>
                <c:pt idx="1633">
                  <c:v>44028</c:v>
                </c:pt>
                <c:pt idx="1634">
                  <c:v>44029</c:v>
                </c:pt>
                <c:pt idx="1635">
                  <c:v>44032</c:v>
                </c:pt>
                <c:pt idx="1636">
                  <c:v>44033</c:v>
                </c:pt>
                <c:pt idx="1637">
                  <c:v>44034</c:v>
                </c:pt>
                <c:pt idx="1638">
                  <c:v>44035</c:v>
                </c:pt>
                <c:pt idx="1639">
                  <c:v>44036</c:v>
                </c:pt>
                <c:pt idx="1640">
                  <c:v>44039</c:v>
                </c:pt>
                <c:pt idx="1641">
                  <c:v>44040</c:v>
                </c:pt>
                <c:pt idx="1642">
                  <c:v>44041</c:v>
                </c:pt>
                <c:pt idx="1643">
                  <c:v>44042</c:v>
                </c:pt>
                <c:pt idx="1644">
                  <c:v>44043</c:v>
                </c:pt>
                <c:pt idx="1645">
                  <c:v>44046</c:v>
                </c:pt>
                <c:pt idx="1646">
                  <c:v>44047</c:v>
                </c:pt>
                <c:pt idx="1647">
                  <c:v>44048</c:v>
                </c:pt>
                <c:pt idx="1648">
                  <c:v>44049</c:v>
                </c:pt>
                <c:pt idx="1649">
                  <c:v>44050</c:v>
                </c:pt>
                <c:pt idx="1650">
                  <c:v>44053</c:v>
                </c:pt>
                <c:pt idx="1651">
                  <c:v>44054</c:v>
                </c:pt>
                <c:pt idx="1652">
                  <c:v>44055</c:v>
                </c:pt>
                <c:pt idx="1653">
                  <c:v>44056</c:v>
                </c:pt>
                <c:pt idx="1654">
                  <c:v>44057</c:v>
                </c:pt>
                <c:pt idx="1655">
                  <c:v>44060</c:v>
                </c:pt>
                <c:pt idx="1656">
                  <c:v>44061</c:v>
                </c:pt>
                <c:pt idx="1657">
                  <c:v>44062</c:v>
                </c:pt>
                <c:pt idx="1658">
                  <c:v>44063</c:v>
                </c:pt>
                <c:pt idx="1659">
                  <c:v>44064</c:v>
                </c:pt>
                <c:pt idx="1660">
                  <c:v>44067</c:v>
                </c:pt>
                <c:pt idx="1661">
                  <c:v>44068</c:v>
                </c:pt>
                <c:pt idx="1662">
                  <c:v>44069</c:v>
                </c:pt>
                <c:pt idx="1663">
                  <c:v>44070</c:v>
                </c:pt>
                <c:pt idx="1664">
                  <c:v>44071</c:v>
                </c:pt>
                <c:pt idx="1665">
                  <c:v>44074</c:v>
                </c:pt>
                <c:pt idx="1666">
                  <c:v>44075</c:v>
                </c:pt>
                <c:pt idx="1667">
                  <c:v>44076</c:v>
                </c:pt>
                <c:pt idx="1668">
                  <c:v>44077</c:v>
                </c:pt>
                <c:pt idx="1669">
                  <c:v>44078</c:v>
                </c:pt>
                <c:pt idx="1670">
                  <c:v>44082</c:v>
                </c:pt>
                <c:pt idx="1671">
                  <c:v>44083</c:v>
                </c:pt>
                <c:pt idx="1672">
                  <c:v>44084</c:v>
                </c:pt>
                <c:pt idx="1673">
                  <c:v>44085</c:v>
                </c:pt>
                <c:pt idx="1674">
                  <c:v>44088</c:v>
                </c:pt>
                <c:pt idx="1675">
                  <c:v>44089</c:v>
                </c:pt>
                <c:pt idx="1676">
                  <c:v>44090</c:v>
                </c:pt>
                <c:pt idx="1677">
                  <c:v>44091</c:v>
                </c:pt>
                <c:pt idx="1678">
                  <c:v>44092</c:v>
                </c:pt>
                <c:pt idx="1679">
                  <c:v>44095</c:v>
                </c:pt>
                <c:pt idx="1680">
                  <c:v>44096</c:v>
                </c:pt>
                <c:pt idx="1681">
                  <c:v>44097</c:v>
                </c:pt>
                <c:pt idx="1682">
                  <c:v>44098</c:v>
                </c:pt>
                <c:pt idx="1683">
                  <c:v>44099</c:v>
                </c:pt>
                <c:pt idx="1684">
                  <c:v>44102</c:v>
                </c:pt>
                <c:pt idx="1685">
                  <c:v>44103</c:v>
                </c:pt>
                <c:pt idx="1686">
                  <c:v>44104</c:v>
                </c:pt>
                <c:pt idx="1687">
                  <c:v>44105</c:v>
                </c:pt>
                <c:pt idx="1688">
                  <c:v>44106</c:v>
                </c:pt>
                <c:pt idx="1689">
                  <c:v>44109</c:v>
                </c:pt>
                <c:pt idx="1690">
                  <c:v>44110</c:v>
                </c:pt>
                <c:pt idx="1691">
                  <c:v>44111</c:v>
                </c:pt>
                <c:pt idx="1692">
                  <c:v>44112</c:v>
                </c:pt>
                <c:pt idx="1693">
                  <c:v>44113</c:v>
                </c:pt>
                <c:pt idx="1694">
                  <c:v>44116</c:v>
                </c:pt>
                <c:pt idx="1695">
                  <c:v>44117</c:v>
                </c:pt>
                <c:pt idx="1696">
                  <c:v>44118</c:v>
                </c:pt>
                <c:pt idx="1697">
                  <c:v>44119</c:v>
                </c:pt>
                <c:pt idx="1698">
                  <c:v>44120</c:v>
                </c:pt>
                <c:pt idx="1699">
                  <c:v>44123</c:v>
                </c:pt>
                <c:pt idx="1700">
                  <c:v>44124</c:v>
                </c:pt>
                <c:pt idx="1701">
                  <c:v>44125</c:v>
                </c:pt>
                <c:pt idx="1702">
                  <c:v>44126</c:v>
                </c:pt>
                <c:pt idx="1703">
                  <c:v>44127</c:v>
                </c:pt>
                <c:pt idx="1704">
                  <c:v>44130</c:v>
                </c:pt>
                <c:pt idx="1705">
                  <c:v>44131</c:v>
                </c:pt>
                <c:pt idx="1706">
                  <c:v>44132</c:v>
                </c:pt>
                <c:pt idx="1707">
                  <c:v>44133</c:v>
                </c:pt>
                <c:pt idx="1708">
                  <c:v>44134</c:v>
                </c:pt>
                <c:pt idx="1709">
                  <c:v>44137</c:v>
                </c:pt>
                <c:pt idx="1710">
                  <c:v>44138</c:v>
                </c:pt>
                <c:pt idx="1711">
                  <c:v>44139</c:v>
                </c:pt>
                <c:pt idx="1712">
                  <c:v>44140</c:v>
                </c:pt>
                <c:pt idx="1713">
                  <c:v>44141</c:v>
                </c:pt>
                <c:pt idx="1714">
                  <c:v>44144</c:v>
                </c:pt>
                <c:pt idx="1715">
                  <c:v>44145</c:v>
                </c:pt>
                <c:pt idx="1716">
                  <c:v>44146</c:v>
                </c:pt>
                <c:pt idx="1717">
                  <c:v>44147</c:v>
                </c:pt>
                <c:pt idx="1718">
                  <c:v>44148</c:v>
                </c:pt>
                <c:pt idx="1719">
                  <c:v>44151</c:v>
                </c:pt>
                <c:pt idx="1720">
                  <c:v>44152</c:v>
                </c:pt>
                <c:pt idx="1721">
                  <c:v>44153</c:v>
                </c:pt>
                <c:pt idx="1722">
                  <c:v>44154</c:v>
                </c:pt>
                <c:pt idx="1723">
                  <c:v>44155</c:v>
                </c:pt>
                <c:pt idx="1724">
                  <c:v>44158</c:v>
                </c:pt>
                <c:pt idx="1725">
                  <c:v>44159</c:v>
                </c:pt>
                <c:pt idx="1726">
                  <c:v>44160</c:v>
                </c:pt>
                <c:pt idx="1727">
                  <c:v>44162</c:v>
                </c:pt>
                <c:pt idx="1728">
                  <c:v>44165</c:v>
                </c:pt>
                <c:pt idx="1729">
                  <c:v>44166</c:v>
                </c:pt>
                <c:pt idx="1730">
                  <c:v>44167</c:v>
                </c:pt>
                <c:pt idx="1731">
                  <c:v>44168</c:v>
                </c:pt>
                <c:pt idx="1732">
                  <c:v>44169</c:v>
                </c:pt>
                <c:pt idx="1733">
                  <c:v>44172</c:v>
                </c:pt>
                <c:pt idx="1734">
                  <c:v>44173</c:v>
                </c:pt>
                <c:pt idx="1735">
                  <c:v>44174</c:v>
                </c:pt>
                <c:pt idx="1736">
                  <c:v>44175</c:v>
                </c:pt>
                <c:pt idx="1737">
                  <c:v>44176</c:v>
                </c:pt>
                <c:pt idx="1738">
                  <c:v>44179</c:v>
                </c:pt>
                <c:pt idx="1739">
                  <c:v>44180</c:v>
                </c:pt>
                <c:pt idx="1740">
                  <c:v>44181</c:v>
                </c:pt>
                <c:pt idx="1741">
                  <c:v>44182</c:v>
                </c:pt>
                <c:pt idx="1742">
                  <c:v>44183</c:v>
                </c:pt>
                <c:pt idx="1743">
                  <c:v>44186</c:v>
                </c:pt>
                <c:pt idx="1744">
                  <c:v>44187</c:v>
                </c:pt>
                <c:pt idx="1745">
                  <c:v>44188</c:v>
                </c:pt>
                <c:pt idx="1746">
                  <c:v>44189</c:v>
                </c:pt>
                <c:pt idx="1747">
                  <c:v>44193</c:v>
                </c:pt>
                <c:pt idx="1748">
                  <c:v>44194</c:v>
                </c:pt>
                <c:pt idx="1749">
                  <c:v>44195</c:v>
                </c:pt>
                <c:pt idx="1750">
                  <c:v>44196</c:v>
                </c:pt>
                <c:pt idx="1751">
                  <c:v>44200</c:v>
                </c:pt>
                <c:pt idx="1752">
                  <c:v>44201</c:v>
                </c:pt>
                <c:pt idx="1753">
                  <c:v>44202</c:v>
                </c:pt>
                <c:pt idx="1754">
                  <c:v>44203</c:v>
                </c:pt>
                <c:pt idx="1755">
                  <c:v>44204</c:v>
                </c:pt>
                <c:pt idx="1756">
                  <c:v>44207</c:v>
                </c:pt>
                <c:pt idx="1757">
                  <c:v>44208</c:v>
                </c:pt>
                <c:pt idx="1758">
                  <c:v>44209</c:v>
                </c:pt>
                <c:pt idx="1759">
                  <c:v>44210</c:v>
                </c:pt>
                <c:pt idx="1760">
                  <c:v>44211</c:v>
                </c:pt>
                <c:pt idx="1761">
                  <c:v>44215</c:v>
                </c:pt>
                <c:pt idx="1762">
                  <c:v>44216</c:v>
                </c:pt>
                <c:pt idx="1763">
                  <c:v>44217</c:v>
                </c:pt>
                <c:pt idx="1764">
                  <c:v>44218</c:v>
                </c:pt>
                <c:pt idx="1765">
                  <c:v>44221</c:v>
                </c:pt>
                <c:pt idx="1766">
                  <c:v>44222</c:v>
                </c:pt>
                <c:pt idx="1767">
                  <c:v>44223</c:v>
                </c:pt>
                <c:pt idx="1768">
                  <c:v>44224</c:v>
                </c:pt>
                <c:pt idx="1769">
                  <c:v>44225</c:v>
                </c:pt>
                <c:pt idx="1770">
                  <c:v>44228</c:v>
                </c:pt>
                <c:pt idx="1771">
                  <c:v>44229</c:v>
                </c:pt>
                <c:pt idx="1772">
                  <c:v>44230</c:v>
                </c:pt>
                <c:pt idx="1773">
                  <c:v>44231</c:v>
                </c:pt>
                <c:pt idx="1774">
                  <c:v>44232</c:v>
                </c:pt>
                <c:pt idx="1775">
                  <c:v>44235</c:v>
                </c:pt>
                <c:pt idx="1776">
                  <c:v>44236</c:v>
                </c:pt>
                <c:pt idx="1777">
                  <c:v>44237</c:v>
                </c:pt>
                <c:pt idx="1778">
                  <c:v>44238</c:v>
                </c:pt>
                <c:pt idx="1779">
                  <c:v>44239</c:v>
                </c:pt>
                <c:pt idx="1780">
                  <c:v>44243</c:v>
                </c:pt>
                <c:pt idx="1781">
                  <c:v>44244</c:v>
                </c:pt>
                <c:pt idx="1782">
                  <c:v>44245</c:v>
                </c:pt>
                <c:pt idx="1783">
                  <c:v>44246</c:v>
                </c:pt>
                <c:pt idx="1784">
                  <c:v>44249</c:v>
                </c:pt>
                <c:pt idx="1785">
                  <c:v>44250</c:v>
                </c:pt>
                <c:pt idx="1786">
                  <c:v>44251</c:v>
                </c:pt>
                <c:pt idx="1787">
                  <c:v>44252</c:v>
                </c:pt>
                <c:pt idx="1788">
                  <c:v>44253</c:v>
                </c:pt>
                <c:pt idx="1789">
                  <c:v>44256</c:v>
                </c:pt>
                <c:pt idx="1790">
                  <c:v>44257</c:v>
                </c:pt>
                <c:pt idx="1791">
                  <c:v>44258</c:v>
                </c:pt>
                <c:pt idx="1792">
                  <c:v>44259</c:v>
                </c:pt>
                <c:pt idx="1793">
                  <c:v>44260</c:v>
                </c:pt>
                <c:pt idx="1794">
                  <c:v>44263</c:v>
                </c:pt>
                <c:pt idx="1795">
                  <c:v>44264</c:v>
                </c:pt>
                <c:pt idx="1796">
                  <c:v>44265</c:v>
                </c:pt>
                <c:pt idx="1797">
                  <c:v>44266</c:v>
                </c:pt>
                <c:pt idx="1798">
                  <c:v>44267</c:v>
                </c:pt>
                <c:pt idx="1799">
                  <c:v>44270</c:v>
                </c:pt>
                <c:pt idx="1800">
                  <c:v>44271</c:v>
                </c:pt>
                <c:pt idx="1801">
                  <c:v>44272</c:v>
                </c:pt>
                <c:pt idx="1802">
                  <c:v>44273</c:v>
                </c:pt>
                <c:pt idx="1803">
                  <c:v>44274</c:v>
                </c:pt>
                <c:pt idx="1804">
                  <c:v>44277</c:v>
                </c:pt>
                <c:pt idx="1805">
                  <c:v>44278</c:v>
                </c:pt>
                <c:pt idx="1806">
                  <c:v>44279</c:v>
                </c:pt>
                <c:pt idx="1807">
                  <c:v>44280</c:v>
                </c:pt>
                <c:pt idx="1808">
                  <c:v>44281</c:v>
                </c:pt>
                <c:pt idx="1809">
                  <c:v>44284</c:v>
                </c:pt>
                <c:pt idx="1810">
                  <c:v>44285</c:v>
                </c:pt>
                <c:pt idx="1811">
                  <c:v>44286</c:v>
                </c:pt>
                <c:pt idx="1812">
                  <c:v>44287</c:v>
                </c:pt>
                <c:pt idx="1813">
                  <c:v>44291</c:v>
                </c:pt>
                <c:pt idx="1814">
                  <c:v>44292</c:v>
                </c:pt>
                <c:pt idx="1815">
                  <c:v>44293</c:v>
                </c:pt>
                <c:pt idx="1816">
                  <c:v>44294</c:v>
                </c:pt>
                <c:pt idx="1817">
                  <c:v>44295</c:v>
                </c:pt>
                <c:pt idx="1818">
                  <c:v>44298</c:v>
                </c:pt>
                <c:pt idx="1819">
                  <c:v>44299</c:v>
                </c:pt>
                <c:pt idx="1820">
                  <c:v>44300</c:v>
                </c:pt>
                <c:pt idx="1821">
                  <c:v>44301</c:v>
                </c:pt>
                <c:pt idx="1822">
                  <c:v>44302</c:v>
                </c:pt>
                <c:pt idx="1823">
                  <c:v>44305</c:v>
                </c:pt>
                <c:pt idx="1824">
                  <c:v>44306</c:v>
                </c:pt>
                <c:pt idx="1825">
                  <c:v>44307</c:v>
                </c:pt>
                <c:pt idx="1826">
                  <c:v>44308</c:v>
                </c:pt>
                <c:pt idx="1827">
                  <c:v>44309</c:v>
                </c:pt>
                <c:pt idx="1828">
                  <c:v>44312</c:v>
                </c:pt>
                <c:pt idx="1829">
                  <c:v>44313</c:v>
                </c:pt>
                <c:pt idx="1830">
                  <c:v>44314</c:v>
                </c:pt>
                <c:pt idx="1831">
                  <c:v>44315</c:v>
                </c:pt>
                <c:pt idx="1832">
                  <c:v>44316</c:v>
                </c:pt>
                <c:pt idx="1833">
                  <c:v>44319</c:v>
                </c:pt>
                <c:pt idx="1834">
                  <c:v>44320</c:v>
                </c:pt>
                <c:pt idx="1835">
                  <c:v>44321</c:v>
                </c:pt>
                <c:pt idx="1836">
                  <c:v>44322</c:v>
                </c:pt>
                <c:pt idx="1837">
                  <c:v>44323</c:v>
                </c:pt>
                <c:pt idx="1838">
                  <c:v>44326</c:v>
                </c:pt>
                <c:pt idx="1839">
                  <c:v>44327</c:v>
                </c:pt>
                <c:pt idx="1840">
                  <c:v>44328</c:v>
                </c:pt>
                <c:pt idx="1841">
                  <c:v>44329</c:v>
                </c:pt>
                <c:pt idx="1842">
                  <c:v>44330</c:v>
                </c:pt>
                <c:pt idx="1843">
                  <c:v>44333</c:v>
                </c:pt>
                <c:pt idx="1844">
                  <c:v>44334</c:v>
                </c:pt>
                <c:pt idx="1845">
                  <c:v>44335</c:v>
                </c:pt>
                <c:pt idx="1846">
                  <c:v>44336</c:v>
                </c:pt>
                <c:pt idx="1847">
                  <c:v>44337</c:v>
                </c:pt>
                <c:pt idx="1848">
                  <c:v>44340</c:v>
                </c:pt>
                <c:pt idx="1849">
                  <c:v>44341</c:v>
                </c:pt>
                <c:pt idx="1850">
                  <c:v>44342</c:v>
                </c:pt>
                <c:pt idx="1851">
                  <c:v>44343</c:v>
                </c:pt>
                <c:pt idx="1852">
                  <c:v>44344</c:v>
                </c:pt>
                <c:pt idx="1853">
                  <c:v>44348</c:v>
                </c:pt>
                <c:pt idx="1854">
                  <c:v>44349</c:v>
                </c:pt>
                <c:pt idx="1855">
                  <c:v>44350</c:v>
                </c:pt>
                <c:pt idx="1856">
                  <c:v>44351</c:v>
                </c:pt>
                <c:pt idx="1857">
                  <c:v>44354</c:v>
                </c:pt>
                <c:pt idx="1858">
                  <c:v>44355</c:v>
                </c:pt>
                <c:pt idx="1859">
                  <c:v>44356</c:v>
                </c:pt>
                <c:pt idx="1860">
                  <c:v>44357</c:v>
                </c:pt>
                <c:pt idx="1861">
                  <c:v>44358</c:v>
                </c:pt>
                <c:pt idx="1862">
                  <c:v>44361</c:v>
                </c:pt>
                <c:pt idx="1863">
                  <c:v>44362</c:v>
                </c:pt>
                <c:pt idx="1864">
                  <c:v>44363</c:v>
                </c:pt>
                <c:pt idx="1865">
                  <c:v>44364</c:v>
                </c:pt>
                <c:pt idx="1866">
                  <c:v>44365</c:v>
                </c:pt>
                <c:pt idx="1867">
                  <c:v>44368</c:v>
                </c:pt>
                <c:pt idx="1868">
                  <c:v>44369</c:v>
                </c:pt>
                <c:pt idx="1869">
                  <c:v>44370</c:v>
                </c:pt>
                <c:pt idx="1870">
                  <c:v>44371</c:v>
                </c:pt>
                <c:pt idx="1871">
                  <c:v>44372</c:v>
                </c:pt>
                <c:pt idx="1872">
                  <c:v>44375</c:v>
                </c:pt>
                <c:pt idx="1873">
                  <c:v>44376</c:v>
                </c:pt>
                <c:pt idx="1874">
                  <c:v>44377</c:v>
                </c:pt>
                <c:pt idx="1875">
                  <c:v>44378</c:v>
                </c:pt>
                <c:pt idx="1876">
                  <c:v>44379</c:v>
                </c:pt>
                <c:pt idx="1877">
                  <c:v>44383</c:v>
                </c:pt>
                <c:pt idx="1878">
                  <c:v>44384</c:v>
                </c:pt>
                <c:pt idx="1879">
                  <c:v>44385</c:v>
                </c:pt>
                <c:pt idx="1880">
                  <c:v>44386</c:v>
                </c:pt>
                <c:pt idx="1881">
                  <c:v>44389</c:v>
                </c:pt>
                <c:pt idx="1882">
                  <c:v>44390</c:v>
                </c:pt>
                <c:pt idx="1883">
                  <c:v>44391</c:v>
                </c:pt>
                <c:pt idx="1884">
                  <c:v>44392</c:v>
                </c:pt>
                <c:pt idx="1885">
                  <c:v>44393</c:v>
                </c:pt>
                <c:pt idx="1886">
                  <c:v>44396</c:v>
                </c:pt>
                <c:pt idx="1887">
                  <c:v>44397</c:v>
                </c:pt>
                <c:pt idx="1888">
                  <c:v>44398</c:v>
                </c:pt>
                <c:pt idx="1889">
                  <c:v>44399</c:v>
                </c:pt>
                <c:pt idx="1890">
                  <c:v>44400</c:v>
                </c:pt>
                <c:pt idx="1891">
                  <c:v>44403</c:v>
                </c:pt>
                <c:pt idx="1892">
                  <c:v>44404</c:v>
                </c:pt>
                <c:pt idx="1893">
                  <c:v>44405</c:v>
                </c:pt>
                <c:pt idx="1894">
                  <c:v>44406</c:v>
                </c:pt>
                <c:pt idx="1895">
                  <c:v>44407</c:v>
                </c:pt>
                <c:pt idx="1896">
                  <c:v>44410</c:v>
                </c:pt>
                <c:pt idx="1897">
                  <c:v>44411</c:v>
                </c:pt>
                <c:pt idx="1898">
                  <c:v>44412</c:v>
                </c:pt>
                <c:pt idx="1899">
                  <c:v>44413</c:v>
                </c:pt>
                <c:pt idx="1900">
                  <c:v>44414</c:v>
                </c:pt>
                <c:pt idx="1901">
                  <c:v>44417</c:v>
                </c:pt>
                <c:pt idx="1902">
                  <c:v>44418</c:v>
                </c:pt>
                <c:pt idx="1903">
                  <c:v>44419</c:v>
                </c:pt>
                <c:pt idx="1904">
                  <c:v>44420</c:v>
                </c:pt>
                <c:pt idx="1905">
                  <c:v>44421</c:v>
                </c:pt>
                <c:pt idx="1906">
                  <c:v>44424</c:v>
                </c:pt>
                <c:pt idx="1907">
                  <c:v>44425</c:v>
                </c:pt>
                <c:pt idx="1908">
                  <c:v>44426</c:v>
                </c:pt>
                <c:pt idx="1909">
                  <c:v>44427</c:v>
                </c:pt>
                <c:pt idx="1910">
                  <c:v>44428</c:v>
                </c:pt>
                <c:pt idx="1911">
                  <c:v>44431</c:v>
                </c:pt>
                <c:pt idx="1912">
                  <c:v>44432</c:v>
                </c:pt>
                <c:pt idx="1913">
                  <c:v>44433</c:v>
                </c:pt>
                <c:pt idx="1914">
                  <c:v>44434</c:v>
                </c:pt>
                <c:pt idx="1915">
                  <c:v>44435</c:v>
                </c:pt>
                <c:pt idx="1916">
                  <c:v>44438</c:v>
                </c:pt>
                <c:pt idx="1917">
                  <c:v>44439</c:v>
                </c:pt>
                <c:pt idx="1918">
                  <c:v>44440</c:v>
                </c:pt>
                <c:pt idx="1919">
                  <c:v>44441</c:v>
                </c:pt>
                <c:pt idx="1920">
                  <c:v>44442</c:v>
                </c:pt>
                <c:pt idx="1921">
                  <c:v>44446</c:v>
                </c:pt>
                <c:pt idx="1922">
                  <c:v>44447</c:v>
                </c:pt>
                <c:pt idx="1923">
                  <c:v>44448</c:v>
                </c:pt>
                <c:pt idx="1924">
                  <c:v>44449</c:v>
                </c:pt>
                <c:pt idx="1925">
                  <c:v>44452</c:v>
                </c:pt>
                <c:pt idx="1926">
                  <c:v>44453</c:v>
                </c:pt>
                <c:pt idx="1927">
                  <c:v>44454</c:v>
                </c:pt>
                <c:pt idx="1928">
                  <c:v>44455</c:v>
                </c:pt>
                <c:pt idx="1929">
                  <c:v>44456</c:v>
                </c:pt>
                <c:pt idx="1930">
                  <c:v>44459</c:v>
                </c:pt>
                <c:pt idx="1931">
                  <c:v>44460</c:v>
                </c:pt>
                <c:pt idx="1932">
                  <c:v>44461</c:v>
                </c:pt>
                <c:pt idx="1933">
                  <c:v>44462</c:v>
                </c:pt>
                <c:pt idx="1934">
                  <c:v>44463</c:v>
                </c:pt>
                <c:pt idx="1935">
                  <c:v>44466</c:v>
                </c:pt>
                <c:pt idx="1936">
                  <c:v>44467</c:v>
                </c:pt>
                <c:pt idx="1937">
                  <c:v>44468</c:v>
                </c:pt>
                <c:pt idx="1938">
                  <c:v>44469</c:v>
                </c:pt>
                <c:pt idx="1939">
                  <c:v>44470</c:v>
                </c:pt>
                <c:pt idx="1940">
                  <c:v>44473</c:v>
                </c:pt>
                <c:pt idx="1941">
                  <c:v>44474</c:v>
                </c:pt>
                <c:pt idx="1942">
                  <c:v>44475</c:v>
                </c:pt>
                <c:pt idx="1943">
                  <c:v>44476</c:v>
                </c:pt>
                <c:pt idx="1944">
                  <c:v>44477</c:v>
                </c:pt>
                <c:pt idx="1945">
                  <c:v>44480</c:v>
                </c:pt>
                <c:pt idx="1946">
                  <c:v>44481</c:v>
                </c:pt>
                <c:pt idx="1947">
                  <c:v>44482</c:v>
                </c:pt>
                <c:pt idx="1948">
                  <c:v>44483</c:v>
                </c:pt>
                <c:pt idx="1949">
                  <c:v>44484</c:v>
                </c:pt>
                <c:pt idx="1950">
                  <c:v>44487</c:v>
                </c:pt>
                <c:pt idx="1951">
                  <c:v>44488</c:v>
                </c:pt>
                <c:pt idx="1952">
                  <c:v>44489</c:v>
                </c:pt>
                <c:pt idx="1953">
                  <c:v>44490</c:v>
                </c:pt>
                <c:pt idx="1954">
                  <c:v>44491</c:v>
                </c:pt>
                <c:pt idx="1955">
                  <c:v>44494</c:v>
                </c:pt>
                <c:pt idx="1956">
                  <c:v>44495</c:v>
                </c:pt>
                <c:pt idx="1957">
                  <c:v>44496</c:v>
                </c:pt>
                <c:pt idx="1958">
                  <c:v>44497</c:v>
                </c:pt>
                <c:pt idx="1959">
                  <c:v>44498</c:v>
                </c:pt>
                <c:pt idx="1960">
                  <c:v>44501</c:v>
                </c:pt>
                <c:pt idx="1961">
                  <c:v>44502</c:v>
                </c:pt>
                <c:pt idx="1962">
                  <c:v>44503</c:v>
                </c:pt>
                <c:pt idx="1963">
                  <c:v>44504</c:v>
                </c:pt>
                <c:pt idx="1964">
                  <c:v>44505</c:v>
                </c:pt>
                <c:pt idx="1965">
                  <c:v>44508</c:v>
                </c:pt>
                <c:pt idx="1966">
                  <c:v>44509</c:v>
                </c:pt>
                <c:pt idx="1967">
                  <c:v>44510</c:v>
                </c:pt>
                <c:pt idx="1968">
                  <c:v>44511</c:v>
                </c:pt>
                <c:pt idx="1969">
                  <c:v>44512</c:v>
                </c:pt>
                <c:pt idx="1970">
                  <c:v>44515</c:v>
                </c:pt>
                <c:pt idx="1971">
                  <c:v>44516</c:v>
                </c:pt>
                <c:pt idx="1972">
                  <c:v>44517</c:v>
                </c:pt>
                <c:pt idx="1973">
                  <c:v>44518</c:v>
                </c:pt>
                <c:pt idx="1974">
                  <c:v>44519</c:v>
                </c:pt>
                <c:pt idx="1975">
                  <c:v>44522</c:v>
                </c:pt>
                <c:pt idx="1976">
                  <c:v>44523</c:v>
                </c:pt>
                <c:pt idx="1977">
                  <c:v>44524</c:v>
                </c:pt>
                <c:pt idx="1978">
                  <c:v>44526</c:v>
                </c:pt>
                <c:pt idx="1979">
                  <c:v>44529</c:v>
                </c:pt>
                <c:pt idx="1980">
                  <c:v>44530</c:v>
                </c:pt>
                <c:pt idx="1981">
                  <c:v>44531</c:v>
                </c:pt>
                <c:pt idx="1982">
                  <c:v>44532</c:v>
                </c:pt>
                <c:pt idx="1983">
                  <c:v>44533</c:v>
                </c:pt>
                <c:pt idx="1984">
                  <c:v>44536</c:v>
                </c:pt>
                <c:pt idx="1985">
                  <c:v>44537</c:v>
                </c:pt>
                <c:pt idx="1986">
                  <c:v>44538</c:v>
                </c:pt>
                <c:pt idx="1987">
                  <c:v>44539</c:v>
                </c:pt>
                <c:pt idx="1988">
                  <c:v>44540</c:v>
                </c:pt>
                <c:pt idx="1989">
                  <c:v>44543</c:v>
                </c:pt>
                <c:pt idx="1990">
                  <c:v>44544</c:v>
                </c:pt>
                <c:pt idx="1991">
                  <c:v>44545</c:v>
                </c:pt>
                <c:pt idx="1992">
                  <c:v>44546</c:v>
                </c:pt>
                <c:pt idx="1993">
                  <c:v>44547</c:v>
                </c:pt>
                <c:pt idx="1994">
                  <c:v>44550</c:v>
                </c:pt>
                <c:pt idx="1995">
                  <c:v>44551</c:v>
                </c:pt>
                <c:pt idx="1996">
                  <c:v>44552</c:v>
                </c:pt>
                <c:pt idx="1997">
                  <c:v>44553</c:v>
                </c:pt>
                <c:pt idx="1998">
                  <c:v>44557</c:v>
                </c:pt>
                <c:pt idx="1999">
                  <c:v>44558</c:v>
                </c:pt>
                <c:pt idx="2000">
                  <c:v>44559</c:v>
                </c:pt>
                <c:pt idx="2001">
                  <c:v>44560</c:v>
                </c:pt>
                <c:pt idx="2002">
                  <c:v>44561</c:v>
                </c:pt>
                <c:pt idx="2003">
                  <c:v>44564</c:v>
                </c:pt>
                <c:pt idx="2004">
                  <c:v>44565</c:v>
                </c:pt>
                <c:pt idx="2005">
                  <c:v>44566</c:v>
                </c:pt>
                <c:pt idx="2006">
                  <c:v>44567</c:v>
                </c:pt>
                <c:pt idx="2007">
                  <c:v>44568</c:v>
                </c:pt>
                <c:pt idx="2008">
                  <c:v>44571</c:v>
                </c:pt>
                <c:pt idx="2009">
                  <c:v>44572</c:v>
                </c:pt>
                <c:pt idx="2010">
                  <c:v>44573</c:v>
                </c:pt>
                <c:pt idx="2011">
                  <c:v>44574</c:v>
                </c:pt>
                <c:pt idx="2012">
                  <c:v>44575</c:v>
                </c:pt>
                <c:pt idx="2013">
                  <c:v>44579</c:v>
                </c:pt>
                <c:pt idx="2014">
                  <c:v>44580</c:v>
                </c:pt>
                <c:pt idx="2015">
                  <c:v>44581</c:v>
                </c:pt>
                <c:pt idx="2016">
                  <c:v>44582</c:v>
                </c:pt>
                <c:pt idx="2017">
                  <c:v>44585</c:v>
                </c:pt>
                <c:pt idx="2018">
                  <c:v>44586</c:v>
                </c:pt>
                <c:pt idx="2019">
                  <c:v>44587</c:v>
                </c:pt>
                <c:pt idx="2020">
                  <c:v>44588</c:v>
                </c:pt>
                <c:pt idx="2021">
                  <c:v>44589</c:v>
                </c:pt>
                <c:pt idx="2022">
                  <c:v>44592</c:v>
                </c:pt>
                <c:pt idx="2023">
                  <c:v>44593</c:v>
                </c:pt>
                <c:pt idx="2024">
                  <c:v>44594</c:v>
                </c:pt>
                <c:pt idx="2025">
                  <c:v>44595</c:v>
                </c:pt>
                <c:pt idx="2026">
                  <c:v>44596</c:v>
                </c:pt>
                <c:pt idx="2027">
                  <c:v>44599</c:v>
                </c:pt>
                <c:pt idx="2028">
                  <c:v>44600</c:v>
                </c:pt>
                <c:pt idx="2029">
                  <c:v>44601</c:v>
                </c:pt>
                <c:pt idx="2030">
                  <c:v>44602</c:v>
                </c:pt>
                <c:pt idx="2031">
                  <c:v>44603</c:v>
                </c:pt>
                <c:pt idx="2032">
                  <c:v>44606</c:v>
                </c:pt>
                <c:pt idx="2033">
                  <c:v>44607</c:v>
                </c:pt>
                <c:pt idx="2034">
                  <c:v>44608</c:v>
                </c:pt>
                <c:pt idx="2035">
                  <c:v>44609</c:v>
                </c:pt>
                <c:pt idx="2036">
                  <c:v>44610</c:v>
                </c:pt>
                <c:pt idx="2037">
                  <c:v>44614</c:v>
                </c:pt>
                <c:pt idx="2038">
                  <c:v>44615</c:v>
                </c:pt>
                <c:pt idx="2039">
                  <c:v>44616</c:v>
                </c:pt>
                <c:pt idx="2040">
                  <c:v>44617</c:v>
                </c:pt>
                <c:pt idx="2041">
                  <c:v>44620</c:v>
                </c:pt>
                <c:pt idx="2042">
                  <c:v>44621</c:v>
                </c:pt>
                <c:pt idx="2043">
                  <c:v>44622</c:v>
                </c:pt>
                <c:pt idx="2044">
                  <c:v>44623</c:v>
                </c:pt>
                <c:pt idx="2045">
                  <c:v>44624</c:v>
                </c:pt>
                <c:pt idx="2046">
                  <c:v>44627</c:v>
                </c:pt>
                <c:pt idx="2047">
                  <c:v>44628</c:v>
                </c:pt>
                <c:pt idx="2048">
                  <c:v>44629</c:v>
                </c:pt>
                <c:pt idx="2049">
                  <c:v>44630</c:v>
                </c:pt>
                <c:pt idx="2050">
                  <c:v>44631</c:v>
                </c:pt>
                <c:pt idx="2051">
                  <c:v>44634</c:v>
                </c:pt>
                <c:pt idx="2052">
                  <c:v>44635</c:v>
                </c:pt>
                <c:pt idx="2053">
                  <c:v>44636</c:v>
                </c:pt>
                <c:pt idx="2054">
                  <c:v>44637</c:v>
                </c:pt>
                <c:pt idx="2055">
                  <c:v>44638</c:v>
                </c:pt>
                <c:pt idx="2056">
                  <c:v>44641</c:v>
                </c:pt>
                <c:pt idx="2057">
                  <c:v>44642</c:v>
                </c:pt>
                <c:pt idx="2058">
                  <c:v>44643</c:v>
                </c:pt>
                <c:pt idx="2059">
                  <c:v>44644</c:v>
                </c:pt>
                <c:pt idx="2060">
                  <c:v>44645</c:v>
                </c:pt>
                <c:pt idx="2061">
                  <c:v>44648</c:v>
                </c:pt>
                <c:pt idx="2062">
                  <c:v>44649</c:v>
                </c:pt>
                <c:pt idx="2063">
                  <c:v>44650</c:v>
                </c:pt>
                <c:pt idx="2064">
                  <c:v>44651</c:v>
                </c:pt>
                <c:pt idx="2065">
                  <c:v>44652</c:v>
                </c:pt>
                <c:pt idx="2066">
                  <c:v>44655</c:v>
                </c:pt>
                <c:pt idx="2067">
                  <c:v>44656</c:v>
                </c:pt>
                <c:pt idx="2068">
                  <c:v>44657</c:v>
                </c:pt>
                <c:pt idx="2069">
                  <c:v>44658</c:v>
                </c:pt>
                <c:pt idx="2070">
                  <c:v>44659</c:v>
                </c:pt>
                <c:pt idx="2071">
                  <c:v>44662</c:v>
                </c:pt>
                <c:pt idx="2072">
                  <c:v>44663</c:v>
                </c:pt>
                <c:pt idx="2073">
                  <c:v>44664</c:v>
                </c:pt>
                <c:pt idx="2074">
                  <c:v>44665</c:v>
                </c:pt>
                <c:pt idx="2075">
                  <c:v>44669</c:v>
                </c:pt>
                <c:pt idx="2076">
                  <c:v>44670</c:v>
                </c:pt>
                <c:pt idx="2077">
                  <c:v>44671</c:v>
                </c:pt>
                <c:pt idx="2078">
                  <c:v>44672</c:v>
                </c:pt>
                <c:pt idx="2079">
                  <c:v>44673</c:v>
                </c:pt>
                <c:pt idx="2080">
                  <c:v>44676</c:v>
                </c:pt>
                <c:pt idx="2081">
                  <c:v>44677</c:v>
                </c:pt>
                <c:pt idx="2082">
                  <c:v>44678</c:v>
                </c:pt>
                <c:pt idx="2083">
                  <c:v>44679</c:v>
                </c:pt>
                <c:pt idx="2084">
                  <c:v>44680</c:v>
                </c:pt>
                <c:pt idx="2085">
                  <c:v>44683</c:v>
                </c:pt>
                <c:pt idx="2086">
                  <c:v>44684</c:v>
                </c:pt>
                <c:pt idx="2087">
                  <c:v>44685</c:v>
                </c:pt>
                <c:pt idx="2088">
                  <c:v>44686</c:v>
                </c:pt>
                <c:pt idx="2089">
                  <c:v>44687</c:v>
                </c:pt>
                <c:pt idx="2090">
                  <c:v>44690</c:v>
                </c:pt>
                <c:pt idx="2091">
                  <c:v>44691</c:v>
                </c:pt>
                <c:pt idx="2092">
                  <c:v>44692</c:v>
                </c:pt>
                <c:pt idx="2093">
                  <c:v>44693</c:v>
                </c:pt>
                <c:pt idx="2094">
                  <c:v>44694</c:v>
                </c:pt>
                <c:pt idx="2095">
                  <c:v>44697</c:v>
                </c:pt>
                <c:pt idx="2096">
                  <c:v>44698</c:v>
                </c:pt>
                <c:pt idx="2097">
                  <c:v>44699</c:v>
                </c:pt>
                <c:pt idx="2098">
                  <c:v>44700</c:v>
                </c:pt>
                <c:pt idx="2099">
                  <c:v>44701</c:v>
                </c:pt>
                <c:pt idx="2100">
                  <c:v>44704</c:v>
                </c:pt>
                <c:pt idx="2101">
                  <c:v>44705</c:v>
                </c:pt>
                <c:pt idx="2102">
                  <c:v>44706</c:v>
                </c:pt>
                <c:pt idx="2103">
                  <c:v>44707</c:v>
                </c:pt>
                <c:pt idx="2104">
                  <c:v>44708</c:v>
                </c:pt>
                <c:pt idx="2105">
                  <c:v>44712</c:v>
                </c:pt>
                <c:pt idx="2106">
                  <c:v>44713</c:v>
                </c:pt>
                <c:pt idx="2107">
                  <c:v>44714</c:v>
                </c:pt>
                <c:pt idx="2108">
                  <c:v>44715</c:v>
                </c:pt>
                <c:pt idx="2109">
                  <c:v>44718</c:v>
                </c:pt>
                <c:pt idx="2110">
                  <c:v>44719</c:v>
                </c:pt>
                <c:pt idx="2111">
                  <c:v>44720</c:v>
                </c:pt>
                <c:pt idx="2112">
                  <c:v>44721</c:v>
                </c:pt>
                <c:pt idx="2113">
                  <c:v>44722</c:v>
                </c:pt>
                <c:pt idx="2114">
                  <c:v>44725</c:v>
                </c:pt>
                <c:pt idx="2115">
                  <c:v>44726</c:v>
                </c:pt>
                <c:pt idx="2116">
                  <c:v>44727</c:v>
                </c:pt>
                <c:pt idx="2117">
                  <c:v>44728</c:v>
                </c:pt>
                <c:pt idx="2118">
                  <c:v>44729</c:v>
                </c:pt>
                <c:pt idx="2119">
                  <c:v>44733</c:v>
                </c:pt>
                <c:pt idx="2120">
                  <c:v>44734</c:v>
                </c:pt>
                <c:pt idx="2121">
                  <c:v>44735</c:v>
                </c:pt>
                <c:pt idx="2122">
                  <c:v>44736</c:v>
                </c:pt>
                <c:pt idx="2123">
                  <c:v>44739</c:v>
                </c:pt>
                <c:pt idx="2124">
                  <c:v>44740</c:v>
                </c:pt>
                <c:pt idx="2125">
                  <c:v>44741</c:v>
                </c:pt>
                <c:pt idx="2126">
                  <c:v>44742</c:v>
                </c:pt>
                <c:pt idx="2127">
                  <c:v>44743</c:v>
                </c:pt>
                <c:pt idx="2128">
                  <c:v>44747</c:v>
                </c:pt>
                <c:pt idx="2129">
                  <c:v>44748</c:v>
                </c:pt>
                <c:pt idx="2130">
                  <c:v>44749</c:v>
                </c:pt>
                <c:pt idx="2131">
                  <c:v>44750</c:v>
                </c:pt>
                <c:pt idx="2132">
                  <c:v>44753</c:v>
                </c:pt>
                <c:pt idx="2133">
                  <c:v>44754</c:v>
                </c:pt>
                <c:pt idx="2134">
                  <c:v>44755</c:v>
                </c:pt>
                <c:pt idx="2135">
                  <c:v>44756</c:v>
                </c:pt>
                <c:pt idx="2136">
                  <c:v>44757</c:v>
                </c:pt>
                <c:pt idx="2137">
                  <c:v>44760</c:v>
                </c:pt>
                <c:pt idx="2138">
                  <c:v>44761</c:v>
                </c:pt>
                <c:pt idx="2139">
                  <c:v>44762</c:v>
                </c:pt>
                <c:pt idx="2140">
                  <c:v>44763</c:v>
                </c:pt>
                <c:pt idx="2141">
                  <c:v>44764</c:v>
                </c:pt>
                <c:pt idx="2142">
                  <c:v>44767</c:v>
                </c:pt>
                <c:pt idx="2143">
                  <c:v>44768</c:v>
                </c:pt>
                <c:pt idx="2144">
                  <c:v>44769</c:v>
                </c:pt>
                <c:pt idx="2145">
                  <c:v>44770</c:v>
                </c:pt>
                <c:pt idx="2146">
                  <c:v>44771</c:v>
                </c:pt>
                <c:pt idx="2147">
                  <c:v>44774</c:v>
                </c:pt>
                <c:pt idx="2148">
                  <c:v>44775</c:v>
                </c:pt>
                <c:pt idx="2149">
                  <c:v>44776</c:v>
                </c:pt>
                <c:pt idx="2150">
                  <c:v>44777</c:v>
                </c:pt>
                <c:pt idx="2151">
                  <c:v>44778</c:v>
                </c:pt>
                <c:pt idx="2152">
                  <c:v>44781</c:v>
                </c:pt>
                <c:pt idx="2153">
                  <c:v>44782</c:v>
                </c:pt>
                <c:pt idx="2154">
                  <c:v>44783</c:v>
                </c:pt>
                <c:pt idx="2155">
                  <c:v>44784</c:v>
                </c:pt>
                <c:pt idx="2156">
                  <c:v>44785</c:v>
                </c:pt>
                <c:pt idx="2157">
                  <c:v>44788</c:v>
                </c:pt>
                <c:pt idx="2158">
                  <c:v>44789</c:v>
                </c:pt>
                <c:pt idx="2159">
                  <c:v>44790</c:v>
                </c:pt>
                <c:pt idx="2160">
                  <c:v>44791</c:v>
                </c:pt>
                <c:pt idx="2161">
                  <c:v>44792</c:v>
                </c:pt>
                <c:pt idx="2162">
                  <c:v>44795</c:v>
                </c:pt>
                <c:pt idx="2163">
                  <c:v>44796</c:v>
                </c:pt>
                <c:pt idx="2164">
                  <c:v>44797</c:v>
                </c:pt>
                <c:pt idx="2165">
                  <c:v>44798</c:v>
                </c:pt>
                <c:pt idx="2166">
                  <c:v>44799</c:v>
                </c:pt>
                <c:pt idx="2167">
                  <c:v>44802</c:v>
                </c:pt>
                <c:pt idx="2168">
                  <c:v>44803</c:v>
                </c:pt>
                <c:pt idx="2169">
                  <c:v>44804</c:v>
                </c:pt>
                <c:pt idx="2170">
                  <c:v>44805</c:v>
                </c:pt>
                <c:pt idx="2171">
                  <c:v>44806</c:v>
                </c:pt>
                <c:pt idx="2172">
                  <c:v>44810</c:v>
                </c:pt>
                <c:pt idx="2173">
                  <c:v>44811</c:v>
                </c:pt>
                <c:pt idx="2174">
                  <c:v>44812</c:v>
                </c:pt>
                <c:pt idx="2175">
                  <c:v>44813</c:v>
                </c:pt>
                <c:pt idx="2176">
                  <c:v>44816</c:v>
                </c:pt>
                <c:pt idx="2177">
                  <c:v>44817</c:v>
                </c:pt>
                <c:pt idx="2178">
                  <c:v>44818</c:v>
                </c:pt>
                <c:pt idx="2179">
                  <c:v>44819</c:v>
                </c:pt>
                <c:pt idx="2180">
                  <c:v>44820</c:v>
                </c:pt>
                <c:pt idx="2181">
                  <c:v>44823</c:v>
                </c:pt>
                <c:pt idx="2182">
                  <c:v>44824</c:v>
                </c:pt>
                <c:pt idx="2183">
                  <c:v>44825</c:v>
                </c:pt>
                <c:pt idx="2184">
                  <c:v>44826</c:v>
                </c:pt>
                <c:pt idx="2185">
                  <c:v>44827</c:v>
                </c:pt>
                <c:pt idx="2186">
                  <c:v>44830</c:v>
                </c:pt>
                <c:pt idx="2187">
                  <c:v>44831</c:v>
                </c:pt>
                <c:pt idx="2188">
                  <c:v>44832</c:v>
                </c:pt>
                <c:pt idx="2189">
                  <c:v>44833</c:v>
                </c:pt>
                <c:pt idx="2190">
                  <c:v>44834</c:v>
                </c:pt>
                <c:pt idx="2191">
                  <c:v>44837</c:v>
                </c:pt>
                <c:pt idx="2192">
                  <c:v>44838</c:v>
                </c:pt>
                <c:pt idx="2193">
                  <c:v>44839</c:v>
                </c:pt>
                <c:pt idx="2194">
                  <c:v>44840</c:v>
                </c:pt>
                <c:pt idx="2195">
                  <c:v>44841</c:v>
                </c:pt>
                <c:pt idx="2196">
                  <c:v>44844</c:v>
                </c:pt>
                <c:pt idx="2197">
                  <c:v>44845</c:v>
                </c:pt>
                <c:pt idx="2198">
                  <c:v>44846</c:v>
                </c:pt>
                <c:pt idx="2199">
                  <c:v>44847</c:v>
                </c:pt>
                <c:pt idx="2200">
                  <c:v>44848</c:v>
                </c:pt>
                <c:pt idx="2201">
                  <c:v>44851</c:v>
                </c:pt>
                <c:pt idx="2202">
                  <c:v>44852</c:v>
                </c:pt>
                <c:pt idx="2203">
                  <c:v>44853</c:v>
                </c:pt>
                <c:pt idx="2204">
                  <c:v>44854</c:v>
                </c:pt>
                <c:pt idx="2205">
                  <c:v>44855</c:v>
                </c:pt>
                <c:pt idx="2206">
                  <c:v>44858</c:v>
                </c:pt>
                <c:pt idx="2207">
                  <c:v>44859</c:v>
                </c:pt>
                <c:pt idx="2208">
                  <c:v>44860</c:v>
                </c:pt>
                <c:pt idx="2209">
                  <c:v>44861</c:v>
                </c:pt>
                <c:pt idx="2210">
                  <c:v>44862</c:v>
                </c:pt>
                <c:pt idx="2211">
                  <c:v>44865</c:v>
                </c:pt>
                <c:pt idx="2212">
                  <c:v>44866</c:v>
                </c:pt>
                <c:pt idx="2213">
                  <c:v>44867</c:v>
                </c:pt>
                <c:pt idx="2214">
                  <c:v>44868</c:v>
                </c:pt>
                <c:pt idx="2215">
                  <c:v>44869</c:v>
                </c:pt>
                <c:pt idx="2216">
                  <c:v>44872</c:v>
                </c:pt>
                <c:pt idx="2217">
                  <c:v>44873</c:v>
                </c:pt>
                <c:pt idx="2218">
                  <c:v>44874</c:v>
                </c:pt>
                <c:pt idx="2219">
                  <c:v>44875</c:v>
                </c:pt>
                <c:pt idx="2220">
                  <c:v>44876</c:v>
                </c:pt>
                <c:pt idx="2221">
                  <c:v>44879</c:v>
                </c:pt>
                <c:pt idx="2222">
                  <c:v>44880</c:v>
                </c:pt>
                <c:pt idx="2223">
                  <c:v>44881</c:v>
                </c:pt>
                <c:pt idx="2224">
                  <c:v>44882</c:v>
                </c:pt>
                <c:pt idx="2225">
                  <c:v>44883</c:v>
                </c:pt>
                <c:pt idx="2226">
                  <c:v>44886</c:v>
                </c:pt>
                <c:pt idx="2227">
                  <c:v>44887</c:v>
                </c:pt>
                <c:pt idx="2228">
                  <c:v>44888</c:v>
                </c:pt>
                <c:pt idx="2229">
                  <c:v>44890</c:v>
                </c:pt>
                <c:pt idx="2230">
                  <c:v>44893</c:v>
                </c:pt>
                <c:pt idx="2231">
                  <c:v>44894</c:v>
                </c:pt>
                <c:pt idx="2232">
                  <c:v>44895</c:v>
                </c:pt>
                <c:pt idx="2233">
                  <c:v>44896</c:v>
                </c:pt>
                <c:pt idx="2234">
                  <c:v>44897</c:v>
                </c:pt>
                <c:pt idx="2235">
                  <c:v>44900</c:v>
                </c:pt>
                <c:pt idx="2236">
                  <c:v>44901</c:v>
                </c:pt>
                <c:pt idx="2237">
                  <c:v>44902</c:v>
                </c:pt>
                <c:pt idx="2238">
                  <c:v>44903</c:v>
                </c:pt>
                <c:pt idx="2239">
                  <c:v>44904</c:v>
                </c:pt>
                <c:pt idx="2240">
                  <c:v>44907</c:v>
                </c:pt>
                <c:pt idx="2241">
                  <c:v>44908</c:v>
                </c:pt>
                <c:pt idx="2242">
                  <c:v>44909</c:v>
                </c:pt>
                <c:pt idx="2243">
                  <c:v>44910</c:v>
                </c:pt>
                <c:pt idx="2244">
                  <c:v>44911</c:v>
                </c:pt>
                <c:pt idx="2245">
                  <c:v>44914</c:v>
                </c:pt>
                <c:pt idx="2246">
                  <c:v>44915</c:v>
                </c:pt>
                <c:pt idx="2247">
                  <c:v>44916</c:v>
                </c:pt>
                <c:pt idx="2248">
                  <c:v>44917</c:v>
                </c:pt>
                <c:pt idx="2249">
                  <c:v>44918</c:v>
                </c:pt>
                <c:pt idx="2250">
                  <c:v>44922</c:v>
                </c:pt>
                <c:pt idx="2251">
                  <c:v>44923</c:v>
                </c:pt>
                <c:pt idx="2252">
                  <c:v>44924</c:v>
                </c:pt>
                <c:pt idx="2253">
                  <c:v>44925</c:v>
                </c:pt>
                <c:pt idx="2254">
                  <c:v>44929</c:v>
                </c:pt>
                <c:pt idx="2255">
                  <c:v>44930</c:v>
                </c:pt>
                <c:pt idx="2256">
                  <c:v>44931</c:v>
                </c:pt>
                <c:pt idx="2257">
                  <c:v>44932</c:v>
                </c:pt>
                <c:pt idx="2258">
                  <c:v>44935</c:v>
                </c:pt>
                <c:pt idx="2259">
                  <c:v>44936</c:v>
                </c:pt>
                <c:pt idx="2260">
                  <c:v>44937</c:v>
                </c:pt>
                <c:pt idx="2261">
                  <c:v>44938</c:v>
                </c:pt>
                <c:pt idx="2262">
                  <c:v>44939</c:v>
                </c:pt>
                <c:pt idx="2263">
                  <c:v>44943</c:v>
                </c:pt>
                <c:pt idx="2264">
                  <c:v>44944</c:v>
                </c:pt>
                <c:pt idx="2265">
                  <c:v>44945</c:v>
                </c:pt>
                <c:pt idx="2266">
                  <c:v>44946</c:v>
                </c:pt>
                <c:pt idx="2267">
                  <c:v>44949</c:v>
                </c:pt>
                <c:pt idx="2268">
                  <c:v>44950</c:v>
                </c:pt>
                <c:pt idx="2269">
                  <c:v>44951</c:v>
                </c:pt>
                <c:pt idx="2270">
                  <c:v>44952</c:v>
                </c:pt>
                <c:pt idx="2271">
                  <c:v>44953</c:v>
                </c:pt>
                <c:pt idx="2272">
                  <c:v>44956</c:v>
                </c:pt>
                <c:pt idx="2273">
                  <c:v>44957</c:v>
                </c:pt>
                <c:pt idx="2274">
                  <c:v>44958</c:v>
                </c:pt>
                <c:pt idx="2275">
                  <c:v>44959</c:v>
                </c:pt>
                <c:pt idx="2276">
                  <c:v>44960</c:v>
                </c:pt>
                <c:pt idx="2277">
                  <c:v>44963</c:v>
                </c:pt>
                <c:pt idx="2278">
                  <c:v>44964</c:v>
                </c:pt>
                <c:pt idx="2279">
                  <c:v>44965</c:v>
                </c:pt>
                <c:pt idx="2280">
                  <c:v>44966</c:v>
                </c:pt>
                <c:pt idx="2281">
                  <c:v>44967</c:v>
                </c:pt>
                <c:pt idx="2282">
                  <c:v>44970</c:v>
                </c:pt>
                <c:pt idx="2283">
                  <c:v>44971</c:v>
                </c:pt>
                <c:pt idx="2284">
                  <c:v>44972</c:v>
                </c:pt>
                <c:pt idx="2285">
                  <c:v>44973</c:v>
                </c:pt>
                <c:pt idx="2286">
                  <c:v>44974</c:v>
                </c:pt>
                <c:pt idx="2287">
                  <c:v>44978</c:v>
                </c:pt>
                <c:pt idx="2288">
                  <c:v>44979</c:v>
                </c:pt>
                <c:pt idx="2289">
                  <c:v>44980</c:v>
                </c:pt>
                <c:pt idx="2290">
                  <c:v>44981</c:v>
                </c:pt>
                <c:pt idx="2291">
                  <c:v>44984</c:v>
                </c:pt>
                <c:pt idx="2292">
                  <c:v>44985</c:v>
                </c:pt>
                <c:pt idx="2293">
                  <c:v>44986</c:v>
                </c:pt>
                <c:pt idx="2294">
                  <c:v>44987</c:v>
                </c:pt>
                <c:pt idx="2295">
                  <c:v>44988</c:v>
                </c:pt>
                <c:pt idx="2296">
                  <c:v>44991</c:v>
                </c:pt>
                <c:pt idx="2297">
                  <c:v>44992</c:v>
                </c:pt>
                <c:pt idx="2298">
                  <c:v>44993</c:v>
                </c:pt>
                <c:pt idx="2299">
                  <c:v>44994</c:v>
                </c:pt>
                <c:pt idx="2300">
                  <c:v>44995</c:v>
                </c:pt>
                <c:pt idx="2301">
                  <c:v>44998</c:v>
                </c:pt>
                <c:pt idx="2302">
                  <c:v>44999</c:v>
                </c:pt>
                <c:pt idx="2303">
                  <c:v>45000</c:v>
                </c:pt>
                <c:pt idx="2304">
                  <c:v>45001</c:v>
                </c:pt>
                <c:pt idx="2305">
                  <c:v>45002</c:v>
                </c:pt>
                <c:pt idx="2306">
                  <c:v>45005</c:v>
                </c:pt>
                <c:pt idx="2307">
                  <c:v>45006</c:v>
                </c:pt>
                <c:pt idx="2308">
                  <c:v>45007</c:v>
                </c:pt>
                <c:pt idx="2309">
                  <c:v>45008</c:v>
                </c:pt>
                <c:pt idx="2310">
                  <c:v>45009</c:v>
                </c:pt>
                <c:pt idx="2311">
                  <c:v>45012</c:v>
                </c:pt>
                <c:pt idx="2312">
                  <c:v>45013</c:v>
                </c:pt>
                <c:pt idx="2313">
                  <c:v>45014</c:v>
                </c:pt>
                <c:pt idx="2314">
                  <c:v>45015</c:v>
                </c:pt>
                <c:pt idx="2315">
                  <c:v>45016</c:v>
                </c:pt>
                <c:pt idx="2316">
                  <c:v>45019</c:v>
                </c:pt>
                <c:pt idx="2317">
                  <c:v>45020</c:v>
                </c:pt>
                <c:pt idx="2318">
                  <c:v>45021</c:v>
                </c:pt>
                <c:pt idx="2319">
                  <c:v>45022</c:v>
                </c:pt>
                <c:pt idx="2320">
                  <c:v>45026</c:v>
                </c:pt>
                <c:pt idx="2321">
                  <c:v>45027</c:v>
                </c:pt>
                <c:pt idx="2322">
                  <c:v>45028</c:v>
                </c:pt>
                <c:pt idx="2323">
                  <c:v>45029</c:v>
                </c:pt>
                <c:pt idx="2324">
                  <c:v>45030</c:v>
                </c:pt>
                <c:pt idx="2325">
                  <c:v>45033</c:v>
                </c:pt>
                <c:pt idx="2326">
                  <c:v>45034</c:v>
                </c:pt>
                <c:pt idx="2327">
                  <c:v>45035</c:v>
                </c:pt>
                <c:pt idx="2328">
                  <c:v>45036</c:v>
                </c:pt>
                <c:pt idx="2329">
                  <c:v>45037</c:v>
                </c:pt>
                <c:pt idx="2330">
                  <c:v>45040</c:v>
                </c:pt>
                <c:pt idx="2331">
                  <c:v>45041</c:v>
                </c:pt>
                <c:pt idx="2332">
                  <c:v>45042</c:v>
                </c:pt>
                <c:pt idx="2333">
                  <c:v>45043</c:v>
                </c:pt>
                <c:pt idx="2334">
                  <c:v>45044</c:v>
                </c:pt>
                <c:pt idx="2335">
                  <c:v>45047</c:v>
                </c:pt>
                <c:pt idx="2336">
                  <c:v>45048</c:v>
                </c:pt>
                <c:pt idx="2337">
                  <c:v>45049</c:v>
                </c:pt>
                <c:pt idx="2338">
                  <c:v>45050</c:v>
                </c:pt>
                <c:pt idx="2339">
                  <c:v>45051</c:v>
                </c:pt>
                <c:pt idx="2340">
                  <c:v>45054</c:v>
                </c:pt>
                <c:pt idx="2341">
                  <c:v>45055</c:v>
                </c:pt>
                <c:pt idx="2342">
                  <c:v>45056</c:v>
                </c:pt>
                <c:pt idx="2343">
                  <c:v>45057</c:v>
                </c:pt>
                <c:pt idx="2344">
                  <c:v>45058</c:v>
                </c:pt>
                <c:pt idx="2345">
                  <c:v>45061</c:v>
                </c:pt>
                <c:pt idx="2346">
                  <c:v>45062</c:v>
                </c:pt>
                <c:pt idx="2347">
                  <c:v>45063</c:v>
                </c:pt>
                <c:pt idx="2348">
                  <c:v>45064</c:v>
                </c:pt>
                <c:pt idx="2349">
                  <c:v>45065</c:v>
                </c:pt>
                <c:pt idx="2350">
                  <c:v>45068</c:v>
                </c:pt>
                <c:pt idx="2351">
                  <c:v>45069</c:v>
                </c:pt>
                <c:pt idx="2352">
                  <c:v>45070</c:v>
                </c:pt>
                <c:pt idx="2353">
                  <c:v>45071</c:v>
                </c:pt>
                <c:pt idx="2354">
                  <c:v>45072</c:v>
                </c:pt>
                <c:pt idx="2355">
                  <c:v>45076</c:v>
                </c:pt>
                <c:pt idx="2356">
                  <c:v>45077</c:v>
                </c:pt>
                <c:pt idx="2357">
                  <c:v>45078</c:v>
                </c:pt>
                <c:pt idx="2358">
                  <c:v>45079</c:v>
                </c:pt>
                <c:pt idx="2359">
                  <c:v>45082</c:v>
                </c:pt>
                <c:pt idx="2360">
                  <c:v>45083</c:v>
                </c:pt>
                <c:pt idx="2361">
                  <c:v>45084</c:v>
                </c:pt>
                <c:pt idx="2362">
                  <c:v>45085</c:v>
                </c:pt>
                <c:pt idx="2363">
                  <c:v>45086</c:v>
                </c:pt>
                <c:pt idx="2364">
                  <c:v>45089</c:v>
                </c:pt>
                <c:pt idx="2365">
                  <c:v>45090</c:v>
                </c:pt>
                <c:pt idx="2366">
                  <c:v>45091</c:v>
                </c:pt>
                <c:pt idx="2367">
                  <c:v>45092</c:v>
                </c:pt>
                <c:pt idx="2368">
                  <c:v>45093</c:v>
                </c:pt>
                <c:pt idx="2369">
                  <c:v>45097</c:v>
                </c:pt>
                <c:pt idx="2370">
                  <c:v>45098</c:v>
                </c:pt>
                <c:pt idx="2371">
                  <c:v>45099</c:v>
                </c:pt>
                <c:pt idx="2372">
                  <c:v>45100</c:v>
                </c:pt>
                <c:pt idx="2373">
                  <c:v>45103</c:v>
                </c:pt>
                <c:pt idx="2374">
                  <c:v>45104</c:v>
                </c:pt>
                <c:pt idx="2375">
                  <c:v>45105</c:v>
                </c:pt>
                <c:pt idx="2376">
                  <c:v>45106</c:v>
                </c:pt>
                <c:pt idx="2377">
                  <c:v>45107</c:v>
                </c:pt>
                <c:pt idx="2378">
                  <c:v>45110</c:v>
                </c:pt>
                <c:pt idx="2379">
                  <c:v>45112</c:v>
                </c:pt>
                <c:pt idx="2380">
                  <c:v>45113</c:v>
                </c:pt>
                <c:pt idx="2381">
                  <c:v>45114</c:v>
                </c:pt>
                <c:pt idx="2382">
                  <c:v>45117</c:v>
                </c:pt>
                <c:pt idx="2383">
                  <c:v>45118</c:v>
                </c:pt>
                <c:pt idx="2384">
                  <c:v>45119</c:v>
                </c:pt>
                <c:pt idx="2385">
                  <c:v>45120</c:v>
                </c:pt>
                <c:pt idx="2386">
                  <c:v>45121</c:v>
                </c:pt>
                <c:pt idx="2387">
                  <c:v>45124</c:v>
                </c:pt>
                <c:pt idx="2388">
                  <c:v>45125</c:v>
                </c:pt>
                <c:pt idx="2389">
                  <c:v>45126</c:v>
                </c:pt>
                <c:pt idx="2390">
                  <c:v>45127</c:v>
                </c:pt>
                <c:pt idx="2391">
                  <c:v>45128</c:v>
                </c:pt>
                <c:pt idx="2392">
                  <c:v>45131</c:v>
                </c:pt>
                <c:pt idx="2393">
                  <c:v>45132</c:v>
                </c:pt>
                <c:pt idx="2394">
                  <c:v>45133</c:v>
                </c:pt>
                <c:pt idx="2395">
                  <c:v>45134</c:v>
                </c:pt>
                <c:pt idx="2396">
                  <c:v>45135</c:v>
                </c:pt>
                <c:pt idx="2397">
                  <c:v>45138</c:v>
                </c:pt>
                <c:pt idx="2398">
                  <c:v>45139</c:v>
                </c:pt>
                <c:pt idx="2399">
                  <c:v>45140</c:v>
                </c:pt>
                <c:pt idx="2400">
                  <c:v>45141</c:v>
                </c:pt>
                <c:pt idx="2401">
                  <c:v>45142</c:v>
                </c:pt>
                <c:pt idx="2402">
                  <c:v>45145</c:v>
                </c:pt>
                <c:pt idx="2403">
                  <c:v>45146</c:v>
                </c:pt>
                <c:pt idx="2404">
                  <c:v>45147</c:v>
                </c:pt>
                <c:pt idx="2405">
                  <c:v>45148</c:v>
                </c:pt>
                <c:pt idx="2406">
                  <c:v>45149</c:v>
                </c:pt>
                <c:pt idx="2407">
                  <c:v>45152</c:v>
                </c:pt>
                <c:pt idx="2408">
                  <c:v>45153</c:v>
                </c:pt>
                <c:pt idx="2409">
                  <c:v>45154</c:v>
                </c:pt>
                <c:pt idx="2410">
                  <c:v>45155</c:v>
                </c:pt>
                <c:pt idx="2411">
                  <c:v>45156</c:v>
                </c:pt>
                <c:pt idx="2412">
                  <c:v>45159</c:v>
                </c:pt>
                <c:pt idx="2413">
                  <c:v>45160</c:v>
                </c:pt>
                <c:pt idx="2414">
                  <c:v>45161</c:v>
                </c:pt>
                <c:pt idx="2415">
                  <c:v>45162</c:v>
                </c:pt>
                <c:pt idx="2416">
                  <c:v>45163</c:v>
                </c:pt>
                <c:pt idx="2417">
                  <c:v>45166</c:v>
                </c:pt>
                <c:pt idx="2418">
                  <c:v>45167</c:v>
                </c:pt>
                <c:pt idx="2419">
                  <c:v>45168</c:v>
                </c:pt>
                <c:pt idx="2420">
                  <c:v>45169</c:v>
                </c:pt>
                <c:pt idx="2421">
                  <c:v>45170</c:v>
                </c:pt>
                <c:pt idx="2422">
                  <c:v>45174</c:v>
                </c:pt>
                <c:pt idx="2423">
                  <c:v>45175</c:v>
                </c:pt>
                <c:pt idx="2424">
                  <c:v>45176</c:v>
                </c:pt>
                <c:pt idx="2425">
                  <c:v>45177</c:v>
                </c:pt>
                <c:pt idx="2426">
                  <c:v>45180</c:v>
                </c:pt>
                <c:pt idx="2427">
                  <c:v>45181</c:v>
                </c:pt>
                <c:pt idx="2428">
                  <c:v>45182</c:v>
                </c:pt>
                <c:pt idx="2429">
                  <c:v>45183</c:v>
                </c:pt>
                <c:pt idx="2430">
                  <c:v>45184</c:v>
                </c:pt>
                <c:pt idx="2431">
                  <c:v>45187</c:v>
                </c:pt>
                <c:pt idx="2432">
                  <c:v>45188</c:v>
                </c:pt>
                <c:pt idx="2433">
                  <c:v>45189</c:v>
                </c:pt>
                <c:pt idx="2434">
                  <c:v>45190</c:v>
                </c:pt>
                <c:pt idx="2435">
                  <c:v>45191</c:v>
                </c:pt>
                <c:pt idx="2436">
                  <c:v>45194</c:v>
                </c:pt>
                <c:pt idx="2437">
                  <c:v>45195</c:v>
                </c:pt>
                <c:pt idx="2438">
                  <c:v>45196</c:v>
                </c:pt>
                <c:pt idx="2439">
                  <c:v>45197</c:v>
                </c:pt>
                <c:pt idx="2440">
                  <c:v>45198</c:v>
                </c:pt>
                <c:pt idx="2441">
                  <c:v>45201</c:v>
                </c:pt>
                <c:pt idx="2442">
                  <c:v>45202</c:v>
                </c:pt>
                <c:pt idx="2443">
                  <c:v>45203</c:v>
                </c:pt>
                <c:pt idx="2444">
                  <c:v>45204</c:v>
                </c:pt>
                <c:pt idx="2445">
                  <c:v>45205</c:v>
                </c:pt>
                <c:pt idx="2446">
                  <c:v>45208</c:v>
                </c:pt>
                <c:pt idx="2447">
                  <c:v>45209</c:v>
                </c:pt>
                <c:pt idx="2448">
                  <c:v>45210</c:v>
                </c:pt>
                <c:pt idx="2449">
                  <c:v>45211</c:v>
                </c:pt>
                <c:pt idx="2450">
                  <c:v>45212</c:v>
                </c:pt>
                <c:pt idx="2451">
                  <c:v>45215</c:v>
                </c:pt>
                <c:pt idx="2452">
                  <c:v>45216</c:v>
                </c:pt>
                <c:pt idx="2453">
                  <c:v>45217</c:v>
                </c:pt>
                <c:pt idx="2454">
                  <c:v>45218</c:v>
                </c:pt>
                <c:pt idx="2455">
                  <c:v>45219</c:v>
                </c:pt>
                <c:pt idx="2456">
                  <c:v>45222</c:v>
                </c:pt>
                <c:pt idx="2457">
                  <c:v>45223</c:v>
                </c:pt>
                <c:pt idx="2458">
                  <c:v>45224</c:v>
                </c:pt>
                <c:pt idx="2459">
                  <c:v>45225</c:v>
                </c:pt>
                <c:pt idx="2460">
                  <c:v>45226</c:v>
                </c:pt>
                <c:pt idx="2461">
                  <c:v>45229</c:v>
                </c:pt>
                <c:pt idx="2462">
                  <c:v>45230</c:v>
                </c:pt>
                <c:pt idx="2463">
                  <c:v>45231</c:v>
                </c:pt>
                <c:pt idx="2464">
                  <c:v>45232</c:v>
                </c:pt>
                <c:pt idx="2465">
                  <c:v>45233</c:v>
                </c:pt>
                <c:pt idx="2466">
                  <c:v>45236</c:v>
                </c:pt>
                <c:pt idx="2467">
                  <c:v>45237</c:v>
                </c:pt>
                <c:pt idx="2468">
                  <c:v>45238</c:v>
                </c:pt>
                <c:pt idx="2469">
                  <c:v>45239</c:v>
                </c:pt>
                <c:pt idx="2470">
                  <c:v>45240</c:v>
                </c:pt>
                <c:pt idx="2471">
                  <c:v>45243</c:v>
                </c:pt>
                <c:pt idx="2472">
                  <c:v>45244</c:v>
                </c:pt>
                <c:pt idx="2473">
                  <c:v>45245</c:v>
                </c:pt>
                <c:pt idx="2474">
                  <c:v>45246</c:v>
                </c:pt>
                <c:pt idx="2475">
                  <c:v>45247</c:v>
                </c:pt>
                <c:pt idx="2476">
                  <c:v>45250</c:v>
                </c:pt>
                <c:pt idx="2477">
                  <c:v>45251</c:v>
                </c:pt>
                <c:pt idx="2478">
                  <c:v>45252</c:v>
                </c:pt>
                <c:pt idx="2479">
                  <c:v>45254</c:v>
                </c:pt>
                <c:pt idx="2480">
                  <c:v>45257</c:v>
                </c:pt>
                <c:pt idx="2481">
                  <c:v>45258</c:v>
                </c:pt>
                <c:pt idx="2482">
                  <c:v>45259</c:v>
                </c:pt>
                <c:pt idx="2483">
                  <c:v>45260</c:v>
                </c:pt>
                <c:pt idx="2484">
                  <c:v>45261</c:v>
                </c:pt>
                <c:pt idx="2485">
                  <c:v>45264</c:v>
                </c:pt>
                <c:pt idx="2486">
                  <c:v>45265</c:v>
                </c:pt>
                <c:pt idx="2487">
                  <c:v>45266</c:v>
                </c:pt>
                <c:pt idx="2488">
                  <c:v>45267</c:v>
                </c:pt>
                <c:pt idx="2489">
                  <c:v>45268</c:v>
                </c:pt>
                <c:pt idx="2490">
                  <c:v>45271</c:v>
                </c:pt>
                <c:pt idx="2491">
                  <c:v>45272</c:v>
                </c:pt>
                <c:pt idx="2492">
                  <c:v>45273</c:v>
                </c:pt>
                <c:pt idx="2493">
                  <c:v>45274</c:v>
                </c:pt>
                <c:pt idx="2494">
                  <c:v>45275</c:v>
                </c:pt>
                <c:pt idx="2495">
                  <c:v>45278</c:v>
                </c:pt>
                <c:pt idx="2496">
                  <c:v>45279</c:v>
                </c:pt>
                <c:pt idx="2497">
                  <c:v>45280</c:v>
                </c:pt>
                <c:pt idx="2498">
                  <c:v>45281</c:v>
                </c:pt>
                <c:pt idx="2499">
                  <c:v>45282</c:v>
                </c:pt>
                <c:pt idx="2500">
                  <c:v>45286</c:v>
                </c:pt>
                <c:pt idx="2501">
                  <c:v>45287</c:v>
                </c:pt>
                <c:pt idx="2502">
                  <c:v>45288</c:v>
                </c:pt>
                <c:pt idx="2503">
                  <c:v>45289</c:v>
                </c:pt>
                <c:pt idx="2504">
                  <c:v>45293</c:v>
                </c:pt>
                <c:pt idx="2505">
                  <c:v>45294</c:v>
                </c:pt>
                <c:pt idx="2506">
                  <c:v>45295</c:v>
                </c:pt>
                <c:pt idx="2507">
                  <c:v>45296</c:v>
                </c:pt>
                <c:pt idx="2508">
                  <c:v>45299</c:v>
                </c:pt>
                <c:pt idx="2509">
                  <c:v>45300</c:v>
                </c:pt>
                <c:pt idx="2510">
                  <c:v>45301</c:v>
                </c:pt>
                <c:pt idx="2511">
                  <c:v>45302</c:v>
                </c:pt>
                <c:pt idx="2512">
                  <c:v>45303</c:v>
                </c:pt>
                <c:pt idx="2513">
                  <c:v>45307</c:v>
                </c:pt>
                <c:pt idx="2514">
                  <c:v>45308</c:v>
                </c:pt>
              </c:numCache>
            </c:numRef>
          </c:cat>
          <c:val>
            <c:numRef>
              <c:f>[1]WMT!$B$2:$B$2516</c:f>
              <c:numCache>
                <c:formatCode>General</c:formatCode>
                <c:ptCount val="2515"/>
                <c:pt idx="0">
                  <c:v>61.297370999999998</c:v>
                </c:pt>
                <c:pt idx="1">
                  <c:v>60.901299000000002</c:v>
                </c:pt>
                <c:pt idx="2">
                  <c:v>60.586067</c:v>
                </c:pt>
                <c:pt idx="3">
                  <c:v>60.149631999999997</c:v>
                </c:pt>
                <c:pt idx="4">
                  <c:v>59.931407999999998</c:v>
                </c:pt>
                <c:pt idx="5">
                  <c:v>60.351700000000001</c:v>
                </c:pt>
                <c:pt idx="6">
                  <c:v>59.890984000000003</c:v>
                </c:pt>
                <c:pt idx="7">
                  <c:v>60.416370000000001</c:v>
                </c:pt>
                <c:pt idx="8">
                  <c:v>60.359779000000003</c:v>
                </c:pt>
                <c:pt idx="9">
                  <c:v>58.727119000000002</c:v>
                </c:pt>
                <c:pt idx="10">
                  <c:v>58.783687999999998</c:v>
                </c:pt>
                <c:pt idx="11">
                  <c:v>58.896842999999997</c:v>
                </c:pt>
                <c:pt idx="12">
                  <c:v>58.856453000000002</c:v>
                </c:pt>
                <c:pt idx="13">
                  <c:v>59.608111999999998</c:v>
                </c:pt>
                <c:pt idx="14">
                  <c:v>59.616196000000002</c:v>
                </c:pt>
                <c:pt idx="15">
                  <c:v>60.456783000000001</c:v>
                </c:pt>
                <c:pt idx="16">
                  <c:v>60.586067</c:v>
                </c:pt>
                <c:pt idx="17">
                  <c:v>60.909393000000001</c:v>
                </c:pt>
                <c:pt idx="18">
                  <c:v>61.256923999999998</c:v>
                </c:pt>
                <c:pt idx="19">
                  <c:v>60.885123999999998</c:v>
                </c:pt>
                <c:pt idx="20">
                  <c:v>60.497211</c:v>
                </c:pt>
                <c:pt idx="21">
                  <c:v>59.422215000000001</c:v>
                </c:pt>
                <c:pt idx="22">
                  <c:v>59.098922999999999</c:v>
                </c:pt>
                <c:pt idx="23">
                  <c:v>59.284813</c:v>
                </c:pt>
                <c:pt idx="24">
                  <c:v>59.284813</c:v>
                </c:pt>
                <c:pt idx="25">
                  <c:v>60.440612999999999</c:v>
                </c:pt>
                <c:pt idx="26">
                  <c:v>60.262774999999998</c:v>
                </c:pt>
                <c:pt idx="27">
                  <c:v>60.375954</c:v>
                </c:pt>
                <c:pt idx="28">
                  <c:v>59.907173</c:v>
                </c:pt>
                <c:pt idx="29">
                  <c:v>60.723514999999999</c:v>
                </c:pt>
                <c:pt idx="30">
                  <c:v>60.456783000000001</c:v>
                </c:pt>
                <c:pt idx="31">
                  <c:v>60.521442</c:v>
                </c:pt>
                <c:pt idx="32">
                  <c:v>60.667839000000001</c:v>
                </c:pt>
                <c:pt idx="33">
                  <c:v>60.545830000000002</c:v>
                </c:pt>
                <c:pt idx="34">
                  <c:v>60.944431000000002</c:v>
                </c:pt>
                <c:pt idx="35">
                  <c:v>61.440617000000003</c:v>
                </c:pt>
                <c:pt idx="36">
                  <c:v>60.952553000000002</c:v>
                </c:pt>
                <c:pt idx="37">
                  <c:v>60.423805000000002</c:v>
                </c:pt>
                <c:pt idx="38">
                  <c:v>60.749195</c:v>
                </c:pt>
                <c:pt idx="39">
                  <c:v>60.822414000000002</c:v>
                </c:pt>
                <c:pt idx="40">
                  <c:v>60.505146000000003</c:v>
                </c:pt>
                <c:pt idx="41">
                  <c:v>61.318615000000001</c:v>
                </c:pt>
                <c:pt idx="42">
                  <c:v>61.904282000000002</c:v>
                </c:pt>
                <c:pt idx="43">
                  <c:v>62.441212</c:v>
                </c:pt>
                <c:pt idx="44">
                  <c:v>62.530684999999998</c:v>
                </c:pt>
                <c:pt idx="45">
                  <c:v>62.010052000000002</c:v>
                </c:pt>
                <c:pt idx="46">
                  <c:v>61.936844000000001</c:v>
                </c:pt>
                <c:pt idx="47">
                  <c:v>61.831116000000002</c:v>
                </c:pt>
                <c:pt idx="48">
                  <c:v>62.172744999999999</c:v>
                </c:pt>
                <c:pt idx="49">
                  <c:v>62.449337</c:v>
                </c:pt>
                <c:pt idx="50">
                  <c:v>62.782851999999998</c:v>
                </c:pt>
                <c:pt idx="51">
                  <c:v>63.010609000000002</c:v>
                </c:pt>
                <c:pt idx="52">
                  <c:v>62.888587999999999</c:v>
                </c:pt>
                <c:pt idx="53">
                  <c:v>62.888587999999999</c:v>
                </c:pt>
                <c:pt idx="54">
                  <c:v>63.596316999999999</c:v>
                </c:pt>
                <c:pt idx="55">
                  <c:v>63.425465000000003</c:v>
                </c:pt>
                <c:pt idx="56">
                  <c:v>62.546939999999999</c:v>
                </c:pt>
                <c:pt idx="57">
                  <c:v>62.229694000000002</c:v>
                </c:pt>
                <c:pt idx="58">
                  <c:v>62.945540999999999</c:v>
                </c:pt>
                <c:pt idx="59">
                  <c:v>62.538792000000001</c:v>
                </c:pt>
                <c:pt idx="60">
                  <c:v>62.815395000000002</c:v>
                </c:pt>
                <c:pt idx="61">
                  <c:v>63.173302</c:v>
                </c:pt>
                <c:pt idx="62">
                  <c:v>63.124507999999999</c:v>
                </c:pt>
                <c:pt idx="63">
                  <c:v>63.091971999999998</c:v>
                </c:pt>
                <c:pt idx="64">
                  <c:v>63.482425999999997</c:v>
                </c:pt>
                <c:pt idx="65">
                  <c:v>63.702067999999997</c:v>
                </c:pt>
                <c:pt idx="66">
                  <c:v>63.954242999999998</c:v>
                </c:pt>
                <c:pt idx="67">
                  <c:v>64.881584000000004</c:v>
                </c:pt>
                <c:pt idx="68">
                  <c:v>64.808350000000004</c:v>
                </c:pt>
                <c:pt idx="69">
                  <c:v>64.840896999999998</c:v>
                </c:pt>
                <c:pt idx="70">
                  <c:v>64.832779000000002</c:v>
                </c:pt>
                <c:pt idx="71">
                  <c:v>64.360969999999995</c:v>
                </c:pt>
                <c:pt idx="72">
                  <c:v>63.954242999999998</c:v>
                </c:pt>
                <c:pt idx="73">
                  <c:v>63.458019</c:v>
                </c:pt>
                <c:pt idx="74">
                  <c:v>63.809998</c:v>
                </c:pt>
                <c:pt idx="75">
                  <c:v>64.407486000000006</c:v>
                </c:pt>
                <c:pt idx="76">
                  <c:v>64.824905000000001</c:v>
                </c:pt>
                <c:pt idx="77">
                  <c:v>64.783957999999998</c:v>
                </c:pt>
                <c:pt idx="78">
                  <c:v>64.775810000000007</c:v>
                </c:pt>
                <c:pt idx="79">
                  <c:v>64.448418000000004</c:v>
                </c:pt>
                <c:pt idx="80">
                  <c:v>62.885055999999999</c:v>
                </c:pt>
                <c:pt idx="81">
                  <c:v>63.032420999999999</c:v>
                </c:pt>
                <c:pt idx="82">
                  <c:v>62.704998000000003</c:v>
                </c:pt>
                <c:pt idx="83">
                  <c:v>61.951996000000001</c:v>
                </c:pt>
                <c:pt idx="84">
                  <c:v>61.927447999999998</c:v>
                </c:pt>
                <c:pt idx="85">
                  <c:v>61.706432</c:v>
                </c:pt>
                <c:pt idx="86">
                  <c:v>61.886508999999997</c:v>
                </c:pt>
                <c:pt idx="87">
                  <c:v>61.870154999999997</c:v>
                </c:pt>
                <c:pt idx="88">
                  <c:v>61.821018000000002</c:v>
                </c:pt>
                <c:pt idx="89">
                  <c:v>62.189342000000003</c:v>
                </c:pt>
                <c:pt idx="90">
                  <c:v>62.835976000000002</c:v>
                </c:pt>
                <c:pt idx="91">
                  <c:v>62.827778000000002</c:v>
                </c:pt>
                <c:pt idx="92">
                  <c:v>62.786835000000004</c:v>
                </c:pt>
                <c:pt idx="93">
                  <c:v>63.130629999999996</c:v>
                </c:pt>
                <c:pt idx="94">
                  <c:v>63.286113999999998</c:v>
                </c:pt>
                <c:pt idx="95">
                  <c:v>63.196086999999999</c:v>
                </c:pt>
                <c:pt idx="96">
                  <c:v>63.032420999999999</c:v>
                </c:pt>
                <c:pt idx="97">
                  <c:v>62.713188000000002</c:v>
                </c:pt>
                <c:pt idx="98">
                  <c:v>62.336677999999999</c:v>
                </c:pt>
                <c:pt idx="99">
                  <c:v>61.984741</c:v>
                </c:pt>
                <c:pt idx="100">
                  <c:v>61.616394</c:v>
                </c:pt>
                <c:pt idx="101">
                  <c:v>61.665512</c:v>
                </c:pt>
                <c:pt idx="102">
                  <c:v>61.379044</c:v>
                </c:pt>
                <c:pt idx="103">
                  <c:v>61.960177999999999</c:v>
                </c:pt>
                <c:pt idx="104">
                  <c:v>62.099330999999999</c:v>
                </c:pt>
                <c:pt idx="105">
                  <c:v>61.943824999999997</c:v>
                </c:pt>
                <c:pt idx="106">
                  <c:v>62.033828999999997</c:v>
                </c:pt>
                <c:pt idx="107">
                  <c:v>62.181148999999998</c:v>
                </c:pt>
                <c:pt idx="108">
                  <c:v>61.894699000000003</c:v>
                </c:pt>
                <c:pt idx="109">
                  <c:v>61.313575999999998</c:v>
                </c:pt>
                <c:pt idx="110">
                  <c:v>61.665512</c:v>
                </c:pt>
                <c:pt idx="111">
                  <c:v>61.444527000000001</c:v>
                </c:pt>
                <c:pt idx="112">
                  <c:v>61.616394</c:v>
                </c:pt>
                <c:pt idx="113">
                  <c:v>61.894699000000003</c:v>
                </c:pt>
                <c:pt idx="114">
                  <c:v>62.001091000000002</c:v>
                </c:pt>
                <c:pt idx="115">
                  <c:v>62.262996999999999</c:v>
                </c:pt>
                <c:pt idx="116">
                  <c:v>62.737743000000002</c:v>
                </c:pt>
                <c:pt idx="117">
                  <c:v>63.196086999999999</c:v>
                </c:pt>
                <c:pt idx="118">
                  <c:v>63.073318</c:v>
                </c:pt>
                <c:pt idx="119">
                  <c:v>62.876891999999998</c:v>
                </c:pt>
                <c:pt idx="120">
                  <c:v>62.655903000000002</c:v>
                </c:pt>
                <c:pt idx="121">
                  <c:v>62.893256999999998</c:v>
                </c:pt>
                <c:pt idx="122">
                  <c:v>62.909626000000003</c:v>
                </c:pt>
                <c:pt idx="123">
                  <c:v>62.704998000000003</c:v>
                </c:pt>
                <c:pt idx="124">
                  <c:v>63.097892999999999</c:v>
                </c:pt>
                <c:pt idx="125">
                  <c:v>62.835976000000002</c:v>
                </c:pt>
                <c:pt idx="126">
                  <c:v>62.729560999999997</c:v>
                </c:pt>
                <c:pt idx="127">
                  <c:v>63.016022</c:v>
                </c:pt>
                <c:pt idx="128">
                  <c:v>62.492176000000001</c:v>
                </c:pt>
                <c:pt idx="129">
                  <c:v>62.181148999999998</c:v>
                </c:pt>
                <c:pt idx="130">
                  <c:v>61.968356999999997</c:v>
                </c:pt>
                <c:pt idx="131">
                  <c:v>61.74736</c:v>
                </c:pt>
                <c:pt idx="132">
                  <c:v>61.207165000000003</c:v>
                </c:pt>
                <c:pt idx="133">
                  <c:v>60.224957000000003</c:v>
                </c:pt>
                <c:pt idx="134">
                  <c:v>60.192230000000002</c:v>
                </c:pt>
                <c:pt idx="135">
                  <c:v>60.192230000000002</c:v>
                </c:pt>
                <c:pt idx="136">
                  <c:v>60.028511000000002</c:v>
                </c:pt>
                <c:pt idx="137">
                  <c:v>61.132534</c:v>
                </c:pt>
                <c:pt idx="138">
                  <c:v>60.926558999999997</c:v>
                </c:pt>
                <c:pt idx="139">
                  <c:v>61.519733000000002</c:v>
                </c:pt>
                <c:pt idx="140">
                  <c:v>61.264366000000003</c:v>
                </c:pt>
                <c:pt idx="141">
                  <c:v>61.149017000000001</c:v>
                </c:pt>
                <c:pt idx="142">
                  <c:v>60.992469999999997</c:v>
                </c:pt>
                <c:pt idx="143">
                  <c:v>61.289078000000003</c:v>
                </c:pt>
                <c:pt idx="144">
                  <c:v>60.885353000000002</c:v>
                </c:pt>
                <c:pt idx="145">
                  <c:v>61.371456000000002</c:v>
                </c:pt>
                <c:pt idx="146">
                  <c:v>61.692791</c:v>
                </c:pt>
                <c:pt idx="147">
                  <c:v>61.758667000000003</c:v>
                </c:pt>
                <c:pt idx="148">
                  <c:v>62.244781000000003</c:v>
                </c:pt>
                <c:pt idx="149">
                  <c:v>62.393059000000001</c:v>
                </c:pt>
                <c:pt idx="150">
                  <c:v>62.360129999999998</c:v>
                </c:pt>
                <c:pt idx="151">
                  <c:v>62.220050999999998</c:v>
                </c:pt>
                <c:pt idx="152">
                  <c:v>62.491931999999998</c:v>
                </c:pt>
                <c:pt idx="153">
                  <c:v>62.533127</c:v>
                </c:pt>
                <c:pt idx="154">
                  <c:v>62.203570999999997</c:v>
                </c:pt>
                <c:pt idx="155">
                  <c:v>62.409560999999997</c:v>
                </c:pt>
                <c:pt idx="156">
                  <c:v>62.623783000000003</c:v>
                </c:pt>
                <c:pt idx="157">
                  <c:v>63.076923000000001</c:v>
                </c:pt>
                <c:pt idx="158">
                  <c:v>63.859614999999998</c:v>
                </c:pt>
                <c:pt idx="159">
                  <c:v>63.052193000000003</c:v>
                </c:pt>
                <c:pt idx="160">
                  <c:v>63.225211999999999</c:v>
                </c:pt>
                <c:pt idx="161">
                  <c:v>63.035713000000001</c:v>
                </c:pt>
                <c:pt idx="162">
                  <c:v>62.697944999999997</c:v>
                </c:pt>
                <c:pt idx="163">
                  <c:v>62.426029</c:v>
                </c:pt>
                <c:pt idx="164">
                  <c:v>62.458969000000003</c:v>
                </c:pt>
                <c:pt idx="165">
                  <c:v>62.879154</c:v>
                </c:pt>
                <c:pt idx="166">
                  <c:v>62.813267000000003</c:v>
                </c:pt>
                <c:pt idx="167">
                  <c:v>62.796802999999997</c:v>
                </c:pt>
                <c:pt idx="168">
                  <c:v>63.307594000000002</c:v>
                </c:pt>
                <c:pt idx="169">
                  <c:v>62.870918000000003</c:v>
                </c:pt>
                <c:pt idx="170">
                  <c:v>62.285972999999998</c:v>
                </c:pt>
                <c:pt idx="171">
                  <c:v>63.505329000000003</c:v>
                </c:pt>
                <c:pt idx="172">
                  <c:v>62.714393999999999</c:v>
                </c:pt>
                <c:pt idx="173">
                  <c:v>63.019238000000001</c:v>
                </c:pt>
                <c:pt idx="174">
                  <c:v>62.681418999999998</c:v>
                </c:pt>
                <c:pt idx="175">
                  <c:v>63.002749999999999</c:v>
                </c:pt>
                <c:pt idx="176">
                  <c:v>62.714393999999999</c:v>
                </c:pt>
                <c:pt idx="177">
                  <c:v>62.805019000000001</c:v>
                </c:pt>
                <c:pt idx="178">
                  <c:v>63.703060000000001</c:v>
                </c:pt>
                <c:pt idx="179">
                  <c:v>63.727767999999998</c:v>
                </c:pt>
                <c:pt idx="180">
                  <c:v>63.686588</c:v>
                </c:pt>
                <c:pt idx="181">
                  <c:v>64.461028999999996</c:v>
                </c:pt>
                <c:pt idx="182">
                  <c:v>64.147980000000004</c:v>
                </c:pt>
                <c:pt idx="183">
                  <c:v>64.502234999999999</c:v>
                </c:pt>
                <c:pt idx="184">
                  <c:v>63.900798999999999</c:v>
                </c:pt>
                <c:pt idx="185">
                  <c:v>64.246819000000002</c:v>
                </c:pt>
                <c:pt idx="186">
                  <c:v>61.956398</c:v>
                </c:pt>
                <c:pt idx="187">
                  <c:v>60.819446999999997</c:v>
                </c:pt>
                <c:pt idx="188">
                  <c:v>61.050136999999999</c:v>
                </c:pt>
                <c:pt idx="189">
                  <c:v>61.90699</c:v>
                </c:pt>
                <c:pt idx="190">
                  <c:v>62.631991999999997</c:v>
                </c:pt>
                <c:pt idx="191">
                  <c:v>62.640270000000001</c:v>
                </c:pt>
                <c:pt idx="192">
                  <c:v>62.821499000000003</c:v>
                </c:pt>
                <c:pt idx="193">
                  <c:v>62.928607999999997</c:v>
                </c:pt>
                <c:pt idx="194">
                  <c:v>63.101627000000001</c:v>
                </c:pt>
                <c:pt idx="195">
                  <c:v>62.903892999999997</c:v>
                </c:pt>
                <c:pt idx="196">
                  <c:v>62.936874000000003</c:v>
                </c:pt>
                <c:pt idx="197">
                  <c:v>62.986300999999997</c:v>
                </c:pt>
                <c:pt idx="198">
                  <c:v>62.837981999999997</c:v>
                </c:pt>
                <c:pt idx="199">
                  <c:v>62.846207</c:v>
                </c:pt>
                <c:pt idx="200">
                  <c:v>63.653621999999999</c:v>
                </c:pt>
                <c:pt idx="201">
                  <c:v>64.016136000000003</c:v>
                </c:pt>
                <c:pt idx="202">
                  <c:v>64.106780999999998</c:v>
                </c:pt>
                <c:pt idx="203">
                  <c:v>64.897689999999997</c:v>
                </c:pt>
                <c:pt idx="204">
                  <c:v>65.449698999999995</c:v>
                </c:pt>
                <c:pt idx="205">
                  <c:v>65.095421000000002</c:v>
                </c:pt>
                <c:pt idx="206">
                  <c:v>65.251983999999993</c:v>
                </c:pt>
                <c:pt idx="207">
                  <c:v>68.333327999999995</c:v>
                </c:pt>
                <c:pt idx="208">
                  <c:v>68.349791999999994</c:v>
                </c:pt>
                <c:pt idx="209">
                  <c:v>68.852371000000005</c:v>
                </c:pt>
                <c:pt idx="210">
                  <c:v>69.033623000000006</c:v>
                </c:pt>
                <c:pt idx="211">
                  <c:v>70.022293000000005</c:v>
                </c:pt>
                <c:pt idx="212">
                  <c:v>69.684517</c:v>
                </c:pt>
                <c:pt idx="213">
                  <c:v>69.742165</c:v>
                </c:pt>
                <c:pt idx="214">
                  <c:v>70.360106999999999</c:v>
                </c:pt>
                <c:pt idx="215">
                  <c:v>69.989304000000004</c:v>
                </c:pt>
                <c:pt idx="216">
                  <c:v>70.014053000000004</c:v>
                </c:pt>
                <c:pt idx="217">
                  <c:v>72.123206999999994</c:v>
                </c:pt>
                <c:pt idx="218">
                  <c:v>71.035645000000002</c:v>
                </c:pt>
                <c:pt idx="219">
                  <c:v>71.183975000000004</c:v>
                </c:pt>
                <c:pt idx="220">
                  <c:v>70.372032000000004</c:v>
                </c:pt>
                <c:pt idx="221">
                  <c:v>70.222908000000004</c:v>
                </c:pt>
                <c:pt idx="222">
                  <c:v>69.692702999999995</c:v>
                </c:pt>
                <c:pt idx="223">
                  <c:v>69.783821000000003</c:v>
                </c:pt>
                <c:pt idx="224">
                  <c:v>69.228736999999995</c:v>
                </c:pt>
                <c:pt idx="225">
                  <c:v>68.748199</c:v>
                </c:pt>
                <c:pt idx="226">
                  <c:v>69.452415000000002</c:v>
                </c:pt>
                <c:pt idx="227">
                  <c:v>69.435851999999997</c:v>
                </c:pt>
                <c:pt idx="228">
                  <c:v>69.543571</c:v>
                </c:pt>
                <c:pt idx="229">
                  <c:v>68.731628000000001</c:v>
                </c:pt>
                <c:pt idx="230">
                  <c:v>69.783821000000003</c:v>
                </c:pt>
                <c:pt idx="231">
                  <c:v>71.200539000000006</c:v>
                </c:pt>
                <c:pt idx="232">
                  <c:v>70.554314000000005</c:v>
                </c:pt>
                <c:pt idx="233">
                  <c:v>71.565085999999994</c:v>
                </c:pt>
                <c:pt idx="234">
                  <c:v>71.797066000000001</c:v>
                </c:pt>
                <c:pt idx="235">
                  <c:v>71.606514000000004</c:v>
                </c:pt>
                <c:pt idx="236">
                  <c:v>72.004165999999998</c:v>
                </c:pt>
                <c:pt idx="237">
                  <c:v>71.780486999999994</c:v>
                </c:pt>
                <c:pt idx="238">
                  <c:v>71.904769999999999</c:v>
                </c:pt>
                <c:pt idx="239">
                  <c:v>71.150833000000006</c:v>
                </c:pt>
                <c:pt idx="240">
                  <c:v>71.167396999999994</c:v>
                </c:pt>
                <c:pt idx="241">
                  <c:v>70.960296999999997</c:v>
                </c:pt>
                <c:pt idx="242">
                  <c:v>71.507071999999994</c:v>
                </c:pt>
                <c:pt idx="243">
                  <c:v>73.404312000000004</c:v>
                </c:pt>
                <c:pt idx="244">
                  <c:v>74.953620999999998</c:v>
                </c:pt>
                <c:pt idx="245">
                  <c:v>74.025711000000001</c:v>
                </c:pt>
                <c:pt idx="246">
                  <c:v>74.580794999999995</c:v>
                </c:pt>
                <c:pt idx="247">
                  <c:v>73.992583999999994</c:v>
                </c:pt>
                <c:pt idx="248">
                  <c:v>71.755607999999995</c:v>
                </c:pt>
                <c:pt idx="249">
                  <c:v>72.393585000000002</c:v>
                </c:pt>
                <c:pt idx="250">
                  <c:v>71.888199</c:v>
                </c:pt>
                <c:pt idx="251">
                  <c:v>71.821915000000004</c:v>
                </c:pt>
                <c:pt idx="252">
                  <c:v>71.780486999999994</c:v>
                </c:pt>
                <c:pt idx="253">
                  <c:v>73.155769000000006</c:v>
                </c:pt>
                <c:pt idx="254">
                  <c:v>73.329750000000004</c:v>
                </c:pt>
                <c:pt idx="255">
                  <c:v>73.429198999999997</c:v>
                </c:pt>
                <c:pt idx="256">
                  <c:v>72.517830000000004</c:v>
                </c:pt>
                <c:pt idx="257">
                  <c:v>71.929625999999999</c:v>
                </c:pt>
                <c:pt idx="258">
                  <c:v>72.675269999999998</c:v>
                </c:pt>
                <c:pt idx="259">
                  <c:v>70.405197000000001</c:v>
                </c:pt>
                <c:pt idx="260">
                  <c:v>71.009986999999995</c:v>
                </c:pt>
                <c:pt idx="261">
                  <c:v>71.407684000000003</c:v>
                </c:pt>
                <c:pt idx="262">
                  <c:v>71.788764999999998</c:v>
                </c:pt>
                <c:pt idx="263">
                  <c:v>72.310721999999998</c:v>
                </c:pt>
                <c:pt idx="264">
                  <c:v>72.352126999999996</c:v>
                </c:pt>
                <c:pt idx="265">
                  <c:v>71.175697</c:v>
                </c:pt>
                <c:pt idx="266">
                  <c:v>72.319000000000003</c:v>
                </c:pt>
                <c:pt idx="267">
                  <c:v>71.531920999999997</c:v>
                </c:pt>
                <c:pt idx="268">
                  <c:v>71.159126000000001</c:v>
                </c:pt>
                <c:pt idx="269">
                  <c:v>71.092833999999996</c:v>
                </c:pt>
                <c:pt idx="270">
                  <c:v>71.217117000000002</c:v>
                </c:pt>
                <c:pt idx="271">
                  <c:v>71.490523999999994</c:v>
                </c:pt>
                <c:pt idx="272">
                  <c:v>69.195601999999994</c:v>
                </c:pt>
                <c:pt idx="273">
                  <c:v>69.841849999999994</c:v>
                </c:pt>
                <c:pt idx="274">
                  <c:v>70.090369999999993</c:v>
                </c:pt>
                <c:pt idx="275">
                  <c:v>70.065505999999999</c:v>
                </c:pt>
                <c:pt idx="276">
                  <c:v>69.237030000000004</c:v>
                </c:pt>
                <c:pt idx="277">
                  <c:v>69.427566999999996</c:v>
                </c:pt>
                <c:pt idx="278">
                  <c:v>69.535263</c:v>
                </c:pt>
                <c:pt idx="279">
                  <c:v>69.560135000000002</c:v>
                </c:pt>
                <c:pt idx="280">
                  <c:v>69.071326999999997</c:v>
                </c:pt>
                <c:pt idx="281">
                  <c:v>68.416816999999995</c:v>
                </c:pt>
                <c:pt idx="282">
                  <c:v>69.237030000000004</c:v>
                </c:pt>
                <c:pt idx="283">
                  <c:v>68.425101999999995</c:v>
                </c:pt>
                <c:pt idx="284">
                  <c:v>68.665336999999994</c:v>
                </c:pt>
                <c:pt idx="285">
                  <c:v>67.994292999999999</c:v>
                </c:pt>
                <c:pt idx="286">
                  <c:v>67.252487000000002</c:v>
                </c:pt>
                <c:pt idx="287">
                  <c:v>68.261002000000005</c:v>
                </c:pt>
                <c:pt idx="288">
                  <c:v>68.261002000000005</c:v>
                </c:pt>
                <c:pt idx="289">
                  <c:v>69.419510000000002</c:v>
                </c:pt>
                <c:pt idx="290">
                  <c:v>68.861098999999996</c:v>
                </c:pt>
                <c:pt idx="291">
                  <c:v>68.786079000000001</c:v>
                </c:pt>
                <c:pt idx="292">
                  <c:v>67.944252000000006</c:v>
                </c:pt>
                <c:pt idx="293">
                  <c:v>69.377823000000006</c:v>
                </c:pt>
                <c:pt idx="294">
                  <c:v>69.436156999999994</c:v>
                </c:pt>
                <c:pt idx="295">
                  <c:v>69.219498000000002</c:v>
                </c:pt>
                <c:pt idx="296">
                  <c:v>67.777564999999996</c:v>
                </c:pt>
                <c:pt idx="297">
                  <c:v>68.252655000000004</c:v>
                </c:pt>
                <c:pt idx="298">
                  <c:v>67.802597000000006</c:v>
                </c:pt>
                <c:pt idx="299">
                  <c:v>68.786079000000001</c:v>
                </c:pt>
                <c:pt idx="300">
                  <c:v>68.552718999999996</c:v>
                </c:pt>
                <c:pt idx="301">
                  <c:v>67.269172999999995</c:v>
                </c:pt>
                <c:pt idx="302">
                  <c:v>67.285843</c:v>
                </c:pt>
                <c:pt idx="303">
                  <c:v>67.502540999999994</c:v>
                </c:pt>
                <c:pt idx="304">
                  <c:v>67.094147000000007</c:v>
                </c:pt>
                <c:pt idx="305">
                  <c:v>67.535858000000005</c:v>
                </c:pt>
                <c:pt idx="306">
                  <c:v>67.377517999999995</c:v>
                </c:pt>
                <c:pt idx="307">
                  <c:v>67.219170000000005</c:v>
                </c:pt>
                <c:pt idx="308">
                  <c:v>66.919112999999996</c:v>
                </c:pt>
                <c:pt idx="309">
                  <c:v>66.802429000000004</c:v>
                </c:pt>
                <c:pt idx="310">
                  <c:v>66.460693000000006</c:v>
                </c:pt>
                <c:pt idx="311">
                  <c:v>66.043976000000001</c:v>
                </c:pt>
                <c:pt idx="312">
                  <c:v>64.910454000000001</c:v>
                </c:pt>
                <c:pt idx="313">
                  <c:v>65.127159000000006</c:v>
                </c:pt>
                <c:pt idx="314">
                  <c:v>65.035483999999997</c:v>
                </c:pt>
                <c:pt idx="315">
                  <c:v>65.368842999999998</c:v>
                </c:pt>
                <c:pt idx="316">
                  <c:v>65.993949999999998</c:v>
                </c:pt>
                <c:pt idx="317">
                  <c:v>66.544051999999994</c:v>
                </c:pt>
                <c:pt idx="318">
                  <c:v>66.152313000000007</c:v>
                </c:pt>
                <c:pt idx="319">
                  <c:v>65.927291999999994</c:v>
                </c:pt>
                <c:pt idx="320">
                  <c:v>64.910454000000001</c:v>
                </c:pt>
                <c:pt idx="321">
                  <c:v>65.052147000000005</c:v>
                </c:pt>
                <c:pt idx="322">
                  <c:v>65.510589999999993</c:v>
                </c:pt>
                <c:pt idx="323">
                  <c:v>65.993949999999998</c:v>
                </c:pt>
                <c:pt idx="324">
                  <c:v>65.118819999999999</c:v>
                </c:pt>
                <c:pt idx="325">
                  <c:v>65.127205000000004</c:v>
                </c:pt>
                <c:pt idx="326">
                  <c:v>65.445937999999998</c:v>
                </c:pt>
                <c:pt idx="327">
                  <c:v>65.865288000000007</c:v>
                </c:pt>
                <c:pt idx="328">
                  <c:v>65.504645999999994</c:v>
                </c:pt>
                <c:pt idx="329">
                  <c:v>66.225960000000001</c:v>
                </c:pt>
                <c:pt idx="330">
                  <c:v>65.554955000000007</c:v>
                </c:pt>
                <c:pt idx="331">
                  <c:v>66.024673000000007</c:v>
                </c:pt>
                <c:pt idx="332">
                  <c:v>66.460785000000001</c:v>
                </c:pt>
                <c:pt idx="333">
                  <c:v>67.031127999999995</c:v>
                </c:pt>
                <c:pt idx="334">
                  <c:v>64.103958000000006</c:v>
                </c:pt>
                <c:pt idx="335">
                  <c:v>63.659427999999998</c:v>
                </c:pt>
                <c:pt idx="336">
                  <c:v>63.835586999999997</c:v>
                </c:pt>
                <c:pt idx="337">
                  <c:v>63.625853999999997</c:v>
                </c:pt>
                <c:pt idx="338">
                  <c:v>62.820717000000002</c:v>
                </c:pt>
                <c:pt idx="339">
                  <c:v>63.063934000000003</c:v>
                </c:pt>
                <c:pt idx="340">
                  <c:v>62.770367</c:v>
                </c:pt>
                <c:pt idx="341">
                  <c:v>62.292293999999998</c:v>
                </c:pt>
                <c:pt idx="342">
                  <c:v>62.678134999999997</c:v>
                </c:pt>
                <c:pt idx="343">
                  <c:v>62.510356999999999</c:v>
                </c:pt>
                <c:pt idx="344">
                  <c:v>62.812339999999999</c:v>
                </c:pt>
                <c:pt idx="345">
                  <c:v>62.191668999999997</c:v>
                </c:pt>
                <c:pt idx="346">
                  <c:v>61.277442999999998</c:v>
                </c:pt>
                <c:pt idx="347">
                  <c:v>60.900021000000002</c:v>
                </c:pt>
                <c:pt idx="348">
                  <c:v>60.782578000000001</c:v>
                </c:pt>
                <c:pt idx="349">
                  <c:v>61.168407000000002</c:v>
                </c:pt>
                <c:pt idx="350">
                  <c:v>61.176806999999997</c:v>
                </c:pt>
                <c:pt idx="351">
                  <c:v>60.749049999999997</c:v>
                </c:pt>
                <c:pt idx="352">
                  <c:v>60.32967</c:v>
                </c:pt>
                <c:pt idx="353">
                  <c:v>60.681950000000001</c:v>
                </c:pt>
                <c:pt idx="354">
                  <c:v>61.000686999999999</c:v>
                </c:pt>
                <c:pt idx="355">
                  <c:v>61.210365000000003</c:v>
                </c:pt>
                <c:pt idx="356">
                  <c:v>61.009045</c:v>
                </c:pt>
                <c:pt idx="357">
                  <c:v>61.050991000000003</c:v>
                </c:pt>
                <c:pt idx="358">
                  <c:v>60.866481999999998</c:v>
                </c:pt>
                <c:pt idx="359">
                  <c:v>60.707099999999997</c:v>
                </c:pt>
                <c:pt idx="360">
                  <c:v>60.270980999999999</c:v>
                </c:pt>
                <c:pt idx="361">
                  <c:v>60.489055999999998</c:v>
                </c:pt>
                <c:pt idx="362">
                  <c:v>59.901935999999999</c:v>
                </c:pt>
                <c:pt idx="363">
                  <c:v>59.490940000000002</c:v>
                </c:pt>
                <c:pt idx="364">
                  <c:v>60.287750000000003</c:v>
                </c:pt>
                <c:pt idx="365">
                  <c:v>60.270980999999999</c:v>
                </c:pt>
                <c:pt idx="366">
                  <c:v>60.832915999999997</c:v>
                </c:pt>
                <c:pt idx="367">
                  <c:v>61.889713</c:v>
                </c:pt>
                <c:pt idx="368">
                  <c:v>61.277442999999998</c:v>
                </c:pt>
                <c:pt idx="369">
                  <c:v>61.042594999999999</c:v>
                </c:pt>
                <c:pt idx="370">
                  <c:v>61.327793</c:v>
                </c:pt>
                <c:pt idx="371">
                  <c:v>61.965190999999997</c:v>
                </c:pt>
                <c:pt idx="372">
                  <c:v>61.889713</c:v>
                </c:pt>
                <c:pt idx="373">
                  <c:v>61.772281999999997</c:v>
                </c:pt>
                <c:pt idx="374">
                  <c:v>61.923267000000003</c:v>
                </c:pt>
                <c:pt idx="375">
                  <c:v>61.554211000000002</c:v>
                </c:pt>
                <c:pt idx="376">
                  <c:v>61.311008000000001</c:v>
                </c:pt>
                <c:pt idx="377">
                  <c:v>61.009045</c:v>
                </c:pt>
                <c:pt idx="378">
                  <c:v>61.361328</c:v>
                </c:pt>
                <c:pt idx="379">
                  <c:v>60.816147000000001</c:v>
                </c:pt>
                <c:pt idx="380">
                  <c:v>60.036136999999997</c:v>
                </c:pt>
                <c:pt idx="381">
                  <c:v>59.868385000000004</c:v>
                </c:pt>
                <c:pt idx="382">
                  <c:v>60.472262999999998</c:v>
                </c:pt>
                <c:pt idx="383">
                  <c:v>60.581322</c:v>
                </c:pt>
                <c:pt idx="384">
                  <c:v>60.522593999999998</c:v>
                </c:pt>
                <c:pt idx="385">
                  <c:v>60.371628000000001</c:v>
                </c:pt>
                <c:pt idx="386">
                  <c:v>60.539375</c:v>
                </c:pt>
                <c:pt idx="387">
                  <c:v>60.598075999999999</c:v>
                </c:pt>
                <c:pt idx="388">
                  <c:v>62.075854999999997</c:v>
                </c:pt>
                <c:pt idx="389">
                  <c:v>61.467872999999997</c:v>
                </c:pt>
                <c:pt idx="390">
                  <c:v>60.167385000000003</c:v>
                </c:pt>
                <c:pt idx="391">
                  <c:v>60.361629000000001</c:v>
                </c:pt>
                <c:pt idx="392">
                  <c:v>60.741619</c:v>
                </c:pt>
                <c:pt idx="393">
                  <c:v>61.290534999999998</c:v>
                </c:pt>
                <c:pt idx="394">
                  <c:v>60.893639</c:v>
                </c:pt>
                <c:pt idx="395">
                  <c:v>61.121623999999997</c:v>
                </c:pt>
                <c:pt idx="396">
                  <c:v>60.724739</c:v>
                </c:pt>
                <c:pt idx="397">
                  <c:v>58.672725999999997</c:v>
                </c:pt>
                <c:pt idx="398">
                  <c:v>57.904259000000003</c:v>
                </c:pt>
                <c:pt idx="399">
                  <c:v>57.786029999999997</c:v>
                </c:pt>
                <c:pt idx="400">
                  <c:v>56.190024999999999</c:v>
                </c:pt>
                <c:pt idx="401">
                  <c:v>54.002876000000001</c:v>
                </c:pt>
                <c:pt idx="402">
                  <c:v>53.285099000000002</c:v>
                </c:pt>
                <c:pt idx="403">
                  <c:v>54.746006000000001</c:v>
                </c:pt>
                <c:pt idx="404">
                  <c:v>55.801563000000002</c:v>
                </c:pt>
                <c:pt idx="405">
                  <c:v>54.838898</c:v>
                </c:pt>
                <c:pt idx="406">
                  <c:v>54.661560000000001</c:v>
                </c:pt>
                <c:pt idx="407">
                  <c:v>53.893112000000002</c:v>
                </c:pt>
                <c:pt idx="408">
                  <c:v>54.416663999999997</c:v>
                </c:pt>
                <c:pt idx="409">
                  <c:v>54.771351000000003</c:v>
                </c:pt>
                <c:pt idx="410">
                  <c:v>53.952209000000003</c:v>
                </c:pt>
                <c:pt idx="411">
                  <c:v>56.054904999999998</c:v>
                </c:pt>
                <c:pt idx="412">
                  <c:v>54.990893999999997</c:v>
                </c:pt>
                <c:pt idx="413">
                  <c:v>54.146450000000002</c:v>
                </c:pt>
                <c:pt idx="414">
                  <c:v>54.593997999999999</c:v>
                </c:pt>
                <c:pt idx="415">
                  <c:v>54.281548000000001</c:v>
                </c:pt>
                <c:pt idx="416">
                  <c:v>54.315334</c:v>
                </c:pt>
                <c:pt idx="417">
                  <c:v>54.627791999999999</c:v>
                </c:pt>
                <c:pt idx="418">
                  <c:v>54.442008999999999</c:v>
                </c:pt>
                <c:pt idx="419">
                  <c:v>53.487758999999997</c:v>
                </c:pt>
                <c:pt idx="420">
                  <c:v>53.808655000000002</c:v>
                </c:pt>
                <c:pt idx="421">
                  <c:v>53.698875000000001</c:v>
                </c:pt>
                <c:pt idx="422">
                  <c:v>53.808655000000002</c:v>
                </c:pt>
                <c:pt idx="423">
                  <c:v>53.901546000000003</c:v>
                </c:pt>
                <c:pt idx="424">
                  <c:v>53.859313999999998</c:v>
                </c:pt>
                <c:pt idx="425">
                  <c:v>53.757987999999997</c:v>
                </c:pt>
                <c:pt idx="426">
                  <c:v>53.859313999999998</c:v>
                </c:pt>
                <c:pt idx="427">
                  <c:v>54.754440000000002</c:v>
                </c:pt>
                <c:pt idx="428">
                  <c:v>54.273102000000002</c:v>
                </c:pt>
                <c:pt idx="429">
                  <c:v>54.872672999999999</c:v>
                </c:pt>
                <c:pt idx="430">
                  <c:v>55.624245000000002</c:v>
                </c:pt>
                <c:pt idx="431">
                  <c:v>55.463799000000002</c:v>
                </c:pt>
                <c:pt idx="432">
                  <c:v>56.038024999999998</c:v>
                </c:pt>
                <c:pt idx="433">
                  <c:v>56.477127000000003</c:v>
                </c:pt>
                <c:pt idx="434">
                  <c:v>56.316692000000003</c:v>
                </c:pt>
                <c:pt idx="435">
                  <c:v>56.519359999999999</c:v>
                </c:pt>
                <c:pt idx="436">
                  <c:v>56.350464000000002</c:v>
                </c:pt>
                <c:pt idx="437">
                  <c:v>50.692611999999997</c:v>
                </c:pt>
                <c:pt idx="438">
                  <c:v>50.101512999999997</c:v>
                </c:pt>
                <c:pt idx="439">
                  <c:v>49.729945999999998</c:v>
                </c:pt>
                <c:pt idx="440">
                  <c:v>49.696151999999998</c:v>
                </c:pt>
                <c:pt idx="441">
                  <c:v>49.611728999999997</c:v>
                </c:pt>
                <c:pt idx="442">
                  <c:v>49.518833000000001</c:v>
                </c:pt>
                <c:pt idx="443">
                  <c:v>49.738388</c:v>
                </c:pt>
                <c:pt idx="444">
                  <c:v>49.231712000000002</c:v>
                </c:pt>
                <c:pt idx="445">
                  <c:v>48.995258</c:v>
                </c:pt>
                <c:pt idx="446">
                  <c:v>48.539261000000003</c:v>
                </c:pt>
                <c:pt idx="447">
                  <c:v>48.674370000000003</c:v>
                </c:pt>
                <c:pt idx="448">
                  <c:v>48.944606999999998</c:v>
                </c:pt>
                <c:pt idx="449">
                  <c:v>48.336593999999998</c:v>
                </c:pt>
                <c:pt idx="450">
                  <c:v>48.649048000000001</c:v>
                </c:pt>
                <c:pt idx="451">
                  <c:v>49.071266000000001</c:v>
                </c:pt>
                <c:pt idx="452">
                  <c:v>49.290821000000001</c:v>
                </c:pt>
                <c:pt idx="453">
                  <c:v>49.493499999999997</c:v>
                </c:pt>
                <c:pt idx="454">
                  <c:v>49.637058000000003</c:v>
                </c:pt>
                <c:pt idx="455">
                  <c:v>49.392166000000003</c:v>
                </c:pt>
                <c:pt idx="456">
                  <c:v>49.552607999999999</c:v>
                </c:pt>
                <c:pt idx="457">
                  <c:v>48.623702999999999</c:v>
                </c:pt>
                <c:pt idx="458">
                  <c:v>48.091698000000001</c:v>
                </c:pt>
                <c:pt idx="459">
                  <c:v>47.644150000000003</c:v>
                </c:pt>
                <c:pt idx="460">
                  <c:v>48.868599000000003</c:v>
                </c:pt>
                <c:pt idx="461">
                  <c:v>50.599735000000003</c:v>
                </c:pt>
                <c:pt idx="462">
                  <c:v>51.452643999999999</c:v>
                </c:pt>
                <c:pt idx="463">
                  <c:v>51.258408000000003</c:v>
                </c:pt>
                <c:pt idx="464">
                  <c:v>50.726410000000001</c:v>
                </c:pt>
                <c:pt idx="465">
                  <c:v>50.886848000000001</c:v>
                </c:pt>
                <c:pt idx="466">
                  <c:v>50.599735000000003</c:v>
                </c:pt>
                <c:pt idx="467">
                  <c:v>50.869961000000004</c:v>
                </c:pt>
                <c:pt idx="468">
                  <c:v>50.574398000000002</c:v>
                </c:pt>
                <c:pt idx="469">
                  <c:v>49.687714</c:v>
                </c:pt>
                <c:pt idx="470">
                  <c:v>49.814391999999998</c:v>
                </c:pt>
                <c:pt idx="471">
                  <c:v>49.686656999999997</c:v>
                </c:pt>
                <c:pt idx="472">
                  <c:v>50.274203999999997</c:v>
                </c:pt>
                <c:pt idx="473">
                  <c:v>50.802157999999999</c:v>
                </c:pt>
                <c:pt idx="474">
                  <c:v>51.517440999999998</c:v>
                </c:pt>
                <c:pt idx="475">
                  <c:v>50.759582999999999</c:v>
                </c:pt>
                <c:pt idx="476">
                  <c:v>50.350848999999997</c:v>
                </c:pt>
                <c:pt idx="477">
                  <c:v>50.717007000000002</c:v>
                </c:pt>
                <c:pt idx="478">
                  <c:v>50.546700000000001</c:v>
                </c:pt>
                <c:pt idx="479">
                  <c:v>51.423779000000003</c:v>
                </c:pt>
                <c:pt idx="480">
                  <c:v>50.785133000000002</c:v>
                </c:pt>
                <c:pt idx="481">
                  <c:v>51.347141000000001</c:v>
                </c:pt>
                <c:pt idx="482">
                  <c:v>50.223114000000002</c:v>
                </c:pt>
                <c:pt idx="483">
                  <c:v>50.112411000000002</c:v>
                </c:pt>
                <c:pt idx="484">
                  <c:v>50.708492</c:v>
                </c:pt>
                <c:pt idx="485">
                  <c:v>51.551501999999999</c:v>
                </c:pt>
                <c:pt idx="486">
                  <c:v>52.019855</c:v>
                </c:pt>
                <c:pt idx="487">
                  <c:v>51.798447000000003</c:v>
                </c:pt>
                <c:pt idx="488">
                  <c:v>51.730342999999998</c:v>
                </c:pt>
                <c:pt idx="489">
                  <c:v>52.462639000000003</c:v>
                </c:pt>
                <c:pt idx="490">
                  <c:v>52.522250999999997</c:v>
                </c:pt>
                <c:pt idx="491">
                  <c:v>52.198677000000004</c:v>
                </c:pt>
                <c:pt idx="492">
                  <c:v>52.334923000000003</c:v>
                </c:pt>
                <c:pt idx="493">
                  <c:v>53.578158999999999</c:v>
                </c:pt>
                <c:pt idx="494">
                  <c:v>54.114612999999999</c:v>
                </c:pt>
                <c:pt idx="495">
                  <c:v>55.374870000000001</c:v>
                </c:pt>
                <c:pt idx="496">
                  <c:v>54.106093999999999</c:v>
                </c:pt>
                <c:pt idx="497">
                  <c:v>54.685127000000001</c:v>
                </c:pt>
                <c:pt idx="498">
                  <c:v>54.174210000000002</c:v>
                </c:pt>
                <c:pt idx="499">
                  <c:v>52.726612000000003</c:v>
                </c:pt>
                <c:pt idx="500">
                  <c:v>53.697361000000001</c:v>
                </c:pt>
                <c:pt idx="501">
                  <c:v>52.735129999999998</c:v>
                </c:pt>
                <c:pt idx="502">
                  <c:v>53.271594999999998</c:v>
                </c:pt>
                <c:pt idx="503">
                  <c:v>51.806946000000003</c:v>
                </c:pt>
                <c:pt idx="504">
                  <c:v>52.692562000000002</c:v>
                </c:pt>
                <c:pt idx="505">
                  <c:v>53.382286000000001</c:v>
                </c:pt>
                <c:pt idx="506">
                  <c:v>54.029465000000002</c:v>
                </c:pt>
                <c:pt idx="507">
                  <c:v>54.497784000000003</c:v>
                </c:pt>
                <c:pt idx="508">
                  <c:v>54.455207999999999</c:v>
                </c:pt>
                <c:pt idx="509">
                  <c:v>54.685127000000001</c:v>
                </c:pt>
                <c:pt idx="510">
                  <c:v>56.507404000000001</c:v>
                </c:pt>
                <c:pt idx="511">
                  <c:v>57.478133999999997</c:v>
                </c:pt>
                <c:pt idx="512">
                  <c:v>56.933169999999997</c:v>
                </c:pt>
                <c:pt idx="513">
                  <c:v>56.430748000000001</c:v>
                </c:pt>
                <c:pt idx="514">
                  <c:v>56.558483000000003</c:v>
                </c:pt>
                <c:pt idx="515">
                  <c:v>57.052371999999998</c:v>
                </c:pt>
                <c:pt idx="516">
                  <c:v>56.967216000000001</c:v>
                </c:pt>
                <c:pt idx="517">
                  <c:v>56.039059000000002</c:v>
                </c:pt>
                <c:pt idx="518">
                  <c:v>56.022033999999998</c:v>
                </c:pt>
                <c:pt idx="519">
                  <c:v>55.621799000000003</c:v>
                </c:pt>
                <c:pt idx="520">
                  <c:v>56.354134000000002</c:v>
                </c:pt>
                <c:pt idx="521">
                  <c:v>56.115696</c:v>
                </c:pt>
                <c:pt idx="522">
                  <c:v>56.294521000000003</c:v>
                </c:pt>
                <c:pt idx="523">
                  <c:v>54.599983000000002</c:v>
                </c:pt>
                <c:pt idx="524">
                  <c:v>55.059803000000002</c:v>
                </c:pt>
                <c:pt idx="525">
                  <c:v>55.885792000000002</c:v>
                </c:pt>
                <c:pt idx="526">
                  <c:v>56.609580999999999</c:v>
                </c:pt>
                <c:pt idx="527">
                  <c:v>57.154567999999998</c:v>
                </c:pt>
                <c:pt idx="528">
                  <c:v>57.937969000000002</c:v>
                </c:pt>
                <c:pt idx="529">
                  <c:v>56.635131999999999</c:v>
                </c:pt>
                <c:pt idx="530">
                  <c:v>56.490367999999997</c:v>
                </c:pt>
                <c:pt idx="531">
                  <c:v>56.592540999999997</c:v>
                </c:pt>
                <c:pt idx="532">
                  <c:v>56.379665000000003</c:v>
                </c:pt>
                <c:pt idx="533">
                  <c:v>56.320056999999998</c:v>
                </c:pt>
                <c:pt idx="534">
                  <c:v>56.865054999999998</c:v>
                </c:pt>
                <c:pt idx="535">
                  <c:v>57.810223000000001</c:v>
                </c:pt>
                <c:pt idx="536">
                  <c:v>57.937969000000002</c:v>
                </c:pt>
                <c:pt idx="537">
                  <c:v>57.929397999999999</c:v>
                </c:pt>
                <c:pt idx="538">
                  <c:v>57.826447000000002</c:v>
                </c:pt>
                <c:pt idx="539">
                  <c:v>57.620570999999998</c:v>
                </c:pt>
                <c:pt idx="540">
                  <c:v>57.783569</c:v>
                </c:pt>
                <c:pt idx="541">
                  <c:v>58.409767000000002</c:v>
                </c:pt>
                <c:pt idx="542">
                  <c:v>58.323974999999997</c:v>
                </c:pt>
                <c:pt idx="543">
                  <c:v>57.860759999999999</c:v>
                </c:pt>
                <c:pt idx="544">
                  <c:v>57.431846999999998</c:v>
                </c:pt>
                <c:pt idx="545">
                  <c:v>58.306831000000003</c:v>
                </c:pt>
                <c:pt idx="546">
                  <c:v>58.221054000000002</c:v>
                </c:pt>
                <c:pt idx="547">
                  <c:v>57.869338999999997</c:v>
                </c:pt>
                <c:pt idx="548">
                  <c:v>58.332557999999999</c:v>
                </c:pt>
                <c:pt idx="549">
                  <c:v>58.435504999999999</c:v>
                </c:pt>
                <c:pt idx="550">
                  <c:v>58.358288000000002</c:v>
                </c:pt>
                <c:pt idx="551">
                  <c:v>59.018841000000002</c:v>
                </c:pt>
                <c:pt idx="552">
                  <c:v>58.752910999999997</c:v>
                </c:pt>
                <c:pt idx="553">
                  <c:v>59.241871000000003</c:v>
                </c:pt>
                <c:pt idx="554">
                  <c:v>59.276176</c:v>
                </c:pt>
                <c:pt idx="555">
                  <c:v>58.881577</c:v>
                </c:pt>
                <c:pt idx="556">
                  <c:v>59.224724000000002</c:v>
                </c:pt>
                <c:pt idx="557">
                  <c:v>58.521296999999997</c:v>
                </c:pt>
                <c:pt idx="558">
                  <c:v>58.384036999999999</c:v>
                </c:pt>
                <c:pt idx="559">
                  <c:v>57.817875000000001</c:v>
                </c:pt>
                <c:pt idx="560">
                  <c:v>59.018841000000002</c:v>
                </c:pt>
                <c:pt idx="561">
                  <c:v>59.319077</c:v>
                </c:pt>
                <c:pt idx="562">
                  <c:v>59.018841000000002</c:v>
                </c:pt>
                <c:pt idx="563">
                  <c:v>59.241871000000003</c:v>
                </c:pt>
                <c:pt idx="564">
                  <c:v>59.928153999999999</c:v>
                </c:pt>
                <c:pt idx="565">
                  <c:v>59.850918</c:v>
                </c:pt>
                <c:pt idx="566">
                  <c:v>59.370533000000002</c:v>
                </c:pt>
                <c:pt idx="567">
                  <c:v>58.735756000000002</c:v>
                </c:pt>
                <c:pt idx="568">
                  <c:v>58.950226000000001</c:v>
                </c:pt>
                <c:pt idx="569">
                  <c:v>59.593570999999997</c:v>
                </c:pt>
                <c:pt idx="570">
                  <c:v>59.447761999999997</c:v>
                </c:pt>
                <c:pt idx="571">
                  <c:v>59.550685999999999</c:v>
                </c:pt>
                <c:pt idx="572">
                  <c:v>59.113197</c:v>
                </c:pt>
                <c:pt idx="573">
                  <c:v>57.363216000000001</c:v>
                </c:pt>
                <c:pt idx="574">
                  <c:v>57.980854000000001</c:v>
                </c:pt>
                <c:pt idx="575">
                  <c:v>57.474735000000003</c:v>
                </c:pt>
                <c:pt idx="576">
                  <c:v>57.637732999999997</c:v>
                </c:pt>
                <c:pt idx="577">
                  <c:v>57.654884000000003</c:v>
                </c:pt>
                <c:pt idx="578">
                  <c:v>58.547030999999997</c:v>
                </c:pt>
                <c:pt idx="579">
                  <c:v>59.147511000000002</c:v>
                </c:pt>
                <c:pt idx="580">
                  <c:v>59.010269000000001</c:v>
                </c:pt>
                <c:pt idx="581">
                  <c:v>57.385714999999998</c:v>
                </c:pt>
                <c:pt idx="582">
                  <c:v>57.765926</c:v>
                </c:pt>
                <c:pt idx="583">
                  <c:v>56.115482</c:v>
                </c:pt>
                <c:pt idx="584">
                  <c:v>57.048717000000003</c:v>
                </c:pt>
                <c:pt idx="585">
                  <c:v>56.253734999999999</c:v>
                </c:pt>
                <c:pt idx="586">
                  <c:v>54.568714</c:v>
                </c:pt>
                <c:pt idx="587">
                  <c:v>59.796593000000001</c:v>
                </c:pt>
                <c:pt idx="588">
                  <c:v>60.366905000000003</c:v>
                </c:pt>
                <c:pt idx="589">
                  <c:v>60.055824000000001</c:v>
                </c:pt>
                <c:pt idx="590">
                  <c:v>60.695286000000003</c:v>
                </c:pt>
                <c:pt idx="591">
                  <c:v>60.902633999999999</c:v>
                </c:pt>
                <c:pt idx="592">
                  <c:v>61.222392999999997</c:v>
                </c:pt>
                <c:pt idx="593">
                  <c:v>61.135967000000001</c:v>
                </c:pt>
                <c:pt idx="594">
                  <c:v>61.161903000000002</c:v>
                </c:pt>
                <c:pt idx="595">
                  <c:v>60.919941000000001</c:v>
                </c:pt>
                <c:pt idx="596">
                  <c:v>61.308796000000001</c:v>
                </c:pt>
                <c:pt idx="597">
                  <c:v>61.239669999999997</c:v>
                </c:pt>
                <c:pt idx="598">
                  <c:v>61.395206000000002</c:v>
                </c:pt>
                <c:pt idx="599">
                  <c:v>61.377926000000002</c:v>
                </c:pt>
                <c:pt idx="600">
                  <c:v>61.593941000000001</c:v>
                </c:pt>
                <c:pt idx="601">
                  <c:v>61.429760000000002</c:v>
                </c:pt>
                <c:pt idx="602">
                  <c:v>61.472968999999999</c:v>
                </c:pt>
                <c:pt idx="603">
                  <c:v>60.945853999999997</c:v>
                </c:pt>
                <c:pt idx="604">
                  <c:v>61.308796000000001</c:v>
                </c:pt>
                <c:pt idx="605">
                  <c:v>61.455708000000001</c:v>
                </c:pt>
                <c:pt idx="606">
                  <c:v>61.611240000000002</c:v>
                </c:pt>
                <c:pt idx="607">
                  <c:v>61.308796000000001</c:v>
                </c:pt>
                <c:pt idx="608">
                  <c:v>61.438412</c:v>
                </c:pt>
                <c:pt idx="609">
                  <c:v>61.749499999999998</c:v>
                </c:pt>
                <c:pt idx="610">
                  <c:v>62.000084000000001</c:v>
                </c:pt>
                <c:pt idx="611">
                  <c:v>62.302525000000003</c:v>
                </c:pt>
                <c:pt idx="612">
                  <c:v>62.181541000000003</c:v>
                </c:pt>
                <c:pt idx="613">
                  <c:v>61.784050000000001</c:v>
                </c:pt>
                <c:pt idx="614">
                  <c:v>61.792701999999998</c:v>
                </c:pt>
                <c:pt idx="615">
                  <c:v>62.613602</c:v>
                </c:pt>
                <c:pt idx="616">
                  <c:v>63.097504000000001</c:v>
                </c:pt>
                <c:pt idx="617">
                  <c:v>62.916041999999997</c:v>
                </c:pt>
                <c:pt idx="618">
                  <c:v>63.201191000000001</c:v>
                </c:pt>
                <c:pt idx="619">
                  <c:v>63.788806999999998</c:v>
                </c:pt>
                <c:pt idx="620">
                  <c:v>63.538215999999998</c:v>
                </c:pt>
                <c:pt idx="621">
                  <c:v>63.806083999999998</c:v>
                </c:pt>
                <c:pt idx="622">
                  <c:v>63.996189000000001</c:v>
                </c:pt>
                <c:pt idx="623">
                  <c:v>63.313518999999999</c:v>
                </c:pt>
                <c:pt idx="624">
                  <c:v>63.615993000000003</c:v>
                </c:pt>
                <c:pt idx="625">
                  <c:v>63.685080999999997</c:v>
                </c:pt>
                <c:pt idx="626">
                  <c:v>63.659184000000003</c:v>
                </c:pt>
                <c:pt idx="627">
                  <c:v>63.806083999999998</c:v>
                </c:pt>
                <c:pt idx="628">
                  <c:v>63.650539000000002</c:v>
                </c:pt>
                <c:pt idx="629">
                  <c:v>63.762881999999998</c:v>
                </c:pt>
                <c:pt idx="630">
                  <c:v>63.529575000000001</c:v>
                </c:pt>
                <c:pt idx="631">
                  <c:v>63.555484999999997</c:v>
                </c:pt>
                <c:pt idx="632">
                  <c:v>63.728298000000002</c:v>
                </c:pt>
                <c:pt idx="633">
                  <c:v>63.711010000000002</c:v>
                </c:pt>
                <c:pt idx="634">
                  <c:v>63.356735</c:v>
                </c:pt>
                <c:pt idx="635">
                  <c:v>63.287593999999999</c:v>
                </c:pt>
                <c:pt idx="636">
                  <c:v>63.054310000000001</c:v>
                </c:pt>
                <c:pt idx="637">
                  <c:v>63.754210999999998</c:v>
                </c:pt>
                <c:pt idx="638">
                  <c:v>63.192565999999999</c:v>
                </c:pt>
                <c:pt idx="639">
                  <c:v>63.028381000000003</c:v>
                </c:pt>
                <c:pt idx="640">
                  <c:v>63.339447</c:v>
                </c:pt>
                <c:pt idx="641">
                  <c:v>63.736961000000001</c:v>
                </c:pt>
                <c:pt idx="642">
                  <c:v>63.374026999999998</c:v>
                </c:pt>
                <c:pt idx="643">
                  <c:v>63.546855999999998</c:v>
                </c:pt>
                <c:pt idx="644">
                  <c:v>64.338584999999995</c:v>
                </c:pt>
                <c:pt idx="645">
                  <c:v>64.208061000000001</c:v>
                </c:pt>
                <c:pt idx="646">
                  <c:v>64.286377000000002</c:v>
                </c:pt>
                <c:pt idx="647">
                  <c:v>63.790455000000001</c:v>
                </c:pt>
                <c:pt idx="648">
                  <c:v>63.416344000000002</c:v>
                </c:pt>
                <c:pt idx="649">
                  <c:v>63.451152999999998</c:v>
                </c:pt>
                <c:pt idx="650">
                  <c:v>64.643066000000005</c:v>
                </c:pt>
                <c:pt idx="651">
                  <c:v>63.346741000000002</c:v>
                </c:pt>
                <c:pt idx="652">
                  <c:v>63.251026000000003</c:v>
                </c:pt>
                <c:pt idx="653">
                  <c:v>62.615921</c:v>
                </c:pt>
                <c:pt idx="654">
                  <c:v>62.842136000000004</c:v>
                </c:pt>
                <c:pt idx="655">
                  <c:v>61.963405999999999</c:v>
                </c:pt>
                <c:pt idx="656">
                  <c:v>61.89378</c:v>
                </c:pt>
                <c:pt idx="657">
                  <c:v>62.119995000000003</c:v>
                </c:pt>
                <c:pt idx="658">
                  <c:v>62.041691</c:v>
                </c:pt>
                <c:pt idx="659">
                  <c:v>62.154797000000002</c:v>
                </c:pt>
                <c:pt idx="660">
                  <c:v>63.372841000000001</c:v>
                </c:pt>
                <c:pt idx="661">
                  <c:v>63.077025999999996</c:v>
                </c:pt>
                <c:pt idx="662">
                  <c:v>63.512053999999999</c:v>
                </c:pt>
                <c:pt idx="663">
                  <c:v>62.694225000000003</c:v>
                </c:pt>
                <c:pt idx="664">
                  <c:v>62.494124999999997</c:v>
                </c:pt>
                <c:pt idx="665">
                  <c:v>61.162975000000003</c:v>
                </c:pt>
                <c:pt idx="666">
                  <c:v>62.589824999999998</c:v>
                </c:pt>
                <c:pt idx="667">
                  <c:v>62.172207</c:v>
                </c:pt>
                <c:pt idx="668">
                  <c:v>62.224400000000003</c:v>
                </c:pt>
                <c:pt idx="669">
                  <c:v>62.990036000000003</c:v>
                </c:pt>
                <c:pt idx="670">
                  <c:v>63.398944999999998</c:v>
                </c:pt>
                <c:pt idx="671">
                  <c:v>62.720309999999998</c:v>
                </c:pt>
                <c:pt idx="672">
                  <c:v>62.615921</c:v>
                </c:pt>
                <c:pt idx="673">
                  <c:v>62.807335000000002</c:v>
                </c:pt>
                <c:pt idx="674">
                  <c:v>62.876922999999998</c:v>
                </c:pt>
                <c:pt idx="675">
                  <c:v>62.946510000000004</c:v>
                </c:pt>
                <c:pt idx="676">
                  <c:v>62.311416999999999</c:v>
                </c:pt>
                <c:pt idx="677">
                  <c:v>62.929130999999998</c:v>
                </c:pt>
                <c:pt idx="678">
                  <c:v>62.459324000000002</c:v>
                </c:pt>
                <c:pt idx="679">
                  <c:v>61.537078999999999</c:v>
                </c:pt>
                <c:pt idx="680">
                  <c:v>62.746426</c:v>
                </c:pt>
                <c:pt idx="681">
                  <c:v>62.650719000000002</c:v>
                </c:pt>
                <c:pt idx="682">
                  <c:v>62.424503000000001</c:v>
                </c:pt>
                <c:pt idx="683">
                  <c:v>62.354908000000002</c:v>
                </c:pt>
                <c:pt idx="684">
                  <c:v>60.345146</c:v>
                </c:pt>
                <c:pt idx="685">
                  <c:v>59.770919999999997</c:v>
                </c:pt>
                <c:pt idx="686">
                  <c:v>59.144505000000002</c:v>
                </c:pt>
                <c:pt idx="687">
                  <c:v>58.631176000000004</c:v>
                </c:pt>
                <c:pt idx="688">
                  <c:v>58.692096999999997</c:v>
                </c:pt>
                <c:pt idx="689">
                  <c:v>59.361995999999998</c:v>
                </c:pt>
                <c:pt idx="690">
                  <c:v>59.553417000000003</c:v>
                </c:pt>
                <c:pt idx="691">
                  <c:v>59.353298000000002</c:v>
                </c:pt>
                <c:pt idx="692">
                  <c:v>59.918823000000003</c:v>
                </c:pt>
                <c:pt idx="693">
                  <c:v>59.936233999999999</c:v>
                </c:pt>
                <c:pt idx="694">
                  <c:v>59.797030999999997</c:v>
                </c:pt>
                <c:pt idx="695">
                  <c:v>59.457709999999999</c:v>
                </c:pt>
                <c:pt idx="696">
                  <c:v>60.197239000000003</c:v>
                </c:pt>
                <c:pt idx="697">
                  <c:v>60.345146</c:v>
                </c:pt>
                <c:pt idx="698">
                  <c:v>60.545250000000003</c:v>
                </c:pt>
                <c:pt idx="699">
                  <c:v>60.754050999999997</c:v>
                </c:pt>
                <c:pt idx="700">
                  <c:v>60.893261000000003</c:v>
                </c:pt>
                <c:pt idx="701">
                  <c:v>60.919345999999997</c:v>
                </c:pt>
                <c:pt idx="702">
                  <c:v>60.292949999999998</c:v>
                </c:pt>
                <c:pt idx="703">
                  <c:v>60.423447000000003</c:v>
                </c:pt>
                <c:pt idx="704">
                  <c:v>60.580047999999998</c:v>
                </c:pt>
                <c:pt idx="705">
                  <c:v>60.171131000000003</c:v>
                </c:pt>
                <c:pt idx="706">
                  <c:v>60.710552</c:v>
                </c:pt>
                <c:pt idx="707">
                  <c:v>60.719261000000003</c:v>
                </c:pt>
                <c:pt idx="708">
                  <c:v>61.858994000000003</c:v>
                </c:pt>
                <c:pt idx="709">
                  <c:v>62.111313000000003</c:v>
                </c:pt>
                <c:pt idx="710">
                  <c:v>61.972084000000002</c:v>
                </c:pt>
                <c:pt idx="711">
                  <c:v>61.328280999999997</c:v>
                </c:pt>
                <c:pt idx="712">
                  <c:v>62.137394</c:v>
                </c:pt>
                <c:pt idx="713">
                  <c:v>62.111313000000003</c:v>
                </c:pt>
                <c:pt idx="714">
                  <c:v>60.197239000000003</c:v>
                </c:pt>
                <c:pt idx="715">
                  <c:v>59.631732999999997</c:v>
                </c:pt>
                <c:pt idx="716">
                  <c:v>60.353850999999999</c:v>
                </c:pt>
                <c:pt idx="717">
                  <c:v>61.006366999999997</c:v>
                </c:pt>
                <c:pt idx="718">
                  <c:v>61.624084000000003</c:v>
                </c:pt>
                <c:pt idx="719">
                  <c:v>61.972084000000002</c:v>
                </c:pt>
                <c:pt idx="720">
                  <c:v>61.937302000000003</c:v>
                </c:pt>
                <c:pt idx="721">
                  <c:v>62.093910000000001</c:v>
                </c:pt>
                <c:pt idx="722">
                  <c:v>61.276080999999998</c:v>
                </c:pt>
                <c:pt idx="723">
                  <c:v>61.484875000000002</c:v>
                </c:pt>
                <c:pt idx="724">
                  <c:v>61.667572</c:v>
                </c:pt>
                <c:pt idx="725">
                  <c:v>60.849766000000002</c:v>
                </c:pt>
                <c:pt idx="726">
                  <c:v>61.215183000000003</c:v>
                </c:pt>
                <c:pt idx="727">
                  <c:v>61.863602</c:v>
                </c:pt>
                <c:pt idx="728">
                  <c:v>61.635784000000001</c:v>
                </c:pt>
                <c:pt idx="729">
                  <c:v>61.407955000000001</c:v>
                </c:pt>
                <c:pt idx="730">
                  <c:v>62.801200999999999</c:v>
                </c:pt>
                <c:pt idx="731">
                  <c:v>62.915118999999997</c:v>
                </c:pt>
                <c:pt idx="732">
                  <c:v>62.512008999999999</c:v>
                </c:pt>
                <c:pt idx="733">
                  <c:v>62.284213999999999</c:v>
                </c:pt>
                <c:pt idx="734">
                  <c:v>62.196575000000003</c:v>
                </c:pt>
                <c:pt idx="735">
                  <c:v>62.722335999999999</c:v>
                </c:pt>
                <c:pt idx="736">
                  <c:v>62.932644000000003</c:v>
                </c:pt>
                <c:pt idx="737">
                  <c:v>62.424393000000002</c:v>
                </c:pt>
                <c:pt idx="738">
                  <c:v>60.978588000000002</c:v>
                </c:pt>
                <c:pt idx="739">
                  <c:v>60.934775999999999</c:v>
                </c:pt>
                <c:pt idx="740">
                  <c:v>61.07497</c:v>
                </c:pt>
                <c:pt idx="741">
                  <c:v>60.733238</c:v>
                </c:pt>
                <c:pt idx="742">
                  <c:v>60.689407000000003</c:v>
                </c:pt>
                <c:pt idx="743">
                  <c:v>60.566749999999999</c:v>
                </c:pt>
                <c:pt idx="744">
                  <c:v>60.163680999999997</c:v>
                </c:pt>
                <c:pt idx="745">
                  <c:v>60.514159999999997</c:v>
                </c:pt>
                <c:pt idx="746">
                  <c:v>60.645603000000001</c:v>
                </c:pt>
                <c:pt idx="747">
                  <c:v>59.813175000000001</c:v>
                </c:pt>
                <c:pt idx="748">
                  <c:v>60.207481000000001</c:v>
                </c:pt>
                <c:pt idx="749">
                  <c:v>59.786876999999997</c:v>
                </c:pt>
                <c:pt idx="750">
                  <c:v>60.049751000000001</c:v>
                </c:pt>
                <c:pt idx="751">
                  <c:v>59.559055000000001</c:v>
                </c:pt>
                <c:pt idx="752">
                  <c:v>58.823005999999999</c:v>
                </c:pt>
                <c:pt idx="753">
                  <c:v>59.953358000000001</c:v>
                </c:pt>
                <c:pt idx="754">
                  <c:v>59.681721000000003</c:v>
                </c:pt>
                <c:pt idx="755">
                  <c:v>59.252357000000003</c:v>
                </c:pt>
                <c:pt idx="756">
                  <c:v>58.866810000000001</c:v>
                </c:pt>
                <c:pt idx="757">
                  <c:v>58.402389999999997</c:v>
                </c:pt>
                <c:pt idx="758">
                  <c:v>59.059581999999999</c:v>
                </c:pt>
                <c:pt idx="759">
                  <c:v>58.612690000000001</c:v>
                </c:pt>
                <c:pt idx="760">
                  <c:v>58.472496</c:v>
                </c:pt>
                <c:pt idx="761">
                  <c:v>57.534900999999998</c:v>
                </c:pt>
                <c:pt idx="762">
                  <c:v>58.200854999999997</c:v>
                </c:pt>
                <c:pt idx="763">
                  <c:v>58.481254999999997</c:v>
                </c:pt>
                <c:pt idx="764">
                  <c:v>58.034362999999999</c:v>
                </c:pt>
                <c:pt idx="765">
                  <c:v>58.446201000000002</c:v>
                </c:pt>
                <c:pt idx="766">
                  <c:v>58.270949999999999</c:v>
                </c:pt>
                <c:pt idx="767">
                  <c:v>58.183323000000001</c:v>
                </c:pt>
                <c:pt idx="768">
                  <c:v>58.612690000000001</c:v>
                </c:pt>
                <c:pt idx="769">
                  <c:v>59.418849999999999</c:v>
                </c:pt>
                <c:pt idx="770">
                  <c:v>60.531695999999997</c:v>
                </c:pt>
                <c:pt idx="771">
                  <c:v>59.602851999999999</c:v>
                </c:pt>
                <c:pt idx="772">
                  <c:v>59.383785000000003</c:v>
                </c:pt>
                <c:pt idx="773">
                  <c:v>60.163680999999997</c:v>
                </c:pt>
                <c:pt idx="774">
                  <c:v>60.189953000000003</c:v>
                </c:pt>
                <c:pt idx="775">
                  <c:v>60.347683000000004</c:v>
                </c:pt>
                <c:pt idx="776">
                  <c:v>60.785809</c:v>
                </c:pt>
                <c:pt idx="777">
                  <c:v>62.608409999999999</c:v>
                </c:pt>
                <c:pt idx="778">
                  <c:v>62.836243000000003</c:v>
                </c:pt>
                <c:pt idx="779">
                  <c:v>62.485714000000002</c:v>
                </c:pt>
                <c:pt idx="780">
                  <c:v>63.432105999999997</c:v>
                </c:pt>
                <c:pt idx="781">
                  <c:v>62.862537000000003</c:v>
                </c:pt>
                <c:pt idx="782">
                  <c:v>62.152760000000001</c:v>
                </c:pt>
                <c:pt idx="783">
                  <c:v>61.732170000000004</c:v>
                </c:pt>
                <c:pt idx="784">
                  <c:v>62.003791999999997</c:v>
                </c:pt>
                <c:pt idx="785">
                  <c:v>61.364113000000003</c:v>
                </c:pt>
                <c:pt idx="786">
                  <c:v>61.232692999999998</c:v>
                </c:pt>
                <c:pt idx="787">
                  <c:v>61.223937999999997</c:v>
                </c:pt>
                <c:pt idx="788">
                  <c:v>61.612316</c:v>
                </c:pt>
                <c:pt idx="789">
                  <c:v>61.665272000000002</c:v>
                </c:pt>
                <c:pt idx="790">
                  <c:v>61.877124999999999</c:v>
                </c:pt>
                <c:pt idx="791">
                  <c:v>61.744746999999997</c:v>
                </c:pt>
                <c:pt idx="792">
                  <c:v>62.424380999999997</c:v>
                </c:pt>
                <c:pt idx="793">
                  <c:v>62.300823000000001</c:v>
                </c:pt>
                <c:pt idx="794">
                  <c:v>62.177242</c:v>
                </c:pt>
                <c:pt idx="795">
                  <c:v>61.691761</c:v>
                </c:pt>
                <c:pt idx="796">
                  <c:v>61.771220999999997</c:v>
                </c:pt>
                <c:pt idx="797">
                  <c:v>61.700595999999997</c:v>
                </c:pt>
                <c:pt idx="798">
                  <c:v>62.009524999999996</c:v>
                </c:pt>
                <c:pt idx="799">
                  <c:v>61.665272000000002</c:v>
                </c:pt>
                <c:pt idx="800">
                  <c:v>61.444614000000001</c:v>
                </c:pt>
                <c:pt idx="801">
                  <c:v>61.488742999999999</c:v>
                </c:pt>
                <c:pt idx="802">
                  <c:v>62.071339000000002</c:v>
                </c:pt>
                <c:pt idx="803">
                  <c:v>62.442059</c:v>
                </c:pt>
                <c:pt idx="804">
                  <c:v>63.192345000000003</c:v>
                </c:pt>
                <c:pt idx="805">
                  <c:v>63.624878000000002</c:v>
                </c:pt>
                <c:pt idx="806">
                  <c:v>63.404204999999997</c:v>
                </c:pt>
                <c:pt idx="807">
                  <c:v>63.563094999999997</c:v>
                </c:pt>
                <c:pt idx="808">
                  <c:v>63.245308000000001</c:v>
                </c:pt>
                <c:pt idx="809">
                  <c:v>63.051121000000002</c:v>
                </c:pt>
                <c:pt idx="810">
                  <c:v>64.348701000000005</c:v>
                </c:pt>
                <c:pt idx="811">
                  <c:v>64.489922000000007</c:v>
                </c:pt>
                <c:pt idx="812">
                  <c:v>64.816520999999995</c:v>
                </c:pt>
                <c:pt idx="813">
                  <c:v>64.825348000000005</c:v>
                </c:pt>
                <c:pt idx="814">
                  <c:v>64.569359000000006</c:v>
                </c:pt>
                <c:pt idx="815">
                  <c:v>64.869499000000005</c:v>
                </c:pt>
                <c:pt idx="816">
                  <c:v>65.222549000000001</c:v>
                </c:pt>
                <c:pt idx="817">
                  <c:v>65.381461999999999</c:v>
                </c:pt>
                <c:pt idx="818">
                  <c:v>66.025802999999996</c:v>
                </c:pt>
                <c:pt idx="819">
                  <c:v>66.149390999999994</c:v>
                </c:pt>
                <c:pt idx="820">
                  <c:v>66.008156</c:v>
                </c:pt>
                <c:pt idx="821">
                  <c:v>66.246467999999993</c:v>
                </c:pt>
                <c:pt idx="822">
                  <c:v>66.581901999999999</c:v>
                </c:pt>
                <c:pt idx="823">
                  <c:v>66.590736000000007</c:v>
                </c:pt>
                <c:pt idx="824">
                  <c:v>66.361221</c:v>
                </c:pt>
                <c:pt idx="825">
                  <c:v>66.405365000000003</c:v>
                </c:pt>
                <c:pt idx="826">
                  <c:v>66.661345999999995</c:v>
                </c:pt>
                <c:pt idx="827">
                  <c:v>66.873192000000003</c:v>
                </c:pt>
                <c:pt idx="828">
                  <c:v>67.385154999999997</c:v>
                </c:pt>
                <c:pt idx="829">
                  <c:v>67.526375000000002</c:v>
                </c:pt>
                <c:pt idx="830">
                  <c:v>67.190994000000003</c:v>
                </c:pt>
                <c:pt idx="831">
                  <c:v>67.720573000000002</c:v>
                </c:pt>
                <c:pt idx="832">
                  <c:v>68.155991</c:v>
                </c:pt>
                <c:pt idx="833">
                  <c:v>67.64949</c:v>
                </c:pt>
                <c:pt idx="834">
                  <c:v>67.276283000000006</c:v>
                </c:pt>
                <c:pt idx="835">
                  <c:v>67.791672000000005</c:v>
                </c:pt>
                <c:pt idx="836">
                  <c:v>66.743117999999996</c:v>
                </c:pt>
                <c:pt idx="837">
                  <c:v>66.752021999999997</c:v>
                </c:pt>
                <c:pt idx="838">
                  <c:v>68.902428</c:v>
                </c:pt>
                <c:pt idx="839">
                  <c:v>69.995407</c:v>
                </c:pt>
                <c:pt idx="840">
                  <c:v>69.799926999999997</c:v>
                </c:pt>
                <c:pt idx="841">
                  <c:v>69.746596999999994</c:v>
                </c:pt>
                <c:pt idx="842">
                  <c:v>69.444503999999995</c:v>
                </c:pt>
                <c:pt idx="843">
                  <c:v>69.586639000000005</c:v>
                </c:pt>
                <c:pt idx="844">
                  <c:v>69.426704000000001</c:v>
                </c:pt>
                <c:pt idx="845">
                  <c:v>69.444503999999995</c:v>
                </c:pt>
                <c:pt idx="846">
                  <c:v>69.844359999999995</c:v>
                </c:pt>
                <c:pt idx="847">
                  <c:v>70.919556</c:v>
                </c:pt>
                <c:pt idx="848">
                  <c:v>70.750725000000003</c:v>
                </c:pt>
                <c:pt idx="849">
                  <c:v>71.319434999999999</c:v>
                </c:pt>
                <c:pt idx="850">
                  <c:v>70.137603999999996</c:v>
                </c:pt>
                <c:pt idx="851">
                  <c:v>70.333083999999999</c:v>
                </c:pt>
                <c:pt idx="852">
                  <c:v>70.137603999999996</c:v>
                </c:pt>
                <c:pt idx="853">
                  <c:v>70.573013000000003</c:v>
                </c:pt>
                <c:pt idx="854">
                  <c:v>70.413055</c:v>
                </c:pt>
                <c:pt idx="855">
                  <c:v>70.661857999999995</c:v>
                </c:pt>
                <c:pt idx="856">
                  <c:v>70.999549999999999</c:v>
                </c:pt>
                <c:pt idx="857">
                  <c:v>70.119820000000004</c:v>
                </c:pt>
                <c:pt idx="858">
                  <c:v>66.858635000000007</c:v>
                </c:pt>
                <c:pt idx="859">
                  <c:v>67.089684000000005</c:v>
                </c:pt>
                <c:pt idx="860">
                  <c:v>67.125229000000004</c:v>
                </c:pt>
                <c:pt idx="861">
                  <c:v>67.747230999999999</c:v>
                </c:pt>
                <c:pt idx="862">
                  <c:v>67.107437000000004</c:v>
                </c:pt>
                <c:pt idx="863">
                  <c:v>66.503203999999997</c:v>
                </c:pt>
                <c:pt idx="864">
                  <c:v>67.089684000000005</c:v>
                </c:pt>
                <c:pt idx="865">
                  <c:v>67.542869999999994</c:v>
                </c:pt>
                <c:pt idx="866">
                  <c:v>67.987151999999995</c:v>
                </c:pt>
                <c:pt idx="867">
                  <c:v>67.471778999999998</c:v>
                </c:pt>
                <c:pt idx="868">
                  <c:v>67.249634</c:v>
                </c:pt>
                <c:pt idx="869">
                  <c:v>66.965271000000001</c:v>
                </c:pt>
                <c:pt idx="870">
                  <c:v>66.929732999999999</c:v>
                </c:pt>
                <c:pt idx="871">
                  <c:v>67.063025999999994</c:v>
                </c:pt>
                <c:pt idx="872">
                  <c:v>66.938629000000006</c:v>
                </c:pt>
                <c:pt idx="873">
                  <c:v>65.072547999999998</c:v>
                </c:pt>
                <c:pt idx="874">
                  <c:v>65.285812000000007</c:v>
                </c:pt>
                <c:pt idx="875">
                  <c:v>65.703461000000004</c:v>
                </c:pt>
                <c:pt idx="876">
                  <c:v>66.689812000000003</c:v>
                </c:pt>
                <c:pt idx="877">
                  <c:v>67.836112999999997</c:v>
                </c:pt>
                <c:pt idx="878">
                  <c:v>67.862762000000004</c:v>
                </c:pt>
                <c:pt idx="879">
                  <c:v>67.711708000000002</c:v>
                </c:pt>
                <c:pt idx="880">
                  <c:v>67.418471999999994</c:v>
                </c:pt>
                <c:pt idx="881">
                  <c:v>67.551758000000007</c:v>
                </c:pt>
                <c:pt idx="882">
                  <c:v>67.667266999999995</c:v>
                </c:pt>
                <c:pt idx="883">
                  <c:v>68.324843999999999</c:v>
                </c:pt>
                <c:pt idx="884">
                  <c:v>69.773253999999994</c:v>
                </c:pt>
                <c:pt idx="885">
                  <c:v>70.110939000000002</c:v>
                </c:pt>
                <c:pt idx="886">
                  <c:v>70.892905999999996</c:v>
                </c:pt>
                <c:pt idx="887">
                  <c:v>70.919556</c:v>
                </c:pt>
                <c:pt idx="888">
                  <c:v>71.079521</c:v>
                </c:pt>
                <c:pt idx="889">
                  <c:v>71.532700000000006</c:v>
                </c:pt>
                <c:pt idx="890">
                  <c:v>71.559364000000002</c:v>
                </c:pt>
                <c:pt idx="891">
                  <c:v>71.861496000000002</c:v>
                </c:pt>
                <c:pt idx="892">
                  <c:v>71.514954000000003</c:v>
                </c:pt>
                <c:pt idx="893">
                  <c:v>72.225807000000003</c:v>
                </c:pt>
                <c:pt idx="894">
                  <c:v>72.501273999999995</c:v>
                </c:pt>
                <c:pt idx="895">
                  <c:v>72.975211999999999</c:v>
                </c:pt>
                <c:pt idx="896">
                  <c:v>72.125702000000004</c:v>
                </c:pt>
                <c:pt idx="897">
                  <c:v>71.893234000000007</c:v>
                </c:pt>
                <c:pt idx="898">
                  <c:v>72.161484000000002</c:v>
                </c:pt>
                <c:pt idx="899">
                  <c:v>72.224068000000003</c:v>
                </c:pt>
                <c:pt idx="900">
                  <c:v>72.411873</c:v>
                </c:pt>
                <c:pt idx="901">
                  <c:v>71.267287999999994</c:v>
                </c:pt>
                <c:pt idx="902">
                  <c:v>70.918541000000005</c:v>
                </c:pt>
                <c:pt idx="903">
                  <c:v>71.276222000000004</c:v>
                </c:pt>
                <c:pt idx="904">
                  <c:v>71.553428999999994</c:v>
                </c:pt>
                <c:pt idx="905">
                  <c:v>71.499793999999994</c:v>
                </c:pt>
                <c:pt idx="906">
                  <c:v>70.051192999999998</c:v>
                </c:pt>
                <c:pt idx="907">
                  <c:v>70.310501000000002</c:v>
                </c:pt>
                <c:pt idx="908">
                  <c:v>69.773994000000002</c:v>
                </c:pt>
                <c:pt idx="909">
                  <c:v>70.435676999999998</c:v>
                </c:pt>
                <c:pt idx="910">
                  <c:v>70.230018999999999</c:v>
                </c:pt>
                <c:pt idx="911">
                  <c:v>69.809753000000001</c:v>
                </c:pt>
                <c:pt idx="912">
                  <c:v>70.078002999999995</c:v>
                </c:pt>
                <c:pt idx="913">
                  <c:v>71.356682000000006</c:v>
                </c:pt>
                <c:pt idx="914">
                  <c:v>71.607085999999995</c:v>
                </c:pt>
                <c:pt idx="915">
                  <c:v>71.642853000000002</c:v>
                </c:pt>
                <c:pt idx="916">
                  <c:v>70.534049999999993</c:v>
                </c:pt>
                <c:pt idx="917">
                  <c:v>70.712897999999996</c:v>
                </c:pt>
                <c:pt idx="918">
                  <c:v>71.186813000000001</c:v>
                </c:pt>
                <c:pt idx="919">
                  <c:v>71.41037</c:v>
                </c:pt>
                <c:pt idx="920">
                  <c:v>71.249413000000004</c:v>
                </c:pt>
                <c:pt idx="921">
                  <c:v>71.875336000000004</c:v>
                </c:pt>
                <c:pt idx="922">
                  <c:v>71.535552999999993</c:v>
                </c:pt>
                <c:pt idx="923">
                  <c:v>71.580253999999996</c:v>
                </c:pt>
                <c:pt idx="924">
                  <c:v>71.982651000000004</c:v>
                </c:pt>
                <c:pt idx="925">
                  <c:v>71.544501999999994</c:v>
                </c:pt>
                <c:pt idx="926">
                  <c:v>71.115273000000002</c:v>
                </c:pt>
                <c:pt idx="927">
                  <c:v>70.775490000000005</c:v>
                </c:pt>
                <c:pt idx="928">
                  <c:v>70.990088999999998</c:v>
                </c:pt>
                <c:pt idx="929">
                  <c:v>70.900672999999998</c:v>
                </c:pt>
                <c:pt idx="930">
                  <c:v>70.596656999999993</c:v>
                </c:pt>
                <c:pt idx="931">
                  <c:v>69.87236</c:v>
                </c:pt>
                <c:pt idx="932">
                  <c:v>70.149551000000002</c:v>
                </c:pt>
                <c:pt idx="933">
                  <c:v>70.838074000000006</c:v>
                </c:pt>
                <c:pt idx="934">
                  <c:v>70.721832000000006</c:v>
                </c:pt>
                <c:pt idx="935">
                  <c:v>71.007987999999997</c:v>
                </c:pt>
                <c:pt idx="936">
                  <c:v>70.641356999999999</c:v>
                </c:pt>
                <c:pt idx="937">
                  <c:v>72.009467999999998</c:v>
                </c:pt>
                <c:pt idx="938">
                  <c:v>75.228577000000001</c:v>
                </c:pt>
                <c:pt idx="939">
                  <c:v>76.659294000000003</c:v>
                </c:pt>
                <c:pt idx="940">
                  <c:v>76.990120000000005</c:v>
                </c:pt>
                <c:pt idx="941">
                  <c:v>77.455123999999998</c:v>
                </c:pt>
                <c:pt idx="942">
                  <c:v>76.668221000000003</c:v>
                </c:pt>
                <c:pt idx="943">
                  <c:v>76.882857999999999</c:v>
                </c:pt>
                <c:pt idx="944">
                  <c:v>77.097442999999998</c:v>
                </c:pt>
                <c:pt idx="945">
                  <c:v>77.258408000000003</c:v>
                </c:pt>
                <c:pt idx="946">
                  <c:v>78.188354000000004</c:v>
                </c:pt>
                <c:pt idx="947">
                  <c:v>79.270331999999996</c:v>
                </c:pt>
                <c:pt idx="948">
                  <c:v>78.671227000000002</c:v>
                </c:pt>
                <c:pt idx="949">
                  <c:v>79.118331999999995</c:v>
                </c:pt>
                <c:pt idx="950">
                  <c:v>79.243492000000003</c:v>
                </c:pt>
                <c:pt idx="951">
                  <c:v>78.841117999999994</c:v>
                </c:pt>
                <c:pt idx="952">
                  <c:v>77.750197999999997</c:v>
                </c:pt>
                <c:pt idx="953">
                  <c:v>78.072113000000002</c:v>
                </c:pt>
                <c:pt idx="954">
                  <c:v>78.635445000000004</c:v>
                </c:pt>
                <c:pt idx="955">
                  <c:v>79.404456999999994</c:v>
                </c:pt>
                <c:pt idx="956">
                  <c:v>80.191360000000003</c:v>
                </c:pt>
                <c:pt idx="957">
                  <c:v>79.315033</c:v>
                </c:pt>
                <c:pt idx="958">
                  <c:v>79.538582000000005</c:v>
                </c:pt>
                <c:pt idx="959">
                  <c:v>80.709991000000002</c:v>
                </c:pt>
                <c:pt idx="960">
                  <c:v>80.745750000000001</c:v>
                </c:pt>
                <c:pt idx="961">
                  <c:v>81.300147999999993</c:v>
                </c:pt>
                <c:pt idx="962">
                  <c:v>81.362740000000002</c:v>
                </c:pt>
                <c:pt idx="963">
                  <c:v>81.452140999999997</c:v>
                </c:pt>
                <c:pt idx="964">
                  <c:v>80.325485</c:v>
                </c:pt>
                <c:pt idx="965">
                  <c:v>89.079635999999994</c:v>
                </c:pt>
                <c:pt idx="966">
                  <c:v>87.157127000000003</c:v>
                </c:pt>
                <c:pt idx="967">
                  <c:v>87.1661</c:v>
                </c:pt>
                <c:pt idx="968">
                  <c:v>86.307648</c:v>
                </c:pt>
                <c:pt idx="969">
                  <c:v>86.209282000000002</c:v>
                </c:pt>
                <c:pt idx="970">
                  <c:v>86.397048999999996</c:v>
                </c:pt>
                <c:pt idx="971">
                  <c:v>86.397048999999996</c:v>
                </c:pt>
                <c:pt idx="972">
                  <c:v>86.531188999999998</c:v>
                </c:pt>
                <c:pt idx="973">
                  <c:v>87.237601999999995</c:v>
                </c:pt>
                <c:pt idx="974">
                  <c:v>86.942550999999995</c:v>
                </c:pt>
                <c:pt idx="975">
                  <c:v>87.049819999999997</c:v>
                </c:pt>
                <c:pt idx="976">
                  <c:v>86.745811000000003</c:v>
                </c:pt>
                <c:pt idx="977">
                  <c:v>87.479050000000001</c:v>
                </c:pt>
                <c:pt idx="978">
                  <c:v>86.987228000000002</c:v>
                </c:pt>
                <c:pt idx="979">
                  <c:v>86.996223000000001</c:v>
                </c:pt>
                <c:pt idx="980">
                  <c:v>86.789496999999997</c:v>
                </c:pt>
                <c:pt idx="981">
                  <c:v>87.131057999999996</c:v>
                </c:pt>
                <c:pt idx="982">
                  <c:v>86.924301</c:v>
                </c:pt>
                <c:pt idx="983">
                  <c:v>87.877159000000006</c:v>
                </c:pt>
                <c:pt idx="984">
                  <c:v>87.310828999999998</c:v>
                </c:pt>
                <c:pt idx="985">
                  <c:v>87.292854000000005</c:v>
                </c:pt>
                <c:pt idx="986">
                  <c:v>88.002998000000005</c:v>
                </c:pt>
                <c:pt idx="987">
                  <c:v>88.811988999999997</c:v>
                </c:pt>
                <c:pt idx="988">
                  <c:v>88.767066999999997</c:v>
                </c:pt>
                <c:pt idx="989">
                  <c:v>88.146820000000005</c:v>
                </c:pt>
                <c:pt idx="990">
                  <c:v>88.281677000000002</c:v>
                </c:pt>
                <c:pt idx="991">
                  <c:v>89.135620000000003</c:v>
                </c:pt>
                <c:pt idx="992">
                  <c:v>89.22551</c:v>
                </c:pt>
                <c:pt idx="993">
                  <c:v>89.351356999999993</c:v>
                </c:pt>
                <c:pt idx="994">
                  <c:v>88.767066999999997</c:v>
                </c:pt>
                <c:pt idx="995">
                  <c:v>88.623238000000001</c:v>
                </c:pt>
                <c:pt idx="996">
                  <c:v>89.396286000000003</c:v>
                </c:pt>
                <c:pt idx="997">
                  <c:v>89.477196000000006</c:v>
                </c:pt>
                <c:pt idx="998">
                  <c:v>90.007568000000006</c:v>
                </c:pt>
                <c:pt idx="999">
                  <c:v>91.337952000000001</c:v>
                </c:pt>
                <c:pt idx="1000">
                  <c:v>90.241257000000004</c:v>
                </c:pt>
                <c:pt idx="1001">
                  <c:v>89.594063000000006</c:v>
                </c:pt>
                <c:pt idx="1002">
                  <c:v>89.908676</c:v>
                </c:pt>
                <c:pt idx="1003">
                  <c:v>90.672736999999998</c:v>
                </c:pt>
                <c:pt idx="1004">
                  <c:v>90.510941000000003</c:v>
                </c:pt>
                <c:pt idx="1005">
                  <c:v>92.317734000000002</c:v>
                </c:pt>
                <c:pt idx="1006">
                  <c:v>93.755996999999994</c:v>
                </c:pt>
                <c:pt idx="1007">
                  <c:v>94.016677999999999</c:v>
                </c:pt>
                <c:pt idx="1008">
                  <c:v>94.789726000000002</c:v>
                </c:pt>
                <c:pt idx="1009">
                  <c:v>95.194243999999998</c:v>
                </c:pt>
                <c:pt idx="1010">
                  <c:v>95.095389999999995</c:v>
                </c:pt>
                <c:pt idx="1011">
                  <c:v>95.823493999999997</c:v>
                </c:pt>
                <c:pt idx="1012">
                  <c:v>97.432509999999994</c:v>
                </c:pt>
                <c:pt idx="1013">
                  <c:v>98.475280999999995</c:v>
                </c:pt>
                <c:pt idx="1014">
                  <c:v>96.839248999999995</c:v>
                </c:pt>
                <c:pt idx="1015">
                  <c:v>95.823493999999997</c:v>
                </c:pt>
                <c:pt idx="1016">
                  <c:v>94.852669000000006</c:v>
                </c:pt>
                <c:pt idx="1017">
                  <c:v>93.917800999999997</c:v>
                </c:pt>
                <c:pt idx="1018">
                  <c:v>89.971610999999996</c:v>
                </c:pt>
                <c:pt idx="1019">
                  <c:v>90.699691999999999</c:v>
                </c:pt>
                <c:pt idx="1020">
                  <c:v>92.452599000000006</c:v>
                </c:pt>
                <c:pt idx="1021">
                  <c:v>89.908676</c:v>
                </c:pt>
                <c:pt idx="1022">
                  <c:v>89.324402000000006</c:v>
                </c:pt>
                <c:pt idx="1023">
                  <c:v>89.486191000000005</c:v>
                </c:pt>
                <c:pt idx="1024">
                  <c:v>90.771621999999994</c:v>
                </c:pt>
                <c:pt idx="1025">
                  <c:v>91.418846000000002</c:v>
                </c:pt>
                <c:pt idx="1026">
                  <c:v>92.794158999999993</c:v>
                </c:pt>
                <c:pt idx="1027">
                  <c:v>94.187461999999996</c:v>
                </c:pt>
                <c:pt idx="1028">
                  <c:v>84.596123000000006</c:v>
                </c:pt>
                <c:pt idx="1029">
                  <c:v>82.267966999999999</c:v>
                </c:pt>
                <c:pt idx="1030">
                  <c:v>83.391586000000004</c:v>
                </c:pt>
                <c:pt idx="1031">
                  <c:v>83.499465999999998</c:v>
                </c:pt>
                <c:pt idx="1032">
                  <c:v>83.706222999999994</c:v>
                </c:pt>
                <c:pt idx="1033">
                  <c:v>82.267966999999999</c:v>
                </c:pt>
                <c:pt idx="1034">
                  <c:v>80.910636999999994</c:v>
                </c:pt>
                <c:pt idx="1035">
                  <c:v>80.074637999999993</c:v>
                </c:pt>
                <c:pt idx="1036">
                  <c:v>79.795967000000005</c:v>
                </c:pt>
                <c:pt idx="1037">
                  <c:v>80.883644000000004</c:v>
                </c:pt>
                <c:pt idx="1038">
                  <c:v>80.056647999999996</c:v>
                </c:pt>
                <c:pt idx="1039">
                  <c:v>78.870086999999998</c:v>
                </c:pt>
                <c:pt idx="1040">
                  <c:v>79.503082000000006</c:v>
                </c:pt>
                <c:pt idx="1041">
                  <c:v>80.226500999999999</c:v>
                </c:pt>
                <c:pt idx="1042">
                  <c:v>79.638748000000007</c:v>
                </c:pt>
                <c:pt idx="1043">
                  <c:v>79.846725000000006</c:v>
                </c:pt>
                <c:pt idx="1044">
                  <c:v>79.277023</c:v>
                </c:pt>
                <c:pt idx="1045">
                  <c:v>79.132323999999997</c:v>
                </c:pt>
                <c:pt idx="1046">
                  <c:v>80.633408000000003</c:v>
                </c:pt>
                <c:pt idx="1047">
                  <c:v>79.078086999999996</c:v>
                </c:pt>
                <c:pt idx="1048">
                  <c:v>79.530227999999994</c:v>
                </c:pt>
                <c:pt idx="1049">
                  <c:v>79.738204999999994</c:v>
                </c:pt>
                <c:pt idx="1050">
                  <c:v>78.797759999999997</c:v>
                </c:pt>
                <c:pt idx="1051">
                  <c:v>77.242408999999995</c:v>
                </c:pt>
                <c:pt idx="1052">
                  <c:v>79.123305999999999</c:v>
                </c:pt>
                <c:pt idx="1053">
                  <c:v>77.812118999999996</c:v>
                </c:pt>
                <c:pt idx="1054">
                  <c:v>79.367446999999999</c:v>
                </c:pt>
                <c:pt idx="1055">
                  <c:v>80.452560000000005</c:v>
                </c:pt>
                <c:pt idx="1056">
                  <c:v>77.359970000000004</c:v>
                </c:pt>
                <c:pt idx="1057">
                  <c:v>78.490311000000005</c:v>
                </c:pt>
                <c:pt idx="1058">
                  <c:v>78.870093999999995</c:v>
                </c:pt>
                <c:pt idx="1059">
                  <c:v>79.40361</c:v>
                </c:pt>
                <c:pt idx="1060">
                  <c:v>78.390831000000006</c:v>
                </c:pt>
                <c:pt idx="1061">
                  <c:v>78.020095999999995</c:v>
                </c:pt>
                <c:pt idx="1062">
                  <c:v>78.173820000000006</c:v>
                </c:pt>
                <c:pt idx="1063">
                  <c:v>77.685508999999996</c:v>
                </c:pt>
                <c:pt idx="1064">
                  <c:v>77.251480000000001</c:v>
                </c:pt>
                <c:pt idx="1065">
                  <c:v>77.784958000000003</c:v>
                </c:pt>
                <c:pt idx="1066">
                  <c:v>78.526482000000001</c:v>
                </c:pt>
                <c:pt idx="1067">
                  <c:v>79.484984999999995</c:v>
                </c:pt>
                <c:pt idx="1068">
                  <c:v>79.186583999999996</c:v>
                </c:pt>
                <c:pt idx="1069">
                  <c:v>79.475966999999997</c:v>
                </c:pt>
                <c:pt idx="1070">
                  <c:v>78.653069000000002</c:v>
                </c:pt>
                <c:pt idx="1071">
                  <c:v>77.857322999999994</c:v>
                </c:pt>
                <c:pt idx="1072">
                  <c:v>78.246132000000003</c:v>
                </c:pt>
                <c:pt idx="1073">
                  <c:v>78.824889999999996</c:v>
                </c:pt>
                <c:pt idx="1074">
                  <c:v>79.521193999999994</c:v>
                </c:pt>
                <c:pt idx="1075">
                  <c:v>78.933402999999998</c:v>
                </c:pt>
                <c:pt idx="1076">
                  <c:v>79.991386000000006</c:v>
                </c:pt>
                <c:pt idx="1077">
                  <c:v>79.041893000000002</c:v>
                </c:pt>
                <c:pt idx="1078">
                  <c:v>78.074332999999996</c:v>
                </c:pt>
                <c:pt idx="1079">
                  <c:v>77.974884000000003</c:v>
                </c:pt>
                <c:pt idx="1080">
                  <c:v>79.150429000000003</c:v>
                </c:pt>
                <c:pt idx="1081">
                  <c:v>77.287627999999998</c:v>
                </c:pt>
                <c:pt idx="1082">
                  <c:v>77.531784000000002</c:v>
                </c:pt>
                <c:pt idx="1083">
                  <c:v>75.108352999999994</c:v>
                </c:pt>
                <c:pt idx="1084">
                  <c:v>75.244857999999994</c:v>
                </c:pt>
                <c:pt idx="1085">
                  <c:v>75.872719000000004</c:v>
                </c:pt>
                <c:pt idx="1086">
                  <c:v>76.791779000000005</c:v>
                </c:pt>
                <c:pt idx="1087">
                  <c:v>76.910079999999994</c:v>
                </c:pt>
                <c:pt idx="1088">
                  <c:v>78.375113999999996</c:v>
                </c:pt>
                <c:pt idx="1089">
                  <c:v>76.882782000000006</c:v>
                </c:pt>
                <c:pt idx="1090">
                  <c:v>76.109298999999993</c:v>
                </c:pt>
                <c:pt idx="1091">
                  <c:v>76.900977999999995</c:v>
                </c:pt>
                <c:pt idx="1092">
                  <c:v>75.863617000000005</c:v>
                </c:pt>
                <c:pt idx="1093">
                  <c:v>75.536026000000007</c:v>
                </c:pt>
                <c:pt idx="1094">
                  <c:v>75.390450000000001</c:v>
                </c:pt>
                <c:pt idx="1095">
                  <c:v>75.035552999999993</c:v>
                </c:pt>
                <c:pt idx="1096">
                  <c:v>74.980964999999998</c:v>
                </c:pt>
                <c:pt idx="1097">
                  <c:v>76.546097000000003</c:v>
                </c:pt>
                <c:pt idx="1098">
                  <c:v>75.108352999999994</c:v>
                </c:pt>
                <c:pt idx="1099">
                  <c:v>75.517837999999998</c:v>
                </c:pt>
                <c:pt idx="1100">
                  <c:v>77.729056999999997</c:v>
                </c:pt>
                <c:pt idx="1101">
                  <c:v>77.001075999999998</c:v>
                </c:pt>
                <c:pt idx="1102">
                  <c:v>76.946465000000003</c:v>
                </c:pt>
                <c:pt idx="1103">
                  <c:v>77.301353000000006</c:v>
                </c:pt>
                <c:pt idx="1104">
                  <c:v>76.764481000000004</c:v>
                </c:pt>
                <c:pt idx="1105">
                  <c:v>76.709900000000005</c:v>
                </c:pt>
                <c:pt idx="1106">
                  <c:v>76.527893000000006</c:v>
                </c:pt>
                <c:pt idx="1107">
                  <c:v>76.518790999999993</c:v>
                </c:pt>
                <c:pt idx="1108">
                  <c:v>76.245811000000003</c:v>
                </c:pt>
                <c:pt idx="1109">
                  <c:v>76.163917999999995</c:v>
                </c:pt>
                <c:pt idx="1110">
                  <c:v>75.526932000000002</c:v>
                </c:pt>
                <c:pt idx="1111">
                  <c:v>76.082008000000002</c:v>
                </c:pt>
                <c:pt idx="1112">
                  <c:v>76.082008000000002</c:v>
                </c:pt>
                <c:pt idx="1113">
                  <c:v>76.627983</c:v>
                </c:pt>
                <c:pt idx="1114">
                  <c:v>77.183052000000004</c:v>
                </c:pt>
                <c:pt idx="1115">
                  <c:v>78.684517</c:v>
                </c:pt>
                <c:pt idx="1116">
                  <c:v>78.238624999999999</c:v>
                </c:pt>
                <c:pt idx="1117">
                  <c:v>79.066710999999998</c:v>
                </c:pt>
                <c:pt idx="1118">
                  <c:v>78.129424999999998</c:v>
                </c:pt>
                <c:pt idx="1119">
                  <c:v>77.938346999999993</c:v>
                </c:pt>
                <c:pt idx="1120">
                  <c:v>76.436904999999996</c:v>
                </c:pt>
                <c:pt idx="1121">
                  <c:v>76.837288000000001</c:v>
                </c:pt>
                <c:pt idx="1122">
                  <c:v>76.955566000000005</c:v>
                </c:pt>
                <c:pt idx="1123">
                  <c:v>76.900977999999995</c:v>
                </c:pt>
                <c:pt idx="1124">
                  <c:v>78.193129999999996</c:v>
                </c:pt>
                <c:pt idx="1125">
                  <c:v>79.357872</c:v>
                </c:pt>
                <c:pt idx="1126">
                  <c:v>78.739104999999995</c:v>
                </c:pt>
                <c:pt idx="1127">
                  <c:v>78.730002999999996</c:v>
                </c:pt>
                <c:pt idx="1128">
                  <c:v>79.803771999999995</c:v>
                </c:pt>
                <c:pt idx="1129">
                  <c:v>79.749161000000001</c:v>
                </c:pt>
                <c:pt idx="1130">
                  <c:v>80.249656999999999</c:v>
                </c:pt>
                <c:pt idx="1131">
                  <c:v>80.140441999999993</c:v>
                </c:pt>
                <c:pt idx="1132">
                  <c:v>79.821976000000006</c:v>
                </c:pt>
                <c:pt idx="1133">
                  <c:v>80.131332</c:v>
                </c:pt>
                <c:pt idx="1134">
                  <c:v>79.740059000000002</c:v>
                </c:pt>
                <c:pt idx="1135">
                  <c:v>80.040336999999994</c:v>
                </c:pt>
                <c:pt idx="1136">
                  <c:v>79.985748000000001</c:v>
                </c:pt>
                <c:pt idx="1137">
                  <c:v>80.286040999999997</c:v>
                </c:pt>
                <c:pt idx="1138">
                  <c:v>80.195037999999997</c:v>
                </c:pt>
                <c:pt idx="1139">
                  <c:v>80.877517999999995</c:v>
                </c:pt>
                <c:pt idx="1140">
                  <c:v>81.196006999999994</c:v>
                </c:pt>
                <c:pt idx="1141">
                  <c:v>80.295158000000001</c:v>
                </c:pt>
                <c:pt idx="1142">
                  <c:v>80.768332999999998</c:v>
                </c:pt>
                <c:pt idx="1143">
                  <c:v>81.532677000000007</c:v>
                </c:pt>
                <c:pt idx="1144">
                  <c:v>81.596382000000006</c:v>
                </c:pt>
                <c:pt idx="1145">
                  <c:v>81.687370000000001</c:v>
                </c:pt>
                <c:pt idx="1146">
                  <c:v>81.942161999999996</c:v>
                </c:pt>
                <c:pt idx="1147">
                  <c:v>81.466262999999998</c:v>
                </c:pt>
                <c:pt idx="1148">
                  <c:v>82.537070999999997</c:v>
                </c:pt>
                <c:pt idx="1149">
                  <c:v>82.042854000000005</c:v>
                </c:pt>
                <c:pt idx="1150">
                  <c:v>83.150299000000004</c:v>
                </c:pt>
                <c:pt idx="1151">
                  <c:v>82.573700000000002</c:v>
                </c:pt>
                <c:pt idx="1152">
                  <c:v>90.280083000000005</c:v>
                </c:pt>
                <c:pt idx="1153">
                  <c:v>89.557029999999997</c:v>
                </c:pt>
                <c:pt idx="1154">
                  <c:v>87.863845999999995</c:v>
                </c:pt>
                <c:pt idx="1155">
                  <c:v>87.937049999999999</c:v>
                </c:pt>
                <c:pt idx="1156">
                  <c:v>87.561783000000005</c:v>
                </c:pt>
                <c:pt idx="1157">
                  <c:v>87.113326999999998</c:v>
                </c:pt>
                <c:pt idx="1158">
                  <c:v>86.902809000000005</c:v>
                </c:pt>
                <c:pt idx="1159">
                  <c:v>86.527564999999996</c:v>
                </c:pt>
                <c:pt idx="1160">
                  <c:v>87.927902000000003</c:v>
                </c:pt>
                <c:pt idx="1161">
                  <c:v>87.53434</c:v>
                </c:pt>
                <c:pt idx="1162">
                  <c:v>87.955353000000002</c:v>
                </c:pt>
                <c:pt idx="1163">
                  <c:v>87.735703000000001</c:v>
                </c:pt>
                <c:pt idx="1164">
                  <c:v>87.278060999999994</c:v>
                </c:pt>
                <c:pt idx="1165">
                  <c:v>88.431281999999996</c:v>
                </c:pt>
                <c:pt idx="1166">
                  <c:v>88.275695999999996</c:v>
                </c:pt>
                <c:pt idx="1167">
                  <c:v>87.708243999999993</c:v>
                </c:pt>
                <c:pt idx="1168">
                  <c:v>88.687545999999998</c:v>
                </c:pt>
                <c:pt idx="1169">
                  <c:v>88.449584999999999</c:v>
                </c:pt>
                <c:pt idx="1170">
                  <c:v>87.836365000000001</c:v>
                </c:pt>
                <c:pt idx="1171">
                  <c:v>87.058395000000004</c:v>
                </c:pt>
                <c:pt idx="1172">
                  <c:v>86.573311000000004</c:v>
                </c:pt>
                <c:pt idx="1173">
                  <c:v>86.783828999999997</c:v>
                </c:pt>
                <c:pt idx="1174">
                  <c:v>87.342147999999995</c:v>
                </c:pt>
                <c:pt idx="1175">
                  <c:v>87.168243000000004</c:v>
                </c:pt>
                <c:pt idx="1176">
                  <c:v>87.635024999999999</c:v>
                </c:pt>
                <c:pt idx="1177">
                  <c:v>87.772307999999995</c:v>
                </c:pt>
                <c:pt idx="1178">
                  <c:v>86.875343000000001</c:v>
                </c:pt>
                <c:pt idx="1179">
                  <c:v>87.040099999999995</c:v>
                </c:pt>
                <c:pt idx="1180">
                  <c:v>86.573311000000004</c:v>
                </c:pt>
                <c:pt idx="1181">
                  <c:v>86.152313000000007</c:v>
                </c:pt>
                <c:pt idx="1182">
                  <c:v>85.950965999999994</c:v>
                </c:pt>
                <c:pt idx="1183">
                  <c:v>86.399422000000001</c:v>
                </c:pt>
                <c:pt idx="1184">
                  <c:v>87.085869000000002</c:v>
                </c:pt>
                <c:pt idx="1185">
                  <c:v>86.097389000000007</c:v>
                </c:pt>
                <c:pt idx="1186">
                  <c:v>86.225555</c:v>
                </c:pt>
                <c:pt idx="1187">
                  <c:v>85.401809999999998</c:v>
                </c:pt>
                <c:pt idx="1188">
                  <c:v>86.664856</c:v>
                </c:pt>
                <c:pt idx="1189">
                  <c:v>88.852287000000004</c:v>
                </c:pt>
                <c:pt idx="1190">
                  <c:v>87.644165000000001</c:v>
                </c:pt>
                <c:pt idx="1191">
                  <c:v>85.960114000000004</c:v>
                </c:pt>
                <c:pt idx="1192">
                  <c:v>86.774688999999995</c:v>
                </c:pt>
                <c:pt idx="1193">
                  <c:v>85.868576000000004</c:v>
                </c:pt>
                <c:pt idx="1194">
                  <c:v>87.689926</c:v>
                </c:pt>
                <c:pt idx="1195">
                  <c:v>88.376373000000001</c:v>
                </c:pt>
                <c:pt idx="1196">
                  <c:v>88.019417000000004</c:v>
                </c:pt>
                <c:pt idx="1197">
                  <c:v>88.916359</c:v>
                </c:pt>
                <c:pt idx="1198">
                  <c:v>88.907218999999998</c:v>
                </c:pt>
                <c:pt idx="1199">
                  <c:v>89.511284000000003</c:v>
                </c:pt>
                <c:pt idx="1200">
                  <c:v>89.291611000000003</c:v>
                </c:pt>
                <c:pt idx="1201">
                  <c:v>90.774315000000001</c:v>
                </c:pt>
                <c:pt idx="1202">
                  <c:v>90.554657000000006</c:v>
                </c:pt>
                <c:pt idx="1203">
                  <c:v>91.341781999999995</c:v>
                </c:pt>
                <c:pt idx="1204">
                  <c:v>93.739738000000003</c:v>
                </c:pt>
                <c:pt idx="1205">
                  <c:v>91.781104999999997</c:v>
                </c:pt>
                <c:pt idx="1206">
                  <c:v>92.055663999999993</c:v>
                </c:pt>
                <c:pt idx="1207">
                  <c:v>92.751250999999996</c:v>
                </c:pt>
                <c:pt idx="1208">
                  <c:v>94.188202000000004</c:v>
                </c:pt>
                <c:pt idx="1209">
                  <c:v>94.572577999999993</c:v>
                </c:pt>
                <c:pt idx="1210">
                  <c:v>95.478706000000003</c:v>
                </c:pt>
                <c:pt idx="1211">
                  <c:v>95.991241000000002</c:v>
                </c:pt>
                <c:pt idx="1212">
                  <c:v>96.613608999999997</c:v>
                </c:pt>
                <c:pt idx="1213">
                  <c:v>95.066849000000005</c:v>
                </c:pt>
                <c:pt idx="1214">
                  <c:v>94.215652000000006</c:v>
                </c:pt>
                <c:pt idx="1215">
                  <c:v>92.925171000000006</c:v>
                </c:pt>
                <c:pt idx="1216">
                  <c:v>91.103820999999996</c:v>
                </c:pt>
                <c:pt idx="1217">
                  <c:v>89.410622000000004</c:v>
                </c:pt>
                <c:pt idx="1218">
                  <c:v>88.577713000000003</c:v>
                </c:pt>
                <c:pt idx="1219">
                  <c:v>86.179778999999996</c:v>
                </c:pt>
                <c:pt idx="1220">
                  <c:v>86.188911000000004</c:v>
                </c:pt>
                <c:pt idx="1221">
                  <c:v>87.040099999999995</c:v>
                </c:pt>
                <c:pt idx="1222">
                  <c:v>87.085869000000002</c:v>
                </c:pt>
                <c:pt idx="1223">
                  <c:v>86.985184000000004</c:v>
                </c:pt>
                <c:pt idx="1224">
                  <c:v>89.200080999999997</c:v>
                </c:pt>
                <c:pt idx="1225">
                  <c:v>89.044494999999998</c:v>
                </c:pt>
                <c:pt idx="1226">
                  <c:v>89.373985000000005</c:v>
                </c:pt>
                <c:pt idx="1227">
                  <c:v>90.380759999999995</c:v>
                </c:pt>
                <c:pt idx="1228">
                  <c:v>87.689926</c:v>
                </c:pt>
                <c:pt idx="1229">
                  <c:v>87.211410999999998</c:v>
                </c:pt>
                <c:pt idx="1230">
                  <c:v>85.757430999999997</c:v>
                </c:pt>
                <c:pt idx="1231">
                  <c:v>86.447609</c:v>
                </c:pt>
                <c:pt idx="1232">
                  <c:v>86.364784</c:v>
                </c:pt>
                <c:pt idx="1233">
                  <c:v>85.683800000000005</c:v>
                </c:pt>
                <c:pt idx="1234">
                  <c:v>85.545776000000004</c:v>
                </c:pt>
                <c:pt idx="1235">
                  <c:v>84.524299999999997</c:v>
                </c:pt>
                <c:pt idx="1236">
                  <c:v>83.530440999999996</c:v>
                </c:pt>
                <c:pt idx="1237">
                  <c:v>83.815726999999995</c:v>
                </c:pt>
                <c:pt idx="1238">
                  <c:v>83.327988000000005</c:v>
                </c:pt>
                <c:pt idx="1239">
                  <c:v>80.318787</c:v>
                </c:pt>
                <c:pt idx="1240">
                  <c:v>80.180747999999994</c:v>
                </c:pt>
                <c:pt idx="1241">
                  <c:v>78.975234999999998</c:v>
                </c:pt>
                <c:pt idx="1242">
                  <c:v>83.199150000000003</c:v>
                </c:pt>
                <c:pt idx="1243">
                  <c:v>84.285019000000005</c:v>
                </c:pt>
                <c:pt idx="1244">
                  <c:v>84.781966999999995</c:v>
                </c:pt>
                <c:pt idx="1245">
                  <c:v>85.720618999999999</c:v>
                </c:pt>
                <c:pt idx="1246">
                  <c:v>85.895461999999995</c:v>
                </c:pt>
                <c:pt idx="1247">
                  <c:v>85.453734999999995</c:v>
                </c:pt>
                <c:pt idx="1248">
                  <c:v>85.987487999999999</c:v>
                </c:pt>
                <c:pt idx="1249">
                  <c:v>86.999756000000005</c:v>
                </c:pt>
                <c:pt idx="1250">
                  <c:v>87.607123999999999</c:v>
                </c:pt>
                <c:pt idx="1251">
                  <c:v>87.321854000000002</c:v>
                </c:pt>
                <c:pt idx="1252">
                  <c:v>87.386261000000005</c:v>
                </c:pt>
                <c:pt idx="1253">
                  <c:v>87.275841</c:v>
                </c:pt>
                <c:pt idx="1254">
                  <c:v>87.377037000000001</c:v>
                </c:pt>
                <c:pt idx="1255">
                  <c:v>88.573386999999997</c:v>
                </c:pt>
                <c:pt idx="1256">
                  <c:v>88.665390000000002</c:v>
                </c:pt>
                <c:pt idx="1257">
                  <c:v>89.024276999999998</c:v>
                </c:pt>
                <c:pt idx="1258">
                  <c:v>89.935340999999994</c:v>
                </c:pt>
                <c:pt idx="1259">
                  <c:v>89.714484999999996</c:v>
                </c:pt>
                <c:pt idx="1260">
                  <c:v>90.837173000000007</c:v>
                </c:pt>
                <c:pt idx="1261">
                  <c:v>90.515067999999999</c:v>
                </c:pt>
                <c:pt idx="1262">
                  <c:v>89.208327999999995</c:v>
                </c:pt>
                <c:pt idx="1263">
                  <c:v>89.318747999999999</c:v>
                </c:pt>
                <c:pt idx="1264">
                  <c:v>88.996673999999999</c:v>
                </c:pt>
                <c:pt idx="1265">
                  <c:v>87.239020999999994</c:v>
                </c:pt>
                <c:pt idx="1266">
                  <c:v>88.186858999999998</c:v>
                </c:pt>
                <c:pt idx="1267">
                  <c:v>86.373977999999994</c:v>
                </c:pt>
                <c:pt idx="1268">
                  <c:v>87.211410999999998</c:v>
                </c:pt>
                <c:pt idx="1269">
                  <c:v>87.975211999999999</c:v>
                </c:pt>
                <c:pt idx="1270">
                  <c:v>88.012016000000003</c:v>
                </c:pt>
                <c:pt idx="1271">
                  <c:v>89.015083000000004</c:v>
                </c:pt>
                <c:pt idx="1272">
                  <c:v>87.956801999999996</c:v>
                </c:pt>
                <c:pt idx="1273">
                  <c:v>88.527336000000005</c:v>
                </c:pt>
                <c:pt idx="1274">
                  <c:v>89.235954000000007</c:v>
                </c:pt>
                <c:pt idx="1275">
                  <c:v>90.128555000000006</c:v>
                </c:pt>
                <c:pt idx="1276">
                  <c:v>90.662315000000007</c:v>
                </c:pt>
                <c:pt idx="1277">
                  <c:v>92.015083000000004</c:v>
                </c:pt>
                <c:pt idx="1278">
                  <c:v>94.048812999999996</c:v>
                </c:pt>
                <c:pt idx="1279">
                  <c:v>91.913833999999994</c:v>
                </c:pt>
                <c:pt idx="1280">
                  <c:v>91.462920999999994</c:v>
                </c:pt>
                <c:pt idx="1281">
                  <c:v>91.610175999999996</c:v>
                </c:pt>
                <c:pt idx="1282">
                  <c:v>91.214470000000006</c:v>
                </c:pt>
                <c:pt idx="1283">
                  <c:v>90.818770999999998</c:v>
                </c:pt>
                <c:pt idx="1284">
                  <c:v>90.285019000000005</c:v>
                </c:pt>
                <c:pt idx="1285">
                  <c:v>91.094818000000004</c:v>
                </c:pt>
                <c:pt idx="1286">
                  <c:v>90.119392000000005</c:v>
                </c:pt>
                <c:pt idx="1287">
                  <c:v>90.045769000000007</c:v>
                </c:pt>
                <c:pt idx="1288">
                  <c:v>90.496657999999996</c:v>
                </c:pt>
                <c:pt idx="1289">
                  <c:v>90.423027000000005</c:v>
                </c:pt>
                <c:pt idx="1290">
                  <c:v>89.677643000000003</c:v>
                </c:pt>
                <c:pt idx="1291">
                  <c:v>89.806479999999993</c:v>
                </c:pt>
                <c:pt idx="1292">
                  <c:v>90.625525999999994</c:v>
                </c:pt>
                <c:pt idx="1293">
                  <c:v>90.524283999999994</c:v>
                </c:pt>
                <c:pt idx="1294">
                  <c:v>91.131630000000001</c:v>
                </c:pt>
                <c:pt idx="1295">
                  <c:v>90.872603999999995</c:v>
                </c:pt>
                <c:pt idx="1296">
                  <c:v>91.057625000000002</c:v>
                </c:pt>
                <c:pt idx="1297">
                  <c:v>92.204864999999998</c:v>
                </c:pt>
                <c:pt idx="1298">
                  <c:v>92.380652999999995</c:v>
                </c:pt>
                <c:pt idx="1299">
                  <c:v>91.261168999999995</c:v>
                </c:pt>
                <c:pt idx="1300">
                  <c:v>91.649742000000003</c:v>
                </c:pt>
                <c:pt idx="1301">
                  <c:v>90.928093000000004</c:v>
                </c:pt>
                <c:pt idx="1302">
                  <c:v>90.826317000000003</c:v>
                </c:pt>
                <c:pt idx="1303">
                  <c:v>90.965110999999993</c:v>
                </c:pt>
                <c:pt idx="1304">
                  <c:v>89.938141000000002</c:v>
                </c:pt>
                <c:pt idx="1305">
                  <c:v>89.864113000000003</c:v>
                </c:pt>
                <c:pt idx="1306">
                  <c:v>90.234215000000006</c:v>
                </c:pt>
                <c:pt idx="1307">
                  <c:v>90.502494999999996</c:v>
                </c:pt>
                <c:pt idx="1308">
                  <c:v>89.688323999999994</c:v>
                </c:pt>
                <c:pt idx="1309">
                  <c:v>89.919623999999999</c:v>
                </c:pt>
                <c:pt idx="1310">
                  <c:v>90.770820999999998</c:v>
                </c:pt>
                <c:pt idx="1311">
                  <c:v>91.436942999999999</c:v>
                </c:pt>
                <c:pt idx="1312">
                  <c:v>91.807060000000007</c:v>
                </c:pt>
                <c:pt idx="1313">
                  <c:v>91.307434000000001</c:v>
                </c:pt>
                <c:pt idx="1314">
                  <c:v>92.149338</c:v>
                </c:pt>
                <c:pt idx="1315">
                  <c:v>93.259574999999998</c:v>
                </c:pt>
                <c:pt idx="1316">
                  <c:v>93.962738000000002</c:v>
                </c:pt>
                <c:pt idx="1317">
                  <c:v>94.767639000000003</c:v>
                </c:pt>
                <c:pt idx="1318">
                  <c:v>95.230232000000001</c:v>
                </c:pt>
                <c:pt idx="1319">
                  <c:v>95.443038999999999</c:v>
                </c:pt>
                <c:pt idx="1320">
                  <c:v>95.461539999999999</c:v>
                </c:pt>
                <c:pt idx="1321">
                  <c:v>94.712142999999998</c:v>
                </c:pt>
                <c:pt idx="1322">
                  <c:v>95.359795000000005</c:v>
                </c:pt>
                <c:pt idx="1323">
                  <c:v>95.785362000000006</c:v>
                </c:pt>
                <c:pt idx="1324">
                  <c:v>95.776122999999998</c:v>
                </c:pt>
                <c:pt idx="1325">
                  <c:v>93.934989999999999</c:v>
                </c:pt>
                <c:pt idx="1326">
                  <c:v>93.962738000000002</c:v>
                </c:pt>
                <c:pt idx="1327">
                  <c:v>95.146979999999999</c:v>
                </c:pt>
                <c:pt idx="1328">
                  <c:v>93.777694999999994</c:v>
                </c:pt>
                <c:pt idx="1329">
                  <c:v>93.583397000000005</c:v>
                </c:pt>
                <c:pt idx="1330">
                  <c:v>94.443832</c:v>
                </c:pt>
                <c:pt idx="1331">
                  <c:v>94.795410000000004</c:v>
                </c:pt>
                <c:pt idx="1332">
                  <c:v>93.722198000000006</c:v>
                </c:pt>
                <c:pt idx="1333">
                  <c:v>92.796997000000005</c:v>
                </c:pt>
                <c:pt idx="1334">
                  <c:v>92.583068999999995</c:v>
                </c:pt>
                <c:pt idx="1335">
                  <c:v>94.787430000000001</c:v>
                </c:pt>
                <c:pt idx="1336">
                  <c:v>92.908591999999999</c:v>
                </c:pt>
                <c:pt idx="1337">
                  <c:v>93.280663000000004</c:v>
                </c:pt>
                <c:pt idx="1338">
                  <c:v>92.899299999999997</c:v>
                </c:pt>
                <c:pt idx="1339">
                  <c:v>94.229354999999998</c:v>
                </c:pt>
                <c:pt idx="1340">
                  <c:v>93.810805999999999</c:v>
                </c:pt>
                <c:pt idx="1341">
                  <c:v>94.424666999999999</c:v>
                </c:pt>
                <c:pt idx="1342">
                  <c:v>94.052627999999999</c:v>
                </c:pt>
                <c:pt idx="1343">
                  <c:v>95.085059999999999</c:v>
                </c:pt>
                <c:pt idx="1344">
                  <c:v>94.740921</c:v>
                </c:pt>
                <c:pt idx="1345">
                  <c:v>95.494308000000004</c:v>
                </c:pt>
                <c:pt idx="1346">
                  <c:v>95.261780000000002</c:v>
                </c:pt>
                <c:pt idx="1347">
                  <c:v>94.982758000000004</c:v>
                </c:pt>
                <c:pt idx="1348">
                  <c:v>95.047852000000006</c:v>
                </c:pt>
                <c:pt idx="1349">
                  <c:v>94.350280999999995</c:v>
                </c:pt>
                <c:pt idx="1350">
                  <c:v>94.833922999999999</c:v>
                </c:pt>
                <c:pt idx="1351">
                  <c:v>95.391991000000004</c:v>
                </c:pt>
                <c:pt idx="1352">
                  <c:v>97.121978999999996</c:v>
                </c:pt>
                <c:pt idx="1353">
                  <c:v>97.763779</c:v>
                </c:pt>
                <c:pt idx="1354">
                  <c:v>98.647368999999998</c:v>
                </c:pt>
                <c:pt idx="1355">
                  <c:v>100.005348</c:v>
                </c:pt>
                <c:pt idx="1356">
                  <c:v>100.395973</c:v>
                </c:pt>
                <c:pt idx="1357">
                  <c:v>101.214485</c:v>
                </c:pt>
                <c:pt idx="1358">
                  <c:v>101.056366</c:v>
                </c:pt>
                <c:pt idx="1359">
                  <c:v>101.447014</c:v>
                </c:pt>
                <c:pt idx="1360">
                  <c:v>101.530716</c:v>
                </c:pt>
                <c:pt idx="1361">
                  <c:v>101.986458</c:v>
                </c:pt>
                <c:pt idx="1362">
                  <c:v>101.95856499999999</c:v>
                </c:pt>
                <c:pt idx="1363">
                  <c:v>102.609634</c:v>
                </c:pt>
                <c:pt idx="1364">
                  <c:v>103.363029</c:v>
                </c:pt>
                <c:pt idx="1365">
                  <c:v>103.46534</c:v>
                </c:pt>
                <c:pt idx="1366">
                  <c:v>102.981674</c:v>
                </c:pt>
                <c:pt idx="1367">
                  <c:v>102.460823</c:v>
                </c:pt>
                <c:pt idx="1368">
                  <c:v>102.40501399999999</c:v>
                </c:pt>
                <c:pt idx="1369">
                  <c:v>102.767746</c:v>
                </c:pt>
                <c:pt idx="1370">
                  <c:v>102.88867999999999</c:v>
                </c:pt>
                <c:pt idx="1371">
                  <c:v>103.800186</c:v>
                </c:pt>
                <c:pt idx="1372">
                  <c:v>104.469864</c:v>
                </c:pt>
                <c:pt idx="1373">
                  <c:v>104.15361799999999</c:v>
                </c:pt>
                <c:pt idx="1374">
                  <c:v>104.841904</c:v>
                </c:pt>
                <c:pt idx="1375">
                  <c:v>104.9907</c:v>
                </c:pt>
                <c:pt idx="1376">
                  <c:v>105.083733</c:v>
                </c:pt>
                <c:pt idx="1377">
                  <c:v>105.958038</c:v>
                </c:pt>
                <c:pt idx="1378">
                  <c:v>106.59050000000001</c:v>
                </c:pt>
                <c:pt idx="1379">
                  <c:v>106.943962</c:v>
                </c:pt>
                <c:pt idx="1380">
                  <c:v>106.73931899999999</c:v>
                </c:pt>
                <c:pt idx="1381">
                  <c:v>106.59050000000001</c:v>
                </c:pt>
                <c:pt idx="1382">
                  <c:v>106.70212600000001</c:v>
                </c:pt>
                <c:pt idx="1383">
                  <c:v>105.93943</c:v>
                </c:pt>
                <c:pt idx="1384">
                  <c:v>104.93491400000001</c:v>
                </c:pt>
                <c:pt idx="1385">
                  <c:v>104.255928</c:v>
                </c:pt>
                <c:pt idx="1386">
                  <c:v>104.172218</c:v>
                </c:pt>
                <c:pt idx="1387">
                  <c:v>104.376846</c:v>
                </c:pt>
                <c:pt idx="1388">
                  <c:v>105.120926</c:v>
                </c:pt>
                <c:pt idx="1389">
                  <c:v>104.42334700000001</c:v>
                </c:pt>
                <c:pt idx="1390">
                  <c:v>104.228027</c:v>
                </c:pt>
                <c:pt idx="1391">
                  <c:v>102.665451</c:v>
                </c:pt>
                <c:pt idx="1392">
                  <c:v>101.73532899999999</c:v>
                </c:pt>
                <c:pt idx="1393">
                  <c:v>101.753944</c:v>
                </c:pt>
                <c:pt idx="1394">
                  <c:v>98.424155999999996</c:v>
                </c:pt>
                <c:pt idx="1395">
                  <c:v>99.772819999999996</c:v>
                </c:pt>
                <c:pt idx="1396">
                  <c:v>100.637817</c:v>
                </c:pt>
                <c:pt idx="1397">
                  <c:v>101.43229700000001</c:v>
                </c:pt>
                <c:pt idx="1398">
                  <c:v>100.27327699999999</c:v>
                </c:pt>
                <c:pt idx="1399">
                  <c:v>98.347808999999998</c:v>
                </c:pt>
                <c:pt idx="1400">
                  <c:v>100.394783</c:v>
                </c:pt>
                <c:pt idx="1401">
                  <c:v>99.263817000000003</c:v>
                </c:pt>
                <c:pt idx="1402">
                  <c:v>105.32994100000001</c:v>
                </c:pt>
                <c:pt idx="1403">
                  <c:v>105.61032899999999</c:v>
                </c:pt>
                <c:pt idx="1404">
                  <c:v>106.37679300000001</c:v>
                </c:pt>
                <c:pt idx="1405">
                  <c:v>104.73175000000001</c:v>
                </c:pt>
                <c:pt idx="1406">
                  <c:v>104.70368999999999</c:v>
                </c:pt>
                <c:pt idx="1407">
                  <c:v>104.60086800000001</c:v>
                </c:pt>
                <c:pt idx="1408">
                  <c:v>103.591431</c:v>
                </c:pt>
                <c:pt idx="1409">
                  <c:v>104.675652</c:v>
                </c:pt>
                <c:pt idx="1410">
                  <c:v>105.07757599999999</c:v>
                </c:pt>
                <c:pt idx="1411">
                  <c:v>105.357979</c:v>
                </c:pt>
                <c:pt idx="1412">
                  <c:v>106.629158</c:v>
                </c:pt>
                <c:pt idx="1413">
                  <c:v>106.797409</c:v>
                </c:pt>
                <c:pt idx="1414">
                  <c:v>107.15258</c:v>
                </c:pt>
                <c:pt idx="1415">
                  <c:v>108.33963799999999</c:v>
                </c:pt>
                <c:pt idx="1416">
                  <c:v>107.900322</c:v>
                </c:pt>
                <c:pt idx="1417">
                  <c:v>107.23670199999999</c:v>
                </c:pt>
                <c:pt idx="1418">
                  <c:v>108.73221599999999</c:v>
                </c:pt>
                <c:pt idx="1419">
                  <c:v>108.47049</c:v>
                </c:pt>
                <c:pt idx="1420">
                  <c:v>108.44244399999999</c:v>
                </c:pt>
                <c:pt idx="1421">
                  <c:v>109.283661</c:v>
                </c:pt>
                <c:pt idx="1422">
                  <c:v>109.76035299999999</c:v>
                </c:pt>
                <c:pt idx="1423">
                  <c:v>108.021828</c:v>
                </c:pt>
                <c:pt idx="1424">
                  <c:v>108.900429</c:v>
                </c:pt>
                <c:pt idx="1425">
                  <c:v>109.507988</c:v>
                </c:pt>
                <c:pt idx="1426">
                  <c:v>109.461258</c:v>
                </c:pt>
                <c:pt idx="1427">
                  <c:v>109.339737</c:v>
                </c:pt>
                <c:pt idx="1428">
                  <c:v>109.93795</c:v>
                </c:pt>
                <c:pt idx="1429">
                  <c:v>110.667023</c:v>
                </c:pt>
                <c:pt idx="1430">
                  <c:v>110.732437</c:v>
                </c:pt>
                <c:pt idx="1431">
                  <c:v>110.573517</c:v>
                </c:pt>
                <c:pt idx="1432">
                  <c:v>110.713753</c:v>
                </c:pt>
                <c:pt idx="1433">
                  <c:v>110.928703</c:v>
                </c:pt>
                <c:pt idx="1434">
                  <c:v>110.152931</c:v>
                </c:pt>
                <c:pt idx="1435">
                  <c:v>108.535912</c:v>
                </c:pt>
                <c:pt idx="1436">
                  <c:v>108.713509</c:v>
                </c:pt>
                <c:pt idx="1437">
                  <c:v>110.44268</c:v>
                </c:pt>
                <c:pt idx="1438">
                  <c:v>109.573418</c:v>
                </c:pt>
                <c:pt idx="1439">
                  <c:v>109.900558</c:v>
                </c:pt>
                <c:pt idx="1440">
                  <c:v>111.162384</c:v>
                </c:pt>
                <c:pt idx="1441">
                  <c:v>111.79795799999999</c:v>
                </c:pt>
                <c:pt idx="1442">
                  <c:v>112.386833</c:v>
                </c:pt>
                <c:pt idx="1443">
                  <c:v>111.386719</c:v>
                </c:pt>
                <c:pt idx="1444">
                  <c:v>111.72318300000001</c:v>
                </c:pt>
                <c:pt idx="1445">
                  <c:v>111.62039900000001</c:v>
                </c:pt>
                <c:pt idx="1446">
                  <c:v>112.012947</c:v>
                </c:pt>
                <c:pt idx="1447">
                  <c:v>111.35865</c:v>
                </c:pt>
                <c:pt idx="1448">
                  <c:v>111.919456</c:v>
                </c:pt>
                <c:pt idx="1449">
                  <c:v>111.769943</c:v>
                </c:pt>
                <c:pt idx="1450">
                  <c:v>111.554962</c:v>
                </c:pt>
                <c:pt idx="1451">
                  <c:v>111.321281</c:v>
                </c:pt>
                <c:pt idx="1452">
                  <c:v>111.265198</c:v>
                </c:pt>
                <c:pt idx="1453">
                  <c:v>111.433449</c:v>
                </c:pt>
                <c:pt idx="1454">
                  <c:v>109.498642</c:v>
                </c:pt>
                <c:pt idx="1455">
                  <c:v>110.38659699999999</c:v>
                </c:pt>
                <c:pt idx="1456">
                  <c:v>109.601471</c:v>
                </c:pt>
                <c:pt idx="1457">
                  <c:v>109.93795</c:v>
                </c:pt>
                <c:pt idx="1458">
                  <c:v>109.891212</c:v>
                </c:pt>
                <c:pt idx="1459">
                  <c:v>111.09697</c:v>
                </c:pt>
                <c:pt idx="1460">
                  <c:v>111.695168</c:v>
                </c:pt>
                <c:pt idx="1461">
                  <c:v>112.377487</c:v>
                </c:pt>
                <c:pt idx="1462">
                  <c:v>111.639061</c:v>
                </c:pt>
                <c:pt idx="1463">
                  <c:v>111.265198</c:v>
                </c:pt>
                <c:pt idx="1464">
                  <c:v>111.33998099999999</c:v>
                </c:pt>
                <c:pt idx="1465">
                  <c:v>113.078491</c:v>
                </c:pt>
                <c:pt idx="1466">
                  <c:v>112.77005</c:v>
                </c:pt>
                <c:pt idx="1467">
                  <c:v>111.106308</c:v>
                </c:pt>
                <c:pt idx="1468">
                  <c:v>112.396179</c:v>
                </c:pt>
                <c:pt idx="1469">
                  <c:v>112.059685</c:v>
                </c:pt>
                <c:pt idx="1470">
                  <c:v>111.349335</c:v>
                </c:pt>
                <c:pt idx="1471">
                  <c:v>112.031639</c:v>
                </c:pt>
                <c:pt idx="1472">
                  <c:v>111.564308</c:v>
                </c:pt>
                <c:pt idx="1473">
                  <c:v>111.153038</c:v>
                </c:pt>
                <c:pt idx="1474">
                  <c:v>111.405411</c:v>
                </c:pt>
                <c:pt idx="1475">
                  <c:v>111.003479</c:v>
                </c:pt>
                <c:pt idx="1476">
                  <c:v>111.311943</c:v>
                </c:pt>
                <c:pt idx="1477">
                  <c:v>111.489525</c:v>
                </c:pt>
                <c:pt idx="1478">
                  <c:v>110.919365</c:v>
                </c:pt>
                <c:pt idx="1479">
                  <c:v>110.93807200000001</c:v>
                </c:pt>
                <c:pt idx="1480">
                  <c:v>111.407494</c:v>
                </c:pt>
                <c:pt idx="1481">
                  <c:v>112.45903800000001</c:v>
                </c:pt>
                <c:pt idx="1482">
                  <c:v>112.06471999999999</c:v>
                </c:pt>
                <c:pt idx="1483">
                  <c:v>111.858147</c:v>
                </c:pt>
                <c:pt idx="1484">
                  <c:v>111.726715</c:v>
                </c:pt>
                <c:pt idx="1485">
                  <c:v>112.440269</c:v>
                </c:pt>
                <c:pt idx="1486">
                  <c:v>112.93787399999999</c:v>
                </c:pt>
                <c:pt idx="1487">
                  <c:v>113.172607</c:v>
                </c:pt>
                <c:pt idx="1488">
                  <c:v>113.867355</c:v>
                </c:pt>
                <c:pt idx="1489">
                  <c:v>112.534149</c:v>
                </c:pt>
                <c:pt idx="1490">
                  <c:v>112.740723</c:v>
                </c:pt>
                <c:pt idx="1491">
                  <c:v>112.93787399999999</c:v>
                </c:pt>
                <c:pt idx="1492">
                  <c:v>111.75489</c:v>
                </c:pt>
                <c:pt idx="1493">
                  <c:v>112.205544</c:v>
                </c:pt>
                <c:pt idx="1494">
                  <c:v>112.214928</c:v>
                </c:pt>
                <c:pt idx="1495">
                  <c:v>112.280663</c:v>
                </c:pt>
                <c:pt idx="1496">
                  <c:v>112.102272</c:v>
                </c:pt>
                <c:pt idx="1497">
                  <c:v>111.576508</c:v>
                </c:pt>
                <c:pt idx="1498">
                  <c:v>111.670372</c:v>
                </c:pt>
                <c:pt idx="1499">
                  <c:v>110.68456999999999</c:v>
                </c:pt>
                <c:pt idx="1500">
                  <c:v>110.459236</c:v>
                </c:pt>
                <c:pt idx="1501">
                  <c:v>109.43583700000001</c:v>
                </c:pt>
                <c:pt idx="1502">
                  <c:v>109.060303</c:v>
                </c:pt>
                <c:pt idx="1503">
                  <c:v>110.186966</c:v>
                </c:pt>
                <c:pt idx="1504">
                  <c:v>109.266869</c:v>
                </c:pt>
                <c:pt idx="1505">
                  <c:v>108.79742400000001</c:v>
                </c:pt>
                <c:pt idx="1506">
                  <c:v>109.07907899999999</c:v>
                </c:pt>
                <c:pt idx="1507">
                  <c:v>108.234077</c:v>
                </c:pt>
                <c:pt idx="1508">
                  <c:v>108.816185</c:v>
                </c:pt>
                <c:pt idx="1509">
                  <c:v>107.933655</c:v>
                </c:pt>
                <c:pt idx="1510">
                  <c:v>108.52514600000001</c:v>
                </c:pt>
                <c:pt idx="1511">
                  <c:v>109.003967</c:v>
                </c:pt>
                <c:pt idx="1512">
                  <c:v>108.731689</c:v>
                </c:pt>
                <c:pt idx="1513">
                  <c:v>107.379715</c:v>
                </c:pt>
                <c:pt idx="1514">
                  <c:v>108.77864099999999</c:v>
                </c:pt>
                <c:pt idx="1515">
                  <c:v>109.47341900000001</c:v>
                </c:pt>
                <c:pt idx="1516">
                  <c:v>108.806816</c:v>
                </c:pt>
                <c:pt idx="1517">
                  <c:v>109.45462000000001</c:v>
                </c:pt>
                <c:pt idx="1518">
                  <c:v>107.492355</c:v>
                </c:pt>
                <c:pt idx="1519">
                  <c:v>107.28582</c:v>
                </c:pt>
                <c:pt idx="1520">
                  <c:v>108.224693</c:v>
                </c:pt>
                <c:pt idx="1521">
                  <c:v>109.67057800000001</c:v>
                </c:pt>
                <c:pt idx="1522">
                  <c:v>109.201134</c:v>
                </c:pt>
                <c:pt idx="1523">
                  <c:v>109.33255800000001</c:v>
                </c:pt>
                <c:pt idx="1524">
                  <c:v>108.205917</c:v>
                </c:pt>
                <c:pt idx="1525">
                  <c:v>108.346756</c:v>
                </c:pt>
                <c:pt idx="1526">
                  <c:v>108.769249</c:v>
                </c:pt>
                <c:pt idx="1527">
                  <c:v>110.26207700000001</c:v>
                </c:pt>
                <c:pt idx="1528">
                  <c:v>110.68456999999999</c:v>
                </c:pt>
                <c:pt idx="1529">
                  <c:v>112.318214</c:v>
                </c:pt>
                <c:pt idx="1530">
                  <c:v>110.48741099999999</c:v>
                </c:pt>
                <c:pt idx="1531">
                  <c:v>110.496788</c:v>
                </c:pt>
                <c:pt idx="1532">
                  <c:v>111.332397</c:v>
                </c:pt>
                <c:pt idx="1533">
                  <c:v>109.21051</c:v>
                </c:pt>
                <c:pt idx="1534">
                  <c:v>107.398483</c:v>
                </c:pt>
                <c:pt idx="1535">
                  <c:v>106.82576</c:v>
                </c:pt>
                <c:pt idx="1536">
                  <c:v>103.652351</c:v>
                </c:pt>
                <c:pt idx="1537">
                  <c:v>101.098595</c:v>
                </c:pt>
                <c:pt idx="1538">
                  <c:v>108.79742400000001</c:v>
                </c:pt>
                <c:pt idx="1539">
                  <c:v>106.008942</c:v>
                </c:pt>
                <c:pt idx="1540">
                  <c:v>109.633026</c:v>
                </c:pt>
                <c:pt idx="1541">
                  <c:v>108.834976</c:v>
                </c:pt>
                <c:pt idx="1542">
                  <c:v>110.064903</c:v>
                </c:pt>
                <c:pt idx="1543">
                  <c:v>109.99917600000001</c:v>
                </c:pt>
                <c:pt idx="1544">
                  <c:v>112.46843</c:v>
                </c:pt>
                <c:pt idx="1545">
                  <c:v>107.436035</c:v>
                </c:pt>
                <c:pt idx="1546">
                  <c:v>97.690460000000002</c:v>
                </c:pt>
                <c:pt idx="1547">
                  <c:v>107.126205</c:v>
                </c:pt>
                <c:pt idx="1548">
                  <c:v>100.23483299999999</c:v>
                </c:pt>
                <c:pt idx="1549">
                  <c:v>111.970833</c:v>
                </c:pt>
                <c:pt idx="1550">
                  <c:v>115.087914</c:v>
                </c:pt>
                <c:pt idx="1551">
                  <c:v>112.645454</c:v>
                </c:pt>
                <c:pt idx="1552">
                  <c:v>107.47762299999999</c:v>
                </c:pt>
                <c:pt idx="1553">
                  <c:v>107.769958</c:v>
                </c:pt>
                <c:pt idx="1554">
                  <c:v>108.477234</c:v>
                </c:pt>
                <c:pt idx="1555">
                  <c:v>103.16796100000001</c:v>
                </c:pt>
                <c:pt idx="1556">
                  <c:v>103.564026</c:v>
                </c:pt>
                <c:pt idx="1557">
                  <c:v>103.33770800000001</c:v>
                </c:pt>
                <c:pt idx="1558">
                  <c:v>108.62812</c:v>
                </c:pt>
                <c:pt idx="1559">
                  <c:v>107.147552</c:v>
                </c:pt>
                <c:pt idx="1560">
                  <c:v>107.637939</c:v>
                </c:pt>
                <c:pt idx="1561">
                  <c:v>111.891014</c:v>
                </c:pt>
                <c:pt idx="1562">
                  <c:v>112.673737</c:v>
                </c:pt>
                <c:pt idx="1563">
                  <c:v>118.888351</c:v>
                </c:pt>
                <c:pt idx="1564">
                  <c:v>115.040764</c:v>
                </c:pt>
                <c:pt idx="1565">
                  <c:v>114.899292</c:v>
                </c:pt>
                <c:pt idx="1566">
                  <c:v>114.861565</c:v>
                </c:pt>
                <c:pt idx="1567">
                  <c:v>118.162209</c:v>
                </c:pt>
                <c:pt idx="1568">
                  <c:v>121.65141300000001</c:v>
                </c:pt>
                <c:pt idx="1569">
                  <c:v>121.425102</c:v>
                </c:pt>
                <c:pt idx="1570">
                  <c:v>124.791718</c:v>
                </c:pt>
                <c:pt idx="1571">
                  <c:v>124.59369700000001</c:v>
                </c:pt>
                <c:pt idx="1572">
                  <c:v>122.453011</c:v>
                </c:pt>
                <c:pt idx="1573">
                  <c:v>121.849457</c:v>
                </c:pt>
                <c:pt idx="1574">
                  <c:v>124.093872</c:v>
                </c:pt>
                <c:pt idx="1575">
                  <c:v>121.208214</c:v>
                </c:pt>
                <c:pt idx="1576">
                  <c:v>122.066368</c:v>
                </c:pt>
                <c:pt idx="1577">
                  <c:v>120.991302</c:v>
                </c:pt>
                <c:pt idx="1578">
                  <c:v>120.70837400000001</c:v>
                </c:pt>
                <c:pt idx="1579">
                  <c:v>116.559029</c:v>
                </c:pt>
                <c:pt idx="1580">
                  <c:v>114.625816</c:v>
                </c:pt>
                <c:pt idx="1581">
                  <c:v>115.917793</c:v>
                </c:pt>
                <c:pt idx="1582">
                  <c:v>116.653336</c:v>
                </c:pt>
                <c:pt idx="1583">
                  <c:v>117.62468</c:v>
                </c:pt>
                <c:pt idx="1584">
                  <c:v>116.276115</c:v>
                </c:pt>
                <c:pt idx="1585">
                  <c:v>115.45208</c:v>
                </c:pt>
                <c:pt idx="1586">
                  <c:v>116.446625</c:v>
                </c:pt>
                <c:pt idx="1587">
                  <c:v>117.13806200000001</c:v>
                </c:pt>
                <c:pt idx="1588">
                  <c:v>117.242271</c:v>
                </c:pt>
                <c:pt idx="1589">
                  <c:v>117.175949</c:v>
                </c:pt>
                <c:pt idx="1590">
                  <c:v>116.901276</c:v>
                </c:pt>
                <c:pt idx="1591">
                  <c:v>119.288177</c:v>
                </c:pt>
                <c:pt idx="1592">
                  <c:v>120.91733600000001</c:v>
                </c:pt>
                <c:pt idx="1593">
                  <c:v>118.350464</c:v>
                </c:pt>
                <c:pt idx="1594">
                  <c:v>118.82403600000001</c:v>
                </c:pt>
                <c:pt idx="1595">
                  <c:v>118.388351</c:v>
                </c:pt>
                <c:pt idx="1596">
                  <c:v>117.763199</c:v>
                </c:pt>
                <c:pt idx="1597">
                  <c:v>117.318031</c:v>
                </c:pt>
                <c:pt idx="1598">
                  <c:v>116.01091</c:v>
                </c:pt>
                <c:pt idx="1599">
                  <c:v>117.15701300000001</c:v>
                </c:pt>
                <c:pt idx="1600">
                  <c:v>117.507462</c:v>
                </c:pt>
                <c:pt idx="1601">
                  <c:v>117.41274300000001</c:v>
                </c:pt>
                <c:pt idx="1602">
                  <c:v>117.393822</c:v>
                </c:pt>
                <c:pt idx="1603">
                  <c:v>116.948624</c:v>
                </c:pt>
                <c:pt idx="1604">
                  <c:v>115.66046900000001</c:v>
                </c:pt>
                <c:pt idx="1605">
                  <c:v>115.139503</c:v>
                </c:pt>
                <c:pt idx="1606">
                  <c:v>114.836395</c:v>
                </c:pt>
                <c:pt idx="1607">
                  <c:v>114.94059799999999</c:v>
                </c:pt>
                <c:pt idx="1608">
                  <c:v>114.760651</c:v>
                </c:pt>
                <c:pt idx="1609">
                  <c:v>113.747147</c:v>
                </c:pt>
                <c:pt idx="1610">
                  <c:v>111.521286</c:v>
                </c:pt>
                <c:pt idx="1611">
                  <c:v>111.843338</c:v>
                </c:pt>
                <c:pt idx="1612">
                  <c:v>113.330406</c:v>
                </c:pt>
                <c:pt idx="1613">
                  <c:v>112.743134</c:v>
                </c:pt>
                <c:pt idx="1614">
                  <c:v>111.758072</c:v>
                </c:pt>
                <c:pt idx="1615">
                  <c:v>113.519836</c:v>
                </c:pt>
                <c:pt idx="1616">
                  <c:v>115.253181</c:v>
                </c:pt>
                <c:pt idx="1617">
                  <c:v>114.67540700000001</c:v>
                </c:pt>
                <c:pt idx="1618">
                  <c:v>113.94606</c:v>
                </c:pt>
                <c:pt idx="1619">
                  <c:v>113.38723</c:v>
                </c:pt>
                <c:pt idx="1620">
                  <c:v>112.07064099999999</c:v>
                </c:pt>
                <c:pt idx="1621">
                  <c:v>112.771553</c:v>
                </c:pt>
                <c:pt idx="1622">
                  <c:v>113.453529</c:v>
                </c:pt>
                <c:pt idx="1623">
                  <c:v>113.368286</c:v>
                </c:pt>
                <c:pt idx="1624">
                  <c:v>112.913635</c:v>
                </c:pt>
                <c:pt idx="1625">
                  <c:v>112.610542</c:v>
                </c:pt>
                <c:pt idx="1626">
                  <c:v>120.244812</c:v>
                </c:pt>
                <c:pt idx="1627">
                  <c:v>117.867401</c:v>
                </c:pt>
                <c:pt idx="1628">
                  <c:v>121.00256299999999</c:v>
                </c:pt>
                <c:pt idx="1629">
                  <c:v>123.77778600000001</c:v>
                </c:pt>
                <c:pt idx="1630">
                  <c:v>122.67910000000001</c:v>
                </c:pt>
                <c:pt idx="1631">
                  <c:v>125.03755200000001</c:v>
                </c:pt>
                <c:pt idx="1632">
                  <c:v>125.028091</c:v>
                </c:pt>
                <c:pt idx="1633">
                  <c:v>125.217522</c:v>
                </c:pt>
                <c:pt idx="1634">
                  <c:v>124.78183</c:v>
                </c:pt>
                <c:pt idx="1635">
                  <c:v>124.526093</c:v>
                </c:pt>
                <c:pt idx="1636">
                  <c:v>125.340675</c:v>
                </c:pt>
                <c:pt idx="1637">
                  <c:v>125.653267</c:v>
                </c:pt>
                <c:pt idx="1638">
                  <c:v>124.68710299999999</c:v>
                </c:pt>
                <c:pt idx="1639">
                  <c:v>124.308243</c:v>
                </c:pt>
                <c:pt idx="1640">
                  <c:v>124.279816</c:v>
                </c:pt>
                <c:pt idx="1641">
                  <c:v>124.800781</c:v>
                </c:pt>
                <c:pt idx="1642">
                  <c:v>123.7873</c:v>
                </c:pt>
                <c:pt idx="1643">
                  <c:v>123.24739099999999</c:v>
                </c:pt>
                <c:pt idx="1644">
                  <c:v>122.56540699999999</c:v>
                </c:pt>
                <c:pt idx="1645">
                  <c:v>122.47071800000001</c:v>
                </c:pt>
                <c:pt idx="1646">
                  <c:v>124.68710299999999</c:v>
                </c:pt>
                <c:pt idx="1647">
                  <c:v>122.953773</c:v>
                </c:pt>
                <c:pt idx="1648">
                  <c:v>122.518066</c:v>
                </c:pt>
                <c:pt idx="1649">
                  <c:v>123.105316</c:v>
                </c:pt>
                <c:pt idx="1650">
                  <c:v>124.914421</c:v>
                </c:pt>
                <c:pt idx="1651">
                  <c:v>123.32317399999999</c:v>
                </c:pt>
                <c:pt idx="1652">
                  <c:v>124.92392</c:v>
                </c:pt>
                <c:pt idx="1653">
                  <c:v>125.399452</c:v>
                </c:pt>
                <c:pt idx="1654">
                  <c:v>126.11277</c:v>
                </c:pt>
                <c:pt idx="1655">
                  <c:v>128.96601899999999</c:v>
                </c:pt>
                <c:pt idx="1656">
                  <c:v>128.11952199999999</c:v>
                </c:pt>
                <c:pt idx="1657">
                  <c:v>125.93206000000001</c:v>
                </c:pt>
                <c:pt idx="1658">
                  <c:v>124.182053</c:v>
                </c:pt>
                <c:pt idx="1659">
                  <c:v>125.190201</c:v>
                </c:pt>
                <c:pt idx="1660">
                  <c:v>124.90490699999999</c:v>
                </c:pt>
                <c:pt idx="1661">
                  <c:v>124.239136</c:v>
                </c:pt>
                <c:pt idx="1662">
                  <c:v>124.305725</c:v>
                </c:pt>
                <c:pt idx="1663">
                  <c:v>129.94560200000001</c:v>
                </c:pt>
                <c:pt idx="1664">
                  <c:v>133.436081</c:v>
                </c:pt>
                <c:pt idx="1665">
                  <c:v>132.05699200000001</c:v>
                </c:pt>
                <c:pt idx="1666">
                  <c:v>140.36938499999999</c:v>
                </c:pt>
                <c:pt idx="1667">
                  <c:v>140.45498699999999</c:v>
                </c:pt>
                <c:pt idx="1668">
                  <c:v>137.468613</c:v>
                </c:pt>
                <c:pt idx="1669">
                  <c:v>135.84225499999999</c:v>
                </c:pt>
                <c:pt idx="1670">
                  <c:v>131.67654400000001</c:v>
                </c:pt>
                <c:pt idx="1671">
                  <c:v>133.046097</c:v>
                </c:pt>
                <c:pt idx="1672">
                  <c:v>130.11679100000001</c:v>
                </c:pt>
                <c:pt idx="1673">
                  <c:v>130.01216099999999</c:v>
                </c:pt>
                <c:pt idx="1674">
                  <c:v>130.60185200000001</c:v>
                </c:pt>
                <c:pt idx="1675">
                  <c:v>130.63986199999999</c:v>
                </c:pt>
                <c:pt idx="1676">
                  <c:v>129.593658</c:v>
                </c:pt>
                <c:pt idx="1677">
                  <c:v>130.00266999999999</c:v>
                </c:pt>
                <c:pt idx="1678">
                  <c:v>128.67112700000001</c:v>
                </c:pt>
                <c:pt idx="1679">
                  <c:v>130.36407500000001</c:v>
                </c:pt>
                <c:pt idx="1680">
                  <c:v>131.54342700000001</c:v>
                </c:pt>
                <c:pt idx="1681">
                  <c:v>129.336929</c:v>
                </c:pt>
                <c:pt idx="1682">
                  <c:v>130.01216099999999</c:v>
                </c:pt>
                <c:pt idx="1683">
                  <c:v>130.55427599999999</c:v>
                </c:pt>
                <c:pt idx="1684">
                  <c:v>130.53526299999999</c:v>
                </c:pt>
                <c:pt idx="1685">
                  <c:v>130.43061800000001</c:v>
                </c:pt>
                <c:pt idx="1686">
                  <c:v>133.065155</c:v>
                </c:pt>
                <c:pt idx="1687">
                  <c:v>136.08003199999999</c:v>
                </c:pt>
                <c:pt idx="1688">
                  <c:v>133.626251</c:v>
                </c:pt>
                <c:pt idx="1689">
                  <c:v>134.86265599999999</c:v>
                </c:pt>
                <c:pt idx="1690">
                  <c:v>133.74989299999999</c:v>
                </c:pt>
                <c:pt idx="1691">
                  <c:v>133.997162</c:v>
                </c:pt>
                <c:pt idx="1692">
                  <c:v>134.444153</c:v>
                </c:pt>
                <c:pt idx="1693">
                  <c:v>135.794693</c:v>
                </c:pt>
                <c:pt idx="1694">
                  <c:v>137.19276400000001</c:v>
                </c:pt>
                <c:pt idx="1695">
                  <c:v>139.075928</c:v>
                </c:pt>
                <c:pt idx="1696">
                  <c:v>136.89794900000001</c:v>
                </c:pt>
                <c:pt idx="1697">
                  <c:v>137.45910599999999</c:v>
                </c:pt>
                <c:pt idx="1698">
                  <c:v>137.63028</c:v>
                </c:pt>
                <c:pt idx="1699">
                  <c:v>135.95640599999999</c:v>
                </c:pt>
                <c:pt idx="1700">
                  <c:v>136.85990899999999</c:v>
                </c:pt>
                <c:pt idx="1701">
                  <c:v>137.335464</c:v>
                </c:pt>
                <c:pt idx="1702">
                  <c:v>136.52705399999999</c:v>
                </c:pt>
                <c:pt idx="1703">
                  <c:v>136.812378</c:v>
                </c:pt>
                <c:pt idx="1704">
                  <c:v>135.20504800000001</c:v>
                </c:pt>
                <c:pt idx="1705">
                  <c:v>135.88031000000001</c:v>
                </c:pt>
                <c:pt idx="1706">
                  <c:v>133.188751</c:v>
                </c:pt>
                <c:pt idx="1707">
                  <c:v>133.0746</c:v>
                </c:pt>
                <c:pt idx="1708">
                  <c:v>131.96186800000001</c:v>
                </c:pt>
                <c:pt idx="1709">
                  <c:v>133.531128</c:v>
                </c:pt>
                <c:pt idx="1710">
                  <c:v>135.794693</c:v>
                </c:pt>
                <c:pt idx="1711">
                  <c:v>135.01480100000001</c:v>
                </c:pt>
                <c:pt idx="1712">
                  <c:v>136.45095800000001</c:v>
                </c:pt>
                <c:pt idx="1713">
                  <c:v>138.638443</c:v>
                </c:pt>
                <c:pt idx="1714">
                  <c:v>136.51754800000001</c:v>
                </c:pt>
                <c:pt idx="1715">
                  <c:v>138.43869000000001</c:v>
                </c:pt>
                <c:pt idx="1716">
                  <c:v>140.74031099999999</c:v>
                </c:pt>
                <c:pt idx="1717">
                  <c:v>140.97807299999999</c:v>
                </c:pt>
                <c:pt idx="1718">
                  <c:v>143.175049</c:v>
                </c:pt>
                <c:pt idx="1719">
                  <c:v>144.982101</c:v>
                </c:pt>
                <c:pt idx="1720">
                  <c:v>142.062286</c:v>
                </c:pt>
                <c:pt idx="1721">
                  <c:v>141.79600500000001</c:v>
                </c:pt>
                <c:pt idx="1722">
                  <c:v>144.67775</c:v>
                </c:pt>
                <c:pt idx="1723">
                  <c:v>142.88973999999999</c:v>
                </c:pt>
                <c:pt idx="1724">
                  <c:v>143.545975</c:v>
                </c:pt>
                <c:pt idx="1725">
                  <c:v>143.954926</c:v>
                </c:pt>
                <c:pt idx="1726">
                  <c:v>144.401962</c:v>
                </c:pt>
                <c:pt idx="1727">
                  <c:v>144.18319700000001</c:v>
                </c:pt>
                <c:pt idx="1728">
                  <c:v>145.31497200000001</c:v>
                </c:pt>
                <c:pt idx="1729">
                  <c:v>145.172302</c:v>
                </c:pt>
                <c:pt idx="1730">
                  <c:v>143.156036</c:v>
                </c:pt>
                <c:pt idx="1731">
                  <c:v>141.995743</c:v>
                </c:pt>
                <c:pt idx="1732">
                  <c:v>141.62480199999999</c:v>
                </c:pt>
                <c:pt idx="1733">
                  <c:v>140.863922</c:v>
                </c:pt>
                <c:pt idx="1734">
                  <c:v>142.13836699999999</c:v>
                </c:pt>
                <c:pt idx="1735">
                  <c:v>141.016098</c:v>
                </c:pt>
                <c:pt idx="1736">
                  <c:v>140.35746800000001</c:v>
                </c:pt>
                <c:pt idx="1737">
                  <c:v>140.31929</c:v>
                </c:pt>
                <c:pt idx="1738">
                  <c:v>139.030655</c:v>
                </c:pt>
                <c:pt idx="1739">
                  <c:v>138.96383700000001</c:v>
                </c:pt>
                <c:pt idx="1740">
                  <c:v>138.82067900000001</c:v>
                </c:pt>
                <c:pt idx="1741">
                  <c:v>139.46017499999999</c:v>
                </c:pt>
                <c:pt idx="1742">
                  <c:v>139.317047</c:v>
                </c:pt>
                <c:pt idx="1743">
                  <c:v>139.336105</c:v>
                </c:pt>
                <c:pt idx="1744">
                  <c:v>137.64656099999999</c:v>
                </c:pt>
                <c:pt idx="1745">
                  <c:v>136.711105</c:v>
                </c:pt>
                <c:pt idx="1746">
                  <c:v>136.97837799999999</c:v>
                </c:pt>
                <c:pt idx="1747">
                  <c:v>138.62020899999999</c:v>
                </c:pt>
                <c:pt idx="1748">
                  <c:v>137.74200400000001</c:v>
                </c:pt>
                <c:pt idx="1749">
                  <c:v>137.62747200000001</c:v>
                </c:pt>
                <c:pt idx="1750">
                  <c:v>137.59880100000001</c:v>
                </c:pt>
                <c:pt idx="1751">
                  <c:v>139.870667</c:v>
                </c:pt>
                <c:pt idx="1752">
                  <c:v>139.126114</c:v>
                </c:pt>
                <c:pt idx="1753">
                  <c:v>139.99473599999999</c:v>
                </c:pt>
                <c:pt idx="1754">
                  <c:v>139.985229</c:v>
                </c:pt>
                <c:pt idx="1755">
                  <c:v>139.96612500000001</c:v>
                </c:pt>
                <c:pt idx="1756">
                  <c:v>140.59610000000001</c:v>
                </c:pt>
                <c:pt idx="1757">
                  <c:v>142.199738</c:v>
                </c:pt>
                <c:pt idx="1758">
                  <c:v>140.74885599999999</c:v>
                </c:pt>
                <c:pt idx="1759">
                  <c:v>140.29066499999999</c:v>
                </c:pt>
                <c:pt idx="1760">
                  <c:v>138.066574</c:v>
                </c:pt>
                <c:pt idx="1761">
                  <c:v>136.873367</c:v>
                </c:pt>
                <c:pt idx="1762">
                  <c:v>138.897018</c:v>
                </c:pt>
                <c:pt idx="1763">
                  <c:v>138.26701399999999</c:v>
                </c:pt>
                <c:pt idx="1764">
                  <c:v>139.67976400000001</c:v>
                </c:pt>
                <c:pt idx="1765">
                  <c:v>139.55564899999999</c:v>
                </c:pt>
                <c:pt idx="1766">
                  <c:v>140.806107</c:v>
                </c:pt>
                <c:pt idx="1767">
                  <c:v>137.30290199999999</c:v>
                </c:pt>
                <c:pt idx="1768">
                  <c:v>137.216995</c:v>
                </c:pt>
                <c:pt idx="1769">
                  <c:v>134.105164</c:v>
                </c:pt>
                <c:pt idx="1770">
                  <c:v>132.94061300000001</c:v>
                </c:pt>
                <c:pt idx="1771">
                  <c:v>134.37243699999999</c:v>
                </c:pt>
                <c:pt idx="1772">
                  <c:v>134.78289799999999</c:v>
                </c:pt>
                <c:pt idx="1773">
                  <c:v>136.05244400000001</c:v>
                </c:pt>
                <c:pt idx="1774">
                  <c:v>137.79925499999999</c:v>
                </c:pt>
                <c:pt idx="1775">
                  <c:v>138.43884299999999</c:v>
                </c:pt>
                <c:pt idx="1776">
                  <c:v>139.20245399999999</c:v>
                </c:pt>
                <c:pt idx="1777">
                  <c:v>137.57972699999999</c:v>
                </c:pt>
                <c:pt idx="1778">
                  <c:v>137.47473099999999</c:v>
                </c:pt>
                <c:pt idx="1779">
                  <c:v>137.90428199999999</c:v>
                </c:pt>
                <c:pt idx="1780">
                  <c:v>139.04020700000001</c:v>
                </c:pt>
                <c:pt idx="1781">
                  <c:v>140.51020800000001</c:v>
                </c:pt>
                <c:pt idx="1782">
                  <c:v>131.40377799999999</c:v>
                </c:pt>
                <c:pt idx="1783">
                  <c:v>132.052887</c:v>
                </c:pt>
                <c:pt idx="1784">
                  <c:v>131.432388</c:v>
                </c:pt>
                <c:pt idx="1785">
                  <c:v>129.31333900000001</c:v>
                </c:pt>
                <c:pt idx="1786">
                  <c:v>127.156006</c:v>
                </c:pt>
                <c:pt idx="1787">
                  <c:v>125.953278</c:v>
                </c:pt>
                <c:pt idx="1788">
                  <c:v>124.015511</c:v>
                </c:pt>
                <c:pt idx="1789">
                  <c:v>125.39962800000001</c:v>
                </c:pt>
                <c:pt idx="1790">
                  <c:v>124.196884</c:v>
                </c:pt>
                <c:pt idx="1791">
                  <c:v>121.79141199999999</c:v>
                </c:pt>
                <c:pt idx="1792">
                  <c:v>121.734146</c:v>
                </c:pt>
                <c:pt idx="1793">
                  <c:v>123.251892</c:v>
                </c:pt>
                <c:pt idx="1794">
                  <c:v>122.068253</c:v>
                </c:pt>
                <c:pt idx="1795">
                  <c:v>123.032341</c:v>
                </c:pt>
                <c:pt idx="1796">
                  <c:v>126.172821</c:v>
                </c:pt>
                <c:pt idx="1797">
                  <c:v>126.12509900000001</c:v>
                </c:pt>
                <c:pt idx="1798">
                  <c:v>128.02465799999999</c:v>
                </c:pt>
                <c:pt idx="1799">
                  <c:v>127.366013</c:v>
                </c:pt>
                <c:pt idx="1800">
                  <c:v>127.32785</c:v>
                </c:pt>
                <c:pt idx="1801">
                  <c:v>126.26828</c:v>
                </c:pt>
                <c:pt idx="1802">
                  <c:v>124.61958300000001</c:v>
                </c:pt>
                <c:pt idx="1803">
                  <c:v>126.277855</c:v>
                </c:pt>
                <c:pt idx="1804">
                  <c:v>126.881737</c:v>
                </c:pt>
                <c:pt idx="1805">
                  <c:v>128.38664199999999</c:v>
                </c:pt>
                <c:pt idx="1806">
                  <c:v>127.591064</c:v>
                </c:pt>
                <c:pt idx="1807">
                  <c:v>128.45372</c:v>
                </c:pt>
                <c:pt idx="1808">
                  <c:v>129.527344</c:v>
                </c:pt>
                <c:pt idx="1809">
                  <c:v>131.00344799999999</c:v>
                </c:pt>
                <c:pt idx="1810">
                  <c:v>130.11203</c:v>
                </c:pt>
                <c:pt idx="1811">
                  <c:v>130.198273</c:v>
                </c:pt>
                <c:pt idx="1812">
                  <c:v>129.99696399999999</c:v>
                </c:pt>
                <c:pt idx="1813">
                  <c:v>133.64904799999999</c:v>
                </c:pt>
                <c:pt idx="1814">
                  <c:v>134.29125999999999</c:v>
                </c:pt>
                <c:pt idx="1815">
                  <c:v>134.00367700000001</c:v>
                </c:pt>
                <c:pt idx="1816">
                  <c:v>133.91743500000001</c:v>
                </c:pt>
                <c:pt idx="1817">
                  <c:v>133.984512</c:v>
                </c:pt>
                <c:pt idx="1818">
                  <c:v>134.00367700000001</c:v>
                </c:pt>
                <c:pt idx="1819">
                  <c:v>133.59153699999999</c:v>
                </c:pt>
                <c:pt idx="1820">
                  <c:v>133.54359400000001</c:v>
                </c:pt>
                <c:pt idx="1821">
                  <c:v>134.34877</c:v>
                </c:pt>
                <c:pt idx="1822">
                  <c:v>134.78009</c:v>
                </c:pt>
                <c:pt idx="1823">
                  <c:v>133.91743500000001</c:v>
                </c:pt>
                <c:pt idx="1824">
                  <c:v>134.95263700000001</c:v>
                </c:pt>
                <c:pt idx="1825">
                  <c:v>135.34562700000001</c:v>
                </c:pt>
                <c:pt idx="1826">
                  <c:v>133.87905900000001</c:v>
                </c:pt>
                <c:pt idx="1827">
                  <c:v>134.09951799999999</c:v>
                </c:pt>
                <c:pt idx="1828">
                  <c:v>132.192047</c:v>
                </c:pt>
                <c:pt idx="1829">
                  <c:v>132.642563</c:v>
                </c:pt>
                <c:pt idx="1830">
                  <c:v>132.17288199999999</c:v>
                </c:pt>
                <c:pt idx="1831">
                  <c:v>133.84072900000001</c:v>
                </c:pt>
                <c:pt idx="1832">
                  <c:v>134.10913099999999</c:v>
                </c:pt>
                <c:pt idx="1833">
                  <c:v>136.227509</c:v>
                </c:pt>
                <c:pt idx="1834">
                  <c:v>134.88554400000001</c:v>
                </c:pt>
                <c:pt idx="1835">
                  <c:v>134.770523</c:v>
                </c:pt>
                <c:pt idx="1836">
                  <c:v>135.73281900000001</c:v>
                </c:pt>
                <c:pt idx="1837">
                  <c:v>134.914886</c:v>
                </c:pt>
                <c:pt idx="1838">
                  <c:v>135.511505</c:v>
                </c:pt>
                <c:pt idx="1839">
                  <c:v>134.289368</c:v>
                </c:pt>
                <c:pt idx="1840">
                  <c:v>130.81546</c:v>
                </c:pt>
                <c:pt idx="1841">
                  <c:v>133.02874800000001</c:v>
                </c:pt>
                <c:pt idx="1842">
                  <c:v>134.26048299999999</c:v>
                </c:pt>
                <c:pt idx="1843">
                  <c:v>133.65425099999999</c:v>
                </c:pt>
                <c:pt idx="1844">
                  <c:v>136.56037900000001</c:v>
                </c:pt>
                <c:pt idx="1845">
                  <c:v>136.57002299999999</c:v>
                </c:pt>
                <c:pt idx="1846">
                  <c:v>137.05117799999999</c:v>
                </c:pt>
                <c:pt idx="1847">
                  <c:v>136.406418</c:v>
                </c:pt>
                <c:pt idx="1848">
                  <c:v>136.41604599999999</c:v>
                </c:pt>
                <c:pt idx="1849">
                  <c:v>136.97418200000001</c:v>
                </c:pt>
                <c:pt idx="1850">
                  <c:v>136.81059300000001</c:v>
                </c:pt>
                <c:pt idx="1851">
                  <c:v>136.34869399999999</c:v>
                </c:pt>
                <c:pt idx="1852">
                  <c:v>136.675873</c:v>
                </c:pt>
                <c:pt idx="1853">
                  <c:v>136.319839</c:v>
                </c:pt>
                <c:pt idx="1854">
                  <c:v>136.02151499999999</c:v>
                </c:pt>
                <c:pt idx="1855">
                  <c:v>136.2621</c:v>
                </c:pt>
                <c:pt idx="1856">
                  <c:v>136.50268600000001</c:v>
                </c:pt>
                <c:pt idx="1857">
                  <c:v>135.58845500000001</c:v>
                </c:pt>
                <c:pt idx="1858">
                  <c:v>134.558807</c:v>
                </c:pt>
                <c:pt idx="1859">
                  <c:v>133.837097</c:v>
                </c:pt>
                <c:pt idx="1860">
                  <c:v>134.60691800000001</c:v>
                </c:pt>
                <c:pt idx="1861">
                  <c:v>135.444107</c:v>
                </c:pt>
                <c:pt idx="1862">
                  <c:v>135.26127600000001</c:v>
                </c:pt>
                <c:pt idx="1863">
                  <c:v>134.722397</c:v>
                </c:pt>
                <c:pt idx="1864">
                  <c:v>131.979828</c:v>
                </c:pt>
                <c:pt idx="1865">
                  <c:v>132.528336</c:v>
                </c:pt>
                <c:pt idx="1866">
                  <c:v>130.07446300000001</c:v>
                </c:pt>
                <c:pt idx="1867">
                  <c:v>131.25810200000001</c:v>
                </c:pt>
                <c:pt idx="1868">
                  <c:v>131.86438000000001</c:v>
                </c:pt>
                <c:pt idx="1869">
                  <c:v>130.83470199999999</c:v>
                </c:pt>
                <c:pt idx="1870">
                  <c:v>131.748886</c:v>
                </c:pt>
                <c:pt idx="1871">
                  <c:v>133.307816</c:v>
                </c:pt>
                <c:pt idx="1872">
                  <c:v>132.89404300000001</c:v>
                </c:pt>
                <c:pt idx="1873">
                  <c:v>132.124191</c:v>
                </c:pt>
                <c:pt idx="1874">
                  <c:v>135.70394899999999</c:v>
                </c:pt>
                <c:pt idx="1875">
                  <c:v>134.068039</c:v>
                </c:pt>
                <c:pt idx="1876">
                  <c:v>134.828247</c:v>
                </c:pt>
                <c:pt idx="1877">
                  <c:v>134.664658</c:v>
                </c:pt>
                <c:pt idx="1878">
                  <c:v>134.443344</c:v>
                </c:pt>
                <c:pt idx="1879">
                  <c:v>134.32785000000001</c:v>
                </c:pt>
                <c:pt idx="1880">
                  <c:v>135.011078</c:v>
                </c:pt>
                <c:pt idx="1881">
                  <c:v>134.77050800000001</c:v>
                </c:pt>
                <c:pt idx="1882">
                  <c:v>135.28054800000001</c:v>
                </c:pt>
                <c:pt idx="1883">
                  <c:v>136.21397400000001</c:v>
                </c:pt>
                <c:pt idx="1884">
                  <c:v>136.319839</c:v>
                </c:pt>
                <c:pt idx="1885">
                  <c:v>136.22358700000001</c:v>
                </c:pt>
                <c:pt idx="1886">
                  <c:v>135.90602100000001</c:v>
                </c:pt>
                <c:pt idx="1887">
                  <c:v>136.52188100000001</c:v>
                </c:pt>
                <c:pt idx="1888">
                  <c:v>135.848297</c:v>
                </c:pt>
                <c:pt idx="1889">
                  <c:v>135.944534</c:v>
                </c:pt>
                <c:pt idx="1890">
                  <c:v>137.060776</c:v>
                </c:pt>
                <c:pt idx="1891">
                  <c:v>137.25325000000001</c:v>
                </c:pt>
                <c:pt idx="1892">
                  <c:v>137.26286300000001</c:v>
                </c:pt>
                <c:pt idx="1893">
                  <c:v>136.70474200000001</c:v>
                </c:pt>
                <c:pt idx="1894">
                  <c:v>136.87794500000001</c:v>
                </c:pt>
                <c:pt idx="1895">
                  <c:v>137.17628500000001</c:v>
                </c:pt>
                <c:pt idx="1896">
                  <c:v>136.85871900000001</c:v>
                </c:pt>
                <c:pt idx="1897">
                  <c:v>138.39840699999999</c:v>
                </c:pt>
                <c:pt idx="1898">
                  <c:v>137.45533800000001</c:v>
                </c:pt>
                <c:pt idx="1899">
                  <c:v>140.00543200000001</c:v>
                </c:pt>
                <c:pt idx="1900">
                  <c:v>139.75526400000001</c:v>
                </c:pt>
                <c:pt idx="1901">
                  <c:v>140.09204099999999</c:v>
                </c:pt>
                <c:pt idx="1902">
                  <c:v>143.07517999999999</c:v>
                </c:pt>
                <c:pt idx="1903">
                  <c:v>144.355042</c:v>
                </c:pt>
                <c:pt idx="1904">
                  <c:v>143.968704</c:v>
                </c:pt>
                <c:pt idx="1905">
                  <c:v>144.422684</c:v>
                </c:pt>
                <c:pt idx="1906">
                  <c:v>145.60098300000001</c:v>
                </c:pt>
                <c:pt idx="1907">
                  <c:v>145.55270400000001</c:v>
                </c:pt>
                <c:pt idx="1908">
                  <c:v>144.00735499999999</c:v>
                </c:pt>
                <c:pt idx="1909">
                  <c:v>144.98284899999999</c:v>
                </c:pt>
                <c:pt idx="1910">
                  <c:v>146.277084</c:v>
                </c:pt>
                <c:pt idx="1911">
                  <c:v>145.31123400000001</c:v>
                </c:pt>
                <c:pt idx="1912">
                  <c:v>143.81416300000001</c:v>
                </c:pt>
                <c:pt idx="1913">
                  <c:v>143.87211600000001</c:v>
                </c:pt>
                <c:pt idx="1914">
                  <c:v>142.31710799999999</c:v>
                </c:pt>
                <c:pt idx="1915">
                  <c:v>141.51547199999999</c:v>
                </c:pt>
                <c:pt idx="1916">
                  <c:v>142.65516700000001</c:v>
                </c:pt>
                <c:pt idx="1917">
                  <c:v>143.04151899999999</c:v>
                </c:pt>
                <c:pt idx="1918">
                  <c:v>142.73240699999999</c:v>
                </c:pt>
                <c:pt idx="1919">
                  <c:v>143.48576399999999</c:v>
                </c:pt>
                <c:pt idx="1920">
                  <c:v>144.15220600000001</c:v>
                </c:pt>
                <c:pt idx="1921">
                  <c:v>142.23983799999999</c:v>
                </c:pt>
                <c:pt idx="1922">
                  <c:v>142.42335499999999</c:v>
                </c:pt>
                <c:pt idx="1923">
                  <c:v>141.41888399999999</c:v>
                </c:pt>
                <c:pt idx="1924">
                  <c:v>140.90696700000001</c:v>
                </c:pt>
                <c:pt idx="1925">
                  <c:v>140.10533100000001</c:v>
                </c:pt>
                <c:pt idx="1926">
                  <c:v>139.37129200000001</c:v>
                </c:pt>
                <c:pt idx="1927">
                  <c:v>139.61274700000001</c:v>
                </c:pt>
                <c:pt idx="1928">
                  <c:v>140.07635500000001</c:v>
                </c:pt>
                <c:pt idx="1929">
                  <c:v>139.78660600000001</c:v>
                </c:pt>
                <c:pt idx="1930">
                  <c:v>137.86457799999999</c:v>
                </c:pt>
                <c:pt idx="1931">
                  <c:v>138.13500999999999</c:v>
                </c:pt>
                <c:pt idx="1932">
                  <c:v>137.816284</c:v>
                </c:pt>
                <c:pt idx="1933">
                  <c:v>137.89355499999999</c:v>
                </c:pt>
                <c:pt idx="1934">
                  <c:v>138.279877</c:v>
                </c:pt>
                <c:pt idx="1935">
                  <c:v>137.391312</c:v>
                </c:pt>
                <c:pt idx="1936">
                  <c:v>135.701065</c:v>
                </c:pt>
                <c:pt idx="1937">
                  <c:v>135.64312699999999</c:v>
                </c:pt>
                <c:pt idx="1938">
                  <c:v>134.61935399999999</c:v>
                </c:pt>
                <c:pt idx="1939">
                  <c:v>132.368942</c:v>
                </c:pt>
                <c:pt idx="1940">
                  <c:v>131.09397899999999</c:v>
                </c:pt>
                <c:pt idx="1941">
                  <c:v>131.95361299999999</c:v>
                </c:pt>
                <c:pt idx="1942">
                  <c:v>132.919479</c:v>
                </c:pt>
                <c:pt idx="1943">
                  <c:v>134.484116</c:v>
                </c:pt>
                <c:pt idx="1944">
                  <c:v>134.889771</c:v>
                </c:pt>
                <c:pt idx="1945">
                  <c:v>134.764206</c:v>
                </c:pt>
                <c:pt idx="1946">
                  <c:v>134.61935399999999</c:v>
                </c:pt>
                <c:pt idx="1947">
                  <c:v>133.64382900000001</c:v>
                </c:pt>
                <c:pt idx="1948">
                  <c:v>135.09262100000001</c:v>
                </c:pt>
                <c:pt idx="1949">
                  <c:v>135.74939000000001</c:v>
                </c:pt>
                <c:pt idx="1950">
                  <c:v>136.84079</c:v>
                </c:pt>
                <c:pt idx="1951">
                  <c:v>139.74797100000001</c:v>
                </c:pt>
                <c:pt idx="1952">
                  <c:v>141.01319899999999</c:v>
                </c:pt>
                <c:pt idx="1953">
                  <c:v>141.79556299999999</c:v>
                </c:pt>
                <c:pt idx="1954">
                  <c:v>143.27330000000001</c:v>
                </c:pt>
                <c:pt idx="1955">
                  <c:v>144.93454</c:v>
                </c:pt>
                <c:pt idx="1956">
                  <c:v>143.669296</c:v>
                </c:pt>
                <c:pt idx="1957">
                  <c:v>142.49096700000001</c:v>
                </c:pt>
                <c:pt idx="1958">
                  <c:v>143.379547</c:v>
                </c:pt>
                <c:pt idx="1959">
                  <c:v>144.31643700000001</c:v>
                </c:pt>
                <c:pt idx="1960">
                  <c:v>144.67373699999999</c:v>
                </c:pt>
                <c:pt idx="1961">
                  <c:v>144.60617099999999</c:v>
                </c:pt>
                <c:pt idx="1962">
                  <c:v>145.05046100000001</c:v>
                </c:pt>
                <c:pt idx="1963">
                  <c:v>146.11286899999999</c:v>
                </c:pt>
                <c:pt idx="1964">
                  <c:v>145.09873999999999</c:v>
                </c:pt>
                <c:pt idx="1965">
                  <c:v>144.17152400000001</c:v>
                </c:pt>
                <c:pt idx="1966">
                  <c:v>144.67373699999999</c:v>
                </c:pt>
                <c:pt idx="1967">
                  <c:v>143.369888</c:v>
                </c:pt>
                <c:pt idx="1968">
                  <c:v>143.42782600000001</c:v>
                </c:pt>
                <c:pt idx="1969">
                  <c:v>142.71312</c:v>
                </c:pt>
                <c:pt idx="1970">
                  <c:v>141.892166</c:v>
                </c:pt>
                <c:pt idx="1971">
                  <c:v>138.279877</c:v>
                </c:pt>
                <c:pt idx="1972">
                  <c:v>137.091904</c:v>
                </c:pt>
                <c:pt idx="1973">
                  <c:v>138.270218</c:v>
                </c:pt>
                <c:pt idx="1974">
                  <c:v>137.52654999999999</c:v>
                </c:pt>
                <c:pt idx="1975">
                  <c:v>139.8349</c:v>
                </c:pt>
                <c:pt idx="1976">
                  <c:v>140.82968099999999</c:v>
                </c:pt>
                <c:pt idx="1977">
                  <c:v>141.534775</c:v>
                </c:pt>
                <c:pt idx="1978">
                  <c:v>139.95079000000001</c:v>
                </c:pt>
                <c:pt idx="1979">
                  <c:v>137.758331</c:v>
                </c:pt>
                <c:pt idx="1980">
                  <c:v>135.82666</c:v>
                </c:pt>
                <c:pt idx="1981">
                  <c:v>132.455872</c:v>
                </c:pt>
                <c:pt idx="1982">
                  <c:v>130.84288000000001</c:v>
                </c:pt>
                <c:pt idx="1983">
                  <c:v>132.81320199999999</c:v>
                </c:pt>
                <c:pt idx="1984">
                  <c:v>134.252319</c:v>
                </c:pt>
                <c:pt idx="1985">
                  <c:v>133.81770299999999</c:v>
                </c:pt>
                <c:pt idx="1986">
                  <c:v>132.46549999999999</c:v>
                </c:pt>
                <c:pt idx="1987">
                  <c:v>134.307999</c:v>
                </c:pt>
                <c:pt idx="1988">
                  <c:v>136.761414</c:v>
                </c:pt>
                <c:pt idx="1989">
                  <c:v>139.224548</c:v>
                </c:pt>
                <c:pt idx="1990">
                  <c:v>140.55306999999999</c:v>
                </c:pt>
                <c:pt idx="1991">
                  <c:v>141.35797099999999</c:v>
                </c:pt>
                <c:pt idx="1992">
                  <c:v>139.00151099999999</c:v>
                </c:pt>
                <c:pt idx="1993">
                  <c:v>134.55043000000001</c:v>
                </c:pt>
                <c:pt idx="1994">
                  <c:v>134.98683199999999</c:v>
                </c:pt>
                <c:pt idx="1995">
                  <c:v>135.394104</c:v>
                </c:pt>
                <c:pt idx="1996">
                  <c:v>135.568634</c:v>
                </c:pt>
                <c:pt idx="1997">
                  <c:v>135.26805100000001</c:v>
                </c:pt>
                <c:pt idx="1998">
                  <c:v>136.499573</c:v>
                </c:pt>
                <c:pt idx="1999">
                  <c:v>138.45846599999999</c:v>
                </c:pt>
                <c:pt idx="2000">
                  <c:v>138.39056400000001</c:v>
                </c:pt>
                <c:pt idx="2001">
                  <c:v>138.83663899999999</c:v>
                </c:pt>
                <c:pt idx="2002">
                  <c:v>140.31063800000001</c:v>
                </c:pt>
                <c:pt idx="2003">
                  <c:v>140.271851</c:v>
                </c:pt>
                <c:pt idx="2004">
                  <c:v>137.702057</c:v>
                </c:pt>
                <c:pt idx="2005">
                  <c:v>139.56393399999999</c:v>
                </c:pt>
                <c:pt idx="2006">
                  <c:v>139.17607100000001</c:v>
                </c:pt>
                <c:pt idx="2007">
                  <c:v>140.504593</c:v>
                </c:pt>
                <c:pt idx="2008">
                  <c:v>140.23307800000001</c:v>
                </c:pt>
                <c:pt idx="2009">
                  <c:v>139.83549500000001</c:v>
                </c:pt>
                <c:pt idx="2010">
                  <c:v>139.09848</c:v>
                </c:pt>
                <c:pt idx="2011">
                  <c:v>141.067047</c:v>
                </c:pt>
                <c:pt idx="2012">
                  <c:v>140.66944899999999</c:v>
                </c:pt>
                <c:pt idx="2013">
                  <c:v>138.20631399999999</c:v>
                </c:pt>
                <c:pt idx="2014">
                  <c:v>139.58332799999999</c:v>
                </c:pt>
                <c:pt idx="2015">
                  <c:v>136.94567900000001</c:v>
                </c:pt>
                <c:pt idx="2016">
                  <c:v>135.94683800000001</c:v>
                </c:pt>
                <c:pt idx="2017">
                  <c:v>135.95657299999999</c:v>
                </c:pt>
                <c:pt idx="2018">
                  <c:v>132.99884</c:v>
                </c:pt>
                <c:pt idx="2019">
                  <c:v>131.64125100000001</c:v>
                </c:pt>
                <c:pt idx="2020">
                  <c:v>131.7285</c:v>
                </c:pt>
                <c:pt idx="2021">
                  <c:v>133.357651</c:v>
                </c:pt>
                <c:pt idx="2022">
                  <c:v>135.578339</c:v>
                </c:pt>
                <c:pt idx="2023">
                  <c:v>136.64506499999999</c:v>
                </c:pt>
                <c:pt idx="2024">
                  <c:v>136.58689899999999</c:v>
                </c:pt>
                <c:pt idx="2025">
                  <c:v>136.722656</c:v>
                </c:pt>
                <c:pt idx="2026">
                  <c:v>135.1129</c:v>
                </c:pt>
                <c:pt idx="2027">
                  <c:v>133.78431699999999</c:v>
                </c:pt>
                <c:pt idx="2028">
                  <c:v>133.813446</c:v>
                </c:pt>
                <c:pt idx="2029">
                  <c:v>133.52250699999999</c:v>
                </c:pt>
                <c:pt idx="2030">
                  <c:v>131.96125799999999</c:v>
                </c:pt>
                <c:pt idx="2031">
                  <c:v>131.233948</c:v>
                </c:pt>
                <c:pt idx="2032">
                  <c:v>129.89572100000001</c:v>
                </c:pt>
                <c:pt idx="2033">
                  <c:v>130.303009</c:v>
                </c:pt>
                <c:pt idx="2034">
                  <c:v>129.48841899999999</c:v>
                </c:pt>
                <c:pt idx="2035">
                  <c:v>134.67649800000001</c:v>
                </c:pt>
                <c:pt idx="2036">
                  <c:v>133.813446</c:v>
                </c:pt>
                <c:pt idx="2037">
                  <c:v>132.32002299999999</c:v>
                </c:pt>
                <c:pt idx="2038">
                  <c:v>130.96241800000001</c:v>
                </c:pt>
                <c:pt idx="2039">
                  <c:v>130.458145</c:v>
                </c:pt>
                <c:pt idx="2040">
                  <c:v>132.25216699999999</c:v>
                </c:pt>
                <c:pt idx="2041">
                  <c:v>131.069107</c:v>
                </c:pt>
                <c:pt idx="2042">
                  <c:v>131.87397799999999</c:v>
                </c:pt>
                <c:pt idx="2043">
                  <c:v>132.03883400000001</c:v>
                </c:pt>
                <c:pt idx="2044">
                  <c:v>135.07406599999999</c:v>
                </c:pt>
                <c:pt idx="2045">
                  <c:v>138.497253</c:v>
                </c:pt>
                <c:pt idx="2046">
                  <c:v>137.382034</c:v>
                </c:pt>
                <c:pt idx="2047">
                  <c:v>134.54075599999999</c:v>
                </c:pt>
                <c:pt idx="2048">
                  <c:v>135.23895300000001</c:v>
                </c:pt>
                <c:pt idx="2049">
                  <c:v>138.31298799999999</c:v>
                </c:pt>
                <c:pt idx="2050">
                  <c:v>137.769958</c:v>
                </c:pt>
                <c:pt idx="2051">
                  <c:v>139.69000199999999</c:v>
                </c:pt>
                <c:pt idx="2052">
                  <c:v>141.36762999999999</c:v>
                </c:pt>
                <c:pt idx="2053">
                  <c:v>140.95066800000001</c:v>
                </c:pt>
                <c:pt idx="2054">
                  <c:v>141.164841</c:v>
                </c:pt>
                <c:pt idx="2055">
                  <c:v>141.58343500000001</c:v>
                </c:pt>
                <c:pt idx="2056">
                  <c:v>140.405518</c:v>
                </c:pt>
                <c:pt idx="2057">
                  <c:v>139.98692299999999</c:v>
                </c:pt>
                <c:pt idx="2058">
                  <c:v>138.18598900000001</c:v>
                </c:pt>
                <c:pt idx="2059">
                  <c:v>139.042633</c:v>
                </c:pt>
                <c:pt idx="2060">
                  <c:v>139.64619400000001</c:v>
                </c:pt>
                <c:pt idx="2061">
                  <c:v>142.12855500000001</c:v>
                </c:pt>
                <c:pt idx="2062">
                  <c:v>143.325943</c:v>
                </c:pt>
                <c:pt idx="2063">
                  <c:v>145.89595</c:v>
                </c:pt>
                <c:pt idx="2064">
                  <c:v>144.971161</c:v>
                </c:pt>
                <c:pt idx="2065">
                  <c:v>147.005753</c:v>
                </c:pt>
                <c:pt idx="2066">
                  <c:v>147.034943</c:v>
                </c:pt>
                <c:pt idx="2067">
                  <c:v>147.45353700000001</c:v>
                </c:pt>
                <c:pt idx="2068">
                  <c:v>150.88020299999999</c:v>
                </c:pt>
                <c:pt idx="2069">
                  <c:v>152.38909899999999</c:v>
                </c:pt>
                <c:pt idx="2070">
                  <c:v>153.23603800000001</c:v>
                </c:pt>
                <c:pt idx="2071">
                  <c:v>150.198746</c:v>
                </c:pt>
                <c:pt idx="2072">
                  <c:v>149.16686999999999</c:v>
                </c:pt>
                <c:pt idx="2073">
                  <c:v>153.05107100000001</c:v>
                </c:pt>
                <c:pt idx="2074">
                  <c:v>152.91478000000001</c:v>
                </c:pt>
                <c:pt idx="2075">
                  <c:v>151.74659700000001</c:v>
                </c:pt>
                <c:pt idx="2076">
                  <c:v>153.46966599999999</c:v>
                </c:pt>
                <c:pt idx="2077">
                  <c:v>155.39717099999999</c:v>
                </c:pt>
                <c:pt idx="2078">
                  <c:v>155.630798</c:v>
                </c:pt>
                <c:pt idx="2079">
                  <c:v>152.70062300000001</c:v>
                </c:pt>
                <c:pt idx="2080">
                  <c:v>152.77848800000001</c:v>
                </c:pt>
                <c:pt idx="2081">
                  <c:v>151.18197599999999</c:v>
                </c:pt>
                <c:pt idx="2082">
                  <c:v>150.15010100000001</c:v>
                </c:pt>
                <c:pt idx="2083">
                  <c:v>152.06785600000001</c:v>
                </c:pt>
                <c:pt idx="2084">
                  <c:v>148.933243</c:v>
                </c:pt>
                <c:pt idx="2085">
                  <c:v>147.949997</c:v>
                </c:pt>
                <c:pt idx="2086">
                  <c:v>148.465958</c:v>
                </c:pt>
                <c:pt idx="2087">
                  <c:v>150.520004</c:v>
                </c:pt>
                <c:pt idx="2088">
                  <c:v>149.23034699999999</c:v>
                </c:pt>
                <c:pt idx="2089">
                  <c:v>146.12339800000001</c:v>
                </c:pt>
                <c:pt idx="2090">
                  <c:v>147.833191</c:v>
                </c:pt>
                <c:pt idx="2091">
                  <c:v>145.75213600000001</c:v>
                </c:pt>
                <c:pt idx="2092">
                  <c:v>144.227982</c:v>
                </c:pt>
                <c:pt idx="2093">
                  <c:v>144.09120200000001</c:v>
                </c:pt>
                <c:pt idx="2094">
                  <c:v>144.64810199999999</c:v>
                </c:pt>
                <c:pt idx="2095">
                  <c:v>144.80444299999999</c:v>
                </c:pt>
                <c:pt idx="2096">
                  <c:v>128.33184800000001</c:v>
                </c:pt>
                <c:pt idx="2097">
                  <c:v>119.616798</c:v>
                </c:pt>
                <c:pt idx="2098">
                  <c:v>116.334007</c:v>
                </c:pt>
                <c:pt idx="2099">
                  <c:v>116.461021</c:v>
                </c:pt>
                <c:pt idx="2100">
                  <c:v>119.782906</c:v>
                </c:pt>
                <c:pt idx="2101">
                  <c:v>121.277748</c:v>
                </c:pt>
                <c:pt idx="2102">
                  <c:v>120.535202</c:v>
                </c:pt>
                <c:pt idx="2103">
                  <c:v>123.104767</c:v>
                </c:pt>
                <c:pt idx="2104">
                  <c:v>125.527779</c:v>
                </c:pt>
                <c:pt idx="2105">
                  <c:v>125.674347</c:v>
                </c:pt>
                <c:pt idx="2106">
                  <c:v>122.56740600000001</c:v>
                </c:pt>
                <c:pt idx="2107">
                  <c:v>124.580078</c:v>
                </c:pt>
                <c:pt idx="2108">
                  <c:v>122.440392</c:v>
                </c:pt>
                <c:pt idx="2109">
                  <c:v>122.000748</c:v>
                </c:pt>
                <c:pt idx="2110">
                  <c:v>120.535202</c:v>
                </c:pt>
                <c:pt idx="2111">
                  <c:v>119.48979199999999</c:v>
                </c:pt>
                <c:pt idx="2112">
                  <c:v>118.239197</c:v>
                </c:pt>
                <c:pt idx="2113">
                  <c:v>118.903572</c:v>
                </c:pt>
                <c:pt idx="2114">
                  <c:v>116.666206</c:v>
                </c:pt>
                <c:pt idx="2115">
                  <c:v>116.71505000000001</c:v>
                </c:pt>
                <c:pt idx="2116">
                  <c:v>116.636887</c:v>
                </c:pt>
                <c:pt idx="2117">
                  <c:v>117.848389</c:v>
                </c:pt>
                <c:pt idx="2118">
                  <c:v>115.57192999999999</c:v>
                </c:pt>
                <c:pt idx="2119">
                  <c:v>119.36277800000001</c:v>
                </c:pt>
                <c:pt idx="2120">
                  <c:v>117.91677900000001</c:v>
                </c:pt>
                <c:pt idx="2121">
                  <c:v>120.77945699999999</c:v>
                </c:pt>
                <c:pt idx="2122">
                  <c:v>120.87715900000001</c:v>
                </c:pt>
                <c:pt idx="2123">
                  <c:v>121.267982</c:v>
                </c:pt>
                <c:pt idx="2124">
                  <c:v>119.558182</c:v>
                </c:pt>
                <c:pt idx="2125">
                  <c:v>119.118523</c:v>
                </c:pt>
                <c:pt idx="2126">
                  <c:v>118.786331</c:v>
                </c:pt>
                <c:pt idx="2127">
                  <c:v>119.81220999999999</c:v>
                </c:pt>
                <c:pt idx="2128">
                  <c:v>121.394981</c:v>
                </c:pt>
                <c:pt idx="2129">
                  <c:v>122.25475299999999</c:v>
                </c:pt>
                <c:pt idx="2130">
                  <c:v>122.440392</c:v>
                </c:pt>
                <c:pt idx="2131">
                  <c:v>122.518562</c:v>
                </c:pt>
                <c:pt idx="2132">
                  <c:v>122.56740600000001</c:v>
                </c:pt>
                <c:pt idx="2133">
                  <c:v>122.196144</c:v>
                </c:pt>
                <c:pt idx="2134">
                  <c:v>122.48925800000001</c:v>
                </c:pt>
                <c:pt idx="2135">
                  <c:v>124.88294999999999</c:v>
                </c:pt>
                <c:pt idx="2136">
                  <c:v>126.10423299999999</c:v>
                </c:pt>
                <c:pt idx="2137">
                  <c:v>125.811127</c:v>
                </c:pt>
                <c:pt idx="2138">
                  <c:v>126.58297</c:v>
                </c:pt>
                <c:pt idx="2139">
                  <c:v>127.63814499999999</c:v>
                </c:pt>
                <c:pt idx="2140">
                  <c:v>129.504257</c:v>
                </c:pt>
                <c:pt idx="2141">
                  <c:v>129.172089</c:v>
                </c:pt>
                <c:pt idx="2142">
                  <c:v>128.986435</c:v>
                </c:pt>
                <c:pt idx="2143">
                  <c:v>119.17714700000001</c:v>
                </c:pt>
                <c:pt idx="2144">
                  <c:v>123.681206</c:v>
                </c:pt>
                <c:pt idx="2145">
                  <c:v>126.76860000000001</c:v>
                </c:pt>
                <c:pt idx="2146">
                  <c:v>129.015762</c:v>
                </c:pt>
                <c:pt idx="2147">
                  <c:v>129.49449200000001</c:v>
                </c:pt>
                <c:pt idx="2148">
                  <c:v>129.631271</c:v>
                </c:pt>
                <c:pt idx="2149">
                  <c:v>127.501373</c:v>
                </c:pt>
                <c:pt idx="2150">
                  <c:v>122.684647</c:v>
                </c:pt>
                <c:pt idx="2151">
                  <c:v>123.671448</c:v>
                </c:pt>
                <c:pt idx="2152">
                  <c:v>124.677773</c:v>
                </c:pt>
                <c:pt idx="2153">
                  <c:v>125.908821</c:v>
                </c:pt>
                <c:pt idx="2154">
                  <c:v>126.172623</c:v>
                </c:pt>
                <c:pt idx="2155">
                  <c:v>127.389404</c:v>
                </c:pt>
                <c:pt idx="2156">
                  <c:v>129.744461</c:v>
                </c:pt>
                <c:pt idx="2157">
                  <c:v>130.11737099999999</c:v>
                </c:pt>
                <c:pt idx="2158">
                  <c:v>136.760605</c:v>
                </c:pt>
                <c:pt idx="2159">
                  <c:v>136.907791</c:v>
                </c:pt>
                <c:pt idx="2160">
                  <c:v>136.466217</c:v>
                </c:pt>
                <c:pt idx="2161">
                  <c:v>134.45459</c:v>
                </c:pt>
                <c:pt idx="2162">
                  <c:v>132.05046100000001</c:v>
                </c:pt>
                <c:pt idx="2163">
                  <c:v>131.49113500000001</c:v>
                </c:pt>
                <c:pt idx="2164">
                  <c:v>132.442993</c:v>
                </c:pt>
                <c:pt idx="2165">
                  <c:v>133.32614100000001</c:v>
                </c:pt>
                <c:pt idx="2166">
                  <c:v>129.13609299999999</c:v>
                </c:pt>
                <c:pt idx="2167">
                  <c:v>130.39212000000001</c:v>
                </c:pt>
                <c:pt idx="2168">
                  <c:v>129.99960300000001</c:v>
                </c:pt>
                <c:pt idx="2169">
                  <c:v>130.068298</c:v>
                </c:pt>
                <c:pt idx="2170">
                  <c:v>131.962143</c:v>
                </c:pt>
                <c:pt idx="2171">
                  <c:v>130.50985700000001</c:v>
                </c:pt>
                <c:pt idx="2172">
                  <c:v>129.862213</c:v>
                </c:pt>
                <c:pt idx="2173">
                  <c:v>133.19856300000001</c:v>
                </c:pt>
                <c:pt idx="2174">
                  <c:v>133.87562600000001</c:v>
                </c:pt>
                <c:pt idx="2175">
                  <c:v>134.27795399999999</c:v>
                </c:pt>
                <c:pt idx="2176">
                  <c:v>135.48493999999999</c:v>
                </c:pt>
                <c:pt idx="2177">
                  <c:v>132.688309</c:v>
                </c:pt>
                <c:pt idx="2178">
                  <c:v>132.39392100000001</c:v>
                </c:pt>
                <c:pt idx="2179">
                  <c:v>130.97105400000001</c:v>
                </c:pt>
                <c:pt idx="2180">
                  <c:v>130.696304</c:v>
                </c:pt>
                <c:pt idx="2181">
                  <c:v>131.81497200000001</c:v>
                </c:pt>
                <c:pt idx="2182">
                  <c:v>131.049576</c:v>
                </c:pt>
                <c:pt idx="2183">
                  <c:v>132.246735</c:v>
                </c:pt>
                <c:pt idx="2184">
                  <c:v>130.89257799999999</c:v>
                </c:pt>
                <c:pt idx="2185">
                  <c:v>127.624916</c:v>
                </c:pt>
                <c:pt idx="2186">
                  <c:v>128.851517</c:v>
                </c:pt>
                <c:pt idx="2187">
                  <c:v>128.498245</c:v>
                </c:pt>
                <c:pt idx="2188">
                  <c:v>130.61779799999999</c:v>
                </c:pt>
                <c:pt idx="2189">
                  <c:v>129.77387999999999</c:v>
                </c:pt>
                <c:pt idx="2190">
                  <c:v>127.271652</c:v>
                </c:pt>
                <c:pt idx="2191">
                  <c:v>130.048676</c:v>
                </c:pt>
                <c:pt idx="2192">
                  <c:v>131.73644999999999</c:v>
                </c:pt>
                <c:pt idx="2193">
                  <c:v>130.43135100000001</c:v>
                </c:pt>
                <c:pt idx="2194">
                  <c:v>129.21456900000001</c:v>
                </c:pt>
                <c:pt idx="2195">
                  <c:v>126.15300000000001</c:v>
                </c:pt>
                <c:pt idx="2196">
                  <c:v>126.89876599999999</c:v>
                </c:pt>
                <c:pt idx="2197">
                  <c:v>130.186035</c:v>
                </c:pt>
                <c:pt idx="2198">
                  <c:v>128.714111</c:v>
                </c:pt>
                <c:pt idx="2199">
                  <c:v>129.80332899999999</c:v>
                </c:pt>
                <c:pt idx="2200">
                  <c:v>127.987961</c:v>
                </c:pt>
                <c:pt idx="2201">
                  <c:v>128.91038499999999</c:v>
                </c:pt>
                <c:pt idx="2202">
                  <c:v>131.628525</c:v>
                </c:pt>
                <c:pt idx="2203">
                  <c:v>131.25563</c:v>
                </c:pt>
                <c:pt idx="2204">
                  <c:v>131.579453</c:v>
                </c:pt>
                <c:pt idx="2205">
                  <c:v>134.23872399999999</c:v>
                </c:pt>
                <c:pt idx="2206">
                  <c:v>136.79984999999999</c:v>
                </c:pt>
                <c:pt idx="2207">
                  <c:v>137.447495</c:v>
                </c:pt>
                <c:pt idx="2208">
                  <c:v>138.49745200000001</c:v>
                </c:pt>
                <c:pt idx="2209">
                  <c:v>138.095123</c:v>
                </c:pt>
                <c:pt idx="2210">
                  <c:v>139.841812</c:v>
                </c:pt>
                <c:pt idx="2211">
                  <c:v>139.665176</c:v>
                </c:pt>
                <c:pt idx="2212">
                  <c:v>139.03717</c:v>
                </c:pt>
                <c:pt idx="2213">
                  <c:v>138.114746</c:v>
                </c:pt>
                <c:pt idx="2214">
                  <c:v>138.08532700000001</c:v>
                </c:pt>
                <c:pt idx="2215">
                  <c:v>138.330658</c:v>
                </c:pt>
                <c:pt idx="2216">
                  <c:v>139.782928</c:v>
                </c:pt>
                <c:pt idx="2217">
                  <c:v>140.11656199999999</c:v>
                </c:pt>
                <c:pt idx="2218">
                  <c:v>136.858734</c:v>
                </c:pt>
                <c:pt idx="2219">
                  <c:v>139.69461100000001</c:v>
                </c:pt>
                <c:pt idx="2220">
                  <c:v>139.910492</c:v>
                </c:pt>
                <c:pt idx="2221">
                  <c:v>135.79894999999999</c:v>
                </c:pt>
                <c:pt idx="2222">
                  <c:v>144.67950400000001</c:v>
                </c:pt>
                <c:pt idx="2223">
                  <c:v>145.71965</c:v>
                </c:pt>
                <c:pt idx="2224">
                  <c:v>145.22901899999999</c:v>
                </c:pt>
                <c:pt idx="2225">
                  <c:v>147.41726700000001</c:v>
                </c:pt>
                <c:pt idx="2226">
                  <c:v>148.32003800000001</c:v>
                </c:pt>
                <c:pt idx="2227">
                  <c:v>148.84993</c:v>
                </c:pt>
                <c:pt idx="2228">
                  <c:v>149.56626900000001</c:v>
                </c:pt>
                <c:pt idx="2229">
                  <c:v>150.204117</c:v>
                </c:pt>
                <c:pt idx="2230">
                  <c:v>150.635864</c:v>
                </c:pt>
                <c:pt idx="2231">
                  <c:v>150.105988</c:v>
                </c:pt>
                <c:pt idx="2232">
                  <c:v>149.56626900000001</c:v>
                </c:pt>
                <c:pt idx="2233">
                  <c:v>150.49847399999999</c:v>
                </c:pt>
                <c:pt idx="2234">
                  <c:v>150.35128800000001</c:v>
                </c:pt>
                <c:pt idx="2235">
                  <c:v>148.81068400000001</c:v>
                </c:pt>
                <c:pt idx="2236">
                  <c:v>147.08363299999999</c:v>
                </c:pt>
                <c:pt idx="2237">
                  <c:v>146.31823700000001</c:v>
                </c:pt>
                <c:pt idx="2238">
                  <c:v>146.54478499999999</c:v>
                </c:pt>
                <c:pt idx="2239">
                  <c:v>143.12690699999999</c:v>
                </c:pt>
                <c:pt idx="2240">
                  <c:v>145.79621900000001</c:v>
                </c:pt>
                <c:pt idx="2241">
                  <c:v>145.27418499999999</c:v>
                </c:pt>
                <c:pt idx="2242">
                  <c:v>144.46649199999999</c:v>
                </c:pt>
                <c:pt idx="2243">
                  <c:v>143.176163</c:v>
                </c:pt>
                <c:pt idx="2244">
                  <c:v>140.60536200000001</c:v>
                </c:pt>
                <c:pt idx="2245">
                  <c:v>140.65463299999999</c:v>
                </c:pt>
                <c:pt idx="2246">
                  <c:v>141.88584900000001</c:v>
                </c:pt>
                <c:pt idx="2247">
                  <c:v>142.99887100000001</c:v>
                </c:pt>
                <c:pt idx="2248">
                  <c:v>141.32440199999999</c:v>
                </c:pt>
                <c:pt idx="2249">
                  <c:v>141.61003099999999</c:v>
                </c:pt>
                <c:pt idx="2250">
                  <c:v>141.64944499999999</c:v>
                </c:pt>
                <c:pt idx="2251">
                  <c:v>139.16729699999999</c:v>
                </c:pt>
                <c:pt idx="2252">
                  <c:v>140.01438899999999</c:v>
                </c:pt>
                <c:pt idx="2253">
                  <c:v>139.65978999999999</c:v>
                </c:pt>
                <c:pt idx="2254">
                  <c:v>141.44262699999999</c:v>
                </c:pt>
                <c:pt idx="2255">
                  <c:v>141.60020399999999</c:v>
                </c:pt>
                <c:pt idx="2256">
                  <c:v>141.117569</c:v>
                </c:pt>
                <c:pt idx="2257">
                  <c:v>144.57482899999999</c:v>
                </c:pt>
                <c:pt idx="2258">
                  <c:v>142.77233899999999</c:v>
                </c:pt>
                <c:pt idx="2259">
                  <c:v>142.68367000000001</c:v>
                </c:pt>
                <c:pt idx="2260">
                  <c:v>143.93460099999999</c:v>
                </c:pt>
                <c:pt idx="2261">
                  <c:v>142.63441499999999</c:v>
                </c:pt>
                <c:pt idx="2262">
                  <c:v>143.107193</c:v>
                </c:pt>
                <c:pt idx="2263">
                  <c:v>142.24044799999999</c:v>
                </c:pt>
                <c:pt idx="2264">
                  <c:v>138.72406000000001</c:v>
                </c:pt>
                <c:pt idx="2265">
                  <c:v>136.74427800000001</c:v>
                </c:pt>
                <c:pt idx="2266">
                  <c:v>138.42855800000001</c:v>
                </c:pt>
                <c:pt idx="2267">
                  <c:v>140.49704</c:v>
                </c:pt>
                <c:pt idx="2268">
                  <c:v>140.871307</c:v>
                </c:pt>
                <c:pt idx="2269">
                  <c:v>140.20152300000001</c:v>
                </c:pt>
                <c:pt idx="2270">
                  <c:v>140.073486</c:v>
                </c:pt>
                <c:pt idx="2271">
                  <c:v>141.14712499999999</c:v>
                </c:pt>
                <c:pt idx="2272">
                  <c:v>140.01438899999999</c:v>
                </c:pt>
                <c:pt idx="2273">
                  <c:v>141.70854199999999</c:v>
                </c:pt>
                <c:pt idx="2274">
                  <c:v>142.49653599999999</c:v>
                </c:pt>
                <c:pt idx="2275">
                  <c:v>141.46229600000001</c:v>
                </c:pt>
                <c:pt idx="2276">
                  <c:v>139.580994</c:v>
                </c:pt>
                <c:pt idx="2277">
                  <c:v>138.56646699999999</c:v>
                </c:pt>
                <c:pt idx="2278">
                  <c:v>138.861954</c:v>
                </c:pt>
                <c:pt idx="2279">
                  <c:v>138.11338799999999</c:v>
                </c:pt>
                <c:pt idx="2280">
                  <c:v>139.39385999999999</c:v>
                </c:pt>
                <c:pt idx="2281">
                  <c:v>141.56080600000001</c:v>
                </c:pt>
                <c:pt idx="2282">
                  <c:v>143.71791099999999</c:v>
                </c:pt>
                <c:pt idx="2283">
                  <c:v>143.304214</c:v>
                </c:pt>
                <c:pt idx="2284">
                  <c:v>144.36799600000001</c:v>
                </c:pt>
                <c:pt idx="2285">
                  <c:v>142.10253900000001</c:v>
                </c:pt>
                <c:pt idx="2286">
                  <c:v>144.23994400000001</c:v>
                </c:pt>
                <c:pt idx="2287">
                  <c:v>145.11657700000001</c:v>
                </c:pt>
                <c:pt idx="2288">
                  <c:v>142.07299800000001</c:v>
                </c:pt>
                <c:pt idx="2289">
                  <c:v>139.955276</c:v>
                </c:pt>
                <c:pt idx="2290">
                  <c:v>140.32959</c:v>
                </c:pt>
                <c:pt idx="2291">
                  <c:v>139.31504799999999</c:v>
                </c:pt>
                <c:pt idx="2292">
                  <c:v>139.99468999999999</c:v>
                </c:pt>
                <c:pt idx="2293">
                  <c:v>138.04441800000001</c:v>
                </c:pt>
                <c:pt idx="2294">
                  <c:v>138.38917499999999</c:v>
                </c:pt>
                <c:pt idx="2295">
                  <c:v>138.55664100000001</c:v>
                </c:pt>
                <c:pt idx="2296">
                  <c:v>138.536911</c:v>
                </c:pt>
                <c:pt idx="2297">
                  <c:v>137.15795900000001</c:v>
                </c:pt>
                <c:pt idx="2298">
                  <c:v>136.025238</c:v>
                </c:pt>
                <c:pt idx="2299">
                  <c:v>135.109207</c:v>
                </c:pt>
                <c:pt idx="2300">
                  <c:v>134.91223099999999</c:v>
                </c:pt>
                <c:pt idx="2301">
                  <c:v>135.30621300000001</c:v>
                </c:pt>
                <c:pt idx="2302">
                  <c:v>136.025238</c:v>
                </c:pt>
                <c:pt idx="2303">
                  <c:v>137.542114</c:v>
                </c:pt>
                <c:pt idx="2304">
                  <c:v>136.760773</c:v>
                </c:pt>
                <c:pt idx="2305">
                  <c:v>137.86845400000001</c:v>
                </c:pt>
                <c:pt idx="2306">
                  <c:v>139.35199</c:v>
                </c:pt>
                <c:pt idx="2307">
                  <c:v>138.877274</c:v>
                </c:pt>
                <c:pt idx="2308">
                  <c:v>137.98715200000001</c:v>
                </c:pt>
                <c:pt idx="2309">
                  <c:v>139.10472100000001</c:v>
                </c:pt>
                <c:pt idx="2310">
                  <c:v>140.242096</c:v>
                </c:pt>
                <c:pt idx="2311">
                  <c:v>142.58606</c:v>
                </c:pt>
                <c:pt idx="2312">
                  <c:v>142.03222700000001</c:v>
                </c:pt>
                <c:pt idx="2313">
                  <c:v>142.645386</c:v>
                </c:pt>
                <c:pt idx="2314">
                  <c:v>144.06958</c:v>
                </c:pt>
                <c:pt idx="2315">
                  <c:v>145.83003199999999</c:v>
                </c:pt>
                <c:pt idx="2316">
                  <c:v>147.05641199999999</c:v>
                </c:pt>
                <c:pt idx="2317">
                  <c:v>145.61244199999999</c:v>
                </c:pt>
                <c:pt idx="2318">
                  <c:v>148.02563499999999</c:v>
                </c:pt>
                <c:pt idx="2319">
                  <c:v>149.14323400000001</c:v>
                </c:pt>
                <c:pt idx="2320">
                  <c:v>148.856415</c:v>
                </c:pt>
                <c:pt idx="2321">
                  <c:v>148.42126500000001</c:v>
                </c:pt>
                <c:pt idx="2322">
                  <c:v>147.699265</c:v>
                </c:pt>
                <c:pt idx="2323">
                  <c:v>147.84762599999999</c:v>
                </c:pt>
                <c:pt idx="2324">
                  <c:v>146.84869399999999</c:v>
                </c:pt>
                <c:pt idx="2325">
                  <c:v>147.87728899999999</c:v>
                </c:pt>
                <c:pt idx="2326">
                  <c:v>148.20367400000001</c:v>
                </c:pt>
                <c:pt idx="2327">
                  <c:v>148.361908</c:v>
                </c:pt>
                <c:pt idx="2328">
                  <c:v>149.31137100000001</c:v>
                </c:pt>
                <c:pt idx="2329">
                  <c:v>150.06300400000001</c:v>
                </c:pt>
                <c:pt idx="2330">
                  <c:v>151.08169599999999</c:v>
                </c:pt>
                <c:pt idx="2331">
                  <c:v>149.90477000000001</c:v>
                </c:pt>
                <c:pt idx="2332">
                  <c:v>149.252014</c:v>
                </c:pt>
                <c:pt idx="2333">
                  <c:v>149.716858</c:v>
                </c:pt>
                <c:pt idx="2334">
                  <c:v>149.31137100000001</c:v>
                </c:pt>
                <c:pt idx="2335">
                  <c:v>149.92454499999999</c:v>
                </c:pt>
                <c:pt idx="2336">
                  <c:v>149.51904300000001</c:v>
                </c:pt>
                <c:pt idx="2337">
                  <c:v>148.96519499999999</c:v>
                </c:pt>
                <c:pt idx="2338">
                  <c:v>149.382172</c:v>
                </c:pt>
                <c:pt idx="2339">
                  <c:v>150.672775</c:v>
                </c:pt>
                <c:pt idx="2340">
                  <c:v>151.615906</c:v>
                </c:pt>
                <c:pt idx="2341">
                  <c:v>151.874008</c:v>
                </c:pt>
                <c:pt idx="2342">
                  <c:v>151.44712799999999</c:v>
                </c:pt>
                <c:pt idx="2343">
                  <c:v>152.01300000000001</c:v>
                </c:pt>
                <c:pt idx="2344">
                  <c:v>151.96336400000001</c:v>
                </c:pt>
                <c:pt idx="2345">
                  <c:v>150.781982</c:v>
                </c:pt>
                <c:pt idx="2346">
                  <c:v>148.69714400000001</c:v>
                </c:pt>
                <c:pt idx="2347">
                  <c:v>148.448959</c:v>
                </c:pt>
                <c:pt idx="2348">
                  <c:v>150.37493900000001</c:v>
                </c:pt>
                <c:pt idx="2349">
                  <c:v>148.82621800000001</c:v>
                </c:pt>
                <c:pt idx="2350">
                  <c:v>147.515747</c:v>
                </c:pt>
                <c:pt idx="2351">
                  <c:v>147.23777799999999</c:v>
                </c:pt>
                <c:pt idx="2352">
                  <c:v>146.56269800000001</c:v>
                </c:pt>
                <c:pt idx="2353">
                  <c:v>145.10333299999999</c:v>
                </c:pt>
                <c:pt idx="2354">
                  <c:v>145.361435</c:v>
                </c:pt>
                <c:pt idx="2355">
                  <c:v>145.00404399999999</c:v>
                </c:pt>
                <c:pt idx="2356">
                  <c:v>145.80819700000001</c:v>
                </c:pt>
                <c:pt idx="2357">
                  <c:v>146.34428399999999</c:v>
                </c:pt>
                <c:pt idx="2358">
                  <c:v>147.74409499999999</c:v>
                </c:pt>
                <c:pt idx="2359">
                  <c:v>148.717026</c:v>
                </c:pt>
                <c:pt idx="2360">
                  <c:v>148.69714400000001</c:v>
                </c:pt>
                <c:pt idx="2361">
                  <c:v>148.915558</c:v>
                </c:pt>
                <c:pt idx="2362">
                  <c:v>151.06987000000001</c:v>
                </c:pt>
                <c:pt idx="2363">
                  <c:v>151.98323099999999</c:v>
                </c:pt>
                <c:pt idx="2364">
                  <c:v>152.98593099999999</c:v>
                </c:pt>
                <c:pt idx="2365">
                  <c:v>154.17726099999999</c:v>
                </c:pt>
                <c:pt idx="2366">
                  <c:v>155.73588599999999</c:v>
                </c:pt>
                <c:pt idx="2367">
                  <c:v>156.589676</c:v>
                </c:pt>
                <c:pt idx="2368">
                  <c:v>154.40557899999999</c:v>
                </c:pt>
                <c:pt idx="2369">
                  <c:v>153.04548600000001</c:v>
                </c:pt>
                <c:pt idx="2370">
                  <c:v>153.34333799999999</c:v>
                </c:pt>
                <c:pt idx="2371">
                  <c:v>154.62399300000001</c:v>
                </c:pt>
                <c:pt idx="2372">
                  <c:v>154.336105</c:v>
                </c:pt>
                <c:pt idx="2373">
                  <c:v>153.92906199999999</c:v>
                </c:pt>
                <c:pt idx="2374">
                  <c:v>153.373108</c:v>
                </c:pt>
                <c:pt idx="2375">
                  <c:v>154.207031</c:v>
                </c:pt>
                <c:pt idx="2376">
                  <c:v>153.164627</c:v>
                </c:pt>
                <c:pt idx="2377">
                  <c:v>156.04364000000001</c:v>
                </c:pt>
                <c:pt idx="2378">
                  <c:v>157.056274</c:v>
                </c:pt>
                <c:pt idx="2379">
                  <c:v>156.96693400000001</c:v>
                </c:pt>
                <c:pt idx="2380">
                  <c:v>155.97416699999999</c:v>
                </c:pt>
                <c:pt idx="2381">
                  <c:v>152.38034099999999</c:v>
                </c:pt>
                <c:pt idx="2382">
                  <c:v>153.76028400000001</c:v>
                </c:pt>
                <c:pt idx="2383">
                  <c:v>153.53195199999999</c:v>
                </c:pt>
                <c:pt idx="2384">
                  <c:v>153.91911300000001</c:v>
                </c:pt>
                <c:pt idx="2385">
                  <c:v>153.01570100000001</c:v>
                </c:pt>
                <c:pt idx="2386">
                  <c:v>153.54186999999999</c:v>
                </c:pt>
                <c:pt idx="2387">
                  <c:v>153.73049900000001</c:v>
                </c:pt>
                <c:pt idx="2388">
                  <c:v>153.45253</c:v>
                </c:pt>
                <c:pt idx="2389">
                  <c:v>153.50216699999999</c:v>
                </c:pt>
                <c:pt idx="2390">
                  <c:v>156.34149199999999</c:v>
                </c:pt>
                <c:pt idx="2391">
                  <c:v>157.22505200000001</c:v>
                </c:pt>
                <c:pt idx="2392">
                  <c:v>158.14833100000001</c:v>
                </c:pt>
                <c:pt idx="2393">
                  <c:v>158.01925700000001</c:v>
                </c:pt>
                <c:pt idx="2394">
                  <c:v>158.585159</c:v>
                </c:pt>
                <c:pt idx="2395">
                  <c:v>158.009354</c:v>
                </c:pt>
                <c:pt idx="2396">
                  <c:v>158.75393700000001</c:v>
                </c:pt>
                <c:pt idx="2397">
                  <c:v>158.704285</c:v>
                </c:pt>
                <c:pt idx="2398">
                  <c:v>157.95970199999999</c:v>
                </c:pt>
                <c:pt idx="2399">
                  <c:v>158.06890899999999</c:v>
                </c:pt>
                <c:pt idx="2400">
                  <c:v>158.10861199999999</c:v>
                </c:pt>
                <c:pt idx="2401">
                  <c:v>157.195267</c:v>
                </c:pt>
                <c:pt idx="2402">
                  <c:v>159.32972699999999</c:v>
                </c:pt>
                <c:pt idx="2403">
                  <c:v>159.48857100000001</c:v>
                </c:pt>
                <c:pt idx="2404">
                  <c:v>159.746689</c:v>
                </c:pt>
                <c:pt idx="2405">
                  <c:v>159.666977</c:v>
                </c:pt>
                <c:pt idx="2406">
                  <c:v>160.6035</c:v>
                </c:pt>
                <c:pt idx="2407">
                  <c:v>159.40794399999999</c:v>
                </c:pt>
                <c:pt idx="2408">
                  <c:v>158.59097299999999</c:v>
                </c:pt>
                <c:pt idx="2409">
                  <c:v>158.67068499999999</c:v>
                </c:pt>
                <c:pt idx="2410">
                  <c:v>155.11390700000001</c:v>
                </c:pt>
                <c:pt idx="2411">
                  <c:v>157.345596</c:v>
                </c:pt>
                <c:pt idx="2412">
                  <c:v>156.927155</c:v>
                </c:pt>
                <c:pt idx="2413">
                  <c:v>156.429001</c:v>
                </c:pt>
                <c:pt idx="2414">
                  <c:v>157.514984</c:v>
                </c:pt>
                <c:pt idx="2415">
                  <c:v>156.30946399999999</c:v>
                </c:pt>
                <c:pt idx="2416">
                  <c:v>157.23602299999999</c:v>
                </c:pt>
                <c:pt idx="2417">
                  <c:v>158.13269</c:v>
                </c:pt>
                <c:pt idx="2418">
                  <c:v>159.457764</c:v>
                </c:pt>
                <c:pt idx="2419">
                  <c:v>160.6035</c:v>
                </c:pt>
                <c:pt idx="2420">
                  <c:v>162.008286</c:v>
                </c:pt>
                <c:pt idx="2421">
                  <c:v>160.97215299999999</c:v>
                </c:pt>
                <c:pt idx="2422">
                  <c:v>159.67695599999999</c:v>
                </c:pt>
                <c:pt idx="2423">
                  <c:v>160.872513</c:v>
                </c:pt>
                <c:pt idx="2424">
                  <c:v>162.86511200000001</c:v>
                </c:pt>
                <c:pt idx="2425">
                  <c:v>163.16400100000001</c:v>
                </c:pt>
                <c:pt idx="2426">
                  <c:v>163.731888</c:v>
                </c:pt>
                <c:pt idx="2427">
                  <c:v>163.911224</c:v>
                </c:pt>
                <c:pt idx="2428">
                  <c:v>163.95107999999999</c:v>
                </c:pt>
                <c:pt idx="2429">
                  <c:v>164.638519</c:v>
                </c:pt>
                <c:pt idx="2430">
                  <c:v>164.030777</c:v>
                </c:pt>
                <c:pt idx="2431">
                  <c:v>162.815292</c:v>
                </c:pt>
                <c:pt idx="2432">
                  <c:v>162.775452</c:v>
                </c:pt>
                <c:pt idx="2433">
                  <c:v>163.303482</c:v>
                </c:pt>
                <c:pt idx="2434">
                  <c:v>161.32084699999999</c:v>
                </c:pt>
                <c:pt idx="2435">
                  <c:v>161.74925200000001</c:v>
                </c:pt>
                <c:pt idx="2436">
                  <c:v>162.466599</c:v>
                </c:pt>
                <c:pt idx="2437">
                  <c:v>161.898697</c:v>
                </c:pt>
                <c:pt idx="2438">
                  <c:v>161.12158199999999</c:v>
                </c:pt>
                <c:pt idx="2439">
                  <c:v>161.93853799999999</c:v>
                </c:pt>
                <c:pt idx="2440">
                  <c:v>159.33819600000001</c:v>
                </c:pt>
                <c:pt idx="2441">
                  <c:v>159.50758400000001</c:v>
                </c:pt>
                <c:pt idx="2442">
                  <c:v>158.50131200000001</c:v>
                </c:pt>
                <c:pt idx="2443">
                  <c:v>160.40425099999999</c:v>
                </c:pt>
                <c:pt idx="2444">
                  <c:v>158.49134799999999</c:v>
                </c:pt>
                <c:pt idx="2445">
                  <c:v>155.83123800000001</c:v>
                </c:pt>
                <c:pt idx="2446">
                  <c:v>155.26333600000001</c:v>
                </c:pt>
                <c:pt idx="2447">
                  <c:v>157.01683</c:v>
                </c:pt>
                <c:pt idx="2448">
                  <c:v>157.64450099999999</c:v>
                </c:pt>
                <c:pt idx="2449">
                  <c:v>158.36183199999999</c:v>
                </c:pt>
                <c:pt idx="2450">
                  <c:v>159.238586</c:v>
                </c:pt>
                <c:pt idx="2451">
                  <c:v>160.61348000000001</c:v>
                </c:pt>
                <c:pt idx="2452">
                  <c:v>160.82269299999999</c:v>
                </c:pt>
                <c:pt idx="2453">
                  <c:v>160.94224500000001</c:v>
                </c:pt>
                <c:pt idx="2454">
                  <c:v>160.17510999999999</c:v>
                </c:pt>
                <c:pt idx="2455">
                  <c:v>158.17253099999999</c:v>
                </c:pt>
                <c:pt idx="2456">
                  <c:v>160.41419999999999</c:v>
                </c:pt>
                <c:pt idx="2457">
                  <c:v>162.64591999999999</c:v>
                </c:pt>
                <c:pt idx="2458">
                  <c:v>162.15772999999999</c:v>
                </c:pt>
                <c:pt idx="2459">
                  <c:v>161.171402</c:v>
                </c:pt>
                <c:pt idx="2460">
                  <c:v>160.573624</c:v>
                </c:pt>
                <c:pt idx="2461">
                  <c:v>162.41677899999999</c:v>
                </c:pt>
                <c:pt idx="2462">
                  <c:v>162.805328</c:v>
                </c:pt>
                <c:pt idx="2463">
                  <c:v>164.259918</c:v>
                </c:pt>
                <c:pt idx="2464">
                  <c:v>164.907532</c:v>
                </c:pt>
                <c:pt idx="2465">
                  <c:v>164.05070499999999</c:v>
                </c:pt>
                <c:pt idx="2466">
                  <c:v>164.26989699999999</c:v>
                </c:pt>
                <c:pt idx="2467">
                  <c:v>165.03703300000001</c:v>
                </c:pt>
                <c:pt idx="2468">
                  <c:v>163.692047</c:v>
                </c:pt>
                <c:pt idx="2469">
                  <c:v>163.313446</c:v>
                </c:pt>
                <c:pt idx="2470">
                  <c:v>165.57504299999999</c:v>
                </c:pt>
                <c:pt idx="2471">
                  <c:v>167.05952500000001</c:v>
                </c:pt>
                <c:pt idx="2472">
                  <c:v>167.02963299999999</c:v>
                </c:pt>
                <c:pt idx="2473">
                  <c:v>169.15176400000001</c:v>
                </c:pt>
                <c:pt idx="2474">
                  <c:v>155.46260100000001</c:v>
                </c:pt>
                <c:pt idx="2475">
                  <c:v>154.77516199999999</c:v>
                </c:pt>
                <c:pt idx="2476">
                  <c:v>154.72534200000001</c:v>
                </c:pt>
                <c:pt idx="2477">
                  <c:v>155.283264</c:v>
                </c:pt>
                <c:pt idx="2478">
                  <c:v>154.09767199999999</c:v>
                </c:pt>
                <c:pt idx="2479">
                  <c:v>155.482529</c:v>
                </c:pt>
                <c:pt idx="2480">
                  <c:v>156.189911</c:v>
                </c:pt>
                <c:pt idx="2481">
                  <c:v>158.05297899999999</c:v>
                </c:pt>
                <c:pt idx="2482">
                  <c:v>155.50245699999999</c:v>
                </c:pt>
                <c:pt idx="2483">
                  <c:v>155.11390700000001</c:v>
                </c:pt>
                <c:pt idx="2484">
                  <c:v>153.76889</c:v>
                </c:pt>
                <c:pt idx="2485">
                  <c:v>153.72905</c:v>
                </c:pt>
                <c:pt idx="2486">
                  <c:v>155.15374800000001</c:v>
                </c:pt>
                <c:pt idx="2487">
                  <c:v>153.470001</c:v>
                </c:pt>
                <c:pt idx="2488">
                  <c:v>152.46000699999999</c:v>
                </c:pt>
                <c:pt idx="2489">
                  <c:v>150.86000100000001</c:v>
                </c:pt>
                <c:pt idx="2490">
                  <c:v>151.240005</c:v>
                </c:pt>
                <c:pt idx="2491">
                  <c:v>151.36000100000001</c:v>
                </c:pt>
                <c:pt idx="2492">
                  <c:v>154.050003</c:v>
                </c:pt>
                <c:pt idx="2493">
                  <c:v>152.16999799999999</c:v>
                </c:pt>
                <c:pt idx="2494">
                  <c:v>152.740005</c:v>
                </c:pt>
                <c:pt idx="2495">
                  <c:v>154.970001</c:v>
                </c:pt>
                <c:pt idx="2496">
                  <c:v>155.529999</c:v>
                </c:pt>
                <c:pt idx="2497">
                  <c:v>153.71000699999999</c:v>
                </c:pt>
                <c:pt idx="2498">
                  <c:v>154.800003</c:v>
                </c:pt>
                <c:pt idx="2499">
                  <c:v>156.64999399999999</c:v>
                </c:pt>
                <c:pt idx="2500">
                  <c:v>156.41000399999999</c:v>
                </c:pt>
                <c:pt idx="2501">
                  <c:v>157.88000500000001</c:v>
                </c:pt>
                <c:pt idx="2502">
                  <c:v>157.570007</c:v>
                </c:pt>
                <c:pt idx="2503">
                  <c:v>157.64999399999999</c:v>
                </c:pt>
                <c:pt idx="2504">
                  <c:v>159.28999300000001</c:v>
                </c:pt>
                <c:pt idx="2505">
                  <c:v>159.300003</c:v>
                </c:pt>
                <c:pt idx="2506">
                  <c:v>157.759995</c:v>
                </c:pt>
                <c:pt idx="2507">
                  <c:v>156.71000699999999</c:v>
                </c:pt>
                <c:pt idx="2508">
                  <c:v>158.25</c:v>
                </c:pt>
                <c:pt idx="2509">
                  <c:v>159.30999800000001</c:v>
                </c:pt>
                <c:pt idx="2510">
                  <c:v>161.28999300000001</c:v>
                </c:pt>
                <c:pt idx="2511">
                  <c:v>161.11000100000001</c:v>
                </c:pt>
                <c:pt idx="2512">
                  <c:v>161.320007</c:v>
                </c:pt>
                <c:pt idx="2513">
                  <c:v>161.83000200000001</c:v>
                </c:pt>
                <c:pt idx="2514">
                  <c:v>161.070007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B-4BFC-911F-BA7FBEF0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305536"/>
        <c:axId val="332985856"/>
      </c:lineChart>
      <c:catAx>
        <c:axId val="73230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85856"/>
        <c:crosses val="autoZero"/>
        <c:auto val="1"/>
        <c:lblAlgn val="ctr"/>
        <c:lblOffset val="100"/>
        <c:noMultiLvlLbl val="1"/>
      </c:catAx>
      <c:valAx>
        <c:axId val="3329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0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vs net income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standardized!$A$47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standardized!$B$13:$K$13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standardized!$B$47:$K$47</c:f>
              <c:numCache>
                <c:formatCode>_-[$$-409]* #,##0.00_ ;_-[$$-409]* \-#,##0.00\ ;_-[$$-409]* "-"??_ ;_-@_ </c:formatCode>
                <c:ptCount val="10"/>
                <c:pt idx="0">
                  <c:v>485651000</c:v>
                </c:pt>
                <c:pt idx="1">
                  <c:v>482130000</c:v>
                </c:pt>
                <c:pt idx="2">
                  <c:v>485873000</c:v>
                </c:pt>
                <c:pt idx="3">
                  <c:v>500343000</c:v>
                </c:pt>
                <c:pt idx="4">
                  <c:v>514405000</c:v>
                </c:pt>
                <c:pt idx="5">
                  <c:v>523964000</c:v>
                </c:pt>
                <c:pt idx="6">
                  <c:v>559151000</c:v>
                </c:pt>
                <c:pt idx="7">
                  <c:v>572754000</c:v>
                </c:pt>
                <c:pt idx="8">
                  <c:v>611289000</c:v>
                </c:pt>
                <c:pt idx="9">
                  <c:v>648125000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B-4BA8-9798-C059413A228E}"/>
            </c:ext>
          </c:extLst>
        </c:ser>
        <c:ser>
          <c:idx val="1"/>
          <c:order val="1"/>
          <c:tx>
            <c:strRef>
              <c:f>standardized!$A$48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standardized!$B$13:$K$13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standardized!$B$48:$K$48</c:f>
              <c:numCache>
                <c:formatCode>_-[$$-409]* #,##0.00_ ;_-[$$-409]* \-#,##0.00\ ;_-[$$-409]* "-"??_ ;_-@_ </c:formatCode>
                <c:ptCount val="10"/>
                <c:pt idx="0">
                  <c:v>16363000</c:v>
                </c:pt>
                <c:pt idx="1">
                  <c:v>14694000</c:v>
                </c:pt>
                <c:pt idx="2">
                  <c:v>13643000</c:v>
                </c:pt>
                <c:pt idx="3">
                  <c:v>9862000</c:v>
                </c:pt>
                <c:pt idx="4">
                  <c:v>6670000</c:v>
                </c:pt>
                <c:pt idx="5">
                  <c:v>14881000</c:v>
                </c:pt>
                <c:pt idx="6">
                  <c:v>13510000</c:v>
                </c:pt>
                <c:pt idx="7">
                  <c:v>13673000</c:v>
                </c:pt>
                <c:pt idx="8">
                  <c:v>11680000</c:v>
                </c:pt>
                <c:pt idx="9">
                  <c:v>15511000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B-4BA8-9798-C059413A2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246208"/>
        <c:axId val="180469216"/>
        <c:axId val="0"/>
      </c:bar3DChart>
      <c:catAx>
        <c:axId val="67224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9216"/>
        <c:crosses val="autoZero"/>
        <c:auto val="1"/>
        <c:lblAlgn val="ctr"/>
        <c:lblOffset val="100"/>
        <c:noMultiLvlLbl val="0"/>
      </c:catAx>
      <c:valAx>
        <c:axId val="1804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IS'!$B$11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'common size IS'!$C$6:$L$6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f>'common size IS'!$C$11:$L$11</c:f>
              <c:numCache>
                <c:formatCode>0.00%</c:formatCode>
                <c:ptCount val="10"/>
                <c:pt idx="0">
                  <c:v>0.75174559508783056</c:v>
                </c:pt>
                <c:pt idx="1">
                  <c:v>0.74872752162279888</c:v>
                </c:pt>
                <c:pt idx="2">
                  <c:v>0.74351939704408354</c:v>
                </c:pt>
                <c:pt idx="3">
                  <c:v>0.74628005188440727</c:v>
                </c:pt>
                <c:pt idx="4">
                  <c:v>0.7490226572447779</c:v>
                </c:pt>
                <c:pt idx="5">
                  <c:v>0.75311471780504002</c:v>
                </c:pt>
                <c:pt idx="6">
                  <c:v>0.75170213412834819</c:v>
                </c:pt>
                <c:pt idx="7">
                  <c:v>0.7490126651232466</c:v>
                </c:pt>
                <c:pt idx="8">
                  <c:v>0.75859536160474017</c:v>
                </c:pt>
                <c:pt idx="9">
                  <c:v>0.7562460945033751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7-414A-B718-563F9518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44288"/>
        <c:axId val="501013152"/>
      </c:barChart>
      <c:catAx>
        <c:axId val="67224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Reported</a:t>
                </a:r>
                <a:r>
                  <a:rPr lang="en-IN" baseline="0"/>
                  <a:t> Dates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13152"/>
        <c:crosses val="autoZero"/>
        <c:auto val="1"/>
        <c:lblAlgn val="ctr"/>
        <c:lblOffset val="100"/>
        <c:noMultiLvlLbl val="0"/>
      </c:catAx>
      <c:valAx>
        <c:axId val="5010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Chnage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4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IS'!$B$13</c:f>
              <c:strCache>
                <c:ptCount val="1"/>
                <c:pt idx="0">
                  <c:v>Selling General &amp; Admin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'common size IS'!$C$6:$L$6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f>'common size IS'!$C$13:$L$13</c:f>
              <c:numCache>
                <c:formatCode>0.00%</c:formatCode>
                <c:ptCount val="10"/>
                <c:pt idx="0">
                  <c:v>0.19235623935706916</c:v>
                </c:pt>
                <c:pt idx="1">
                  <c:v>0.20127558957127745</c:v>
                </c:pt>
                <c:pt idx="2">
                  <c:v>0.20962885363047545</c:v>
                </c:pt>
                <c:pt idx="3">
                  <c:v>0.21287396845763806</c:v>
                </c:pt>
                <c:pt idx="4">
                  <c:v>0.20829307646698614</c:v>
                </c:pt>
                <c:pt idx="5">
                  <c:v>0.20763067691673473</c:v>
                </c:pt>
                <c:pt idx="6">
                  <c:v>0.20797244393732642</c:v>
                </c:pt>
                <c:pt idx="7">
                  <c:v>0.20569389301515137</c:v>
                </c:pt>
                <c:pt idx="8">
                  <c:v>0.20798672968105103</c:v>
                </c:pt>
                <c:pt idx="9">
                  <c:v>0.20207675988428159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0-4171-B165-FDE86580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883968"/>
        <c:axId val="1452186415"/>
      </c:barChart>
      <c:catAx>
        <c:axId val="154788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86415"/>
        <c:crosses val="autoZero"/>
        <c:auto val="1"/>
        <c:lblAlgn val="ctr"/>
        <c:lblOffset val="100"/>
        <c:noMultiLvlLbl val="0"/>
      </c:catAx>
      <c:valAx>
        <c:axId val="14521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8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sheet'!$A$25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sheet'!$B$25:$K$25</c:f>
              <c:numCache>
                <c:formatCode>_-[$$-409]* #,##0_ ;_-[$$-409]* \-#,##0\ ;_-[$$-409]* "-"??_ ;_-@_ </c:formatCode>
                <c:ptCount val="10"/>
                <c:pt idx="0">
                  <c:v>203706000</c:v>
                </c:pt>
                <c:pt idx="1">
                  <c:v>199581000</c:v>
                </c:pt>
                <c:pt idx="2">
                  <c:v>198825000</c:v>
                </c:pt>
                <c:pt idx="3">
                  <c:v>204522000</c:v>
                </c:pt>
                <c:pt idx="4">
                  <c:v>219295000</c:v>
                </c:pt>
                <c:pt idx="5">
                  <c:v>236495000</c:v>
                </c:pt>
                <c:pt idx="6">
                  <c:v>252496000</c:v>
                </c:pt>
                <c:pt idx="7">
                  <c:v>244860000</c:v>
                </c:pt>
                <c:pt idx="8">
                  <c:v>243197000</c:v>
                </c:pt>
                <c:pt idx="9" formatCode="_(&quot;$&quot;* #,##0_);_(&quot;$&quot;* \(#,##0\);_(&quot;$&quot;* &quot;-&quot;??_);_(@_)">
                  <c:v>252399000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D-40F8-A560-E633E4C52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934784"/>
        <c:axId val="1578153407"/>
      </c:barChart>
      <c:catAx>
        <c:axId val="54893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53407"/>
        <c:crosses val="autoZero"/>
        <c:auto val="1"/>
        <c:lblAlgn val="ctr"/>
        <c:lblOffset val="100"/>
        <c:noMultiLvlLbl val="0"/>
      </c:catAx>
      <c:valAx>
        <c:axId val="15781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3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current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sheet'!$A$51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sheet'!$B$51:$K$51</c:f>
              <c:numCache>
                <c:formatCode>_-[$$-409]* #,##0_ ;_-[$$-409]* \-#,##0\ ;_-[$$-409]* "-"??_ ;_-@_ </c:formatCode>
                <c:ptCount val="10"/>
                <c:pt idx="0">
                  <c:v>61185000</c:v>
                </c:pt>
                <c:pt idx="1">
                  <c:v>63278000</c:v>
                </c:pt>
                <c:pt idx="2">
                  <c:v>60239000</c:v>
                </c:pt>
                <c:pt idx="3">
                  <c:v>57689000</c:v>
                </c:pt>
                <c:pt idx="4">
                  <c:v>59664000</c:v>
                </c:pt>
                <c:pt idx="5">
                  <c:v>61897000</c:v>
                </c:pt>
                <c:pt idx="6">
                  <c:v>61806000</c:v>
                </c:pt>
                <c:pt idx="7">
                  <c:v>90067000</c:v>
                </c:pt>
                <c:pt idx="8">
                  <c:v>81070000</c:v>
                </c:pt>
                <c:pt idx="9">
                  <c:v>75655000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E-4118-8270-AFA3C1C12C1E}"/>
            </c:ext>
          </c:extLst>
        </c:ser>
        <c:ser>
          <c:idx val="1"/>
          <c:order val="1"/>
          <c:tx>
            <c:strRef>
              <c:f>'Balance sheet'!$A$52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sheet'!$B$52:$K$52</c:f>
              <c:numCache>
                <c:formatCode>_-[$$-409]* #,##0_ ;_-[$$-409]* \-#,##0\ ;_-[$$-409]* "-"??_ ;_-@_ </c:formatCode>
                <c:ptCount val="10"/>
                <c:pt idx="0">
                  <c:v>204751000</c:v>
                </c:pt>
                <c:pt idx="1">
                  <c:v>203706000</c:v>
                </c:pt>
                <c:pt idx="2">
                  <c:v>199581000</c:v>
                </c:pt>
                <c:pt idx="3">
                  <c:v>198825000</c:v>
                </c:pt>
                <c:pt idx="4">
                  <c:v>204522000</c:v>
                </c:pt>
                <c:pt idx="5">
                  <c:v>219295000</c:v>
                </c:pt>
                <c:pt idx="6">
                  <c:v>236495000</c:v>
                </c:pt>
                <c:pt idx="7">
                  <c:v>252496000</c:v>
                </c:pt>
                <c:pt idx="8">
                  <c:v>244860000</c:v>
                </c:pt>
                <c:pt idx="9">
                  <c:v>243197000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E-4118-8270-AFA3C1C12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0956688"/>
        <c:axId val="1578137039"/>
        <c:axId val="0"/>
      </c:bar3DChart>
      <c:catAx>
        <c:axId val="56095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37039"/>
        <c:crosses val="autoZero"/>
        <c:auto val="1"/>
        <c:lblAlgn val="ctr"/>
        <c:lblOffset val="100"/>
        <c:noMultiLvlLbl val="0"/>
      </c:catAx>
      <c:valAx>
        <c:axId val="15781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sheet'!$A$37</c:f>
              <c:strCache>
                <c:ptCount val="1"/>
                <c:pt idx="0">
                  <c:v>Common Share 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sheet'!$B$37:$K$37</c:f>
              <c:numCache>
                <c:formatCode>_-[$$-409]* #,##0_ ;_-[$$-409]* \-#,##0\ ;_-[$$-409]* "-"??_ ;_-@_ </c:formatCode>
                <c:ptCount val="10"/>
                <c:pt idx="0">
                  <c:v>323000</c:v>
                </c:pt>
                <c:pt idx="1">
                  <c:v>317000</c:v>
                </c:pt>
                <c:pt idx="2">
                  <c:v>305000</c:v>
                </c:pt>
                <c:pt idx="3">
                  <c:v>295000</c:v>
                </c:pt>
                <c:pt idx="4">
                  <c:v>288000</c:v>
                </c:pt>
                <c:pt idx="5">
                  <c:v>284000</c:v>
                </c:pt>
                <c:pt idx="6">
                  <c:v>282000</c:v>
                </c:pt>
                <c:pt idx="7">
                  <c:v>276000</c:v>
                </c:pt>
                <c:pt idx="8">
                  <c:v>269000</c:v>
                </c:pt>
                <c:pt idx="9" formatCode="_(&quot;$&quot;* #,##0_);_(&quot;$&quot;* \(#,##0\);_(&quot;$&quot;* &quot;-&quot;??_);_(@_)">
                  <c:v>805000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4-4334-BBA3-49431A92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51408"/>
        <c:axId val="1534798559"/>
      </c:barChart>
      <c:catAx>
        <c:axId val="56095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0683223972003499"/>
              <c:y val="0.879683014829757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98559"/>
        <c:crosses val="autoZero"/>
        <c:auto val="1"/>
        <c:lblAlgn val="ctr"/>
        <c:lblOffset val="100"/>
        <c:noMultiLvlLbl val="0"/>
      </c:catAx>
      <c:valAx>
        <c:axId val="15347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Liabilities vs 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sheet'!$A$55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sheet'!$B$55:$K$55</c:f>
              <c:numCache>
                <c:formatCode>_-[$$-409]* #,##0_ ;_-[$$-409]* \-#,##0\ ;_-[$$-409]* "-"??_ ;_-@_ </c:formatCode>
                <c:ptCount val="10"/>
                <c:pt idx="0">
                  <c:v>128496000</c:v>
                </c:pt>
                <c:pt idx="1">
                  <c:v>122312000</c:v>
                </c:pt>
                <c:pt idx="2">
                  <c:v>119035000</c:v>
                </c:pt>
                <c:pt idx="3">
                  <c:v>121027000</c:v>
                </c:pt>
                <c:pt idx="4">
                  <c:v>126653000</c:v>
                </c:pt>
                <c:pt idx="5">
                  <c:v>146799000</c:v>
                </c:pt>
                <c:pt idx="6">
                  <c:v>161826000</c:v>
                </c:pt>
                <c:pt idx="7">
                  <c:v>171571000</c:v>
                </c:pt>
                <c:pt idx="8">
                  <c:v>161607000</c:v>
                </c:pt>
                <c:pt idx="9">
                  <c:v>166504000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1-45D5-A18F-87BF5186815D}"/>
            </c:ext>
          </c:extLst>
        </c:ser>
        <c:ser>
          <c:idx val="1"/>
          <c:order val="1"/>
          <c:tx>
            <c:strRef>
              <c:f>'Balance sheet'!$A$56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sheet'!$B$56:$K$56</c:f>
              <c:numCache>
                <c:formatCode>_-[$$-409]* #,##0_ ;_-[$$-409]* \-#,##0\ ;_-[$$-409]* "-"??_ ;_-@_ </c:formatCode>
                <c:ptCount val="10"/>
                <c:pt idx="0">
                  <c:v>69345000</c:v>
                </c:pt>
                <c:pt idx="1">
                  <c:v>65272000</c:v>
                </c:pt>
                <c:pt idx="2">
                  <c:v>64619000</c:v>
                </c:pt>
                <c:pt idx="3">
                  <c:v>66928000</c:v>
                </c:pt>
                <c:pt idx="4">
                  <c:v>78521000</c:v>
                </c:pt>
                <c:pt idx="5">
                  <c:v>77477000</c:v>
                </c:pt>
                <c:pt idx="6">
                  <c:v>77790000</c:v>
                </c:pt>
                <c:pt idx="7">
                  <c:v>92645000</c:v>
                </c:pt>
                <c:pt idx="8">
                  <c:v>87379000</c:v>
                </c:pt>
                <c:pt idx="9">
                  <c:v>92198000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1-45D5-A18F-87BF5186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80208"/>
        <c:axId val="1539542767"/>
      </c:barChart>
      <c:catAx>
        <c:axId val="5609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42767"/>
        <c:crosses val="autoZero"/>
        <c:auto val="1"/>
        <c:lblAlgn val="ctr"/>
        <c:lblOffset val="100"/>
        <c:noMultiLvlLbl val="0"/>
      </c:catAx>
      <c:valAx>
        <c:axId val="153954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Total Liabilities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sheet'!$A$59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sheet'!$B$59:$K$59</c:f>
              <c:numCache>
                <c:formatCode>_-[$$-409]* #,##0_ ;_-[$$-409]* \-#,##0\ ;_-[$$-409]* "-"??_ ;_-@_ </c:formatCode>
                <c:ptCount val="10"/>
                <c:pt idx="0">
                  <c:v>204751000</c:v>
                </c:pt>
                <c:pt idx="1">
                  <c:v>203706000</c:v>
                </c:pt>
                <c:pt idx="2">
                  <c:v>199581000</c:v>
                </c:pt>
                <c:pt idx="3">
                  <c:v>198825000</c:v>
                </c:pt>
                <c:pt idx="4">
                  <c:v>204522000</c:v>
                </c:pt>
                <c:pt idx="5">
                  <c:v>219295000</c:v>
                </c:pt>
                <c:pt idx="6">
                  <c:v>236495000</c:v>
                </c:pt>
                <c:pt idx="7">
                  <c:v>252496000</c:v>
                </c:pt>
                <c:pt idx="8">
                  <c:v>244860000</c:v>
                </c:pt>
                <c:pt idx="9">
                  <c:v>243197000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A-4D49-B967-DA84AEAB517A}"/>
            </c:ext>
          </c:extLst>
        </c:ser>
        <c:ser>
          <c:idx val="1"/>
          <c:order val="1"/>
          <c:tx>
            <c:strRef>
              <c:f>'Balance sheet'!$A$60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sheet'!$B$60:$K$60</c:f>
              <c:numCache>
                <c:formatCode>_-[$$-409]* #,##0_ ;_-[$$-409]* \-#,##0\ ;_-[$$-409]* "-"??_ ;_-@_ </c:formatCode>
                <c:ptCount val="10"/>
                <c:pt idx="0">
                  <c:v>128496000</c:v>
                </c:pt>
                <c:pt idx="1">
                  <c:v>122312000</c:v>
                </c:pt>
                <c:pt idx="2">
                  <c:v>119035000</c:v>
                </c:pt>
                <c:pt idx="3">
                  <c:v>121027000</c:v>
                </c:pt>
                <c:pt idx="4">
                  <c:v>126653000</c:v>
                </c:pt>
                <c:pt idx="5">
                  <c:v>146799000</c:v>
                </c:pt>
                <c:pt idx="6">
                  <c:v>161826000</c:v>
                </c:pt>
                <c:pt idx="7">
                  <c:v>171571000</c:v>
                </c:pt>
                <c:pt idx="8">
                  <c:v>161607000</c:v>
                </c:pt>
                <c:pt idx="9">
                  <c:v>166504000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A-4D49-B967-DA84AEAB5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5568015"/>
        <c:axId val="1709435039"/>
        <c:axId val="0"/>
      </c:bar3DChart>
      <c:catAx>
        <c:axId val="163556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35039"/>
        <c:crosses val="autoZero"/>
        <c:auto val="1"/>
        <c:lblAlgn val="ctr"/>
        <c:lblOffset val="100"/>
        <c:noMultiLvlLbl val="0"/>
      </c:catAx>
      <c:valAx>
        <c:axId val="170943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Current Liabilities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sheet'!$A$63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sheet'!$B$63:$K$63</c:f>
              <c:numCache>
                <c:formatCode>_-[$$-409]* #,##0_ ;_-[$$-409]* \-#,##0\ ;_-[$$-409]* "-"??_ ;_-@_ </c:formatCode>
                <c:ptCount val="10"/>
                <c:pt idx="0">
                  <c:v>61185000</c:v>
                </c:pt>
                <c:pt idx="1">
                  <c:v>63278000</c:v>
                </c:pt>
                <c:pt idx="2">
                  <c:v>60239000</c:v>
                </c:pt>
                <c:pt idx="3">
                  <c:v>57689000</c:v>
                </c:pt>
                <c:pt idx="4">
                  <c:v>59664000</c:v>
                </c:pt>
                <c:pt idx="5">
                  <c:v>61897000</c:v>
                </c:pt>
                <c:pt idx="6">
                  <c:v>61806000</c:v>
                </c:pt>
                <c:pt idx="7">
                  <c:v>90067000</c:v>
                </c:pt>
                <c:pt idx="8">
                  <c:v>81070000</c:v>
                </c:pt>
                <c:pt idx="9">
                  <c:v>75655000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4D0B-8FAF-3075D54ABE58}"/>
            </c:ext>
          </c:extLst>
        </c:ser>
        <c:ser>
          <c:idx val="1"/>
          <c:order val="1"/>
          <c:tx>
            <c:strRef>
              <c:f>'Balance sheet'!$A$64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'Balance sheet'!$B$11:$K$11</c:f>
              <c:strCache>
                <c:ptCount val="10"/>
                <c:pt idx="0">
                  <c:v> 01/31/2015 </c:v>
                </c:pt>
                <c:pt idx="1">
                  <c:v> 01/31/2016 </c:v>
                </c:pt>
                <c:pt idx="2">
                  <c:v> 01/31/2017 </c:v>
                </c:pt>
                <c:pt idx="3">
                  <c:v> 01/31/2018 </c:v>
                </c:pt>
                <c:pt idx="4">
                  <c:v> 01/31/2019 </c:v>
                </c:pt>
                <c:pt idx="5">
                  <c:v> 01/31/2020 </c:v>
                </c:pt>
                <c:pt idx="6">
                  <c:v> 01/31/2021 </c:v>
                </c:pt>
                <c:pt idx="7">
                  <c:v> 01/31/2022 </c:v>
                </c:pt>
                <c:pt idx="8">
                  <c:v> 01/31/2023 </c:v>
                </c:pt>
                <c:pt idx="9">
                  <c:v>01/31/2024</c:v>
                </c:pt>
              </c:strCache>
            </c:strRef>
          </c:cat>
          <c:val>
            <c:numRef>
              <c:f>'Balance sheet'!$B$64:$K$64</c:f>
              <c:numCache>
                <c:formatCode>_-[$$-409]* #,##0_ ;_-[$$-409]* \-#,##0\ ;_-[$$-409]* "-"??_ ;_-@_ </c:formatCode>
                <c:ptCount val="10"/>
                <c:pt idx="0">
                  <c:v>69345000</c:v>
                </c:pt>
                <c:pt idx="1">
                  <c:v>65272000</c:v>
                </c:pt>
                <c:pt idx="2">
                  <c:v>64619000</c:v>
                </c:pt>
                <c:pt idx="3">
                  <c:v>66928000</c:v>
                </c:pt>
                <c:pt idx="4">
                  <c:v>78521000</c:v>
                </c:pt>
                <c:pt idx="5">
                  <c:v>77477000</c:v>
                </c:pt>
                <c:pt idx="6">
                  <c:v>77790000</c:v>
                </c:pt>
                <c:pt idx="7">
                  <c:v>92645000</c:v>
                </c:pt>
                <c:pt idx="8">
                  <c:v>87379000</c:v>
                </c:pt>
                <c:pt idx="9">
                  <c:v>92198000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4-4D0B-8FAF-3075D54A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0977808"/>
        <c:axId val="1709434543"/>
        <c:axId val="0"/>
      </c:bar3DChart>
      <c:catAx>
        <c:axId val="56097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34543"/>
        <c:crosses val="autoZero"/>
        <c:auto val="1"/>
        <c:lblAlgn val="ctr"/>
        <c:lblOffset val="100"/>
        <c:noMultiLvlLbl val="0"/>
      </c:catAx>
      <c:valAx>
        <c:axId val="17094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balance sheet '!$B$29</c:f>
              <c:strCache>
                <c:ptCount val="1"/>
                <c:pt idx="0">
                  <c:v>Minority Interests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'common size balance sheet '!$C$6:$L$6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f>'common size balance sheet '!$C$29:$L$29</c:f>
              <c:numCache>
                <c:formatCode>0%</c:formatCode>
                <c:ptCount val="10"/>
                <c:pt idx="0">
                  <c:v>2.2301748598470346E-2</c:v>
                </c:pt>
                <c:pt idx="1">
                  <c:v>1.5357173278017446E-2</c:v>
                </c:pt>
                <c:pt idx="2">
                  <c:v>1.3765874512762479E-2</c:v>
                </c:pt>
                <c:pt idx="3">
                  <c:v>1.4438544508659215E-2</c:v>
                </c:pt>
                <c:pt idx="4">
                  <c:v>3.2549761736473698E-2</c:v>
                </c:pt>
                <c:pt idx="5">
                  <c:v>2.9104209391319056E-2</c:v>
                </c:pt>
                <c:pt idx="6">
                  <c:v>2.616279069767442E-2</c:v>
                </c:pt>
                <c:pt idx="7">
                  <c:v>3.5277301315037167E-2</c:v>
                </c:pt>
                <c:pt idx="8">
                  <c:v>3.0008593856009735E-2</c:v>
                </c:pt>
                <c:pt idx="9">
                  <c:v>2.6584891382295493E-2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2-436D-A1F9-CA081A754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594415"/>
        <c:axId val="1709414703"/>
      </c:barChart>
      <c:catAx>
        <c:axId val="163559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14703"/>
        <c:crosses val="autoZero"/>
        <c:auto val="1"/>
        <c:lblAlgn val="ctr"/>
        <c:lblOffset val="100"/>
        <c:noMultiLvlLbl val="0"/>
      </c:catAx>
      <c:valAx>
        <c:axId val="17094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9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</a:t>
            </a:r>
            <a:r>
              <a:rPr lang="en-US" baseline="0"/>
              <a:t>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balance sheet '!$B$17</c:f>
              <c:strCache>
                <c:ptCount val="1"/>
                <c:pt idx="0">
                  <c:v>Net Property Plant &amp; Equip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'common size balance sheet '!$C$6:$L$6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f>'common size balance sheet '!$C$17:$L$17</c:f>
              <c:numCache>
                <c:formatCode>0%</c:formatCode>
                <c:ptCount val="10"/>
                <c:pt idx="0">
                  <c:v>0.56100458503922324</c:v>
                </c:pt>
                <c:pt idx="1">
                  <c:v>0.55201146401711587</c:v>
                </c:pt>
                <c:pt idx="2">
                  <c:v>0.54173267949201565</c:v>
                </c:pt>
                <c:pt idx="3">
                  <c:v>0.52647147984079956</c:v>
                </c:pt>
                <c:pt idx="4">
                  <c:v>0.4756925602498917</c:v>
                </c:pt>
                <c:pt idx="5">
                  <c:v>0.44486352777014315</c:v>
                </c:pt>
                <c:pt idx="6">
                  <c:v>0.36515825993283063</c:v>
                </c:pt>
                <c:pt idx="7">
                  <c:v>0.38599607939230579</c:v>
                </c:pt>
                <c:pt idx="8">
                  <c:v>0.41431432131152934</c:v>
                </c:pt>
                <c:pt idx="9">
                  <c:v>0.43902709598690959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9-4A10-80DE-54A088640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59088"/>
        <c:axId val="1709457359"/>
      </c:barChart>
      <c:catAx>
        <c:axId val="56095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57359"/>
        <c:crosses val="autoZero"/>
        <c:auto val="1"/>
        <c:lblAlgn val="ctr"/>
        <c:lblOffset val="100"/>
        <c:noMultiLvlLbl val="0"/>
      </c:catAx>
      <c:valAx>
        <c:axId val="17094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ratios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ratios'!$A$6</c:f>
              <c:strCache>
                <c:ptCount val="1"/>
                <c:pt idx="0">
                  <c:v>Net Profit Margin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ratios'!$B$5:$L$5</c15:sqref>
                  </c15:fullRef>
                </c:ext>
              </c:extLst>
              <c:f>'financial ratios'!$C$5:$L$5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ratios'!$B$6:$L$6</c15:sqref>
                  </c15:fullRef>
                </c:ext>
              </c:extLst>
              <c:f>'financial ratios'!$C$6:$L$6</c:f>
              <c:numCache>
                <c:formatCode>General</c:formatCode>
                <c:ptCount val="10"/>
                <c:pt idx="0">
                  <c:v>3.369291940096901E-2</c:v>
                </c:pt>
                <c:pt idx="1">
                  <c:v>3.0477257171302344E-2</c:v>
                </c:pt>
                <c:pt idx="2">
                  <c:v>2.8079354069890691E-2</c:v>
                </c:pt>
                <c:pt idx="3">
                  <c:v>1.9710478611672393E-2</c:v>
                </c:pt>
                <c:pt idx="4">
                  <c:v>1.2966436951429322E-2</c:v>
                </c:pt>
                <c:pt idx="5">
                  <c:v>2.8400806162255422E-2</c:v>
                </c:pt>
                <c:pt idx="6">
                  <c:v>2.4161630758059986E-2</c:v>
                </c:pt>
                <c:pt idx="7">
                  <c:v>2.3872378019184501E-2</c:v>
                </c:pt>
                <c:pt idx="8">
                  <c:v>1.9107165350595218E-2</c:v>
                </c:pt>
                <c:pt idx="9">
                  <c:v>2.3932111861137896E-2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3-4D5A-89F0-EAAEAD1E3815}"/>
            </c:ext>
          </c:extLst>
        </c:ser>
        <c:ser>
          <c:idx val="1"/>
          <c:order val="1"/>
          <c:tx>
            <c:strRef>
              <c:f>'financial ratios'!$A$7</c:f>
              <c:strCache>
                <c:ptCount val="1"/>
                <c:pt idx="0">
                  <c:v>Gross Profit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ratios'!$B$5:$L$5</c15:sqref>
                  </c15:fullRef>
                </c:ext>
              </c:extLst>
              <c:f>'financial ratios'!$C$5:$L$5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ratios'!$B$7:$L$7</c15:sqref>
                  </c15:fullRef>
                </c:ext>
              </c:extLst>
              <c:f>'financial ratios'!$C$7:$L$7</c:f>
              <c:numCache>
                <c:formatCode>General</c:formatCode>
                <c:ptCount val="10"/>
                <c:pt idx="0">
                  <c:v>0.24825440491216944</c:v>
                </c:pt>
                <c:pt idx="1">
                  <c:v>0.25127247837720118</c:v>
                </c:pt>
                <c:pt idx="2">
                  <c:v>0.25648060295591646</c:v>
                </c:pt>
                <c:pt idx="3">
                  <c:v>0.25371994811559273</c:v>
                </c:pt>
                <c:pt idx="4">
                  <c:v>0.25097734275522204</c:v>
                </c:pt>
                <c:pt idx="5">
                  <c:v>0.24688528219495995</c:v>
                </c:pt>
                <c:pt idx="6">
                  <c:v>0.24829786587165184</c:v>
                </c:pt>
                <c:pt idx="7">
                  <c:v>0.25098733487675334</c:v>
                </c:pt>
                <c:pt idx="8">
                  <c:v>0.24140463839525986</c:v>
                </c:pt>
                <c:pt idx="9">
                  <c:v>0.24375390549662487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3-4D5A-89F0-EAAEAD1E3815}"/>
            </c:ext>
          </c:extLst>
        </c:ser>
        <c:ser>
          <c:idx val="2"/>
          <c:order val="2"/>
          <c:tx>
            <c:strRef>
              <c:f>'financial ratios'!$A$8</c:f>
              <c:strCache>
                <c:ptCount val="1"/>
                <c:pt idx="0">
                  <c:v>Operating Profit Margin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ratios'!$B$5:$L$5</c15:sqref>
                  </c15:fullRef>
                </c:ext>
              </c:extLst>
              <c:f>'financial ratios'!$C$5:$L$5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ratios'!$B$8:$L$8</c15:sqref>
                  </c15:fullRef>
                </c:ext>
              </c:extLst>
              <c:f>'financial ratios'!$C$8:$L$8</c:f>
              <c:numCache>
                <c:formatCode>General</c:formatCode>
                <c:ptCount val="10"/>
                <c:pt idx="0">
                  <c:v>5.5898165555100264E-2</c:v>
                </c:pt>
                <c:pt idx="1">
                  <c:v>4.9996888805923713E-2</c:v>
                </c:pt>
                <c:pt idx="2">
                  <c:v>4.6851749325441013E-2</c:v>
                </c:pt>
                <c:pt idx="3">
                  <c:v>4.084597965795464E-2</c:v>
                </c:pt>
                <c:pt idx="4">
                  <c:v>4.268426628823592E-2</c:v>
                </c:pt>
                <c:pt idx="5">
                  <c:v>3.9254605278225219E-2</c:v>
                </c:pt>
                <c:pt idx="6">
                  <c:v>4.032542193432543E-2</c:v>
                </c:pt>
                <c:pt idx="7">
                  <c:v>4.5293441861602016E-2</c:v>
                </c:pt>
                <c:pt idx="8">
                  <c:v>3.3417908714208827E-2</c:v>
                </c:pt>
                <c:pt idx="9">
                  <c:v>4.16771456123433E-2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3-4D5A-89F0-EAAEAD1E3815}"/>
            </c:ext>
          </c:extLst>
        </c:ser>
        <c:ser>
          <c:idx val="3"/>
          <c:order val="3"/>
          <c:tx>
            <c:strRef>
              <c:f>'financial ratios'!$A$9</c:f>
              <c:strCache>
                <c:ptCount val="1"/>
                <c:pt idx="0">
                  <c:v>Return On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ratios'!$B$5:$L$5</c15:sqref>
                  </c15:fullRef>
                </c:ext>
              </c:extLst>
              <c:f>'financial ratios'!$C$5:$L$5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ratios'!$B$9:$L$9</c15:sqref>
                  </c15:fullRef>
                </c:ext>
              </c:extLst>
              <c:f>'financial ratios'!$C$9:$L$9</c:f>
              <c:numCache>
                <c:formatCode>General</c:formatCode>
                <c:ptCount val="10"/>
                <c:pt idx="0">
                  <c:v>8.0326549046174395E-2</c:v>
                </c:pt>
                <c:pt idx="1">
                  <c:v>7.36242427886422E-2</c:v>
                </c:pt>
                <c:pt idx="2">
                  <c:v>6.8618131522695844E-2</c:v>
                </c:pt>
                <c:pt idx="3">
                  <c:v>4.8219751420385093E-2</c:v>
                </c:pt>
                <c:pt idx="4">
                  <c:v>3.0415650151622245E-2</c:v>
                </c:pt>
                <c:pt idx="5">
                  <c:v>6.2923106196748346E-2</c:v>
                </c:pt>
                <c:pt idx="6">
                  <c:v>5.3505798111653256E-2</c:v>
                </c:pt>
                <c:pt idx="7">
                  <c:v>5.5840071877807727E-2</c:v>
                </c:pt>
                <c:pt idx="8">
                  <c:v>4.8026908226663979E-2</c:v>
                </c:pt>
                <c:pt idx="9">
                  <c:v>6.1454284684170697E-2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3-4D5A-89F0-EAAEAD1E3815}"/>
            </c:ext>
          </c:extLst>
        </c:ser>
        <c:ser>
          <c:idx val="4"/>
          <c:order val="4"/>
          <c:tx>
            <c:strRef>
              <c:f>'financial ratios'!$A$10</c:f>
              <c:strCache>
                <c:ptCount val="1"/>
                <c:pt idx="0">
                  <c:v>Return on equity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ratios'!$B$5:$L$5</c15:sqref>
                  </c15:fullRef>
                </c:ext>
              </c:extLst>
              <c:f>'financial ratios'!$C$5:$L$5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ratios'!$B$10:$L$10</c15:sqref>
                  </c15:fullRef>
                </c:ext>
              </c:extLst>
              <c:f>'financial ratios'!$C$10:$L$10</c:f>
              <c:numCache>
                <c:formatCode>General</c:formatCode>
                <c:ptCount val="10"/>
                <c:pt idx="0">
                  <c:v>8.0326549046174395E-2</c:v>
                </c:pt>
                <c:pt idx="1">
                  <c:v>7.36242427886422E-2</c:v>
                </c:pt>
                <c:pt idx="2">
                  <c:v>6.8618131522695844E-2</c:v>
                </c:pt>
                <c:pt idx="3">
                  <c:v>4.8219751420385093E-2</c:v>
                </c:pt>
                <c:pt idx="4">
                  <c:v>3.0415650151622245E-2</c:v>
                </c:pt>
                <c:pt idx="5">
                  <c:v>6.2923106196748346E-2</c:v>
                </c:pt>
                <c:pt idx="6">
                  <c:v>5.3505798111653256E-2</c:v>
                </c:pt>
                <c:pt idx="7">
                  <c:v>5.5840071877807727E-2</c:v>
                </c:pt>
                <c:pt idx="8">
                  <c:v>4.8026908226663979E-2</c:v>
                </c:pt>
                <c:pt idx="9">
                  <c:v>6.1454284684170697E-2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3-4D5A-89F0-EAAEAD1E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85552"/>
        <c:axId val="539513984"/>
      </c:barChart>
      <c:catAx>
        <c:axId val="5388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13984"/>
        <c:crosses val="autoZero"/>
        <c:auto val="1"/>
        <c:lblAlgn val="ctr"/>
        <c:lblOffset val="100"/>
        <c:noMultiLvlLbl val="0"/>
      </c:catAx>
      <c:valAx>
        <c:axId val="539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Liquidity</a:t>
            </a:r>
            <a:r>
              <a:rPr lang="en-IN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ratios'!$A$13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ratios'!$B$12:$L$12</c15:sqref>
                  </c15:fullRef>
                </c:ext>
              </c:extLst>
              <c:f>'financial ratios'!$C$12:$L$12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ratios'!$B$13:$L$13</c15:sqref>
                  </c15:fullRef>
                </c:ext>
              </c:extLst>
              <c:f>'financial ratios'!$C$13:$L$13</c:f>
              <c:numCache>
                <c:formatCode>General</c:formatCode>
                <c:ptCount val="10"/>
                <c:pt idx="0">
                  <c:v>0.96945091310209586</c:v>
                </c:pt>
                <c:pt idx="1">
                  <c:v>0.93221807827419179</c:v>
                </c:pt>
                <c:pt idx="2">
                  <c:v>0.86195613196270615</c:v>
                </c:pt>
                <c:pt idx="3">
                  <c:v>0.75984768405904157</c:v>
                </c:pt>
                <c:pt idx="4">
                  <c:v>0.79890806303806294</c:v>
                </c:pt>
                <c:pt idx="5">
                  <c:v>0.7945237177015041</c:v>
                </c:pt>
                <c:pt idx="6">
                  <c:v>0.97217334988396564</c:v>
                </c:pt>
                <c:pt idx="7">
                  <c:v>0.92779729683333523</c:v>
                </c:pt>
                <c:pt idx="8">
                  <c:v>0.82057094513980777</c:v>
                </c:pt>
                <c:pt idx="9">
                  <c:v>0.83186712113834338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0-4981-952E-CD993FDA070F}"/>
            </c:ext>
          </c:extLst>
        </c:ser>
        <c:ser>
          <c:idx val="1"/>
          <c:order val="1"/>
          <c:tx>
            <c:strRef>
              <c:f>'financial ratios'!$A$14</c:f>
              <c:strCache>
                <c:ptCount val="1"/>
                <c:pt idx="0">
                  <c:v>Quick Ratios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ratios'!$B$12:$L$12</c15:sqref>
                  </c15:fullRef>
                </c:ext>
              </c:extLst>
              <c:f>'financial ratios'!$C$12:$L$12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ratios'!$B$14:$L$14</c15:sqref>
                  </c15:fullRef>
                </c:ext>
              </c:extLst>
              <c:f>'financial ratios'!$C$14:$L$14</c:f>
              <c:numCache>
                <c:formatCode>General</c:formatCode>
                <c:ptCount val="10"/>
                <c:pt idx="0">
                  <c:v>0.2778679985292315</c:v>
                </c:pt>
                <c:pt idx="1">
                  <c:v>0.24404586886209939</c:v>
                </c:pt>
                <c:pt idx="2">
                  <c:v>0.21878735357398996</c:v>
                </c:pt>
                <c:pt idx="3">
                  <c:v>0.20225162695329912</c:v>
                </c:pt>
                <c:pt idx="4">
                  <c:v>0.2275255882390903</c:v>
                </c:pt>
                <c:pt idx="5">
                  <c:v>0.22330633757552384</c:v>
                </c:pt>
                <c:pt idx="6">
                  <c:v>0.48699875870257436</c:v>
                </c:pt>
                <c:pt idx="7">
                  <c:v>0.28106295563007128</c:v>
                </c:pt>
                <c:pt idx="8">
                  <c:v>0.20693507451354692</c:v>
                </c:pt>
                <c:pt idx="9">
                  <c:v>0.23789428123140183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0-4981-952E-CD993FDA070F}"/>
            </c:ext>
          </c:extLst>
        </c:ser>
        <c:ser>
          <c:idx val="2"/>
          <c:order val="2"/>
          <c:tx>
            <c:strRef>
              <c:f>'financial ratios'!$A$15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ratios'!$B$12:$L$12</c15:sqref>
                  </c15:fullRef>
                </c:ext>
              </c:extLst>
              <c:f>'financial ratios'!$C$12:$L$12</c:f>
              <c:strCache>
                <c:ptCount val="10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  <c:pt idx="9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ratios'!$B$15:$L$15</c15:sqref>
                  </c15:fullRef>
                </c:ext>
              </c:extLst>
              <c:f>'financial ratios'!$C$15:$L$15</c:f>
              <c:numCache>
                <c:formatCode>General</c:formatCode>
                <c:ptCount val="10"/>
                <c:pt idx="0">
                  <c:v>0.13995281284471137</c:v>
                </c:pt>
                <c:pt idx="1">
                  <c:v>0.13471270059889506</c:v>
                </c:pt>
                <c:pt idx="2">
                  <c:v>0.10260279703562036</c:v>
                </c:pt>
                <c:pt idx="3">
                  <c:v>8.6040677016339578E-2</c:v>
                </c:pt>
                <c:pt idx="4">
                  <c:v>9.9668288653406822E-2</c:v>
                </c:pt>
                <c:pt idx="5">
                  <c:v>0.12167373698418819</c:v>
                </c:pt>
                <c:pt idx="6">
                  <c:v>0.19149441416158455</c:v>
                </c:pt>
                <c:pt idx="7">
                  <c:v>0.16891930555396606</c:v>
                </c:pt>
                <c:pt idx="8">
                  <c:v>9.3548666999284144E-2</c:v>
                </c:pt>
                <c:pt idx="9">
                  <c:v>0.10676838175620841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0-4981-952E-CD993FDA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81232"/>
        <c:axId val="539499104"/>
      </c:barChart>
      <c:catAx>
        <c:axId val="5388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9104"/>
        <c:crosses val="autoZero"/>
        <c:auto val="1"/>
        <c:lblAlgn val="ctr"/>
        <c:lblOffset val="100"/>
        <c:noMultiLvlLbl val="0"/>
      </c:catAx>
      <c:valAx>
        <c:axId val="5394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ratios'!$A$18</c:f>
              <c:strCache>
                <c:ptCount val="1"/>
                <c:pt idx="0">
                  <c:v>Debt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'financial ratios'!$C$5:$L$5</c15:sqref>
                  </c15:fullRef>
                </c:ext>
              </c:extLst>
              <c:f>'financial ratios'!$D$5:$L$5</c:f>
              <c:strCache>
                <c:ptCount val="9"/>
                <c:pt idx="0">
                  <c:v>01/31/2016</c:v>
                </c:pt>
                <c:pt idx="1">
                  <c:v>01/31/2017</c:v>
                </c:pt>
                <c:pt idx="2">
                  <c:v>01/31/2018</c:v>
                </c:pt>
                <c:pt idx="3">
                  <c:v>01/31/2019</c:v>
                </c:pt>
                <c:pt idx="4">
                  <c:v>01/31/2020</c:v>
                </c:pt>
                <c:pt idx="5">
                  <c:v>01/31/2021</c:v>
                </c:pt>
                <c:pt idx="6">
                  <c:v>01/31/2022</c:v>
                </c:pt>
                <c:pt idx="7">
                  <c:v>01/31/2023</c:v>
                </c:pt>
                <c:pt idx="8">
                  <c:v>01/31/2024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ratios'!$B$18:$L$18</c15:sqref>
                  </c15:fullRef>
                </c:ext>
              </c:extLst>
              <c:f>'financial ratios'!$C$18:$L$18</c:f>
              <c:numCache>
                <c:formatCode>0.0000000</c:formatCode>
                <c:ptCount val="10"/>
                <c:pt idx="0">
                  <c:v>0.79618508802427379</c:v>
                </c:pt>
                <c:pt idx="1">
                  <c:v>0.83059147728215943</c:v>
                </c:pt>
                <c:pt idx="2">
                  <c:v>0.79630432144776297</c:v>
                </c:pt>
                <c:pt idx="3">
                  <c:v>0.77914655403593458</c:v>
                </c:pt>
                <c:pt idx="4">
                  <c:v>0.93757371116532306</c:v>
                </c:pt>
                <c:pt idx="5">
                  <c:v>0.88128984241012198</c:v>
                </c:pt>
                <c:pt idx="6">
                  <c:v>0.54260717021772675</c:v>
                </c:pt>
                <c:pt idx="7">
                  <c:v>0.52832120389786608</c:v>
                </c:pt>
                <c:pt idx="8">
                  <c:v>0.58980900138787917</c:v>
                </c:pt>
                <c:pt idx="9">
                  <c:v>0.60994835906708122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9-4FAB-87B5-42657AF1C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877872"/>
        <c:axId val="223538160"/>
      </c:lineChart>
      <c:catAx>
        <c:axId val="53887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38160"/>
        <c:crosses val="autoZero"/>
        <c:auto val="1"/>
        <c:lblAlgn val="ctr"/>
        <c:lblOffset val="100"/>
        <c:noMultiLvlLbl val="0"/>
      </c:catAx>
      <c:valAx>
        <c:axId val="2235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7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</a:t>
            </a:r>
            <a:r>
              <a:rPr lang="en-IN" baseline="0"/>
              <a:t> On Assets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ROA WALMART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Sheet1!$C$4:$M$4</c15:sqref>
                  </c15:fullRef>
                </c:ext>
              </c:extLst>
              <c:f>Sheet1!$E$4:$M$4</c:f>
              <c:numCache>
                <c:formatCode>General</c:formatCode>
                <c:ptCount val="9"/>
                <c:pt idx="0">
                  <c:v>-1.3941161179488919E-2</c:v>
                </c:pt>
                <c:pt idx="1">
                  <c:v>-1.2630089363314242E-2</c:v>
                </c:pt>
                <c:pt idx="2">
                  <c:v>-2.8700433152942954E-2</c:v>
                </c:pt>
                <c:pt idx="3">
                  <c:v>-5.6493191970292234E-2</c:v>
                </c:pt>
                <c:pt idx="4">
                  <c:v>-2.3176159320712924E-3</c:v>
                </c:pt>
                <c:pt idx="5">
                  <c:v>-1.0987367849765466E-2</c:v>
                </c:pt>
                <c:pt idx="6">
                  <c:v>-3.8273013458409923E-2</c:v>
                </c:pt>
                <c:pt idx="7">
                  <c:v>-1.6860206552354599E-2</c:v>
                </c:pt>
                <c:pt idx="8">
                  <c:v>-2.3487780804970458E-2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861-AB0A-8210D1FFA0FE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Roa costco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Sheet1!$C$5:$M$5</c15:sqref>
                  </c15:fullRef>
                </c:ext>
              </c:extLst>
              <c:f>Sheet1!$E$5:$M$5</c:f>
              <c:numCache>
                <c:formatCode>General</c:formatCode>
                <c:ptCount val="9"/>
                <c:pt idx="0">
                  <c:v>0.26378870269670401</c:v>
                </c:pt>
                <c:pt idx="1">
                  <c:v>0.30872306883867578</c:v>
                </c:pt>
                <c:pt idx="2">
                  <c:v>0.27883014154870939</c:v>
                </c:pt>
                <c:pt idx="3">
                  <c:v>0.27890006229420666</c:v>
                </c:pt>
                <c:pt idx="4">
                  <c:v>0.31329737135028685</c:v>
                </c:pt>
                <c:pt idx="5">
                  <c:v>0.28238780694326843</c:v>
                </c:pt>
                <c:pt idx="6">
                  <c:v>0.30759307040176925</c:v>
                </c:pt>
                <c:pt idx="7">
                  <c:v>0.32743164500224115</c:v>
                </c:pt>
                <c:pt idx="8">
                  <c:v>0.35989246696791166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D-4861-AB0A-8210D1FFA0FE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Roa amazon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Sheet1!$C$6:$M$6</c15:sqref>
                  </c15:fullRef>
                </c:ext>
              </c:extLst>
              <c:f>Sheet1!$E$6:$M$6</c:f>
              <c:numCache>
                <c:formatCode>General</c:formatCode>
                <c:ptCount val="9"/>
                <c:pt idx="0">
                  <c:v>-1.4642444862992892E-2</c:v>
                </c:pt>
                <c:pt idx="1">
                  <c:v>2.9219983330881993E-2</c:v>
                </c:pt>
                <c:pt idx="2">
                  <c:v>9.3682089375321034E-2</c:v>
                </c:pt>
                <c:pt idx="3">
                  <c:v>8.7618442338802865E-2</c:v>
                </c:pt>
                <c:pt idx="4">
                  <c:v>0.26374633431085043</c:v>
                </c:pt>
                <c:pt idx="5">
                  <c:v>0.24559693109806499</c:v>
                </c:pt>
                <c:pt idx="6">
                  <c:v>0.29406250430802738</c:v>
                </c:pt>
                <c:pt idx="7">
                  <c:v>0.42413302145835452</c:v>
                </c:pt>
                <c:pt idx="8">
                  <c:v>-3.4195979899497485E-2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D-4861-AB0A-8210D1FF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350912"/>
        <c:axId val="733244608"/>
      </c:barChart>
      <c:catAx>
        <c:axId val="31135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608"/>
        <c:crosses val="autoZero"/>
        <c:auto val="1"/>
        <c:lblAlgn val="ctr"/>
        <c:lblOffset val="100"/>
        <c:noMultiLvlLbl val="0"/>
      </c:catAx>
      <c:valAx>
        <c:axId val="7332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</a:t>
            </a:r>
            <a:r>
              <a:rPr lang="en-IN" baseline="0"/>
              <a:t> to equity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Debt to equity costco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Sheet1!$B$14:$J$14</c:f>
              <c:numCache>
                <c:formatCode>General</c:formatCode>
                <c:ptCount val="9"/>
                <c:pt idx="0">
                  <c:v>1.6842233601560594</c:v>
                </c:pt>
                <c:pt idx="1">
                  <c:v>2.149665630592446</c:v>
                </c:pt>
                <c:pt idx="2">
                  <c:v>1.7455087341667357</c:v>
                </c:pt>
                <c:pt idx="3">
                  <c:v>2.3723325292262016</c:v>
                </c:pt>
                <c:pt idx="4">
                  <c:v>2.1900929760137511</c:v>
                </c:pt>
                <c:pt idx="5">
                  <c:v>1.9784163222462769</c:v>
                </c:pt>
                <c:pt idx="6">
                  <c:v>2.0385036097134108</c:v>
                </c:pt>
                <c:pt idx="7">
                  <c:v>2.3744021862901388</c:v>
                </c:pt>
                <c:pt idx="8">
                  <c:v>2.1085166166069178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0-44D6-9382-A05EC9BDBCB1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Debt to equity 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Sheet1!$B$15:$J$15</c:f>
              <c:numCache>
                <c:formatCode>General</c:formatCode>
                <c:ptCount val="9"/>
                <c:pt idx="0">
                  <c:v>4.0744809608043946</c:v>
                </c:pt>
                <c:pt idx="1">
                  <c:v>3.8897190675433353</c:v>
                </c:pt>
                <c:pt idx="2">
                  <c:v>3.3247083225304639</c:v>
                </c:pt>
                <c:pt idx="3">
                  <c:v>3.7388935003067596</c:v>
                </c:pt>
                <c:pt idx="4">
                  <c:v>2.734827435762015</c:v>
                </c:pt>
                <c:pt idx="5">
                  <c:v>2.6295198195294875</c:v>
                </c:pt>
                <c:pt idx="6">
                  <c:v>2.4387713588283155</c:v>
                </c:pt>
                <c:pt idx="7">
                  <c:v>2.0420557705522802</c:v>
                </c:pt>
                <c:pt idx="8">
                  <c:v>2.1680737864875415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0-44D6-9382-A05EC9BDBCB1}"/>
            </c:ext>
          </c:extLst>
        </c:ser>
        <c:ser>
          <c:idx val="2"/>
          <c:order val="2"/>
          <c:tx>
            <c:strRef>
              <c:f>Sheet1!$A$16</c:f>
              <c:strCache>
                <c:ptCount val="1"/>
                <c:pt idx="0">
                  <c:v>Debt to equity walmart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Sheet1!$B$16:$J$16</c:f>
              <c:numCache>
                <c:formatCode>General</c:formatCode>
                <c:ptCount val="9"/>
                <c:pt idx="0">
                  <c:v>1.5027151878516845</c:v>
                </c:pt>
                <c:pt idx="1">
                  <c:v>1.4778511657934597</c:v>
                </c:pt>
                <c:pt idx="2">
                  <c:v>1.5556569577624104</c:v>
                </c:pt>
                <c:pt idx="3">
                  <c:v>1.6264880761278557</c:v>
                </c:pt>
                <c:pt idx="4">
                  <c:v>2.0249255131317589</c:v>
                </c:pt>
                <c:pt idx="5">
                  <c:v>2.1672447736008249</c:v>
                </c:pt>
                <c:pt idx="6">
                  <c:v>2.1201235712079085</c:v>
                </c:pt>
                <c:pt idx="7">
                  <c:v>1.9411552736838311</c:v>
                </c:pt>
                <c:pt idx="8">
                  <c:v>2.1710455973817688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0-44D6-9382-A05EC9BD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30768"/>
        <c:axId val="172937888"/>
      </c:lineChart>
      <c:catAx>
        <c:axId val="1730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7888"/>
        <c:crosses val="autoZero"/>
        <c:auto val="1"/>
        <c:lblAlgn val="ctr"/>
        <c:lblOffset val="100"/>
        <c:noMultiLvlLbl val="0"/>
      </c:catAx>
      <c:valAx>
        <c:axId val="1729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708660</xdr:colOff>
      <xdr:row>7</xdr:row>
      <xdr:rowOff>41910</xdr:rowOff>
    </xdr:from>
    <xdr:to>
      <xdr:col>18</xdr:col>
      <xdr:colOff>114300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D18E2-2310-48F4-1CDE-E91640019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739140</xdr:colOff>
      <xdr:row>22</xdr:row>
      <xdr:rowOff>140970</xdr:rowOff>
    </xdr:from>
    <xdr:to>
      <xdr:col>18</xdr:col>
      <xdr:colOff>373380</xdr:colOff>
      <xdr:row>38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940B7B-0F9F-F0C4-C17D-34F638426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16</xdr:row>
      <xdr:rowOff>0</xdr:rowOff>
    </xdr:from>
    <xdr:to>
      <xdr:col>26</xdr:col>
      <xdr:colOff>457200</xdr:colOff>
      <xdr:row>28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77322E-14D6-4961-8605-59C10AE5C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60960</xdr:colOff>
      <xdr:row>44</xdr:row>
      <xdr:rowOff>64770</xdr:rowOff>
    </xdr:from>
    <xdr:to>
      <xdr:col>18</xdr:col>
      <xdr:colOff>518160</xdr:colOff>
      <xdr:row>60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DECB2-64D8-8A9B-8C78-E201AF46F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5</xdr:row>
      <xdr:rowOff>72390</xdr:rowOff>
    </xdr:from>
    <xdr:to>
      <xdr:col>21</xdr:col>
      <xdr:colOff>152400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62E76-C423-7027-3AB0-09A80A906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441960</xdr:colOff>
      <xdr:row>23</xdr:row>
      <xdr:rowOff>34290</xdr:rowOff>
    </xdr:from>
    <xdr:to>
      <xdr:col>21</xdr:col>
      <xdr:colOff>137160</xdr:colOff>
      <xdr:row>39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73C69-931F-BF58-FAF0-C86AB4897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338BA2-5E86-4020-9F7C-A88053E3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81200" cy="476250"/>
        </a:xfrm>
        <a:prstGeom prst="rect">
          <a:avLst/>
        </a:prstGeom>
      </xdr:spPr>
    </xdr:pic>
    <xdr:clientData/>
  </xdr:oneCellAnchor>
  <xdr:twoCellAnchor>
    <xdr:from>
      <xdr:col>11</xdr:col>
      <xdr:colOff>243840</xdr:colOff>
      <xdr:row>7</xdr:row>
      <xdr:rowOff>26670</xdr:rowOff>
    </xdr:from>
    <xdr:to>
      <xdr:col>16</xdr:col>
      <xdr:colOff>701040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56423-F95B-A11F-3142-4664AF5DF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541020</xdr:colOff>
      <xdr:row>27</xdr:row>
      <xdr:rowOff>72390</xdr:rowOff>
    </xdr:from>
    <xdr:to>
      <xdr:col>17</xdr:col>
      <xdr:colOff>175260</xdr:colOff>
      <xdr:row>43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9B63B1-33D2-2771-11CA-7A0E5C550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571500</xdr:colOff>
      <xdr:row>46</xdr:row>
      <xdr:rowOff>72390</xdr:rowOff>
    </xdr:from>
    <xdr:to>
      <xdr:col>17</xdr:col>
      <xdr:colOff>205740</xdr:colOff>
      <xdr:row>62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57A49C-A154-0003-246B-EC04E6237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586740</xdr:colOff>
      <xdr:row>65</xdr:row>
      <xdr:rowOff>102870</xdr:rowOff>
    </xdr:from>
    <xdr:to>
      <xdr:col>17</xdr:col>
      <xdr:colOff>220980</xdr:colOff>
      <xdr:row>81</xdr:row>
      <xdr:rowOff>163830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159FF0-EF45-6859-C12E-F06618A18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830580</xdr:colOff>
      <xdr:row>68</xdr:row>
      <xdr:rowOff>64770</xdr:rowOff>
    </xdr:from>
    <xdr:to>
      <xdr:col>11</xdr:col>
      <xdr:colOff>160020</xdr:colOff>
      <xdr:row>84</xdr:row>
      <xdr:rowOff>125730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104621-0199-10AB-D3E3-18FA75205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1059180</xdr:colOff>
      <xdr:row>68</xdr:row>
      <xdr:rowOff>110490</xdr:rowOff>
    </xdr:from>
    <xdr:to>
      <xdr:col>7</xdr:col>
      <xdr:colOff>388620</xdr:colOff>
      <xdr:row>85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3476F1-204A-FB45-D0C9-8A50DC579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10</xdr:row>
      <xdr:rowOff>118110</xdr:rowOff>
    </xdr:from>
    <xdr:to>
      <xdr:col>22</xdr:col>
      <xdr:colOff>243840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ADBBE-6DC7-C996-8CD9-E1A278BB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388620</xdr:colOff>
      <xdr:row>29</xdr:row>
      <xdr:rowOff>156210</xdr:rowOff>
    </xdr:from>
    <xdr:to>
      <xdr:col>22</xdr:col>
      <xdr:colOff>83820</xdr:colOff>
      <xdr:row>46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B349B-2893-D38A-83E0-A1AB30443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0</xdr:row>
      <xdr:rowOff>49530</xdr:rowOff>
    </xdr:from>
    <xdr:to>
      <xdr:col>21</xdr:col>
      <xdr:colOff>190500</xdr:colOff>
      <xdr:row>13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32C27-EC6C-185A-9BB4-1481C2E9E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475128</xdr:colOff>
      <xdr:row>5</xdr:row>
      <xdr:rowOff>80684</xdr:rowOff>
    </xdr:from>
    <xdr:to>
      <xdr:col>28</xdr:col>
      <xdr:colOff>533847</xdr:colOff>
      <xdr:row>20</xdr:row>
      <xdr:rowOff>94354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8D93B-9ECD-EBF5-1265-A836B0283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35858</xdr:colOff>
      <xdr:row>22</xdr:row>
      <xdr:rowOff>170328</xdr:rowOff>
    </xdr:from>
    <xdr:to>
      <xdr:col>24</xdr:col>
      <xdr:colOff>266699</xdr:colOff>
      <xdr:row>34</xdr:row>
      <xdr:rowOff>44824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0CE13D-7595-B4FC-1BE2-E5902121F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0</xdr:row>
      <xdr:rowOff>72390</xdr:rowOff>
    </xdr:from>
    <xdr:to>
      <xdr:col>21</xdr:col>
      <xdr:colOff>327660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FF5C6-A212-5865-486D-D78B84846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18</xdr:row>
      <xdr:rowOff>80010</xdr:rowOff>
    </xdr:from>
    <xdr:to>
      <xdr:col>21</xdr:col>
      <xdr:colOff>419100</xdr:colOff>
      <xdr:row>34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6EBE4-6C48-1FB2-9021-902B6258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nn\Downloads\WMT.csv" TargetMode="External"/><Relationship Id="rId1" Type="http://schemas.openxmlformats.org/officeDocument/2006/relationships/externalLinkPath" Target="/Users/chenn/Downloads/WM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nn\Downloads\Costco1.xlsx" TargetMode="External"/><Relationship Id="rId1" Type="http://schemas.openxmlformats.org/officeDocument/2006/relationships/externalLinkPath" Target="/Users/chenn/Downloads/Costco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nn\Downloads\standardized%20(1).xlsx" TargetMode="External"/><Relationship Id="rId1" Type="http://schemas.openxmlformats.org/officeDocument/2006/relationships/externalLinkPath" Target="/Users/chenn/Downloads/standardized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nn\OneDrive\Documents\WMT.xlsx" TargetMode="External"/><Relationship Id="rId1" Type="http://schemas.openxmlformats.org/officeDocument/2006/relationships/externalLinkPath" Target="/Users/chenn/OneDrive/Documents/W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T"/>
    </sheetNames>
    <sheetDataSet>
      <sheetData sheetId="0">
        <row r="1">
          <cell r="B1" t="str">
            <v>Adj Close</v>
          </cell>
        </row>
        <row r="2">
          <cell r="A2">
            <v>41660</v>
          </cell>
          <cell r="B2">
            <v>61.297370999999998</v>
          </cell>
        </row>
        <row r="3">
          <cell r="A3">
            <v>41661</v>
          </cell>
          <cell r="B3">
            <v>60.901299000000002</v>
          </cell>
        </row>
        <row r="4">
          <cell r="A4">
            <v>41662</v>
          </cell>
          <cell r="B4">
            <v>60.586067</v>
          </cell>
        </row>
        <row r="5">
          <cell r="A5">
            <v>41663</v>
          </cell>
          <cell r="B5">
            <v>60.149631999999997</v>
          </cell>
        </row>
        <row r="6">
          <cell r="A6">
            <v>41666</v>
          </cell>
          <cell r="B6">
            <v>59.931407999999998</v>
          </cell>
        </row>
        <row r="7">
          <cell r="A7">
            <v>41667</v>
          </cell>
          <cell r="B7">
            <v>60.351700000000001</v>
          </cell>
        </row>
        <row r="8">
          <cell r="A8">
            <v>41668</v>
          </cell>
          <cell r="B8">
            <v>59.890984000000003</v>
          </cell>
        </row>
        <row r="9">
          <cell r="A9">
            <v>41669</v>
          </cell>
          <cell r="B9">
            <v>60.416370000000001</v>
          </cell>
        </row>
        <row r="10">
          <cell r="A10">
            <v>41670</v>
          </cell>
          <cell r="B10">
            <v>60.359779000000003</v>
          </cell>
        </row>
        <row r="11">
          <cell r="A11">
            <v>41673</v>
          </cell>
          <cell r="B11">
            <v>58.727119000000002</v>
          </cell>
        </row>
        <row r="12">
          <cell r="A12">
            <v>41674</v>
          </cell>
          <cell r="B12">
            <v>58.783687999999998</v>
          </cell>
        </row>
        <row r="13">
          <cell r="A13">
            <v>41675</v>
          </cell>
          <cell r="B13">
            <v>58.896842999999997</v>
          </cell>
        </row>
        <row r="14">
          <cell r="A14">
            <v>41676</v>
          </cell>
          <cell r="B14">
            <v>58.856453000000002</v>
          </cell>
        </row>
        <row r="15">
          <cell r="A15">
            <v>41677</v>
          </cell>
          <cell r="B15">
            <v>59.608111999999998</v>
          </cell>
        </row>
        <row r="16">
          <cell r="A16">
            <v>41680</v>
          </cell>
          <cell r="B16">
            <v>59.616196000000002</v>
          </cell>
        </row>
        <row r="17">
          <cell r="A17">
            <v>41681</v>
          </cell>
          <cell r="B17">
            <v>60.456783000000001</v>
          </cell>
        </row>
        <row r="18">
          <cell r="A18">
            <v>41682</v>
          </cell>
          <cell r="B18">
            <v>60.586067</v>
          </cell>
        </row>
        <row r="19">
          <cell r="A19">
            <v>41683</v>
          </cell>
          <cell r="B19">
            <v>60.909393000000001</v>
          </cell>
        </row>
        <row r="20">
          <cell r="A20">
            <v>41684</v>
          </cell>
          <cell r="B20">
            <v>61.256923999999998</v>
          </cell>
        </row>
        <row r="21">
          <cell r="A21">
            <v>41688</v>
          </cell>
          <cell r="B21">
            <v>60.885123999999998</v>
          </cell>
        </row>
        <row r="22">
          <cell r="A22">
            <v>41689</v>
          </cell>
          <cell r="B22">
            <v>60.497211</v>
          </cell>
        </row>
        <row r="23">
          <cell r="A23">
            <v>41690</v>
          </cell>
          <cell r="B23">
            <v>59.422215000000001</v>
          </cell>
        </row>
        <row r="24">
          <cell r="A24">
            <v>41691</v>
          </cell>
          <cell r="B24">
            <v>59.098922999999999</v>
          </cell>
        </row>
        <row r="25">
          <cell r="A25">
            <v>41694</v>
          </cell>
          <cell r="B25">
            <v>59.284813</v>
          </cell>
        </row>
        <row r="26">
          <cell r="A26">
            <v>41695</v>
          </cell>
          <cell r="B26">
            <v>59.284813</v>
          </cell>
        </row>
        <row r="27">
          <cell r="A27">
            <v>41696</v>
          </cell>
          <cell r="B27">
            <v>60.440612999999999</v>
          </cell>
        </row>
        <row r="28">
          <cell r="A28">
            <v>41697</v>
          </cell>
          <cell r="B28">
            <v>60.262774999999998</v>
          </cell>
        </row>
        <row r="29">
          <cell r="A29">
            <v>41698</v>
          </cell>
          <cell r="B29">
            <v>60.375954</v>
          </cell>
        </row>
        <row r="30">
          <cell r="A30">
            <v>41701</v>
          </cell>
          <cell r="B30">
            <v>59.907173</v>
          </cell>
        </row>
        <row r="31">
          <cell r="A31">
            <v>41702</v>
          </cell>
          <cell r="B31">
            <v>60.723514999999999</v>
          </cell>
        </row>
        <row r="32">
          <cell r="A32">
            <v>41703</v>
          </cell>
          <cell r="B32">
            <v>60.456783000000001</v>
          </cell>
        </row>
        <row r="33">
          <cell r="A33">
            <v>41704</v>
          </cell>
          <cell r="B33">
            <v>60.521442</v>
          </cell>
        </row>
        <row r="34">
          <cell r="A34">
            <v>41705</v>
          </cell>
          <cell r="B34">
            <v>60.667839000000001</v>
          </cell>
        </row>
        <row r="35">
          <cell r="A35">
            <v>41708</v>
          </cell>
          <cell r="B35">
            <v>60.545830000000002</v>
          </cell>
        </row>
        <row r="36">
          <cell r="A36">
            <v>41709</v>
          </cell>
          <cell r="B36">
            <v>60.944431000000002</v>
          </cell>
        </row>
        <row r="37">
          <cell r="A37">
            <v>41710</v>
          </cell>
          <cell r="B37">
            <v>61.440617000000003</v>
          </cell>
        </row>
        <row r="38">
          <cell r="A38">
            <v>41711</v>
          </cell>
          <cell r="B38">
            <v>60.952553000000002</v>
          </cell>
        </row>
        <row r="39">
          <cell r="A39">
            <v>41712</v>
          </cell>
          <cell r="B39">
            <v>60.423805000000002</v>
          </cell>
        </row>
        <row r="40">
          <cell r="A40">
            <v>41715</v>
          </cell>
          <cell r="B40">
            <v>60.749195</v>
          </cell>
        </row>
        <row r="41">
          <cell r="A41">
            <v>41716</v>
          </cell>
          <cell r="B41">
            <v>60.822414000000002</v>
          </cell>
        </row>
        <row r="42">
          <cell r="A42">
            <v>41717</v>
          </cell>
          <cell r="B42">
            <v>60.505146000000003</v>
          </cell>
        </row>
        <row r="43">
          <cell r="A43">
            <v>41718</v>
          </cell>
          <cell r="B43">
            <v>61.318615000000001</v>
          </cell>
        </row>
        <row r="44">
          <cell r="A44">
            <v>41719</v>
          </cell>
          <cell r="B44">
            <v>61.904282000000002</v>
          </cell>
        </row>
        <row r="45">
          <cell r="A45">
            <v>41722</v>
          </cell>
          <cell r="B45">
            <v>62.441212</v>
          </cell>
        </row>
        <row r="46">
          <cell r="A46">
            <v>41723</v>
          </cell>
          <cell r="B46">
            <v>62.530684999999998</v>
          </cell>
        </row>
        <row r="47">
          <cell r="A47">
            <v>41724</v>
          </cell>
          <cell r="B47">
            <v>62.010052000000002</v>
          </cell>
        </row>
        <row r="48">
          <cell r="A48">
            <v>41725</v>
          </cell>
          <cell r="B48">
            <v>61.936844000000001</v>
          </cell>
        </row>
        <row r="49">
          <cell r="A49">
            <v>41726</v>
          </cell>
          <cell r="B49">
            <v>61.831116000000002</v>
          </cell>
        </row>
        <row r="50">
          <cell r="A50">
            <v>41729</v>
          </cell>
          <cell r="B50">
            <v>62.172744999999999</v>
          </cell>
        </row>
        <row r="51">
          <cell r="A51">
            <v>41730</v>
          </cell>
          <cell r="B51">
            <v>62.449337</v>
          </cell>
        </row>
        <row r="52">
          <cell r="A52">
            <v>41731</v>
          </cell>
          <cell r="B52">
            <v>62.782851999999998</v>
          </cell>
        </row>
        <row r="53">
          <cell r="A53">
            <v>41732</v>
          </cell>
          <cell r="B53">
            <v>63.010609000000002</v>
          </cell>
        </row>
        <row r="54">
          <cell r="A54">
            <v>41733</v>
          </cell>
          <cell r="B54">
            <v>62.888587999999999</v>
          </cell>
        </row>
        <row r="55">
          <cell r="A55">
            <v>41736</v>
          </cell>
          <cell r="B55">
            <v>62.888587999999999</v>
          </cell>
        </row>
        <row r="56">
          <cell r="A56">
            <v>41737</v>
          </cell>
          <cell r="B56">
            <v>63.596316999999999</v>
          </cell>
        </row>
        <row r="57">
          <cell r="A57">
            <v>41738</v>
          </cell>
          <cell r="B57">
            <v>63.425465000000003</v>
          </cell>
        </row>
        <row r="58">
          <cell r="A58">
            <v>41739</v>
          </cell>
          <cell r="B58">
            <v>62.546939999999999</v>
          </cell>
        </row>
        <row r="59">
          <cell r="A59">
            <v>41740</v>
          </cell>
          <cell r="B59">
            <v>62.229694000000002</v>
          </cell>
        </row>
        <row r="60">
          <cell r="A60">
            <v>41743</v>
          </cell>
          <cell r="B60">
            <v>62.945540999999999</v>
          </cell>
        </row>
        <row r="61">
          <cell r="A61">
            <v>41744</v>
          </cell>
          <cell r="B61">
            <v>62.538792000000001</v>
          </cell>
        </row>
        <row r="62">
          <cell r="A62">
            <v>41745</v>
          </cell>
          <cell r="B62">
            <v>62.815395000000002</v>
          </cell>
        </row>
        <row r="63">
          <cell r="A63">
            <v>41746</v>
          </cell>
          <cell r="B63">
            <v>63.173302</v>
          </cell>
        </row>
        <row r="64">
          <cell r="A64">
            <v>41750</v>
          </cell>
          <cell r="B64">
            <v>63.124507999999999</v>
          </cell>
        </row>
        <row r="65">
          <cell r="A65">
            <v>41751</v>
          </cell>
          <cell r="B65">
            <v>63.091971999999998</v>
          </cell>
        </row>
        <row r="66">
          <cell r="A66">
            <v>41752</v>
          </cell>
          <cell r="B66">
            <v>63.482425999999997</v>
          </cell>
        </row>
        <row r="67">
          <cell r="A67">
            <v>41753</v>
          </cell>
          <cell r="B67">
            <v>63.702067999999997</v>
          </cell>
        </row>
        <row r="68">
          <cell r="A68">
            <v>41754</v>
          </cell>
          <cell r="B68">
            <v>63.954242999999998</v>
          </cell>
        </row>
        <row r="69">
          <cell r="A69">
            <v>41757</v>
          </cell>
          <cell r="B69">
            <v>64.881584000000004</v>
          </cell>
        </row>
        <row r="70">
          <cell r="A70">
            <v>41758</v>
          </cell>
          <cell r="B70">
            <v>64.808350000000004</v>
          </cell>
        </row>
        <row r="71">
          <cell r="A71">
            <v>41759</v>
          </cell>
          <cell r="B71">
            <v>64.840896999999998</v>
          </cell>
        </row>
        <row r="72">
          <cell r="A72">
            <v>41760</v>
          </cell>
          <cell r="B72">
            <v>64.832779000000002</v>
          </cell>
        </row>
        <row r="73">
          <cell r="A73">
            <v>41761</v>
          </cell>
          <cell r="B73">
            <v>64.360969999999995</v>
          </cell>
        </row>
        <row r="74">
          <cell r="A74">
            <v>41764</v>
          </cell>
          <cell r="B74">
            <v>63.954242999999998</v>
          </cell>
        </row>
        <row r="75">
          <cell r="A75">
            <v>41765</v>
          </cell>
          <cell r="B75">
            <v>63.458019</v>
          </cell>
        </row>
        <row r="76">
          <cell r="A76">
            <v>41766</v>
          </cell>
          <cell r="B76">
            <v>63.809998</v>
          </cell>
        </row>
        <row r="77">
          <cell r="A77">
            <v>41767</v>
          </cell>
          <cell r="B77">
            <v>64.407486000000006</v>
          </cell>
        </row>
        <row r="78">
          <cell r="A78">
            <v>41768</v>
          </cell>
          <cell r="B78">
            <v>64.824905000000001</v>
          </cell>
        </row>
        <row r="79">
          <cell r="A79">
            <v>41771</v>
          </cell>
          <cell r="B79">
            <v>64.783957999999998</v>
          </cell>
        </row>
        <row r="80">
          <cell r="A80">
            <v>41772</v>
          </cell>
          <cell r="B80">
            <v>64.775810000000007</v>
          </cell>
        </row>
        <row r="81">
          <cell r="A81">
            <v>41773</v>
          </cell>
          <cell r="B81">
            <v>64.448418000000004</v>
          </cell>
        </row>
        <row r="82">
          <cell r="A82">
            <v>41774</v>
          </cell>
          <cell r="B82">
            <v>62.885055999999999</v>
          </cell>
        </row>
        <row r="83">
          <cell r="A83">
            <v>41775</v>
          </cell>
          <cell r="B83">
            <v>63.032420999999999</v>
          </cell>
        </row>
        <row r="84">
          <cell r="A84">
            <v>41778</v>
          </cell>
          <cell r="B84">
            <v>62.704998000000003</v>
          </cell>
        </row>
        <row r="85">
          <cell r="A85">
            <v>41779</v>
          </cell>
          <cell r="B85">
            <v>61.951996000000001</v>
          </cell>
        </row>
        <row r="86">
          <cell r="A86">
            <v>41780</v>
          </cell>
          <cell r="B86">
            <v>61.927447999999998</v>
          </cell>
        </row>
        <row r="87">
          <cell r="A87">
            <v>41781</v>
          </cell>
          <cell r="B87">
            <v>61.706432</v>
          </cell>
        </row>
        <row r="88">
          <cell r="A88">
            <v>41782</v>
          </cell>
          <cell r="B88">
            <v>61.886508999999997</v>
          </cell>
        </row>
        <row r="89">
          <cell r="A89">
            <v>41786</v>
          </cell>
          <cell r="B89">
            <v>61.870154999999997</v>
          </cell>
        </row>
        <row r="90">
          <cell r="A90">
            <v>41787</v>
          </cell>
          <cell r="B90">
            <v>61.821018000000002</v>
          </cell>
        </row>
        <row r="91">
          <cell r="A91">
            <v>41788</v>
          </cell>
          <cell r="B91">
            <v>62.189342000000003</v>
          </cell>
        </row>
        <row r="92">
          <cell r="A92">
            <v>41789</v>
          </cell>
          <cell r="B92">
            <v>62.835976000000002</v>
          </cell>
        </row>
        <row r="93">
          <cell r="A93">
            <v>41792</v>
          </cell>
          <cell r="B93">
            <v>62.827778000000002</v>
          </cell>
        </row>
        <row r="94">
          <cell r="A94">
            <v>41793</v>
          </cell>
          <cell r="B94">
            <v>62.786835000000004</v>
          </cell>
        </row>
        <row r="95">
          <cell r="A95">
            <v>41794</v>
          </cell>
          <cell r="B95">
            <v>63.130629999999996</v>
          </cell>
        </row>
        <row r="96">
          <cell r="A96">
            <v>41795</v>
          </cell>
          <cell r="B96">
            <v>63.286113999999998</v>
          </cell>
        </row>
        <row r="97">
          <cell r="A97">
            <v>41796</v>
          </cell>
          <cell r="B97">
            <v>63.196086999999999</v>
          </cell>
        </row>
        <row r="98">
          <cell r="A98">
            <v>41799</v>
          </cell>
          <cell r="B98">
            <v>63.032420999999999</v>
          </cell>
        </row>
        <row r="99">
          <cell r="A99">
            <v>41800</v>
          </cell>
          <cell r="B99">
            <v>62.713188000000002</v>
          </cell>
        </row>
        <row r="100">
          <cell r="A100">
            <v>41801</v>
          </cell>
          <cell r="B100">
            <v>62.336677999999999</v>
          </cell>
        </row>
        <row r="101">
          <cell r="A101">
            <v>41802</v>
          </cell>
          <cell r="B101">
            <v>61.984741</v>
          </cell>
        </row>
        <row r="102">
          <cell r="A102">
            <v>41803</v>
          </cell>
          <cell r="B102">
            <v>61.616394</v>
          </cell>
        </row>
        <row r="103">
          <cell r="A103">
            <v>41806</v>
          </cell>
          <cell r="B103">
            <v>61.665512</v>
          </cell>
        </row>
        <row r="104">
          <cell r="A104">
            <v>41807</v>
          </cell>
          <cell r="B104">
            <v>61.379044</v>
          </cell>
        </row>
        <row r="105">
          <cell r="A105">
            <v>41808</v>
          </cell>
          <cell r="B105">
            <v>61.960177999999999</v>
          </cell>
        </row>
        <row r="106">
          <cell r="A106">
            <v>41809</v>
          </cell>
          <cell r="B106">
            <v>62.099330999999999</v>
          </cell>
        </row>
        <row r="107">
          <cell r="A107">
            <v>41810</v>
          </cell>
          <cell r="B107">
            <v>61.943824999999997</v>
          </cell>
        </row>
        <row r="108">
          <cell r="A108">
            <v>41813</v>
          </cell>
          <cell r="B108">
            <v>62.033828999999997</v>
          </cell>
        </row>
        <row r="109">
          <cell r="A109">
            <v>41814</v>
          </cell>
          <cell r="B109">
            <v>62.181148999999998</v>
          </cell>
        </row>
        <row r="110">
          <cell r="A110">
            <v>41815</v>
          </cell>
          <cell r="B110">
            <v>61.894699000000003</v>
          </cell>
        </row>
        <row r="111">
          <cell r="A111">
            <v>41816</v>
          </cell>
          <cell r="B111">
            <v>61.313575999999998</v>
          </cell>
        </row>
        <row r="112">
          <cell r="A112">
            <v>41817</v>
          </cell>
          <cell r="B112">
            <v>61.665512</v>
          </cell>
        </row>
        <row r="113">
          <cell r="A113">
            <v>41820</v>
          </cell>
          <cell r="B113">
            <v>61.444527000000001</v>
          </cell>
        </row>
        <row r="114">
          <cell r="A114">
            <v>41821</v>
          </cell>
          <cell r="B114">
            <v>61.616394</v>
          </cell>
        </row>
        <row r="115">
          <cell r="A115">
            <v>41822</v>
          </cell>
          <cell r="B115">
            <v>61.894699000000003</v>
          </cell>
        </row>
        <row r="116">
          <cell r="A116">
            <v>41823</v>
          </cell>
          <cell r="B116">
            <v>62.001091000000002</v>
          </cell>
        </row>
        <row r="117">
          <cell r="A117">
            <v>41827</v>
          </cell>
          <cell r="B117">
            <v>62.262996999999999</v>
          </cell>
        </row>
        <row r="118">
          <cell r="A118">
            <v>41828</v>
          </cell>
          <cell r="B118">
            <v>62.737743000000002</v>
          </cell>
        </row>
        <row r="119">
          <cell r="A119">
            <v>41829</v>
          </cell>
          <cell r="B119">
            <v>63.196086999999999</v>
          </cell>
        </row>
        <row r="120">
          <cell r="A120">
            <v>41830</v>
          </cell>
          <cell r="B120">
            <v>63.073318</v>
          </cell>
        </row>
        <row r="121">
          <cell r="A121">
            <v>41831</v>
          </cell>
          <cell r="B121">
            <v>62.876891999999998</v>
          </cell>
        </row>
        <row r="122">
          <cell r="A122">
            <v>41834</v>
          </cell>
          <cell r="B122">
            <v>62.655903000000002</v>
          </cell>
        </row>
        <row r="123">
          <cell r="A123">
            <v>41835</v>
          </cell>
          <cell r="B123">
            <v>62.893256999999998</v>
          </cell>
        </row>
        <row r="124">
          <cell r="A124">
            <v>41836</v>
          </cell>
          <cell r="B124">
            <v>62.909626000000003</v>
          </cell>
        </row>
        <row r="125">
          <cell r="A125">
            <v>41837</v>
          </cell>
          <cell r="B125">
            <v>62.704998000000003</v>
          </cell>
        </row>
        <row r="126">
          <cell r="A126">
            <v>41838</v>
          </cell>
          <cell r="B126">
            <v>63.097892999999999</v>
          </cell>
        </row>
        <row r="127">
          <cell r="A127">
            <v>41841</v>
          </cell>
          <cell r="B127">
            <v>62.835976000000002</v>
          </cell>
        </row>
        <row r="128">
          <cell r="A128">
            <v>41842</v>
          </cell>
          <cell r="B128">
            <v>62.729560999999997</v>
          </cell>
        </row>
        <row r="129">
          <cell r="A129">
            <v>41843</v>
          </cell>
          <cell r="B129">
            <v>63.016022</v>
          </cell>
        </row>
        <row r="130">
          <cell r="A130">
            <v>41844</v>
          </cell>
          <cell r="B130">
            <v>62.492176000000001</v>
          </cell>
        </row>
        <row r="131">
          <cell r="A131">
            <v>41845</v>
          </cell>
          <cell r="B131">
            <v>62.181148999999998</v>
          </cell>
        </row>
        <row r="132">
          <cell r="A132">
            <v>41848</v>
          </cell>
          <cell r="B132">
            <v>61.968356999999997</v>
          </cell>
        </row>
        <row r="133">
          <cell r="A133">
            <v>41849</v>
          </cell>
          <cell r="B133">
            <v>61.74736</v>
          </cell>
        </row>
        <row r="134">
          <cell r="A134">
            <v>41850</v>
          </cell>
          <cell r="B134">
            <v>61.207165000000003</v>
          </cell>
        </row>
        <row r="135">
          <cell r="A135">
            <v>41851</v>
          </cell>
          <cell r="B135">
            <v>60.224957000000003</v>
          </cell>
        </row>
        <row r="136">
          <cell r="A136">
            <v>41852</v>
          </cell>
          <cell r="B136">
            <v>60.192230000000002</v>
          </cell>
        </row>
        <row r="137">
          <cell r="A137">
            <v>41855</v>
          </cell>
          <cell r="B137">
            <v>60.192230000000002</v>
          </cell>
        </row>
        <row r="138">
          <cell r="A138">
            <v>41856</v>
          </cell>
          <cell r="B138">
            <v>60.028511000000002</v>
          </cell>
        </row>
        <row r="139">
          <cell r="A139">
            <v>41857</v>
          </cell>
          <cell r="B139">
            <v>61.132534</v>
          </cell>
        </row>
        <row r="140">
          <cell r="A140">
            <v>41858</v>
          </cell>
          <cell r="B140">
            <v>60.926558999999997</v>
          </cell>
        </row>
        <row r="141">
          <cell r="A141">
            <v>41859</v>
          </cell>
          <cell r="B141">
            <v>61.519733000000002</v>
          </cell>
        </row>
        <row r="142">
          <cell r="A142">
            <v>41862</v>
          </cell>
          <cell r="B142">
            <v>61.264366000000003</v>
          </cell>
        </row>
        <row r="143">
          <cell r="A143">
            <v>41863</v>
          </cell>
          <cell r="B143">
            <v>61.149017000000001</v>
          </cell>
        </row>
        <row r="144">
          <cell r="A144">
            <v>41864</v>
          </cell>
          <cell r="B144">
            <v>60.992469999999997</v>
          </cell>
        </row>
        <row r="145">
          <cell r="A145">
            <v>41865</v>
          </cell>
          <cell r="B145">
            <v>61.289078000000003</v>
          </cell>
        </row>
        <row r="146">
          <cell r="A146">
            <v>41866</v>
          </cell>
          <cell r="B146">
            <v>60.885353000000002</v>
          </cell>
        </row>
        <row r="147">
          <cell r="A147">
            <v>41869</v>
          </cell>
          <cell r="B147">
            <v>61.371456000000002</v>
          </cell>
        </row>
        <row r="148">
          <cell r="A148">
            <v>41870</v>
          </cell>
          <cell r="B148">
            <v>61.692791</v>
          </cell>
        </row>
        <row r="149">
          <cell r="A149">
            <v>41871</v>
          </cell>
          <cell r="B149">
            <v>61.758667000000003</v>
          </cell>
        </row>
        <row r="150">
          <cell r="A150">
            <v>41872</v>
          </cell>
          <cell r="B150">
            <v>62.244781000000003</v>
          </cell>
        </row>
        <row r="151">
          <cell r="A151">
            <v>41873</v>
          </cell>
          <cell r="B151">
            <v>62.393059000000001</v>
          </cell>
        </row>
        <row r="152">
          <cell r="A152">
            <v>41876</v>
          </cell>
          <cell r="B152">
            <v>62.360129999999998</v>
          </cell>
        </row>
        <row r="153">
          <cell r="A153">
            <v>41877</v>
          </cell>
          <cell r="B153">
            <v>62.220050999999998</v>
          </cell>
        </row>
        <row r="154">
          <cell r="A154">
            <v>41878</v>
          </cell>
          <cell r="B154">
            <v>62.491931999999998</v>
          </cell>
        </row>
        <row r="155">
          <cell r="A155">
            <v>41879</v>
          </cell>
          <cell r="B155">
            <v>62.533127</v>
          </cell>
        </row>
        <row r="156">
          <cell r="A156">
            <v>41880</v>
          </cell>
          <cell r="B156">
            <v>62.203570999999997</v>
          </cell>
        </row>
        <row r="157">
          <cell r="A157">
            <v>41884</v>
          </cell>
          <cell r="B157">
            <v>62.409560999999997</v>
          </cell>
        </row>
        <row r="158">
          <cell r="A158">
            <v>41885</v>
          </cell>
          <cell r="B158">
            <v>62.623783000000003</v>
          </cell>
        </row>
        <row r="159">
          <cell r="A159">
            <v>41886</v>
          </cell>
          <cell r="B159">
            <v>63.076923000000001</v>
          </cell>
        </row>
        <row r="160">
          <cell r="A160">
            <v>41887</v>
          </cell>
          <cell r="B160">
            <v>63.859614999999998</v>
          </cell>
        </row>
        <row r="161">
          <cell r="A161">
            <v>41890</v>
          </cell>
          <cell r="B161">
            <v>63.052193000000003</v>
          </cell>
        </row>
        <row r="162">
          <cell r="A162">
            <v>41891</v>
          </cell>
          <cell r="B162">
            <v>63.225211999999999</v>
          </cell>
        </row>
        <row r="163">
          <cell r="A163">
            <v>41892</v>
          </cell>
          <cell r="B163">
            <v>63.035713000000001</v>
          </cell>
        </row>
        <row r="164">
          <cell r="A164">
            <v>41893</v>
          </cell>
          <cell r="B164">
            <v>62.697944999999997</v>
          </cell>
        </row>
        <row r="165">
          <cell r="A165">
            <v>41894</v>
          </cell>
          <cell r="B165">
            <v>62.426029</v>
          </cell>
        </row>
        <row r="166">
          <cell r="A166">
            <v>41897</v>
          </cell>
          <cell r="B166">
            <v>62.458969000000003</v>
          </cell>
        </row>
        <row r="167">
          <cell r="A167">
            <v>41898</v>
          </cell>
          <cell r="B167">
            <v>62.879154</v>
          </cell>
        </row>
        <row r="168">
          <cell r="A168">
            <v>41899</v>
          </cell>
          <cell r="B168">
            <v>62.813267000000003</v>
          </cell>
        </row>
        <row r="169">
          <cell r="A169">
            <v>41900</v>
          </cell>
          <cell r="B169">
            <v>62.796802999999997</v>
          </cell>
        </row>
        <row r="170">
          <cell r="A170">
            <v>41901</v>
          </cell>
          <cell r="B170">
            <v>63.307594000000002</v>
          </cell>
        </row>
        <row r="171">
          <cell r="A171">
            <v>41904</v>
          </cell>
          <cell r="B171">
            <v>62.870918000000003</v>
          </cell>
        </row>
        <row r="172">
          <cell r="A172">
            <v>41905</v>
          </cell>
          <cell r="B172">
            <v>62.285972999999998</v>
          </cell>
        </row>
        <row r="173">
          <cell r="A173">
            <v>41906</v>
          </cell>
          <cell r="B173">
            <v>63.505329000000003</v>
          </cell>
        </row>
        <row r="174">
          <cell r="A174">
            <v>41907</v>
          </cell>
          <cell r="B174">
            <v>62.714393999999999</v>
          </cell>
        </row>
        <row r="175">
          <cell r="A175">
            <v>41908</v>
          </cell>
          <cell r="B175">
            <v>63.019238000000001</v>
          </cell>
        </row>
        <row r="176">
          <cell r="A176">
            <v>41911</v>
          </cell>
          <cell r="B176">
            <v>62.681418999999998</v>
          </cell>
        </row>
        <row r="177">
          <cell r="A177">
            <v>41912</v>
          </cell>
          <cell r="B177">
            <v>63.002749999999999</v>
          </cell>
        </row>
        <row r="178">
          <cell r="A178">
            <v>41913</v>
          </cell>
          <cell r="B178">
            <v>62.714393999999999</v>
          </cell>
        </row>
        <row r="179">
          <cell r="A179">
            <v>41914</v>
          </cell>
          <cell r="B179">
            <v>62.805019000000001</v>
          </cell>
        </row>
        <row r="180">
          <cell r="A180">
            <v>41915</v>
          </cell>
          <cell r="B180">
            <v>63.703060000000001</v>
          </cell>
        </row>
        <row r="181">
          <cell r="A181">
            <v>41918</v>
          </cell>
          <cell r="B181">
            <v>63.727767999999998</v>
          </cell>
        </row>
        <row r="182">
          <cell r="A182">
            <v>41919</v>
          </cell>
          <cell r="B182">
            <v>63.686588</v>
          </cell>
        </row>
        <row r="183">
          <cell r="A183">
            <v>41920</v>
          </cell>
          <cell r="B183">
            <v>64.461028999999996</v>
          </cell>
        </row>
        <row r="184">
          <cell r="A184">
            <v>41921</v>
          </cell>
          <cell r="B184">
            <v>64.147980000000004</v>
          </cell>
        </row>
        <row r="185">
          <cell r="A185">
            <v>41922</v>
          </cell>
          <cell r="B185">
            <v>64.502234999999999</v>
          </cell>
        </row>
        <row r="186">
          <cell r="A186">
            <v>41925</v>
          </cell>
          <cell r="B186">
            <v>63.900798999999999</v>
          </cell>
        </row>
        <row r="187">
          <cell r="A187">
            <v>41926</v>
          </cell>
          <cell r="B187">
            <v>64.246819000000002</v>
          </cell>
        </row>
        <row r="188">
          <cell r="A188">
            <v>41927</v>
          </cell>
          <cell r="B188">
            <v>61.956398</v>
          </cell>
        </row>
        <row r="189">
          <cell r="A189">
            <v>41928</v>
          </cell>
          <cell r="B189">
            <v>60.819446999999997</v>
          </cell>
        </row>
        <row r="190">
          <cell r="A190">
            <v>41929</v>
          </cell>
          <cell r="B190">
            <v>61.050136999999999</v>
          </cell>
        </row>
        <row r="191">
          <cell r="A191">
            <v>41932</v>
          </cell>
          <cell r="B191">
            <v>61.90699</v>
          </cell>
        </row>
        <row r="192">
          <cell r="A192">
            <v>41933</v>
          </cell>
          <cell r="B192">
            <v>62.631991999999997</v>
          </cell>
        </row>
        <row r="193">
          <cell r="A193">
            <v>41934</v>
          </cell>
          <cell r="B193">
            <v>62.640270000000001</v>
          </cell>
        </row>
        <row r="194">
          <cell r="A194">
            <v>41935</v>
          </cell>
          <cell r="B194">
            <v>62.821499000000003</v>
          </cell>
        </row>
        <row r="195">
          <cell r="A195">
            <v>41936</v>
          </cell>
          <cell r="B195">
            <v>62.928607999999997</v>
          </cell>
        </row>
        <row r="196">
          <cell r="A196">
            <v>41939</v>
          </cell>
          <cell r="B196">
            <v>63.101627000000001</v>
          </cell>
        </row>
        <row r="197">
          <cell r="A197">
            <v>41940</v>
          </cell>
          <cell r="B197">
            <v>62.903892999999997</v>
          </cell>
        </row>
        <row r="198">
          <cell r="A198">
            <v>41941</v>
          </cell>
          <cell r="B198">
            <v>62.936874000000003</v>
          </cell>
        </row>
        <row r="199">
          <cell r="A199">
            <v>41942</v>
          </cell>
          <cell r="B199">
            <v>62.986300999999997</v>
          </cell>
        </row>
        <row r="200">
          <cell r="A200">
            <v>41943</v>
          </cell>
          <cell r="B200">
            <v>62.837981999999997</v>
          </cell>
        </row>
        <row r="201">
          <cell r="A201">
            <v>41946</v>
          </cell>
          <cell r="B201">
            <v>62.846207</v>
          </cell>
        </row>
        <row r="202">
          <cell r="A202">
            <v>41947</v>
          </cell>
          <cell r="B202">
            <v>63.653621999999999</v>
          </cell>
        </row>
        <row r="203">
          <cell r="A203">
            <v>41948</v>
          </cell>
          <cell r="B203">
            <v>64.016136000000003</v>
          </cell>
        </row>
        <row r="204">
          <cell r="A204">
            <v>41949</v>
          </cell>
          <cell r="B204">
            <v>64.106780999999998</v>
          </cell>
        </row>
        <row r="205">
          <cell r="A205">
            <v>41950</v>
          </cell>
          <cell r="B205">
            <v>64.897689999999997</v>
          </cell>
        </row>
        <row r="206">
          <cell r="A206">
            <v>41953</v>
          </cell>
          <cell r="B206">
            <v>65.449698999999995</v>
          </cell>
        </row>
        <row r="207">
          <cell r="A207">
            <v>41954</v>
          </cell>
          <cell r="B207">
            <v>65.095421000000002</v>
          </cell>
        </row>
        <row r="208">
          <cell r="A208">
            <v>41955</v>
          </cell>
          <cell r="B208">
            <v>65.251983999999993</v>
          </cell>
        </row>
        <row r="209">
          <cell r="A209">
            <v>41956</v>
          </cell>
          <cell r="B209">
            <v>68.333327999999995</v>
          </cell>
        </row>
        <row r="210">
          <cell r="A210">
            <v>41957</v>
          </cell>
          <cell r="B210">
            <v>68.349791999999994</v>
          </cell>
        </row>
        <row r="211">
          <cell r="A211">
            <v>41960</v>
          </cell>
          <cell r="B211">
            <v>68.852371000000005</v>
          </cell>
        </row>
        <row r="212">
          <cell r="A212">
            <v>41961</v>
          </cell>
          <cell r="B212">
            <v>69.033623000000006</v>
          </cell>
        </row>
        <row r="213">
          <cell r="A213">
            <v>41962</v>
          </cell>
          <cell r="B213">
            <v>70.022293000000005</v>
          </cell>
        </row>
        <row r="214">
          <cell r="A214">
            <v>41963</v>
          </cell>
          <cell r="B214">
            <v>69.684517</v>
          </cell>
        </row>
        <row r="215">
          <cell r="A215">
            <v>41964</v>
          </cell>
          <cell r="B215">
            <v>69.742165</v>
          </cell>
        </row>
        <row r="216">
          <cell r="A216">
            <v>41967</v>
          </cell>
          <cell r="B216">
            <v>70.360106999999999</v>
          </cell>
        </row>
        <row r="217">
          <cell r="A217">
            <v>41968</v>
          </cell>
          <cell r="B217">
            <v>69.989304000000004</v>
          </cell>
        </row>
        <row r="218">
          <cell r="A218">
            <v>41969</v>
          </cell>
          <cell r="B218">
            <v>70.014053000000004</v>
          </cell>
        </row>
        <row r="219">
          <cell r="A219">
            <v>41971</v>
          </cell>
          <cell r="B219">
            <v>72.123206999999994</v>
          </cell>
        </row>
        <row r="220">
          <cell r="A220">
            <v>41974</v>
          </cell>
          <cell r="B220">
            <v>71.035645000000002</v>
          </cell>
        </row>
        <row r="221">
          <cell r="A221">
            <v>41975</v>
          </cell>
          <cell r="B221">
            <v>71.183975000000004</v>
          </cell>
        </row>
        <row r="222">
          <cell r="A222">
            <v>41976</v>
          </cell>
          <cell r="B222">
            <v>70.372032000000004</v>
          </cell>
        </row>
        <row r="223">
          <cell r="A223">
            <v>41977</v>
          </cell>
          <cell r="B223">
            <v>70.222908000000004</v>
          </cell>
        </row>
        <row r="224">
          <cell r="A224">
            <v>41978</v>
          </cell>
          <cell r="B224">
            <v>69.692702999999995</v>
          </cell>
        </row>
        <row r="225">
          <cell r="A225">
            <v>41981</v>
          </cell>
          <cell r="B225">
            <v>69.783821000000003</v>
          </cell>
        </row>
        <row r="226">
          <cell r="A226">
            <v>41982</v>
          </cell>
          <cell r="B226">
            <v>69.228736999999995</v>
          </cell>
        </row>
        <row r="227">
          <cell r="A227">
            <v>41983</v>
          </cell>
          <cell r="B227">
            <v>68.748199</v>
          </cell>
        </row>
        <row r="228">
          <cell r="A228">
            <v>41984</v>
          </cell>
          <cell r="B228">
            <v>69.452415000000002</v>
          </cell>
        </row>
        <row r="229">
          <cell r="A229">
            <v>41985</v>
          </cell>
          <cell r="B229">
            <v>69.435851999999997</v>
          </cell>
        </row>
        <row r="230">
          <cell r="A230">
            <v>41988</v>
          </cell>
          <cell r="B230">
            <v>69.543571</v>
          </cell>
        </row>
        <row r="231">
          <cell r="A231">
            <v>41989</v>
          </cell>
          <cell r="B231">
            <v>68.731628000000001</v>
          </cell>
        </row>
        <row r="232">
          <cell r="A232">
            <v>41990</v>
          </cell>
          <cell r="B232">
            <v>69.783821000000003</v>
          </cell>
        </row>
        <row r="233">
          <cell r="A233">
            <v>41991</v>
          </cell>
          <cell r="B233">
            <v>71.200539000000006</v>
          </cell>
        </row>
        <row r="234">
          <cell r="A234">
            <v>41992</v>
          </cell>
          <cell r="B234">
            <v>70.554314000000005</v>
          </cell>
        </row>
        <row r="235">
          <cell r="A235">
            <v>41995</v>
          </cell>
          <cell r="B235">
            <v>71.565085999999994</v>
          </cell>
        </row>
        <row r="236">
          <cell r="A236">
            <v>41996</v>
          </cell>
          <cell r="B236">
            <v>71.797066000000001</v>
          </cell>
        </row>
        <row r="237">
          <cell r="A237">
            <v>41997</v>
          </cell>
          <cell r="B237">
            <v>71.606514000000004</v>
          </cell>
        </row>
        <row r="238">
          <cell r="A238">
            <v>41999</v>
          </cell>
          <cell r="B238">
            <v>72.004165999999998</v>
          </cell>
        </row>
        <row r="239">
          <cell r="A239">
            <v>42002</v>
          </cell>
          <cell r="B239">
            <v>71.780486999999994</v>
          </cell>
        </row>
        <row r="240">
          <cell r="A240">
            <v>42003</v>
          </cell>
          <cell r="B240">
            <v>71.904769999999999</v>
          </cell>
        </row>
        <row r="241">
          <cell r="A241">
            <v>42004</v>
          </cell>
          <cell r="B241">
            <v>71.150833000000006</v>
          </cell>
        </row>
        <row r="242">
          <cell r="A242">
            <v>42006</v>
          </cell>
          <cell r="B242">
            <v>71.167396999999994</v>
          </cell>
        </row>
        <row r="243">
          <cell r="A243">
            <v>42009</v>
          </cell>
          <cell r="B243">
            <v>70.960296999999997</v>
          </cell>
        </row>
        <row r="244">
          <cell r="A244">
            <v>42010</v>
          </cell>
          <cell r="B244">
            <v>71.507071999999994</v>
          </cell>
        </row>
        <row r="245">
          <cell r="A245">
            <v>42011</v>
          </cell>
          <cell r="B245">
            <v>73.404312000000004</v>
          </cell>
        </row>
        <row r="246">
          <cell r="A246">
            <v>42012</v>
          </cell>
          <cell r="B246">
            <v>74.953620999999998</v>
          </cell>
        </row>
        <row r="247">
          <cell r="A247">
            <v>42013</v>
          </cell>
          <cell r="B247">
            <v>74.025711000000001</v>
          </cell>
        </row>
        <row r="248">
          <cell r="A248">
            <v>42016</v>
          </cell>
          <cell r="B248">
            <v>74.580794999999995</v>
          </cell>
        </row>
        <row r="249">
          <cell r="A249">
            <v>42017</v>
          </cell>
          <cell r="B249">
            <v>73.992583999999994</v>
          </cell>
        </row>
        <row r="250">
          <cell r="A250">
            <v>42018</v>
          </cell>
          <cell r="B250">
            <v>71.755607999999995</v>
          </cell>
        </row>
        <row r="251">
          <cell r="A251">
            <v>42019</v>
          </cell>
          <cell r="B251">
            <v>72.393585000000002</v>
          </cell>
        </row>
        <row r="252">
          <cell r="A252">
            <v>42020</v>
          </cell>
          <cell r="B252">
            <v>71.888199</v>
          </cell>
        </row>
        <row r="253">
          <cell r="A253">
            <v>42024</v>
          </cell>
          <cell r="B253">
            <v>71.821915000000004</v>
          </cell>
        </row>
        <row r="254">
          <cell r="A254">
            <v>42025</v>
          </cell>
          <cell r="B254">
            <v>71.780486999999994</v>
          </cell>
        </row>
        <row r="255">
          <cell r="A255">
            <v>42026</v>
          </cell>
          <cell r="B255">
            <v>73.155769000000006</v>
          </cell>
        </row>
        <row r="256">
          <cell r="A256">
            <v>42027</v>
          </cell>
          <cell r="B256">
            <v>73.329750000000004</v>
          </cell>
        </row>
        <row r="257">
          <cell r="A257">
            <v>42030</v>
          </cell>
          <cell r="B257">
            <v>73.429198999999997</v>
          </cell>
        </row>
        <row r="258">
          <cell r="A258">
            <v>42031</v>
          </cell>
          <cell r="B258">
            <v>72.517830000000004</v>
          </cell>
        </row>
        <row r="259">
          <cell r="A259">
            <v>42032</v>
          </cell>
          <cell r="B259">
            <v>71.929625999999999</v>
          </cell>
        </row>
        <row r="260">
          <cell r="A260">
            <v>42033</v>
          </cell>
          <cell r="B260">
            <v>72.675269999999998</v>
          </cell>
        </row>
        <row r="261">
          <cell r="A261">
            <v>42034</v>
          </cell>
          <cell r="B261">
            <v>70.405197000000001</v>
          </cell>
        </row>
        <row r="262">
          <cell r="A262">
            <v>42037</v>
          </cell>
          <cell r="B262">
            <v>71.009986999999995</v>
          </cell>
        </row>
        <row r="263">
          <cell r="A263">
            <v>42038</v>
          </cell>
          <cell r="B263">
            <v>71.407684000000003</v>
          </cell>
        </row>
        <row r="264">
          <cell r="A264">
            <v>42039</v>
          </cell>
          <cell r="B264">
            <v>71.788764999999998</v>
          </cell>
        </row>
        <row r="265">
          <cell r="A265">
            <v>42040</v>
          </cell>
          <cell r="B265">
            <v>72.310721999999998</v>
          </cell>
        </row>
        <row r="266">
          <cell r="A266">
            <v>42041</v>
          </cell>
          <cell r="B266">
            <v>72.352126999999996</v>
          </cell>
        </row>
        <row r="267">
          <cell r="A267">
            <v>42044</v>
          </cell>
          <cell r="B267">
            <v>71.175697</v>
          </cell>
        </row>
        <row r="268">
          <cell r="A268">
            <v>42045</v>
          </cell>
          <cell r="B268">
            <v>72.319000000000003</v>
          </cell>
        </row>
        <row r="269">
          <cell r="A269">
            <v>42046</v>
          </cell>
          <cell r="B269">
            <v>71.531920999999997</v>
          </cell>
        </row>
        <row r="270">
          <cell r="A270">
            <v>42047</v>
          </cell>
          <cell r="B270">
            <v>71.159126000000001</v>
          </cell>
        </row>
        <row r="271">
          <cell r="A271">
            <v>42048</v>
          </cell>
          <cell r="B271">
            <v>71.092833999999996</v>
          </cell>
        </row>
        <row r="272">
          <cell r="A272">
            <v>42052</v>
          </cell>
          <cell r="B272">
            <v>71.217117000000002</v>
          </cell>
        </row>
        <row r="273">
          <cell r="A273">
            <v>42053</v>
          </cell>
          <cell r="B273">
            <v>71.490523999999994</v>
          </cell>
        </row>
        <row r="274">
          <cell r="A274">
            <v>42054</v>
          </cell>
          <cell r="B274">
            <v>69.195601999999994</v>
          </cell>
        </row>
        <row r="275">
          <cell r="A275">
            <v>42055</v>
          </cell>
          <cell r="B275">
            <v>69.841849999999994</v>
          </cell>
        </row>
        <row r="276">
          <cell r="A276">
            <v>42058</v>
          </cell>
          <cell r="B276">
            <v>70.090369999999993</v>
          </cell>
        </row>
        <row r="277">
          <cell r="A277">
            <v>42059</v>
          </cell>
          <cell r="B277">
            <v>70.065505999999999</v>
          </cell>
        </row>
        <row r="278">
          <cell r="A278">
            <v>42060</v>
          </cell>
          <cell r="B278">
            <v>69.237030000000004</v>
          </cell>
        </row>
        <row r="279">
          <cell r="A279">
            <v>42061</v>
          </cell>
          <cell r="B279">
            <v>69.427566999999996</v>
          </cell>
        </row>
        <row r="280">
          <cell r="A280">
            <v>42062</v>
          </cell>
          <cell r="B280">
            <v>69.535263</v>
          </cell>
        </row>
        <row r="281">
          <cell r="A281">
            <v>42065</v>
          </cell>
          <cell r="B281">
            <v>69.560135000000002</v>
          </cell>
        </row>
        <row r="282">
          <cell r="A282">
            <v>42066</v>
          </cell>
          <cell r="B282">
            <v>69.071326999999997</v>
          </cell>
        </row>
        <row r="283">
          <cell r="A283">
            <v>42067</v>
          </cell>
          <cell r="B283">
            <v>68.416816999999995</v>
          </cell>
        </row>
        <row r="284">
          <cell r="A284">
            <v>42068</v>
          </cell>
          <cell r="B284">
            <v>69.237030000000004</v>
          </cell>
        </row>
        <row r="285">
          <cell r="A285">
            <v>42069</v>
          </cell>
          <cell r="B285">
            <v>68.425101999999995</v>
          </cell>
        </row>
        <row r="286">
          <cell r="A286">
            <v>42072</v>
          </cell>
          <cell r="B286">
            <v>68.665336999999994</v>
          </cell>
        </row>
        <row r="287">
          <cell r="A287">
            <v>42073</v>
          </cell>
          <cell r="B287">
            <v>67.994292999999999</v>
          </cell>
        </row>
        <row r="288">
          <cell r="A288">
            <v>42074</v>
          </cell>
          <cell r="B288">
            <v>67.252487000000002</v>
          </cell>
        </row>
        <row r="289">
          <cell r="A289">
            <v>42075</v>
          </cell>
          <cell r="B289">
            <v>68.261002000000005</v>
          </cell>
        </row>
        <row r="290">
          <cell r="A290">
            <v>42076</v>
          </cell>
          <cell r="B290">
            <v>68.261002000000005</v>
          </cell>
        </row>
        <row r="291">
          <cell r="A291">
            <v>42079</v>
          </cell>
          <cell r="B291">
            <v>69.419510000000002</v>
          </cell>
        </row>
        <row r="292">
          <cell r="A292">
            <v>42080</v>
          </cell>
          <cell r="B292">
            <v>68.861098999999996</v>
          </cell>
        </row>
        <row r="293">
          <cell r="A293">
            <v>42081</v>
          </cell>
          <cell r="B293">
            <v>68.786079000000001</v>
          </cell>
        </row>
        <row r="294">
          <cell r="A294">
            <v>42082</v>
          </cell>
          <cell r="B294">
            <v>67.944252000000006</v>
          </cell>
        </row>
        <row r="295">
          <cell r="A295">
            <v>42083</v>
          </cell>
          <cell r="B295">
            <v>69.377823000000006</v>
          </cell>
        </row>
        <row r="296">
          <cell r="A296">
            <v>42086</v>
          </cell>
          <cell r="B296">
            <v>69.436156999999994</v>
          </cell>
        </row>
        <row r="297">
          <cell r="A297">
            <v>42087</v>
          </cell>
          <cell r="B297">
            <v>69.219498000000002</v>
          </cell>
        </row>
        <row r="298">
          <cell r="A298">
            <v>42088</v>
          </cell>
          <cell r="B298">
            <v>67.777564999999996</v>
          </cell>
        </row>
        <row r="299">
          <cell r="A299">
            <v>42089</v>
          </cell>
          <cell r="B299">
            <v>68.252655000000004</v>
          </cell>
        </row>
        <row r="300">
          <cell r="A300">
            <v>42090</v>
          </cell>
          <cell r="B300">
            <v>67.802597000000006</v>
          </cell>
        </row>
        <row r="301">
          <cell r="A301">
            <v>42093</v>
          </cell>
          <cell r="B301">
            <v>68.786079000000001</v>
          </cell>
        </row>
        <row r="302">
          <cell r="A302">
            <v>42094</v>
          </cell>
          <cell r="B302">
            <v>68.552718999999996</v>
          </cell>
        </row>
        <row r="303">
          <cell r="A303">
            <v>42095</v>
          </cell>
          <cell r="B303">
            <v>67.269172999999995</v>
          </cell>
        </row>
        <row r="304">
          <cell r="A304">
            <v>42096</v>
          </cell>
          <cell r="B304">
            <v>67.285843</v>
          </cell>
        </row>
        <row r="305">
          <cell r="A305">
            <v>42100</v>
          </cell>
          <cell r="B305">
            <v>67.502540999999994</v>
          </cell>
        </row>
        <row r="306">
          <cell r="A306">
            <v>42101</v>
          </cell>
          <cell r="B306">
            <v>67.094147000000007</v>
          </cell>
        </row>
        <row r="307">
          <cell r="A307">
            <v>42102</v>
          </cell>
          <cell r="B307">
            <v>67.535858000000005</v>
          </cell>
        </row>
        <row r="308">
          <cell r="A308">
            <v>42103</v>
          </cell>
          <cell r="B308">
            <v>67.377517999999995</v>
          </cell>
        </row>
        <row r="309">
          <cell r="A309">
            <v>42104</v>
          </cell>
          <cell r="B309">
            <v>67.219170000000005</v>
          </cell>
        </row>
        <row r="310">
          <cell r="A310">
            <v>42107</v>
          </cell>
          <cell r="B310">
            <v>66.919112999999996</v>
          </cell>
        </row>
        <row r="311">
          <cell r="A311">
            <v>42108</v>
          </cell>
          <cell r="B311">
            <v>66.802429000000004</v>
          </cell>
        </row>
        <row r="312">
          <cell r="A312">
            <v>42109</v>
          </cell>
          <cell r="B312">
            <v>66.460693000000006</v>
          </cell>
        </row>
        <row r="313">
          <cell r="A313">
            <v>42110</v>
          </cell>
          <cell r="B313">
            <v>66.043976000000001</v>
          </cell>
        </row>
        <row r="314">
          <cell r="A314">
            <v>42111</v>
          </cell>
          <cell r="B314">
            <v>64.910454000000001</v>
          </cell>
        </row>
        <row r="315">
          <cell r="A315">
            <v>42114</v>
          </cell>
          <cell r="B315">
            <v>65.127159000000006</v>
          </cell>
        </row>
        <row r="316">
          <cell r="A316">
            <v>42115</v>
          </cell>
          <cell r="B316">
            <v>65.035483999999997</v>
          </cell>
        </row>
        <row r="317">
          <cell r="A317">
            <v>42116</v>
          </cell>
          <cell r="B317">
            <v>65.368842999999998</v>
          </cell>
        </row>
        <row r="318">
          <cell r="A318">
            <v>42117</v>
          </cell>
          <cell r="B318">
            <v>65.993949999999998</v>
          </cell>
        </row>
        <row r="319">
          <cell r="A319">
            <v>42118</v>
          </cell>
          <cell r="B319">
            <v>66.544051999999994</v>
          </cell>
        </row>
        <row r="320">
          <cell r="A320">
            <v>42121</v>
          </cell>
          <cell r="B320">
            <v>66.152313000000007</v>
          </cell>
        </row>
        <row r="321">
          <cell r="A321">
            <v>42122</v>
          </cell>
          <cell r="B321">
            <v>65.927291999999994</v>
          </cell>
        </row>
        <row r="322">
          <cell r="A322">
            <v>42123</v>
          </cell>
          <cell r="B322">
            <v>64.910454000000001</v>
          </cell>
        </row>
        <row r="323">
          <cell r="A323">
            <v>42124</v>
          </cell>
          <cell r="B323">
            <v>65.052147000000005</v>
          </cell>
        </row>
        <row r="324">
          <cell r="A324">
            <v>42125</v>
          </cell>
          <cell r="B324">
            <v>65.510589999999993</v>
          </cell>
        </row>
        <row r="325">
          <cell r="A325">
            <v>42128</v>
          </cell>
          <cell r="B325">
            <v>65.993949999999998</v>
          </cell>
        </row>
        <row r="326">
          <cell r="A326">
            <v>42129</v>
          </cell>
          <cell r="B326">
            <v>65.118819999999999</v>
          </cell>
        </row>
        <row r="327">
          <cell r="A327">
            <v>42130</v>
          </cell>
          <cell r="B327">
            <v>65.127205000000004</v>
          </cell>
        </row>
        <row r="328">
          <cell r="A328">
            <v>42131</v>
          </cell>
          <cell r="B328">
            <v>65.445937999999998</v>
          </cell>
        </row>
        <row r="329">
          <cell r="A329">
            <v>42132</v>
          </cell>
          <cell r="B329">
            <v>65.865288000000007</v>
          </cell>
        </row>
        <row r="330">
          <cell r="A330">
            <v>42135</v>
          </cell>
          <cell r="B330">
            <v>65.504645999999994</v>
          </cell>
        </row>
        <row r="331">
          <cell r="A331">
            <v>42136</v>
          </cell>
          <cell r="B331">
            <v>66.225960000000001</v>
          </cell>
        </row>
        <row r="332">
          <cell r="A332">
            <v>42137</v>
          </cell>
          <cell r="B332">
            <v>65.554955000000007</v>
          </cell>
        </row>
        <row r="333">
          <cell r="A333">
            <v>42138</v>
          </cell>
          <cell r="B333">
            <v>66.024673000000007</v>
          </cell>
        </row>
        <row r="334">
          <cell r="A334">
            <v>42139</v>
          </cell>
          <cell r="B334">
            <v>66.460785000000001</v>
          </cell>
        </row>
        <row r="335">
          <cell r="A335">
            <v>42142</v>
          </cell>
          <cell r="B335">
            <v>67.031127999999995</v>
          </cell>
        </row>
        <row r="336">
          <cell r="A336">
            <v>42143</v>
          </cell>
          <cell r="B336">
            <v>64.103958000000006</v>
          </cell>
        </row>
        <row r="337">
          <cell r="A337">
            <v>42144</v>
          </cell>
          <cell r="B337">
            <v>63.659427999999998</v>
          </cell>
        </row>
        <row r="338">
          <cell r="A338">
            <v>42145</v>
          </cell>
          <cell r="B338">
            <v>63.835586999999997</v>
          </cell>
        </row>
        <row r="339">
          <cell r="A339">
            <v>42146</v>
          </cell>
          <cell r="B339">
            <v>63.625853999999997</v>
          </cell>
        </row>
        <row r="340">
          <cell r="A340">
            <v>42150</v>
          </cell>
          <cell r="B340">
            <v>62.820717000000002</v>
          </cell>
        </row>
        <row r="341">
          <cell r="A341">
            <v>42151</v>
          </cell>
          <cell r="B341">
            <v>63.063934000000003</v>
          </cell>
        </row>
        <row r="342">
          <cell r="A342">
            <v>42152</v>
          </cell>
          <cell r="B342">
            <v>62.770367</v>
          </cell>
        </row>
        <row r="343">
          <cell r="A343">
            <v>42153</v>
          </cell>
          <cell r="B343">
            <v>62.292293999999998</v>
          </cell>
        </row>
        <row r="344">
          <cell r="A344">
            <v>42156</v>
          </cell>
          <cell r="B344">
            <v>62.678134999999997</v>
          </cell>
        </row>
        <row r="345">
          <cell r="A345">
            <v>42157</v>
          </cell>
          <cell r="B345">
            <v>62.510356999999999</v>
          </cell>
        </row>
        <row r="346">
          <cell r="A346">
            <v>42158</v>
          </cell>
          <cell r="B346">
            <v>62.812339999999999</v>
          </cell>
        </row>
        <row r="347">
          <cell r="A347">
            <v>42159</v>
          </cell>
          <cell r="B347">
            <v>62.191668999999997</v>
          </cell>
        </row>
        <row r="348">
          <cell r="A348">
            <v>42160</v>
          </cell>
          <cell r="B348">
            <v>61.277442999999998</v>
          </cell>
        </row>
        <row r="349">
          <cell r="A349">
            <v>42163</v>
          </cell>
          <cell r="B349">
            <v>60.900021000000002</v>
          </cell>
        </row>
        <row r="350">
          <cell r="A350">
            <v>42164</v>
          </cell>
          <cell r="B350">
            <v>60.782578000000001</v>
          </cell>
        </row>
        <row r="351">
          <cell r="A351">
            <v>42165</v>
          </cell>
          <cell r="B351">
            <v>61.168407000000002</v>
          </cell>
        </row>
        <row r="352">
          <cell r="A352">
            <v>42166</v>
          </cell>
          <cell r="B352">
            <v>61.176806999999997</v>
          </cell>
        </row>
        <row r="353">
          <cell r="A353">
            <v>42167</v>
          </cell>
          <cell r="B353">
            <v>60.749049999999997</v>
          </cell>
        </row>
        <row r="354">
          <cell r="A354">
            <v>42170</v>
          </cell>
          <cell r="B354">
            <v>60.32967</v>
          </cell>
        </row>
        <row r="355">
          <cell r="A355">
            <v>42171</v>
          </cell>
          <cell r="B355">
            <v>60.681950000000001</v>
          </cell>
        </row>
        <row r="356">
          <cell r="A356">
            <v>42172</v>
          </cell>
          <cell r="B356">
            <v>61.000686999999999</v>
          </cell>
        </row>
        <row r="357">
          <cell r="A357">
            <v>42173</v>
          </cell>
          <cell r="B357">
            <v>61.210365000000003</v>
          </cell>
        </row>
        <row r="358">
          <cell r="A358">
            <v>42174</v>
          </cell>
          <cell r="B358">
            <v>61.009045</v>
          </cell>
        </row>
        <row r="359">
          <cell r="A359">
            <v>42177</v>
          </cell>
          <cell r="B359">
            <v>61.050991000000003</v>
          </cell>
        </row>
        <row r="360">
          <cell r="A360">
            <v>42178</v>
          </cell>
          <cell r="B360">
            <v>60.866481999999998</v>
          </cell>
        </row>
        <row r="361">
          <cell r="A361">
            <v>42179</v>
          </cell>
          <cell r="B361">
            <v>60.707099999999997</v>
          </cell>
        </row>
        <row r="362">
          <cell r="A362">
            <v>42180</v>
          </cell>
          <cell r="B362">
            <v>60.270980999999999</v>
          </cell>
        </row>
        <row r="363">
          <cell r="A363">
            <v>42181</v>
          </cell>
          <cell r="B363">
            <v>60.489055999999998</v>
          </cell>
        </row>
        <row r="364">
          <cell r="A364">
            <v>42184</v>
          </cell>
          <cell r="B364">
            <v>59.901935999999999</v>
          </cell>
        </row>
        <row r="365">
          <cell r="A365">
            <v>42185</v>
          </cell>
          <cell r="B365">
            <v>59.490940000000002</v>
          </cell>
        </row>
        <row r="366">
          <cell r="A366">
            <v>42186</v>
          </cell>
          <cell r="B366">
            <v>60.287750000000003</v>
          </cell>
        </row>
        <row r="367">
          <cell r="A367">
            <v>42187</v>
          </cell>
          <cell r="B367">
            <v>60.270980999999999</v>
          </cell>
        </row>
        <row r="368">
          <cell r="A368">
            <v>42191</v>
          </cell>
          <cell r="B368">
            <v>60.832915999999997</v>
          </cell>
        </row>
        <row r="369">
          <cell r="A369">
            <v>42192</v>
          </cell>
          <cell r="B369">
            <v>61.889713</v>
          </cell>
        </row>
        <row r="370">
          <cell r="A370">
            <v>42193</v>
          </cell>
          <cell r="B370">
            <v>61.277442999999998</v>
          </cell>
        </row>
        <row r="371">
          <cell r="A371">
            <v>42194</v>
          </cell>
          <cell r="B371">
            <v>61.042594999999999</v>
          </cell>
        </row>
        <row r="372">
          <cell r="A372">
            <v>42195</v>
          </cell>
          <cell r="B372">
            <v>61.327793</v>
          </cell>
        </row>
        <row r="373">
          <cell r="A373">
            <v>42198</v>
          </cell>
          <cell r="B373">
            <v>61.965190999999997</v>
          </cell>
        </row>
        <row r="374">
          <cell r="A374">
            <v>42199</v>
          </cell>
          <cell r="B374">
            <v>61.889713</v>
          </cell>
        </row>
        <row r="375">
          <cell r="A375">
            <v>42200</v>
          </cell>
          <cell r="B375">
            <v>61.772281999999997</v>
          </cell>
        </row>
        <row r="376">
          <cell r="A376">
            <v>42201</v>
          </cell>
          <cell r="B376">
            <v>61.923267000000003</v>
          </cell>
        </row>
        <row r="377">
          <cell r="A377">
            <v>42202</v>
          </cell>
          <cell r="B377">
            <v>61.554211000000002</v>
          </cell>
        </row>
        <row r="378">
          <cell r="A378">
            <v>42205</v>
          </cell>
          <cell r="B378">
            <v>61.311008000000001</v>
          </cell>
        </row>
        <row r="379">
          <cell r="A379">
            <v>42206</v>
          </cell>
          <cell r="B379">
            <v>61.009045</v>
          </cell>
        </row>
        <row r="380">
          <cell r="A380">
            <v>42207</v>
          </cell>
          <cell r="B380">
            <v>61.361328</v>
          </cell>
        </row>
        <row r="381">
          <cell r="A381">
            <v>42208</v>
          </cell>
          <cell r="B381">
            <v>60.816147000000001</v>
          </cell>
        </row>
        <row r="382">
          <cell r="A382">
            <v>42209</v>
          </cell>
          <cell r="B382">
            <v>60.036136999999997</v>
          </cell>
        </row>
        <row r="383">
          <cell r="A383">
            <v>42212</v>
          </cell>
          <cell r="B383">
            <v>59.868385000000004</v>
          </cell>
        </row>
        <row r="384">
          <cell r="A384">
            <v>42213</v>
          </cell>
          <cell r="B384">
            <v>60.472262999999998</v>
          </cell>
        </row>
        <row r="385">
          <cell r="A385">
            <v>42214</v>
          </cell>
          <cell r="B385">
            <v>60.581322</v>
          </cell>
        </row>
        <row r="386">
          <cell r="A386">
            <v>42215</v>
          </cell>
          <cell r="B386">
            <v>60.522593999999998</v>
          </cell>
        </row>
        <row r="387">
          <cell r="A387">
            <v>42216</v>
          </cell>
          <cell r="B387">
            <v>60.371628000000001</v>
          </cell>
        </row>
        <row r="388">
          <cell r="A388">
            <v>42219</v>
          </cell>
          <cell r="B388">
            <v>60.539375</v>
          </cell>
        </row>
        <row r="389">
          <cell r="A389">
            <v>42220</v>
          </cell>
          <cell r="B389">
            <v>60.598075999999999</v>
          </cell>
        </row>
        <row r="390">
          <cell r="A390">
            <v>42221</v>
          </cell>
          <cell r="B390">
            <v>62.075854999999997</v>
          </cell>
        </row>
        <row r="391">
          <cell r="A391">
            <v>42222</v>
          </cell>
          <cell r="B391">
            <v>61.467872999999997</v>
          </cell>
        </row>
        <row r="392">
          <cell r="A392">
            <v>42223</v>
          </cell>
          <cell r="B392">
            <v>60.167385000000003</v>
          </cell>
        </row>
        <row r="393">
          <cell r="A393">
            <v>42226</v>
          </cell>
          <cell r="B393">
            <v>60.361629000000001</v>
          </cell>
        </row>
        <row r="394">
          <cell r="A394">
            <v>42227</v>
          </cell>
          <cell r="B394">
            <v>60.741619</v>
          </cell>
        </row>
        <row r="395">
          <cell r="A395">
            <v>42228</v>
          </cell>
          <cell r="B395">
            <v>61.290534999999998</v>
          </cell>
        </row>
        <row r="396">
          <cell r="A396">
            <v>42229</v>
          </cell>
          <cell r="B396">
            <v>60.893639</v>
          </cell>
        </row>
        <row r="397">
          <cell r="A397">
            <v>42230</v>
          </cell>
          <cell r="B397">
            <v>61.121623999999997</v>
          </cell>
        </row>
        <row r="398">
          <cell r="A398">
            <v>42233</v>
          </cell>
          <cell r="B398">
            <v>60.724739</v>
          </cell>
        </row>
        <row r="399">
          <cell r="A399">
            <v>42234</v>
          </cell>
          <cell r="B399">
            <v>58.672725999999997</v>
          </cell>
        </row>
        <row r="400">
          <cell r="A400">
            <v>42235</v>
          </cell>
          <cell r="B400">
            <v>57.904259000000003</v>
          </cell>
        </row>
        <row r="401">
          <cell r="A401">
            <v>42236</v>
          </cell>
          <cell r="B401">
            <v>57.786029999999997</v>
          </cell>
        </row>
        <row r="402">
          <cell r="A402">
            <v>42237</v>
          </cell>
          <cell r="B402">
            <v>56.190024999999999</v>
          </cell>
        </row>
        <row r="403">
          <cell r="A403">
            <v>42240</v>
          </cell>
          <cell r="B403">
            <v>54.002876000000001</v>
          </cell>
        </row>
        <row r="404">
          <cell r="A404">
            <v>42241</v>
          </cell>
          <cell r="B404">
            <v>53.285099000000002</v>
          </cell>
        </row>
        <row r="405">
          <cell r="A405">
            <v>42242</v>
          </cell>
          <cell r="B405">
            <v>54.746006000000001</v>
          </cell>
        </row>
        <row r="406">
          <cell r="A406">
            <v>42243</v>
          </cell>
          <cell r="B406">
            <v>55.801563000000002</v>
          </cell>
        </row>
        <row r="407">
          <cell r="A407">
            <v>42244</v>
          </cell>
          <cell r="B407">
            <v>54.838898</v>
          </cell>
        </row>
        <row r="408">
          <cell r="A408">
            <v>42247</v>
          </cell>
          <cell r="B408">
            <v>54.661560000000001</v>
          </cell>
        </row>
        <row r="409">
          <cell r="A409">
            <v>42248</v>
          </cell>
          <cell r="B409">
            <v>53.893112000000002</v>
          </cell>
        </row>
        <row r="410">
          <cell r="A410">
            <v>42249</v>
          </cell>
          <cell r="B410">
            <v>54.416663999999997</v>
          </cell>
        </row>
        <row r="411">
          <cell r="A411">
            <v>42250</v>
          </cell>
          <cell r="B411">
            <v>54.771351000000003</v>
          </cell>
        </row>
        <row r="412">
          <cell r="A412">
            <v>42251</v>
          </cell>
          <cell r="B412">
            <v>53.952209000000003</v>
          </cell>
        </row>
        <row r="413">
          <cell r="A413">
            <v>42255</v>
          </cell>
          <cell r="B413">
            <v>56.054904999999998</v>
          </cell>
        </row>
        <row r="414">
          <cell r="A414">
            <v>42256</v>
          </cell>
          <cell r="B414">
            <v>54.990893999999997</v>
          </cell>
        </row>
        <row r="415">
          <cell r="A415">
            <v>42257</v>
          </cell>
          <cell r="B415">
            <v>54.146450000000002</v>
          </cell>
        </row>
        <row r="416">
          <cell r="A416">
            <v>42258</v>
          </cell>
          <cell r="B416">
            <v>54.593997999999999</v>
          </cell>
        </row>
        <row r="417">
          <cell r="A417">
            <v>42261</v>
          </cell>
          <cell r="B417">
            <v>54.281548000000001</v>
          </cell>
        </row>
        <row r="418">
          <cell r="A418">
            <v>42262</v>
          </cell>
          <cell r="B418">
            <v>54.315334</v>
          </cell>
        </row>
        <row r="419">
          <cell r="A419">
            <v>42263</v>
          </cell>
          <cell r="B419">
            <v>54.627791999999999</v>
          </cell>
        </row>
        <row r="420">
          <cell r="A420">
            <v>42264</v>
          </cell>
          <cell r="B420">
            <v>54.442008999999999</v>
          </cell>
        </row>
        <row r="421">
          <cell r="A421">
            <v>42265</v>
          </cell>
          <cell r="B421">
            <v>53.487758999999997</v>
          </cell>
        </row>
        <row r="422">
          <cell r="A422">
            <v>42268</v>
          </cell>
          <cell r="B422">
            <v>53.808655000000002</v>
          </cell>
        </row>
        <row r="423">
          <cell r="A423">
            <v>42269</v>
          </cell>
          <cell r="B423">
            <v>53.698875000000001</v>
          </cell>
        </row>
        <row r="424">
          <cell r="A424">
            <v>42270</v>
          </cell>
          <cell r="B424">
            <v>53.808655000000002</v>
          </cell>
        </row>
        <row r="425">
          <cell r="A425">
            <v>42271</v>
          </cell>
          <cell r="B425">
            <v>53.901546000000003</v>
          </cell>
        </row>
        <row r="426">
          <cell r="A426">
            <v>42272</v>
          </cell>
          <cell r="B426">
            <v>53.859313999999998</v>
          </cell>
        </row>
        <row r="427">
          <cell r="A427">
            <v>42275</v>
          </cell>
          <cell r="B427">
            <v>53.757987999999997</v>
          </cell>
        </row>
        <row r="428">
          <cell r="A428">
            <v>42276</v>
          </cell>
          <cell r="B428">
            <v>53.859313999999998</v>
          </cell>
        </row>
        <row r="429">
          <cell r="A429">
            <v>42277</v>
          </cell>
          <cell r="B429">
            <v>54.754440000000002</v>
          </cell>
        </row>
        <row r="430">
          <cell r="A430">
            <v>42278</v>
          </cell>
          <cell r="B430">
            <v>54.273102000000002</v>
          </cell>
        </row>
        <row r="431">
          <cell r="A431">
            <v>42279</v>
          </cell>
          <cell r="B431">
            <v>54.872672999999999</v>
          </cell>
        </row>
        <row r="432">
          <cell r="A432">
            <v>42282</v>
          </cell>
          <cell r="B432">
            <v>55.624245000000002</v>
          </cell>
        </row>
        <row r="433">
          <cell r="A433">
            <v>42283</v>
          </cell>
          <cell r="B433">
            <v>55.463799000000002</v>
          </cell>
        </row>
        <row r="434">
          <cell r="A434">
            <v>42284</v>
          </cell>
          <cell r="B434">
            <v>56.038024999999998</v>
          </cell>
        </row>
        <row r="435">
          <cell r="A435">
            <v>42285</v>
          </cell>
          <cell r="B435">
            <v>56.477127000000003</v>
          </cell>
        </row>
        <row r="436">
          <cell r="A436">
            <v>42286</v>
          </cell>
          <cell r="B436">
            <v>56.316692000000003</v>
          </cell>
        </row>
        <row r="437">
          <cell r="A437">
            <v>42289</v>
          </cell>
          <cell r="B437">
            <v>56.519359999999999</v>
          </cell>
        </row>
        <row r="438">
          <cell r="A438">
            <v>42290</v>
          </cell>
          <cell r="B438">
            <v>56.350464000000002</v>
          </cell>
        </row>
        <row r="439">
          <cell r="A439">
            <v>42291</v>
          </cell>
          <cell r="B439">
            <v>50.692611999999997</v>
          </cell>
        </row>
        <row r="440">
          <cell r="A440">
            <v>42292</v>
          </cell>
          <cell r="B440">
            <v>50.101512999999997</v>
          </cell>
        </row>
        <row r="441">
          <cell r="A441">
            <v>42293</v>
          </cell>
          <cell r="B441">
            <v>49.729945999999998</v>
          </cell>
        </row>
        <row r="442">
          <cell r="A442">
            <v>42296</v>
          </cell>
          <cell r="B442">
            <v>49.696151999999998</v>
          </cell>
        </row>
        <row r="443">
          <cell r="A443">
            <v>42297</v>
          </cell>
          <cell r="B443">
            <v>49.611728999999997</v>
          </cell>
        </row>
        <row r="444">
          <cell r="A444">
            <v>42298</v>
          </cell>
          <cell r="B444">
            <v>49.518833000000001</v>
          </cell>
        </row>
        <row r="445">
          <cell r="A445">
            <v>42299</v>
          </cell>
          <cell r="B445">
            <v>49.738388</v>
          </cell>
        </row>
        <row r="446">
          <cell r="A446">
            <v>42300</v>
          </cell>
          <cell r="B446">
            <v>49.231712000000002</v>
          </cell>
        </row>
        <row r="447">
          <cell r="A447">
            <v>42303</v>
          </cell>
          <cell r="B447">
            <v>48.995258</v>
          </cell>
        </row>
        <row r="448">
          <cell r="A448">
            <v>42304</v>
          </cell>
          <cell r="B448">
            <v>48.539261000000003</v>
          </cell>
        </row>
        <row r="449">
          <cell r="A449">
            <v>42305</v>
          </cell>
          <cell r="B449">
            <v>48.674370000000003</v>
          </cell>
        </row>
        <row r="450">
          <cell r="A450">
            <v>42306</v>
          </cell>
          <cell r="B450">
            <v>48.944606999999998</v>
          </cell>
        </row>
        <row r="451">
          <cell r="A451">
            <v>42307</v>
          </cell>
          <cell r="B451">
            <v>48.336593999999998</v>
          </cell>
        </row>
        <row r="452">
          <cell r="A452">
            <v>42310</v>
          </cell>
          <cell r="B452">
            <v>48.649048000000001</v>
          </cell>
        </row>
        <row r="453">
          <cell r="A453">
            <v>42311</v>
          </cell>
          <cell r="B453">
            <v>49.071266000000001</v>
          </cell>
        </row>
        <row r="454">
          <cell r="A454">
            <v>42312</v>
          </cell>
          <cell r="B454">
            <v>49.290821000000001</v>
          </cell>
        </row>
        <row r="455">
          <cell r="A455">
            <v>42313</v>
          </cell>
          <cell r="B455">
            <v>49.493499999999997</v>
          </cell>
        </row>
        <row r="456">
          <cell r="A456">
            <v>42314</v>
          </cell>
          <cell r="B456">
            <v>49.637058000000003</v>
          </cell>
        </row>
        <row r="457">
          <cell r="A457">
            <v>42317</v>
          </cell>
          <cell r="B457">
            <v>49.392166000000003</v>
          </cell>
        </row>
        <row r="458">
          <cell r="A458">
            <v>42318</v>
          </cell>
          <cell r="B458">
            <v>49.552607999999999</v>
          </cell>
        </row>
        <row r="459">
          <cell r="A459">
            <v>42319</v>
          </cell>
          <cell r="B459">
            <v>48.623702999999999</v>
          </cell>
        </row>
        <row r="460">
          <cell r="A460">
            <v>42320</v>
          </cell>
          <cell r="B460">
            <v>48.091698000000001</v>
          </cell>
        </row>
        <row r="461">
          <cell r="A461">
            <v>42321</v>
          </cell>
          <cell r="B461">
            <v>47.644150000000003</v>
          </cell>
        </row>
        <row r="462">
          <cell r="A462">
            <v>42324</v>
          </cell>
          <cell r="B462">
            <v>48.868599000000003</v>
          </cell>
        </row>
        <row r="463">
          <cell r="A463">
            <v>42325</v>
          </cell>
          <cell r="B463">
            <v>50.599735000000003</v>
          </cell>
        </row>
        <row r="464">
          <cell r="A464">
            <v>42326</v>
          </cell>
          <cell r="B464">
            <v>51.452643999999999</v>
          </cell>
        </row>
        <row r="465">
          <cell r="A465">
            <v>42327</v>
          </cell>
          <cell r="B465">
            <v>51.258408000000003</v>
          </cell>
        </row>
        <row r="466">
          <cell r="A466">
            <v>42328</v>
          </cell>
          <cell r="B466">
            <v>50.726410000000001</v>
          </cell>
        </row>
        <row r="467">
          <cell r="A467">
            <v>42331</v>
          </cell>
          <cell r="B467">
            <v>50.886848000000001</v>
          </cell>
        </row>
        <row r="468">
          <cell r="A468">
            <v>42332</v>
          </cell>
          <cell r="B468">
            <v>50.599735000000003</v>
          </cell>
        </row>
        <row r="469">
          <cell r="A469">
            <v>42333</v>
          </cell>
          <cell r="B469">
            <v>50.869961000000004</v>
          </cell>
        </row>
        <row r="470">
          <cell r="A470">
            <v>42335</v>
          </cell>
          <cell r="B470">
            <v>50.574398000000002</v>
          </cell>
        </row>
        <row r="471">
          <cell r="A471">
            <v>42338</v>
          </cell>
          <cell r="B471">
            <v>49.687714</v>
          </cell>
        </row>
        <row r="472">
          <cell r="A472">
            <v>42339</v>
          </cell>
          <cell r="B472">
            <v>49.814391999999998</v>
          </cell>
        </row>
        <row r="473">
          <cell r="A473">
            <v>42340</v>
          </cell>
          <cell r="B473">
            <v>49.686656999999997</v>
          </cell>
        </row>
        <row r="474">
          <cell r="A474">
            <v>42341</v>
          </cell>
          <cell r="B474">
            <v>50.274203999999997</v>
          </cell>
        </row>
        <row r="475">
          <cell r="A475">
            <v>42342</v>
          </cell>
          <cell r="B475">
            <v>50.802157999999999</v>
          </cell>
        </row>
        <row r="476">
          <cell r="A476">
            <v>42345</v>
          </cell>
          <cell r="B476">
            <v>51.517440999999998</v>
          </cell>
        </row>
        <row r="477">
          <cell r="A477">
            <v>42346</v>
          </cell>
          <cell r="B477">
            <v>50.759582999999999</v>
          </cell>
        </row>
        <row r="478">
          <cell r="A478">
            <v>42347</v>
          </cell>
          <cell r="B478">
            <v>50.350848999999997</v>
          </cell>
        </row>
        <row r="479">
          <cell r="A479">
            <v>42348</v>
          </cell>
          <cell r="B479">
            <v>50.717007000000002</v>
          </cell>
        </row>
        <row r="480">
          <cell r="A480">
            <v>42349</v>
          </cell>
          <cell r="B480">
            <v>50.546700000000001</v>
          </cell>
        </row>
        <row r="481">
          <cell r="A481">
            <v>42352</v>
          </cell>
          <cell r="B481">
            <v>51.423779000000003</v>
          </cell>
        </row>
        <row r="482">
          <cell r="A482">
            <v>42353</v>
          </cell>
          <cell r="B482">
            <v>50.785133000000002</v>
          </cell>
        </row>
        <row r="483">
          <cell r="A483">
            <v>42354</v>
          </cell>
          <cell r="B483">
            <v>51.347141000000001</v>
          </cell>
        </row>
        <row r="484">
          <cell r="A484">
            <v>42355</v>
          </cell>
          <cell r="B484">
            <v>50.223114000000002</v>
          </cell>
        </row>
        <row r="485">
          <cell r="A485">
            <v>42356</v>
          </cell>
          <cell r="B485">
            <v>50.112411000000002</v>
          </cell>
        </row>
        <row r="486">
          <cell r="A486">
            <v>42359</v>
          </cell>
          <cell r="B486">
            <v>50.708492</v>
          </cell>
        </row>
        <row r="487">
          <cell r="A487">
            <v>42360</v>
          </cell>
          <cell r="B487">
            <v>51.551501999999999</v>
          </cell>
        </row>
        <row r="488">
          <cell r="A488">
            <v>42361</v>
          </cell>
          <cell r="B488">
            <v>52.019855</v>
          </cell>
        </row>
        <row r="489">
          <cell r="A489">
            <v>42362</v>
          </cell>
          <cell r="B489">
            <v>51.798447000000003</v>
          </cell>
        </row>
        <row r="490">
          <cell r="A490">
            <v>42366</v>
          </cell>
          <cell r="B490">
            <v>51.730342999999998</v>
          </cell>
        </row>
        <row r="491">
          <cell r="A491">
            <v>42367</v>
          </cell>
          <cell r="B491">
            <v>52.462639000000003</v>
          </cell>
        </row>
        <row r="492">
          <cell r="A492">
            <v>42368</v>
          </cell>
          <cell r="B492">
            <v>52.522250999999997</v>
          </cell>
        </row>
        <row r="493">
          <cell r="A493">
            <v>42369</v>
          </cell>
          <cell r="B493">
            <v>52.198677000000004</v>
          </cell>
        </row>
        <row r="494">
          <cell r="A494">
            <v>42373</v>
          </cell>
          <cell r="B494">
            <v>52.334923000000003</v>
          </cell>
        </row>
        <row r="495">
          <cell r="A495">
            <v>42374</v>
          </cell>
          <cell r="B495">
            <v>53.578158999999999</v>
          </cell>
        </row>
        <row r="496">
          <cell r="A496">
            <v>42375</v>
          </cell>
          <cell r="B496">
            <v>54.114612999999999</v>
          </cell>
        </row>
        <row r="497">
          <cell r="A497">
            <v>42376</v>
          </cell>
          <cell r="B497">
            <v>55.374870000000001</v>
          </cell>
        </row>
        <row r="498">
          <cell r="A498">
            <v>42377</v>
          </cell>
          <cell r="B498">
            <v>54.106093999999999</v>
          </cell>
        </row>
        <row r="499">
          <cell r="A499">
            <v>42380</v>
          </cell>
          <cell r="B499">
            <v>54.685127000000001</v>
          </cell>
        </row>
        <row r="500">
          <cell r="A500">
            <v>42381</v>
          </cell>
          <cell r="B500">
            <v>54.174210000000002</v>
          </cell>
        </row>
        <row r="501">
          <cell r="A501">
            <v>42382</v>
          </cell>
          <cell r="B501">
            <v>52.726612000000003</v>
          </cell>
        </row>
        <row r="502">
          <cell r="A502">
            <v>42383</v>
          </cell>
          <cell r="B502">
            <v>53.697361000000001</v>
          </cell>
        </row>
        <row r="503">
          <cell r="A503">
            <v>42384</v>
          </cell>
          <cell r="B503">
            <v>52.735129999999998</v>
          </cell>
        </row>
        <row r="504">
          <cell r="A504">
            <v>42388</v>
          </cell>
          <cell r="B504">
            <v>53.271594999999998</v>
          </cell>
        </row>
        <row r="505">
          <cell r="A505">
            <v>42389</v>
          </cell>
          <cell r="B505">
            <v>51.806946000000003</v>
          </cell>
        </row>
        <row r="506">
          <cell r="A506">
            <v>42390</v>
          </cell>
          <cell r="B506">
            <v>52.692562000000002</v>
          </cell>
        </row>
        <row r="507">
          <cell r="A507">
            <v>42391</v>
          </cell>
          <cell r="B507">
            <v>53.382286000000001</v>
          </cell>
        </row>
        <row r="508">
          <cell r="A508">
            <v>42394</v>
          </cell>
          <cell r="B508">
            <v>54.029465000000002</v>
          </cell>
        </row>
        <row r="509">
          <cell r="A509">
            <v>42395</v>
          </cell>
          <cell r="B509">
            <v>54.497784000000003</v>
          </cell>
        </row>
        <row r="510">
          <cell r="A510">
            <v>42396</v>
          </cell>
          <cell r="B510">
            <v>54.455207999999999</v>
          </cell>
        </row>
        <row r="511">
          <cell r="A511">
            <v>42397</v>
          </cell>
          <cell r="B511">
            <v>54.685127000000001</v>
          </cell>
        </row>
        <row r="512">
          <cell r="A512">
            <v>42398</v>
          </cell>
          <cell r="B512">
            <v>56.507404000000001</v>
          </cell>
        </row>
        <row r="513">
          <cell r="A513">
            <v>42401</v>
          </cell>
          <cell r="B513">
            <v>57.478133999999997</v>
          </cell>
        </row>
        <row r="514">
          <cell r="A514">
            <v>42402</v>
          </cell>
          <cell r="B514">
            <v>56.933169999999997</v>
          </cell>
        </row>
        <row r="515">
          <cell r="A515">
            <v>42403</v>
          </cell>
          <cell r="B515">
            <v>56.430748000000001</v>
          </cell>
        </row>
        <row r="516">
          <cell r="A516">
            <v>42404</v>
          </cell>
          <cell r="B516">
            <v>56.558483000000003</v>
          </cell>
        </row>
        <row r="517">
          <cell r="A517">
            <v>42405</v>
          </cell>
          <cell r="B517">
            <v>57.052371999999998</v>
          </cell>
        </row>
        <row r="518">
          <cell r="A518">
            <v>42408</v>
          </cell>
          <cell r="B518">
            <v>56.967216000000001</v>
          </cell>
        </row>
        <row r="519">
          <cell r="A519">
            <v>42409</v>
          </cell>
          <cell r="B519">
            <v>56.039059000000002</v>
          </cell>
        </row>
        <row r="520">
          <cell r="A520">
            <v>42410</v>
          </cell>
          <cell r="B520">
            <v>56.022033999999998</v>
          </cell>
        </row>
        <row r="521">
          <cell r="A521">
            <v>42411</v>
          </cell>
          <cell r="B521">
            <v>55.621799000000003</v>
          </cell>
        </row>
        <row r="522">
          <cell r="A522">
            <v>42412</v>
          </cell>
          <cell r="B522">
            <v>56.354134000000002</v>
          </cell>
        </row>
        <row r="523">
          <cell r="A523">
            <v>42416</v>
          </cell>
          <cell r="B523">
            <v>56.115696</v>
          </cell>
        </row>
        <row r="524">
          <cell r="A524">
            <v>42417</v>
          </cell>
          <cell r="B524">
            <v>56.294521000000003</v>
          </cell>
        </row>
        <row r="525">
          <cell r="A525">
            <v>42418</v>
          </cell>
          <cell r="B525">
            <v>54.599983000000002</v>
          </cell>
        </row>
        <row r="526">
          <cell r="A526">
            <v>42419</v>
          </cell>
          <cell r="B526">
            <v>55.059803000000002</v>
          </cell>
        </row>
        <row r="527">
          <cell r="A527">
            <v>42422</v>
          </cell>
          <cell r="B527">
            <v>55.885792000000002</v>
          </cell>
        </row>
        <row r="528">
          <cell r="A528">
            <v>42423</v>
          </cell>
          <cell r="B528">
            <v>56.609580999999999</v>
          </cell>
        </row>
        <row r="529">
          <cell r="A529">
            <v>42424</v>
          </cell>
          <cell r="B529">
            <v>57.154567999999998</v>
          </cell>
        </row>
        <row r="530">
          <cell r="A530">
            <v>42425</v>
          </cell>
          <cell r="B530">
            <v>57.937969000000002</v>
          </cell>
        </row>
        <row r="531">
          <cell r="A531">
            <v>42426</v>
          </cell>
          <cell r="B531">
            <v>56.635131999999999</v>
          </cell>
        </row>
        <row r="532">
          <cell r="A532">
            <v>42429</v>
          </cell>
          <cell r="B532">
            <v>56.490367999999997</v>
          </cell>
        </row>
        <row r="533">
          <cell r="A533">
            <v>42430</v>
          </cell>
          <cell r="B533">
            <v>56.592540999999997</v>
          </cell>
        </row>
        <row r="534">
          <cell r="A534">
            <v>42431</v>
          </cell>
          <cell r="B534">
            <v>56.379665000000003</v>
          </cell>
        </row>
        <row r="535">
          <cell r="A535">
            <v>42432</v>
          </cell>
          <cell r="B535">
            <v>56.320056999999998</v>
          </cell>
        </row>
        <row r="536">
          <cell r="A536">
            <v>42433</v>
          </cell>
          <cell r="B536">
            <v>56.865054999999998</v>
          </cell>
        </row>
        <row r="537">
          <cell r="A537">
            <v>42436</v>
          </cell>
          <cell r="B537">
            <v>57.810223000000001</v>
          </cell>
        </row>
        <row r="538">
          <cell r="A538">
            <v>42437</v>
          </cell>
          <cell r="B538">
            <v>57.937969000000002</v>
          </cell>
        </row>
        <row r="539">
          <cell r="A539">
            <v>42438</v>
          </cell>
          <cell r="B539">
            <v>57.929397999999999</v>
          </cell>
        </row>
        <row r="540">
          <cell r="A540">
            <v>42439</v>
          </cell>
          <cell r="B540">
            <v>57.826447000000002</v>
          </cell>
        </row>
        <row r="541">
          <cell r="A541">
            <v>42440</v>
          </cell>
          <cell r="B541">
            <v>57.620570999999998</v>
          </cell>
        </row>
        <row r="542">
          <cell r="A542">
            <v>42443</v>
          </cell>
          <cell r="B542">
            <v>57.783569</v>
          </cell>
        </row>
        <row r="543">
          <cell r="A543">
            <v>42444</v>
          </cell>
          <cell r="B543">
            <v>58.409767000000002</v>
          </cell>
        </row>
        <row r="544">
          <cell r="A544">
            <v>42445</v>
          </cell>
          <cell r="B544">
            <v>58.323974999999997</v>
          </cell>
        </row>
        <row r="545">
          <cell r="A545">
            <v>42446</v>
          </cell>
          <cell r="B545">
            <v>57.860759999999999</v>
          </cell>
        </row>
        <row r="546">
          <cell r="A546">
            <v>42447</v>
          </cell>
          <cell r="B546">
            <v>57.431846999999998</v>
          </cell>
        </row>
        <row r="547">
          <cell r="A547">
            <v>42450</v>
          </cell>
          <cell r="B547">
            <v>58.306831000000003</v>
          </cell>
        </row>
        <row r="548">
          <cell r="A548">
            <v>42451</v>
          </cell>
          <cell r="B548">
            <v>58.221054000000002</v>
          </cell>
        </row>
        <row r="549">
          <cell r="A549">
            <v>42452</v>
          </cell>
          <cell r="B549">
            <v>57.869338999999997</v>
          </cell>
        </row>
        <row r="550">
          <cell r="A550">
            <v>42453</v>
          </cell>
          <cell r="B550">
            <v>58.332557999999999</v>
          </cell>
        </row>
        <row r="551">
          <cell r="A551">
            <v>42457</v>
          </cell>
          <cell r="B551">
            <v>58.435504999999999</v>
          </cell>
        </row>
        <row r="552">
          <cell r="A552">
            <v>42458</v>
          </cell>
          <cell r="B552">
            <v>58.358288000000002</v>
          </cell>
        </row>
        <row r="553">
          <cell r="A553">
            <v>42459</v>
          </cell>
          <cell r="B553">
            <v>59.018841000000002</v>
          </cell>
        </row>
        <row r="554">
          <cell r="A554">
            <v>42460</v>
          </cell>
          <cell r="B554">
            <v>58.752910999999997</v>
          </cell>
        </row>
        <row r="555">
          <cell r="A555">
            <v>42461</v>
          </cell>
          <cell r="B555">
            <v>59.241871000000003</v>
          </cell>
        </row>
        <row r="556">
          <cell r="A556">
            <v>42464</v>
          </cell>
          <cell r="B556">
            <v>59.276176</v>
          </cell>
        </row>
        <row r="557">
          <cell r="A557">
            <v>42465</v>
          </cell>
          <cell r="B557">
            <v>58.881577</v>
          </cell>
        </row>
        <row r="558">
          <cell r="A558">
            <v>42466</v>
          </cell>
          <cell r="B558">
            <v>59.224724000000002</v>
          </cell>
        </row>
        <row r="559">
          <cell r="A559">
            <v>42467</v>
          </cell>
          <cell r="B559">
            <v>58.521296999999997</v>
          </cell>
        </row>
        <row r="560">
          <cell r="A560">
            <v>42468</v>
          </cell>
          <cell r="B560">
            <v>58.384036999999999</v>
          </cell>
        </row>
        <row r="561">
          <cell r="A561">
            <v>42471</v>
          </cell>
          <cell r="B561">
            <v>57.817875000000001</v>
          </cell>
        </row>
        <row r="562">
          <cell r="A562">
            <v>42472</v>
          </cell>
          <cell r="B562">
            <v>59.018841000000002</v>
          </cell>
        </row>
        <row r="563">
          <cell r="A563">
            <v>42473</v>
          </cell>
          <cell r="B563">
            <v>59.319077</v>
          </cell>
        </row>
        <row r="564">
          <cell r="A564">
            <v>42474</v>
          </cell>
          <cell r="B564">
            <v>59.018841000000002</v>
          </cell>
        </row>
        <row r="565">
          <cell r="A565">
            <v>42475</v>
          </cell>
          <cell r="B565">
            <v>59.241871000000003</v>
          </cell>
        </row>
        <row r="566">
          <cell r="A566">
            <v>42478</v>
          </cell>
          <cell r="B566">
            <v>59.928153999999999</v>
          </cell>
        </row>
        <row r="567">
          <cell r="A567">
            <v>42479</v>
          </cell>
          <cell r="B567">
            <v>59.850918</v>
          </cell>
        </row>
        <row r="568">
          <cell r="A568">
            <v>42480</v>
          </cell>
          <cell r="B568">
            <v>59.370533000000002</v>
          </cell>
        </row>
        <row r="569">
          <cell r="A569">
            <v>42481</v>
          </cell>
          <cell r="B569">
            <v>58.735756000000002</v>
          </cell>
        </row>
        <row r="570">
          <cell r="A570">
            <v>42482</v>
          </cell>
          <cell r="B570">
            <v>58.950226000000001</v>
          </cell>
        </row>
        <row r="571">
          <cell r="A571">
            <v>42485</v>
          </cell>
          <cell r="B571">
            <v>59.593570999999997</v>
          </cell>
        </row>
        <row r="572">
          <cell r="A572">
            <v>42486</v>
          </cell>
          <cell r="B572">
            <v>59.447761999999997</v>
          </cell>
        </row>
        <row r="573">
          <cell r="A573">
            <v>42487</v>
          </cell>
          <cell r="B573">
            <v>59.550685999999999</v>
          </cell>
        </row>
        <row r="574">
          <cell r="A574">
            <v>42488</v>
          </cell>
          <cell r="B574">
            <v>59.113197</v>
          </cell>
        </row>
        <row r="575">
          <cell r="A575">
            <v>42489</v>
          </cell>
          <cell r="B575">
            <v>57.363216000000001</v>
          </cell>
        </row>
        <row r="576">
          <cell r="A576">
            <v>42492</v>
          </cell>
          <cell r="B576">
            <v>57.980854000000001</v>
          </cell>
        </row>
        <row r="577">
          <cell r="A577">
            <v>42493</v>
          </cell>
          <cell r="B577">
            <v>57.474735000000003</v>
          </cell>
        </row>
        <row r="578">
          <cell r="A578">
            <v>42494</v>
          </cell>
          <cell r="B578">
            <v>57.637732999999997</v>
          </cell>
        </row>
        <row r="579">
          <cell r="A579">
            <v>42495</v>
          </cell>
          <cell r="B579">
            <v>57.654884000000003</v>
          </cell>
        </row>
        <row r="580">
          <cell r="A580">
            <v>42496</v>
          </cell>
          <cell r="B580">
            <v>58.547030999999997</v>
          </cell>
        </row>
        <row r="581">
          <cell r="A581">
            <v>42499</v>
          </cell>
          <cell r="B581">
            <v>59.147511000000002</v>
          </cell>
        </row>
        <row r="582">
          <cell r="A582">
            <v>42500</v>
          </cell>
          <cell r="B582">
            <v>59.010269000000001</v>
          </cell>
        </row>
        <row r="583">
          <cell r="A583">
            <v>42501</v>
          </cell>
          <cell r="B583">
            <v>57.385714999999998</v>
          </cell>
        </row>
        <row r="584">
          <cell r="A584">
            <v>42502</v>
          </cell>
          <cell r="B584">
            <v>57.765926</v>
          </cell>
        </row>
        <row r="585">
          <cell r="A585">
            <v>42503</v>
          </cell>
          <cell r="B585">
            <v>56.115482</v>
          </cell>
        </row>
        <row r="586">
          <cell r="A586">
            <v>42506</v>
          </cell>
          <cell r="B586">
            <v>57.048717000000003</v>
          </cell>
        </row>
        <row r="587">
          <cell r="A587">
            <v>42507</v>
          </cell>
          <cell r="B587">
            <v>56.253734999999999</v>
          </cell>
        </row>
        <row r="588">
          <cell r="A588">
            <v>42508</v>
          </cell>
          <cell r="B588">
            <v>54.568714</v>
          </cell>
        </row>
        <row r="589">
          <cell r="A589">
            <v>42509</v>
          </cell>
          <cell r="B589">
            <v>59.796593000000001</v>
          </cell>
        </row>
        <row r="590">
          <cell r="A590">
            <v>42510</v>
          </cell>
          <cell r="B590">
            <v>60.366905000000003</v>
          </cell>
        </row>
        <row r="591">
          <cell r="A591">
            <v>42513</v>
          </cell>
          <cell r="B591">
            <v>60.055824000000001</v>
          </cell>
        </row>
        <row r="592">
          <cell r="A592">
            <v>42514</v>
          </cell>
          <cell r="B592">
            <v>60.695286000000003</v>
          </cell>
        </row>
        <row r="593">
          <cell r="A593">
            <v>42515</v>
          </cell>
          <cell r="B593">
            <v>60.902633999999999</v>
          </cell>
        </row>
        <row r="594">
          <cell r="A594">
            <v>42516</v>
          </cell>
          <cell r="B594">
            <v>61.222392999999997</v>
          </cell>
        </row>
        <row r="595">
          <cell r="A595">
            <v>42517</v>
          </cell>
          <cell r="B595">
            <v>61.135967000000001</v>
          </cell>
        </row>
        <row r="596">
          <cell r="A596">
            <v>42521</v>
          </cell>
          <cell r="B596">
            <v>61.161903000000002</v>
          </cell>
        </row>
        <row r="597">
          <cell r="A597">
            <v>42522</v>
          </cell>
          <cell r="B597">
            <v>60.919941000000001</v>
          </cell>
        </row>
        <row r="598">
          <cell r="A598">
            <v>42523</v>
          </cell>
          <cell r="B598">
            <v>61.308796000000001</v>
          </cell>
        </row>
        <row r="599">
          <cell r="A599">
            <v>42524</v>
          </cell>
          <cell r="B599">
            <v>61.239669999999997</v>
          </cell>
        </row>
        <row r="600">
          <cell r="A600">
            <v>42527</v>
          </cell>
          <cell r="B600">
            <v>61.395206000000002</v>
          </cell>
        </row>
        <row r="601">
          <cell r="A601">
            <v>42528</v>
          </cell>
          <cell r="B601">
            <v>61.377926000000002</v>
          </cell>
        </row>
        <row r="602">
          <cell r="A602">
            <v>42529</v>
          </cell>
          <cell r="B602">
            <v>61.593941000000001</v>
          </cell>
        </row>
        <row r="603">
          <cell r="A603">
            <v>42530</v>
          </cell>
          <cell r="B603">
            <v>61.429760000000002</v>
          </cell>
        </row>
        <row r="604">
          <cell r="A604">
            <v>42531</v>
          </cell>
          <cell r="B604">
            <v>61.472968999999999</v>
          </cell>
        </row>
        <row r="605">
          <cell r="A605">
            <v>42534</v>
          </cell>
          <cell r="B605">
            <v>60.945853999999997</v>
          </cell>
        </row>
        <row r="606">
          <cell r="A606">
            <v>42535</v>
          </cell>
          <cell r="B606">
            <v>61.308796000000001</v>
          </cell>
        </row>
        <row r="607">
          <cell r="A607">
            <v>42536</v>
          </cell>
          <cell r="B607">
            <v>61.455708000000001</v>
          </cell>
        </row>
        <row r="608">
          <cell r="A608">
            <v>42537</v>
          </cell>
          <cell r="B608">
            <v>61.611240000000002</v>
          </cell>
        </row>
        <row r="609">
          <cell r="A609">
            <v>42538</v>
          </cell>
          <cell r="B609">
            <v>61.308796000000001</v>
          </cell>
        </row>
        <row r="610">
          <cell r="A610">
            <v>42541</v>
          </cell>
          <cell r="B610">
            <v>61.438412</v>
          </cell>
        </row>
        <row r="611">
          <cell r="A611">
            <v>42542</v>
          </cell>
          <cell r="B611">
            <v>61.749499999999998</v>
          </cell>
        </row>
        <row r="612">
          <cell r="A612">
            <v>42543</v>
          </cell>
          <cell r="B612">
            <v>62.000084000000001</v>
          </cell>
        </row>
        <row r="613">
          <cell r="A613">
            <v>42544</v>
          </cell>
          <cell r="B613">
            <v>62.302525000000003</v>
          </cell>
        </row>
        <row r="614">
          <cell r="A614">
            <v>42545</v>
          </cell>
          <cell r="B614">
            <v>62.181541000000003</v>
          </cell>
        </row>
        <row r="615">
          <cell r="A615">
            <v>42548</v>
          </cell>
          <cell r="B615">
            <v>61.784050000000001</v>
          </cell>
        </row>
        <row r="616">
          <cell r="A616">
            <v>42549</v>
          </cell>
          <cell r="B616">
            <v>61.792701999999998</v>
          </cell>
        </row>
        <row r="617">
          <cell r="A617">
            <v>42550</v>
          </cell>
          <cell r="B617">
            <v>62.613602</v>
          </cell>
        </row>
        <row r="618">
          <cell r="A618">
            <v>42551</v>
          </cell>
          <cell r="B618">
            <v>63.097504000000001</v>
          </cell>
        </row>
        <row r="619">
          <cell r="A619">
            <v>42552</v>
          </cell>
          <cell r="B619">
            <v>62.916041999999997</v>
          </cell>
        </row>
        <row r="620">
          <cell r="A620">
            <v>42556</v>
          </cell>
          <cell r="B620">
            <v>63.201191000000001</v>
          </cell>
        </row>
        <row r="621">
          <cell r="A621">
            <v>42557</v>
          </cell>
          <cell r="B621">
            <v>63.788806999999998</v>
          </cell>
        </row>
        <row r="622">
          <cell r="A622">
            <v>42558</v>
          </cell>
          <cell r="B622">
            <v>63.538215999999998</v>
          </cell>
        </row>
        <row r="623">
          <cell r="A623">
            <v>42559</v>
          </cell>
          <cell r="B623">
            <v>63.806083999999998</v>
          </cell>
        </row>
        <row r="624">
          <cell r="A624">
            <v>42562</v>
          </cell>
          <cell r="B624">
            <v>63.996189000000001</v>
          </cell>
        </row>
        <row r="625">
          <cell r="A625">
            <v>42563</v>
          </cell>
          <cell r="B625">
            <v>63.313518999999999</v>
          </cell>
        </row>
        <row r="626">
          <cell r="A626">
            <v>42564</v>
          </cell>
          <cell r="B626">
            <v>63.615993000000003</v>
          </cell>
        </row>
        <row r="627">
          <cell r="A627">
            <v>42565</v>
          </cell>
          <cell r="B627">
            <v>63.685080999999997</v>
          </cell>
        </row>
        <row r="628">
          <cell r="A628">
            <v>42566</v>
          </cell>
          <cell r="B628">
            <v>63.659184000000003</v>
          </cell>
        </row>
        <row r="629">
          <cell r="A629">
            <v>42569</v>
          </cell>
          <cell r="B629">
            <v>63.806083999999998</v>
          </cell>
        </row>
        <row r="630">
          <cell r="A630">
            <v>42570</v>
          </cell>
          <cell r="B630">
            <v>63.650539000000002</v>
          </cell>
        </row>
        <row r="631">
          <cell r="A631">
            <v>42571</v>
          </cell>
          <cell r="B631">
            <v>63.762881999999998</v>
          </cell>
        </row>
        <row r="632">
          <cell r="A632">
            <v>42572</v>
          </cell>
          <cell r="B632">
            <v>63.529575000000001</v>
          </cell>
        </row>
        <row r="633">
          <cell r="A633">
            <v>42573</v>
          </cell>
          <cell r="B633">
            <v>63.555484999999997</v>
          </cell>
        </row>
        <row r="634">
          <cell r="A634">
            <v>42576</v>
          </cell>
          <cell r="B634">
            <v>63.728298000000002</v>
          </cell>
        </row>
        <row r="635">
          <cell r="A635">
            <v>42577</v>
          </cell>
          <cell r="B635">
            <v>63.711010000000002</v>
          </cell>
        </row>
        <row r="636">
          <cell r="A636">
            <v>42578</v>
          </cell>
          <cell r="B636">
            <v>63.356735</v>
          </cell>
        </row>
        <row r="637">
          <cell r="A637">
            <v>42579</v>
          </cell>
          <cell r="B637">
            <v>63.287593999999999</v>
          </cell>
        </row>
        <row r="638">
          <cell r="A638">
            <v>42580</v>
          </cell>
          <cell r="B638">
            <v>63.054310000000001</v>
          </cell>
        </row>
        <row r="639">
          <cell r="A639">
            <v>42583</v>
          </cell>
          <cell r="B639">
            <v>63.754210999999998</v>
          </cell>
        </row>
        <row r="640">
          <cell r="A640">
            <v>42584</v>
          </cell>
          <cell r="B640">
            <v>63.192565999999999</v>
          </cell>
        </row>
        <row r="641">
          <cell r="A641">
            <v>42585</v>
          </cell>
          <cell r="B641">
            <v>63.028381000000003</v>
          </cell>
        </row>
        <row r="642">
          <cell r="A642">
            <v>42586</v>
          </cell>
          <cell r="B642">
            <v>63.339447</v>
          </cell>
        </row>
        <row r="643">
          <cell r="A643">
            <v>42587</v>
          </cell>
          <cell r="B643">
            <v>63.736961000000001</v>
          </cell>
        </row>
        <row r="644">
          <cell r="A644">
            <v>42590</v>
          </cell>
          <cell r="B644">
            <v>63.374026999999998</v>
          </cell>
        </row>
        <row r="645">
          <cell r="A645">
            <v>42591</v>
          </cell>
          <cell r="B645">
            <v>63.546855999999998</v>
          </cell>
        </row>
        <row r="646">
          <cell r="A646">
            <v>42592</v>
          </cell>
          <cell r="B646">
            <v>64.338584999999995</v>
          </cell>
        </row>
        <row r="647">
          <cell r="A647">
            <v>42593</v>
          </cell>
          <cell r="B647">
            <v>64.208061000000001</v>
          </cell>
        </row>
        <row r="648">
          <cell r="A648">
            <v>42594</v>
          </cell>
          <cell r="B648">
            <v>64.286377000000002</v>
          </cell>
        </row>
        <row r="649">
          <cell r="A649">
            <v>42597</v>
          </cell>
          <cell r="B649">
            <v>63.790455000000001</v>
          </cell>
        </row>
        <row r="650">
          <cell r="A650">
            <v>42598</v>
          </cell>
          <cell r="B650">
            <v>63.416344000000002</v>
          </cell>
        </row>
        <row r="651">
          <cell r="A651">
            <v>42599</v>
          </cell>
          <cell r="B651">
            <v>63.451152999999998</v>
          </cell>
        </row>
        <row r="652">
          <cell r="A652">
            <v>42600</v>
          </cell>
          <cell r="B652">
            <v>64.643066000000005</v>
          </cell>
        </row>
        <row r="653">
          <cell r="A653">
            <v>42601</v>
          </cell>
          <cell r="B653">
            <v>63.346741000000002</v>
          </cell>
        </row>
        <row r="654">
          <cell r="A654">
            <v>42604</v>
          </cell>
          <cell r="B654">
            <v>63.251026000000003</v>
          </cell>
        </row>
        <row r="655">
          <cell r="A655">
            <v>42605</v>
          </cell>
          <cell r="B655">
            <v>62.615921</v>
          </cell>
        </row>
        <row r="656">
          <cell r="A656">
            <v>42606</v>
          </cell>
          <cell r="B656">
            <v>62.842136000000004</v>
          </cell>
        </row>
        <row r="657">
          <cell r="A657">
            <v>42607</v>
          </cell>
          <cell r="B657">
            <v>61.963405999999999</v>
          </cell>
        </row>
        <row r="658">
          <cell r="A658">
            <v>42608</v>
          </cell>
          <cell r="B658">
            <v>61.89378</v>
          </cell>
        </row>
        <row r="659">
          <cell r="A659">
            <v>42611</v>
          </cell>
          <cell r="B659">
            <v>62.119995000000003</v>
          </cell>
        </row>
        <row r="660">
          <cell r="A660">
            <v>42612</v>
          </cell>
          <cell r="B660">
            <v>62.041691</v>
          </cell>
        </row>
        <row r="661">
          <cell r="A661">
            <v>42613</v>
          </cell>
          <cell r="B661">
            <v>62.154797000000002</v>
          </cell>
        </row>
        <row r="662">
          <cell r="A662">
            <v>42614</v>
          </cell>
          <cell r="B662">
            <v>63.372841000000001</v>
          </cell>
        </row>
        <row r="663">
          <cell r="A663">
            <v>42615</v>
          </cell>
          <cell r="B663">
            <v>63.077025999999996</v>
          </cell>
        </row>
        <row r="664">
          <cell r="A664">
            <v>42619</v>
          </cell>
          <cell r="B664">
            <v>63.512053999999999</v>
          </cell>
        </row>
        <row r="665">
          <cell r="A665">
            <v>42620</v>
          </cell>
          <cell r="B665">
            <v>62.694225000000003</v>
          </cell>
        </row>
        <row r="666">
          <cell r="A666">
            <v>42621</v>
          </cell>
          <cell r="B666">
            <v>62.494124999999997</v>
          </cell>
        </row>
        <row r="667">
          <cell r="A667">
            <v>42622</v>
          </cell>
          <cell r="B667">
            <v>61.162975000000003</v>
          </cell>
        </row>
        <row r="668">
          <cell r="A668">
            <v>42625</v>
          </cell>
          <cell r="B668">
            <v>62.589824999999998</v>
          </cell>
        </row>
        <row r="669">
          <cell r="A669">
            <v>42626</v>
          </cell>
          <cell r="B669">
            <v>62.172207</v>
          </cell>
        </row>
        <row r="670">
          <cell r="A670">
            <v>42627</v>
          </cell>
          <cell r="B670">
            <v>62.224400000000003</v>
          </cell>
        </row>
        <row r="671">
          <cell r="A671">
            <v>42628</v>
          </cell>
          <cell r="B671">
            <v>62.990036000000003</v>
          </cell>
        </row>
        <row r="672">
          <cell r="A672">
            <v>42629</v>
          </cell>
          <cell r="B672">
            <v>63.398944999999998</v>
          </cell>
        </row>
        <row r="673">
          <cell r="A673">
            <v>42632</v>
          </cell>
          <cell r="B673">
            <v>62.720309999999998</v>
          </cell>
        </row>
        <row r="674">
          <cell r="A674">
            <v>42633</v>
          </cell>
          <cell r="B674">
            <v>62.615921</v>
          </cell>
        </row>
        <row r="675">
          <cell r="A675">
            <v>42634</v>
          </cell>
          <cell r="B675">
            <v>62.807335000000002</v>
          </cell>
        </row>
        <row r="676">
          <cell r="A676">
            <v>42635</v>
          </cell>
          <cell r="B676">
            <v>62.876922999999998</v>
          </cell>
        </row>
        <row r="677">
          <cell r="A677">
            <v>42636</v>
          </cell>
          <cell r="B677">
            <v>62.946510000000004</v>
          </cell>
        </row>
        <row r="678">
          <cell r="A678">
            <v>42639</v>
          </cell>
          <cell r="B678">
            <v>62.311416999999999</v>
          </cell>
        </row>
        <row r="679">
          <cell r="A679">
            <v>42640</v>
          </cell>
          <cell r="B679">
            <v>62.929130999999998</v>
          </cell>
        </row>
        <row r="680">
          <cell r="A680">
            <v>42641</v>
          </cell>
          <cell r="B680">
            <v>62.459324000000002</v>
          </cell>
        </row>
        <row r="681">
          <cell r="A681">
            <v>42642</v>
          </cell>
          <cell r="B681">
            <v>61.537078999999999</v>
          </cell>
        </row>
        <row r="682">
          <cell r="A682">
            <v>42643</v>
          </cell>
          <cell r="B682">
            <v>62.746426</v>
          </cell>
        </row>
        <row r="683">
          <cell r="A683">
            <v>42646</v>
          </cell>
          <cell r="B683">
            <v>62.650719000000002</v>
          </cell>
        </row>
        <row r="684">
          <cell r="A684">
            <v>42647</v>
          </cell>
          <cell r="B684">
            <v>62.424503000000001</v>
          </cell>
        </row>
        <row r="685">
          <cell r="A685">
            <v>42648</v>
          </cell>
          <cell r="B685">
            <v>62.354908000000002</v>
          </cell>
        </row>
        <row r="686">
          <cell r="A686">
            <v>42649</v>
          </cell>
          <cell r="B686">
            <v>60.345146</v>
          </cell>
        </row>
        <row r="687">
          <cell r="A687">
            <v>42650</v>
          </cell>
          <cell r="B687">
            <v>59.770919999999997</v>
          </cell>
        </row>
        <row r="688">
          <cell r="A688">
            <v>42653</v>
          </cell>
          <cell r="B688">
            <v>59.144505000000002</v>
          </cell>
        </row>
        <row r="689">
          <cell r="A689">
            <v>42654</v>
          </cell>
          <cell r="B689">
            <v>58.631176000000004</v>
          </cell>
        </row>
        <row r="690">
          <cell r="A690">
            <v>42655</v>
          </cell>
          <cell r="B690">
            <v>58.692096999999997</v>
          </cell>
        </row>
        <row r="691">
          <cell r="A691">
            <v>42656</v>
          </cell>
          <cell r="B691">
            <v>59.361995999999998</v>
          </cell>
        </row>
        <row r="692">
          <cell r="A692">
            <v>42657</v>
          </cell>
          <cell r="B692">
            <v>59.553417000000003</v>
          </cell>
        </row>
        <row r="693">
          <cell r="A693">
            <v>42660</v>
          </cell>
          <cell r="B693">
            <v>59.353298000000002</v>
          </cell>
        </row>
        <row r="694">
          <cell r="A694">
            <v>42661</v>
          </cell>
          <cell r="B694">
            <v>59.918823000000003</v>
          </cell>
        </row>
        <row r="695">
          <cell r="A695">
            <v>42662</v>
          </cell>
          <cell r="B695">
            <v>59.936233999999999</v>
          </cell>
        </row>
        <row r="696">
          <cell r="A696">
            <v>42663</v>
          </cell>
          <cell r="B696">
            <v>59.797030999999997</v>
          </cell>
        </row>
        <row r="697">
          <cell r="A697">
            <v>42664</v>
          </cell>
          <cell r="B697">
            <v>59.457709999999999</v>
          </cell>
        </row>
        <row r="698">
          <cell r="A698">
            <v>42667</v>
          </cell>
          <cell r="B698">
            <v>60.197239000000003</v>
          </cell>
        </row>
        <row r="699">
          <cell r="A699">
            <v>42668</v>
          </cell>
          <cell r="B699">
            <v>60.345146</v>
          </cell>
        </row>
        <row r="700">
          <cell r="A700">
            <v>42669</v>
          </cell>
          <cell r="B700">
            <v>60.545250000000003</v>
          </cell>
        </row>
        <row r="701">
          <cell r="A701">
            <v>42670</v>
          </cell>
          <cell r="B701">
            <v>60.754050999999997</v>
          </cell>
        </row>
        <row r="702">
          <cell r="A702">
            <v>42671</v>
          </cell>
          <cell r="B702">
            <v>60.893261000000003</v>
          </cell>
        </row>
        <row r="703">
          <cell r="A703">
            <v>42674</v>
          </cell>
          <cell r="B703">
            <v>60.919345999999997</v>
          </cell>
        </row>
        <row r="704">
          <cell r="A704">
            <v>42675</v>
          </cell>
          <cell r="B704">
            <v>60.292949999999998</v>
          </cell>
        </row>
        <row r="705">
          <cell r="A705">
            <v>42676</v>
          </cell>
          <cell r="B705">
            <v>60.423447000000003</v>
          </cell>
        </row>
        <row r="706">
          <cell r="A706">
            <v>42677</v>
          </cell>
          <cell r="B706">
            <v>60.580047999999998</v>
          </cell>
        </row>
        <row r="707">
          <cell r="A707">
            <v>42678</v>
          </cell>
          <cell r="B707">
            <v>60.171131000000003</v>
          </cell>
        </row>
        <row r="708">
          <cell r="A708">
            <v>42681</v>
          </cell>
          <cell r="B708">
            <v>60.710552</v>
          </cell>
        </row>
        <row r="709">
          <cell r="A709">
            <v>42682</v>
          </cell>
          <cell r="B709">
            <v>60.719261000000003</v>
          </cell>
        </row>
        <row r="710">
          <cell r="A710">
            <v>42683</v>
          </cell>
          <cell r="B710">
            <v>61.858994000000003</v>
          </cell>
        </row>
        <row r="711">
          <cell r="A711">
            <v>42684</v>
          </cell>
          <cell r="B711">
            <v>62.111313000000003</v>
          </cell>
        </row>
        <row r="712">
          <cell r="A712">
            <v>42685</v>
          </cell>
          <cell r="B712">
            <v>61.972084000000002</v>
          </cell>
        </row>
        <row r="713">
          <cell r="A713">
            <v>42688</v>
          </cell>
          <cell r="B713">
            <v>61.328280999999997</v>
          </cell>
        </row>
        <row r="714">
          <cell r="A714">
            <v>42689</v>
          </cell>
          <cell r="B714">
            <v>62.137394</v>
          </cell>
        </row>
        <row r="715">
          <cell r="A715">
            <v>42690</v>
          </cell>
          <cell r="B715">
            <v>62.111313000000003</v>
          </cell>
        </row>
        <row r="716">
          <cell r="A716">
            <v>42691</v>
          </cell>
          <cell r="B716">
            <v>60.197239000000003</v>
          </cell>
        </row>
        <row r="717">
          <cell r="A717">
            <v>42692</v>
          </cell>
          <cell r="B717">
            <v>59.631732999999997</v>
          </cell>
        </row>
        <row r="718">
          <cell r="A718">
            <v>42695</v>
          </cell>
          <cell r="B718">
            <v>60.353850999999999</v>
          </cell>
        </row>
        <row r="719">
          <cell r="A719">
            <v>42696</v>
          </cell>
          <cell r="B719">
            <v>61.006366999999997</v>
          </cell>
        </row>
        <row r="720">
          <cell r="A720">
            <v>42697</v>
          </cell>
          <cell r="B720">
            <v>61.624084000000003</v>
          </cell>
        </row>
        <row r="721">
          <cell r="A721">
            <v>42699</v>
          </cell>
          <cell r="B721">
            <v>61.972084000000002</v>
          </cell>
        </row>
        <row r="722">
          <cell r="A722">
            <v>42702</v>
          </cell>
          <cell r="B722">
            <v>61.937302000000003</v>
          </cell>
        </row>
        <row r="723">
          <cell r="A723">
            <v>42703</v>
          </cell>
          <cell r="B723">
            <v>62.093910000000001</v>
          </cell>
        </row>
        <row r="724">
          <cell r="A724">
            <v>42704</v>
          </cell>
          <cell r="B724">
            <v>61.276080999999998</v>
          </cell>
        </row>
        <row r="725">
          <cell r="A725">
            <v>42705</v>
          </cell>
          <cell r="B725">
            <v>61.484875000000002</v>
          </cell>
        </row>
        <row r="726">
          <cell r="A726">
            <v>42706</v>
          </cell>
          <cell r="B726">
            <v>61.667572</v>
          </cell>
        </row>
        <row r="727">
          <cell r="A727">
            <v>42709</v>
          </cell>
          <cell r="B727">
            <v>60.849766000000002</v>
          </cell>
        </row>
        <row r="728">
          <cell r="A728">
            <v>42710</v>
          </cell>
          <cell r="B728">
            <v>61.215183000000003</v>
          </cell>
        </row>
        <row r="729">
          <cell r="A729">
            <v>42711</v>
          </cell>
          <cell r="B729">
            <v>61.863602</v>
          </cell>
        </row>
        <row r="730">
          <cell r="A730">
            <v>42712</v>
          </cell>
          <cell r="B730">
            <v>61.635784000000001</v>
          </cell>
        </row>
        <row r="731">
          <cell r="A731">
            <v>42713</v>
          </cell>
          <cell r="B731">
            <v>61.407955000000001</v>
          </cell>
        </row>
        <row r="732">
          <cell r="A732">
            <v>42716</v>
          </cell>
          <cell r="B732">
            <v>62.801200999999999</v>
          </cell>
        </row>
        <row r="733">
          <cell r="A733">
            <v>42717</v>
          </cell>
          <cell r="B733">
            <v>62.915118999999997</v>
          </cell>
        </row>
        <row r="734">
          <cell r="A734">
            <v>42718</v>
          </cell>
          <cell r="B734">
            <v>62.512008999999999</v>
          </cell>
        </row>
        <row r="735">
          <cell r="A735">
            <v>42719</v>
          </cell>
          <cell r="B735">
            <v>62.284213999999999</v>
          </cell>
        </row>
        <row r="736">
          <cell r="A736">
            <v>42720</v>
          </cell>
          <cell r="B736">
            <v>62.196575000000003</v>
          </cell>
        </row>
        <row r="737">
          <cell r="A737">
            <v>42723</v>
          </cell>
          <cell r="B737">
            <v>62.722335999999999</v>
          </cell>
        </row>
        <row r="738">
          <cell r="A738">
            <v>42724</v>
          </cell>
          <cell r="B738">
            <v>62.932644000000003</v>
          </cell>
        </row>
        <row r="739">
          <cell r="A739">
            <v>42725</v>
          </cell>
          <cell r="B739">
            <v>62.424393000000002</v>
          </cell>
        </row>
        <row r="740">
          <cell r="A740">
            <v>42726</v>
          </cell>
          <cell r="B740">
            <v>60.978588000000002</v>
          </cell>
        </row>
        <row r="741">
          <cell r="A741">
            <v>42727</v>
          </cell>
          <cell r="B741">
            <v>60.934775999999999</v>
          </cell>
        </row>
        <row r="742">
          <cell r="A742">
            <v>42731</v>
          </cell>
          <cell r="B742">
            <v>61.07497</v>
          </cell>
        </row>
        <row r="743">
          <cell r="A743">
            <v>42732</v>
          </cell>
          <cell r="B743">
            <v>60.733238</v>
          </cell>
        </row>
        <row r="744">
          <cell r="A744">
            <v>42733</v>
          </cell>
          <cell r="B744">
            <v>60.689407000000003</v>
          </cell>
        </row>
        <row r="745">
          <cell r="A745">
            <v>42734</v>
          </cell>
          <cell r="B745">
            <v>60.566749999999999</v>
          </cell>
        </row>
        <row r="746">
          <cell r="A746">
            <v>42738</v>
          </cell>
          <cell r="B746">
            <v>60.163680999999997</v>
          </cell>
        </row>
        <row r="747">
          <cell r="A747">
            <v>42739</v>
          </cell>
          <cell r="B747">
            <v>60.514159999999997</v>
          </cell>
        </row>
        <row r="748">
          <cell r="A748">
            <v>42740</v>
          </cell>
          <cell r="B748">
            <v>60.645603000000001</v>
          </cell>
        </row>
        <row r="749">
          <cell r="A749">
            <v>42741</v>
          </cell>
          <cell r="B749">
            <v>59.813175000000001</v>
          </cell>
        </row>
        <row r="750">
          <cell r="A750">
            <v>42744</v>
          </cell>
          <cell r="B750">
            <v>60.207481000000001</v>
          </cell>
        </row>
        <row r="751">
          <cell r="A751">
            <v>42745</v>
          </cell>
          <cell r="B751">
            <v>59.786876999999997</v>
          </cell>
        </row>
        <row r="752">
          <cell r="A752">
            <v>42746</v>
          </cell>
          <cell r="B752">
            <v>60.049751000000001</v>
          </cell>
        </row>
        <row r="753">
          <cell r="A753">
            <v>42747</v>
          </cell>
          <cell r="B753">
            <v>59.559055000000001</v>
          </cell>
        </row>
        <row r="754">
          <cell r="A754">
            <v>42748</v>
          </cell>
          <cell r="B754">
            <v>58.823005999999999</v>
          </cell>
        </row>
        <row r="755">
          <cell r="A755">
            <v>42752</v>
          </cell>
          <cell r="B755">
            <v>59.953358000000001</v>
          </cell>
        </row>
        <row r="756">
          <cell r="A756">
            <v>42753</v>
          </cell>
          <cell r="B756">
            <v>59.681721000000003</v>
          </cell>
        </row>
        <row r="757">
          <cell r="A757">
            <v>42754</v>
          </cell>
          <cell r="B757">
            <v>59.252357000000003</v>
          </cell>
        </row>
        <row r="758">
          <cell r="A758">
            <v>42755</v>
          </cell>
          <cell r="B758">
            <v>58.866810000000001</v>
          </cell>
        </row>
        <row r="759">
          <cell r="A759">
            <v>42758</v>
          </cell>
          <cell r="B759">
            <v>58.402389999999997</v>
          </cell>
        </row>
        <row r="760">
          <cell r="A760">
            <v>42759</v>
          </cell>
          <cell r="B760">
            <v>59.059581999999999</v>
          </cell>
        </row>
        <row r="761">
          <cell r="A761">
            <v>42760</v>
          </cell>
          <cell r="B761">
            <v>58.612690000000001</v>
          </cell>
        </row>
        <row r="762">
          <cell r="A762">
            <v>42761</v>
          </cell>
          <cell r="B762">
            <v>58.472496</v>
          </cell>
        </row>
        <row r="763">
          <cell r="A763">
            <v>42762</v>
          </cell>
          <cell r="B763">
            <v>57.534900999999998</v>
          </cell>
        </row>
        <row r="764">
          <cell r="A764">
            <v>42765</v>
          </cell>
          <cell r="B764">
            <v>58.200854999999997</v>
          </cell>
        </row>
        <row r="765">
          <cell r="A765">
            <v>42766</v>
          </cell>
          <cell r="B765">
            <v>58.481254999999997</v>
          </cell>
        </row>
        <row r="766">
          <cell r="A766">
            <v>42767</v>
          </cell>
          <cell r="B766">
            <v>58.034362999999999</v>
          </cell>
        </row>
        <row r="767">
          <cell r="A767">
            <v>42768</v>
          </cell>
          <cell r="B767">
            <v>58.446201000000002</v>
          </cell>
        </row>
        <row r="768">
          <cell r="A768">
            <v>42769</v>
          </cell>
          <cell r="B768">
            <v>58.270949999999999</v>
          </cell>
        </row>
        <row r="769">
          <cell r="A769">
            <v>42772</v>
          </cell>
          <cell r="B769">
            <v>58.183323000000001</v>
          </cell>
        </row>
        <row r="770">
          <cell r="A770">
            <v>42773</v>
          </cell>
          <cell r="B770">
            <v>58.612690000000001</v>
          </cell>
        </row>
        <row r="771">
          <cell r="A771">
            <v>42774</v>
          </cell>
          <cell r="B771">
            <v>59.418849999999999</v>
          </cell>
        </row>
        <row r="772">
          <cell r="A772">
            <v>42775</v>
          </cell>
          <cell r="B772">
            <v>60.531695999999997</v>
          </cell>
        </row>
        <row r="773">
          <cell r="A773">
            <v>42776</v>
          </cell>
          <cell r="B773">
            <v>59.602851999999999</v>
          </cell>
        </row>
        <row r="774">
          <cell r="A774">
            <v>42779</v>
          </cell>
          <cell r="B774">
            <v>59.383785000000003</v>
          </cell>
        </row>
        <row r="775">
          <cell r="A775">
            <v>42780</v>
          </cell>
          <cell r="B775">
            <v>60.163680999999997</v>
          </cell>
        </row>
        <row r="776">
          <cell r="A776">
            <v>42781</v>
          </cell>
          <cell r="B776">
            <v>60.189953000000003</v>
          </cell>
        </row>
        <row r="777">
          <cell r="A777">
            <v>42782</v>
          </cell>
          <cell r="B777">
            <v>60.347683000000004</v>
          </cell>
        </row>
        <row r="778">
          <cell r="A778">
            <v>42783</v>
          </cell>
          <cell r="B778">
            <v>60.785809</v>
          </cell>
        </row>
        <row r="779">
          <cell r="A779">
            <v>42787</v>
          </cell>
          <cell r="B779">
            <v>62.608409999999999</v>
          </cell>
        </row>
        <row r="780">
          <cell r="A780">
            <v>42788</v>
          </cell>
          <cell r="B780">
            <v>62.836243000000003</v>
          </cell>
        </row>
        <row r="781">
          <cell r="A781">
            <v>42789</v>
          </cell>
          <cell r="B781">
            <v>62.485714000000002</v>
          </cell>
        </row>
        <row r="782">
          <cell r="A782">
            <v>42790</v>
          </cell>
          <cell r="B782">
            <v>63.432105999999997</v>
          </cell>
        </row>
        <row r="783">
          <cell r="A783">
            <v>42793</v>
          </cell>
          <cell r="B783">
            <v>62.862537000000003</v>
          </cell>
        </row>
        <row r="784">
          <cell r="A784">
            <v>42794</v>
          </cell>
          <cell r="B784">
            <v>62.152760000000001</v>
          </cell>
        </row>
        <row r="785">
          <cell r="A785">
            <v>42795</v>
          </cell>
          <cell r="B785">
            <v>61.732170000000004</v>
          </cell>
        </row>
        <row r="786">
          <cell r="A786">
            <v>42796</v>
          </cell>
          <cell r="B786">
            <v>62.003791999999997</v>
          </cell>
        </row>
        <row r="787">
          <cell r="A787">
            <v>42797</v>
          </cell>
          <cell r="B787">
            <v>61.364113000000003</v>
          </cell>
        </row>
        <row r="788">
          <cell r="A788">
            <v>42800</v>
          </cell>
          <cell r="B788">
            <v>61.232692999999998</v>
          </cell>
        </row>
        <row r="789">
          <cell r="A789">
            <v>42801</v>
          </cell>
          <cell r="B789">
            <v>61.223937999999997</v>
          </cell>
        </row>
        <row r="790">
          <cell r="A790">
            <v>42802</v>
          </cell>
          <cell r="B790">
            <v>61.612316</v>
          </cell>
        </row>
        <row r="791">
          <cell r="A791">
            <v>42803</v>
          </cell>
          <cell r="B791">
            <v>61.665272000000002</v>
          </cell>
        </row>
        <row r="792">
          <cell r="A792">
            <v>42804</v>
          </cell>
          <cell r="B792">
            <v>61.877124999999999</v>
          </cell>
        </row>
        <row r="793">
          <cell r="A793">
            <v>42807</v>
          </cell>
          <cell r="B793">
            <v>61.744746999999997</v>
          </cell>
        </row>
        <row r="794">
          <cell r="A794">
            <v>42808</v>
          </cell>
          <cell r="B794">
            <v>62.424380999999997</v>
          </cell>
        </row>
        <row r="795">
          <cell r="A795">
            <v>42809</v>
          </cell>
          <cell r="B795">
            <v>62.300823000000001</v>
          </cell>
        </row>
        <row r="796">
          <cell r="A796">
            <v>42810</v>
          </cell>
          <cell r="B796">
            <v>62.177242</v>
          </cell>
        </row>
        <row r="797">
          <cell r="A797">
            <v>42811</v>
          </cell>
          <cell r="B797">
            <v>61.691761</v>
          </cell>
        </row>
        <row r="798">
          <cell r="A798">
            <v>42814</v>
          </cell>
          <cell r="B798">
            <v>61.771220999999997</v>
          </cell>
        </row>
        <row r="799">
          <cell r="A799">
            <v>42815</v>
          </cell>
          <cell r="B799">
            <v>61.700595999999997</v>
          </cell>
        </row>
        <row r="800">
          <cell r="A800">
            <v>42816</v>
          </cell>
          <cell r="B800">
            <v>62.009524999999996</v>
          </cell>
        </row>
        <row r="801">
          <cell r="A801">
            <v>42817</v>
          </cell>
          <cell r="B801">
            <v>61.665272000000002</v>
          </cell>
        </row>
        <row r="802">
          <cell r="A802">
            <v>42818</v>
          </cell>
          <cell r="B802">
            <v>61.444614000000001</v>
          </cell>
        </row>
        <row r="803">
          <cell r="A803">
            <v>42821</v>
          </cell>
          <cell r="B803">
            <v>61.488742999999999</v>
          </cell>
        </row>
        <row r="804">
          <cell r="A804">
            <v>42822</v>
          </cell>
          <cell r="B804">
            <v>62.071339000000002</v>
          </cell>
        </row>
        <row r="805">
          <cell r="A805">
            <v>42823</v>
          </cell>
          <cell r="B805">
            <v>62.442059</v>
          </cell>
        </row>
        <row r="806">
          <cell r="A806">
            <v>42824</v>
          </cell>
          <cell r="B806">
            <v>63.192345000000003</v>
          </cell>
        </row>
        <row r="807">
          <cell r="A807">
            <v>42825</v>
          </cell>
          <cell r="B807">
            <v>63.624878000000002</v>
          </cell>
        </row>
        <row r="808">
          <cell r="A808">
            <v>42828</v>
          </cell>
          <cell r="B808">
            <v>63.404204999999997</v>
          </cell>
        </row>
        <row r="809">
          <cell r="A809">
            <v>42829</v>
          </cell>
          <cell r="B809">
            <v>63.563094999999997</v>
          </cell>
        </row>
        <row r="810">
          <cell r="A810">
            <v>42830</v>
          </cell>
          <cell r="B810">
            <v>63.245308000000001</v>
          </cell>
        </row>
        <row r="811">
          <cell r="A811">
            <v>42831</v>
          </cell>
          <cell r="B811">
            <v>63.051121000000002</v>
          </cell>
        </row>
        <row r="812">
          <cell r="A812">
            <v>42832</v>
          </cell>
          <cell r="B812">
            <v>64.348701000000005</v>
          </cell>
        </row>
        <row r="813">
          <cell r="A813">
            <v>42835</v>
          </cell>
          <cell r="B813">
            <v>64.489922000000007</v>
          </cell>
        </row>
        <row r="814">
          <cell r="A814">
            <v>42836</v>
          </cell>
          <cell r="B814">
            <v>64.816520999999995</v>
          </cell>
        </row>
        <row r="815">
          <cell r="A815">
            <v>42837</v>
          </cell>
          <cell r="B815">
            <v>64.825348000000005</v>
          </cell>
        </row>
        <row r="816">
          <cell r="A816">
            <v>42838</v>
          </cell>
          <cell r="B816">
            <v>64.569359000000006</v>
          </cell>
        </row>
        <row r="817">
          <cell r="A817">
            <v>42842</v>
          </cell>
          <cell r="B817">
            <v>64.869499000000005</v>
          </cell>
        </row>
        <row r="818">
          <cell r="A818">
            <v>42843</v>
          </cell>
          <cell r="B818">
            <v>65.222549000000001</v>
          </cell>
        </row>
        <row r="819">
          <cell r="A819">
            <v>42844</v>
          </cell>
          <cell r="B819">
            <v>65.381461999999999</v>
          </cell>
        </row>
        <row r="820">
          <cell r="A820">
            <v>42845</v>
          </cell>
          <cell r="B820">
            <v>66.025802999999996</v>
          </cell>
        </row>
        <row r="821">
          <cell r="A821">
            <v>42846</v>
          </cell>
          <cell r="B821">
            <v>66.149390999999994</v>
          </cell>
        </row>
        <row r="822">
          <cell r="A822">
            <v>42849</v>
          </cell>
          <cell r="B822">
            <v>66.008156</v>
          </cell>
        </row>
        <row r="823">
          <cell r="A823">
            <v>42850</v>
          </cell>
          <cell r="B823">
            <v>66.246467999999993</v>
          </cell>
        </row>
        <row r="824">
          <cell r="A824">
            <v>42851</v>
          </cell>
          <cell r="B824">
            <v>66.581901999999999</v>
          </cell>
        </row>
        <row r="825">
          <cell r="A825">
            <v>42852</v>
          </cell>
          <cell r="B825">
            <v>66.590736000000007</v>
          </cell>
        </row>
        <row r="826">
          <cell r="A826">
            <v>42853</v>
          </cell>
          <cell r="B826">
            <v>66.361221</v>
          </cell>
        </row>
        <row r="827">
          <cell r="A827">
            <v>42856</v>
          </cell>
          <cell r="B827">
            <v>66.405365000000003</v>
          </cell>
        </row>
        <row r="828">
          <cell r="A828">
            <v>42857</v>
          </cell>
          <cell r="B828">
            <v>66.661345999999995</v>
          </cell>
        </row>
        <row r="829">
          <cell r="A829">
            <v>42858</v>
          </cell>
          <cell r="B829">
            <v>66.873192000000003</v>
          </cell>
        </row>
        <row r="830">
          <cell r="A830">
            <v>42859</v>
          </cell>
          <cell r="B830">
            <v>67.385154999999997</v>
          </cell>
        </row>
        <row r="831">
          <cell r="A831">
            <v>42860</v>
          </cell>
          <cell r="B831">
            <v>67.526375000000002</v>
          </cell>
        </row>
        <row r="832">
          <cell r="A832">
            <v>42863</v>
          </cell>
          <cell r="B832">
            <v>67.190994000000003</v>
          </cell>
        </row>
        <row r="833">
          <cell r="A833">
            <v>42864</v>
          </cell>
          <cell r="B833">
            <v>67.720573000000002</v>
          </cell>
        </row>
        <row r="834">
          <cell r="A834">
            <v>42865</v>
          </cell>
          <cell r="B834">
            <v>68.155991</v>
          </cell>
        </row>
        <row r="835">
          <cell r="A835">
            <v>42866</v>
          </cell>
          <cell r="B835">
            <v>67.64949</v>
          </cell>
        </row>
        <row r="836">
          <cell r="A836">
            <v>42867</v>
          </cell>
          <cell r="B836">
            <v>67.276283000000006</v>
          </cell>
        </row>
        <row r="837">
          <cell r="A837">
            <v>42870</v>
          </cell>
          <cell r="B837">
            <v>67.791672000000005</v>
          </cell>
        </row>
        <row r="838">
          <cell r="A838">
            <v>42871</v>
          </cell>
          <cell r="B838">
            <v>66.743117999999996</v>
          </cell>
        </row>
        <row r="839">
          <cell r="A839">
            <v>42872</v>
          </cell>
          <cell r="B839">
            <v>66.752021999999997</v>
          </cell>
        </row>
        <row r="840">
          <cell r="A840">
            <v>42873</v>
          </cell>
          <cell r="B840">
            <v>68.902428</v>
          </cell>
        </row>
        <row r="841">
          <cell r="A841">
            <v>42874</v>
          </cell>
          <cell r="B841">
            <v>69.995407</v>
          </cell>
        </row>
        <row r="842">
          <cell r="A842">
            <v>42877</v>
          </cell>
          <cell r="B842">
            <v>69.799926999999997</v>
          </cell>
        </row>
        <row r="843">
          <cell r="A843">
            <v>42878</v>
          </cell>
          <cell r="B843">
            <v>69.746596999999994</v>
          </cell>
        </row>
        <row r="844">
          <cell r="A844">
            <v>42879</v>
          </cell>
          <cell r="B844">
            <v>69.444503999999995</v>
          </cell>
        </row>
        <row r="845">
          <cell r="A845">
            <v>42880</v>
          </cell>
          <cell r="B845">
            <v>69.586639000000005</v>
          </cell>
        </row>
        <row r="846">
          <cell r="A846">
            <v>42881</v>
          </cell>
          <cell r="B846">
            <v>69.426704000000001</v>
          </cell>
        </row>
        <row r="847">
          <cell r="A847">
            <v>42885</v>
          </cell>
          <cell r="B847">
            <v>69.444503999999995</v>
          </cell>
        </row>
        <row r="848">
          <cell r="A848">
            <v>42886</v>
          </cell>
          <cell r="B848">
            <v>69.844359999999995</v>
          </cell>
        </row>
        <row r="849">
          <cell r="A849">
            <v>42887</v>
          </cell>
          <cell r="B849">
            <v>70.919556</v>
          </cell>
        </row>
        <row r="850">
          <cell r="A850">
            <v>42888</v>
          </cell>
          <cell r="B850">
            <v>70.750725000000003</v>
          </cell>
        </row>
        <row r="851">
          <cell r="A851">
            <v>42891</v>
          </cell>
          <cell r="B851">
            <v>71.319434999999999</v>
          </cell>
        </row>
        <row r="852">
          <cell r="A852">
            <v>42892</v>
          </cell>
          <cell r="B852">
            <v>70.137603999999996</v>
          </cell>
        </row>
        <row r="853">
          <cell r="A853">
            <v>42893</v>
          </cell>
          <cell r="B853">
            <v>70.333083999999999</v>
          </cell>
        </row>
        <row r="854">
          <cell r="A854">
            <v>42894</v>
          </cell>
          <cell r="B854">
            <v>70.137603999999996</v>
          </cell>
        </row>
        <row r="855">
          <cell r="A855">
            <v>42895</v>
          </cell>
          <cell r="B855">
            <v>70.573013000000003</v>
          </cell>
        </row>
        <row r="856">
          <cell r="A856">
            <v>42898</v>
          </cell>
          <cell r="B856">
            <v>70.413055</v>
          </cell>
        </row>
        <row r="857">
          <cell r="A857">
            <v>42899</v>
          </cell>
          <cell r="B857">
            <v>70.661857999999995</v>
          </cell>
        </row>
        <row r="858">
          <cell r="A858">
            <v>42900</v>
          </cell>
          <cell r="B858">
            <v>70.999549999999999</v>
          </cell>
        </row>
        <row r="859">
          <cell r="A859">
            <v>42901</v>
          </cell>
          <cell r="B859">
            <v>70.119820000000004</v>
          </cell>
        </row>
        <row r="860">
          <cell r="A860">
            <v>42902</v>
          </cell>
          <cell r="B860">
            <v>66.858635000000007</v>
          </cell>
        </row>
        <row r="861">
          <cell r="A861">
            <v>42905</v>
          </cell>
          <cell r="B861">
            <v>67.089684000000005</v>
          </cell>
        </row>
        <row r="862">
          <cell r="A862">
            <v>42906</v>
          </cell>
          <cell r="B862">
            <v>67.125229000000004</v>
          </cell>
        </row>
        <row r="863">
          <cell r="A863">
            <v>42907</v>
          </cell>
          <cell r="B863">
            <v>67.747230999999999</v>
          </cell>
        </row>
        <row r="864">
          <cell r="A864">
            <v>42908</v>
          </cell>
          <cell r="B864">
            <v>67.107437000000004</v>
          </cell>
        </row>
        <row r="865">
          <cell r="A865">
            <v>42909</v>
          </cell>
          <cell r="B865">
            <v>66.503203999999997</v>
          </cell>
        </row>
        <row r="866">
          <cell r="A866">
            <v>42912</v>
          </cell>
          <cell r="B866">
            <v>67.089684000000005</v>
          </cell>
        </row>
        <row r="867">
          <cell r="A867">
            <v>42913</v>
          </cell>
          <cell r="B867">
            <v>67.542869999999994</v>
          </cell>
        </row>
        <row r="868">
          <cell r="A868">
            <v>42914</v>
          </cell>
          <cell r="B868">
            <v>67.987151999999995</v>
          </cell>
        </row>
        <row r="869">
          <cell r="A869">
            <v>42915</v>
          </cell>
          <cell r="B869">
            <v>67.471778999999998</v>
          </cell>
        </row>
        <row r="870">
          <cell r="A870">
            <v>42916</v>
          </cell>
          <cell r="B870">
            <v>67.249634</v>
          </cell>
        </row>
        <row r="871">
          <cell r="A871">
            <v>42919</v>
          </cell>
          <cell r="B871">
            <v>66.965271000000001</v>
          </cell>
        </row>
        <row r="872">
          <cell r="A872">
            <v>42921</v>
          </cell>
          <cell r="B872">
            <v>66.929732999999999</v>
          </cell>
        </row>
        <row r="873">
          <cell r="A873">
            <v>42922</v>
          </cell>
          <cell r="B873">
            <v>67.063025999999994</v>
          </cell>
        </row>
        <row r="874">
          <cell r="A874">
            <v>42923</v>
          </cell>
          <cell r="B874">
            <v>66.938629000000006</v>
          </cell>
        </row>
        <row r="875">
          <cell r="A875">
            <v>42926</v>
          </cell>
          <cell r="B875">
            <v>65.072547999999998</v>
          </cell>
        </row>
        <row r="876">
          <cell r="A876">
            <v>42927</v>
          </cell>
          <cell r="B876">
            <v>65.285812000000007</v>
          </cell>
        </row>
        <row r="877">
          <cell r="A877">
            <v>42928</v>
          </cell>
          <cell r="B877">
            <v>65.703461000000004</v>
          </cell>
        </row>
        <row r="878">
          <cell r="A878">
            <v>42929</v>
          </cell>
          <cell r="B878">
            <v>66.689812000000003</v>
          </cell>
        </row>
        <row r="879">
          <cell r="A879">
            <v>42930</v>
          </cell>
          <cell r="B879">
            <v>67.836112999999997</v>
          </cell>
        </row>
        <row r="880">
          <cell r="A880">
            <v>42933</v>
          </cell>
          <cell r="B880">
            <v>67.862762000000004</v>
          </cell>
        </row>
        <row r="881">
          <cell r="A881">
            <v>42934</v>
          </cell>
          <cell r="B881">
            <v>67.711708000000002</v>
          </cell>
        </row>
        <row r="882">
          <cell r="A882">
            <v>42935</v>
          </cell>
          <cell r="B882">
            <v>67.418471999999994</v>
          </cell>
        </row>
        <row r="883">
          <cell r="A883">
            <v>42936</v>
          </cell>
          <cell r="B883">
            <v>67.551758000000007</v>
          </cell>
        </row>
        <row r="884">
          <cell r="A884">
            <v>42937</v>
          </cell>
          <cell r="B884">
            <v>67.667266999999995</v>
          </cell>
        </row>
        <row r="885">
          <cell r="A885">
            <v>42940</v>
          </cell>
          <cell r="B885">
            <v>68.324843999999999</v>
          </cell>
        </row>
        <row r="886">
          <cell r="A886">
            <v>42941</v>
          </cell>
          <cell r="B886">
            <v>69.773253999999994</v>
          </cell>
        </row>
        <row r="887">
          <cell r="A887">
            <v>42942</v>
          </cell>
          <cell r="B887">
            <v>70.110939000000002</v>
          </cell>
        </row>
        <row r="888">
          <cell r="A888">
            <v>42943</v>
          </cell>
          <cell r="B888">
            <v>70.892905999999996</v>
          </cell>
        </row>
        <row r="889">
          <cell r="A889">
            <v>42944</v>
          </cell>
          <cell r="B889">
            <v>70.919556</v>
          </cell>
        </row>
        <row r="890">
          <cell r="A890">
            <v>42947</v>
          </cell>
          <cell r="B890">
            <v>71.079521</v>
          </cell>
        </row>
        <row r="891">
          <cell r="A891">
            <v>42948</v>
          </cell>
          <cell r="B891">
            <v>71.532700000000006</v>
          </cell>
        </row>
        <row r="892">
          <cell r="A892">
            <v>42949</v>
          </cell>
          <cell r="B892">
            <v>71.559364000000002</v>
          </cell>
        </row>
        <row r="893">
          <cell r="A893">
            <v>42950</v>
          </cell>
          <cell r="B893">
            <v>71.861496000000002</v>
          </cell>
        </row>
        <row r="894">
          <cell r="A894">
            <v>42951</v>
          </cell>
          <cell r="B894">
            <v>71.514954000000003</v>
          </cell>
        </row>
        <row r="895">
          <cell r="A895">
            <v>42954</v>
          </cell>
          <cell r="B895">
            <v>72.225807000000003</v>
          </cell>
        </row>
        <row r="896">
          <cell r="A896">
            <v>42955</v>
          </cell>
          <cell r="B896">
            <v>72.501273999999995</v>
          </cell>
        </row>
        <row r="897">
          <cell r="A897">
            <v>42956</v>
          </cell>
          <cell r="B897">
            <v>72.975211999999999</v>
          </cell>
        </row>
        <row r="898">
          <cell r="A898">
            <v>42957</v>
          </cell>
          <cell r="B898">
            <v>72.125702000000004</v>
          </cell>
        </row>
        <row r="899">
          <cell r="A899">
            <v>42958</v>
          </cell>
          <cell r="B899">
            <v>71.893234000000007</v>
          </cell>
        </row>
        <row r="900">
          <cell r="A900">
            <v>42961</v>
          </cell>
          <cell r="B900">
            <v>72.161484000000002</v>
          </cell>
        </row>
        <row r="901">
          <cell r="A901">
            <v>42962</v>
          </cell>
          <cell r="B901">
            <v>72.224068000000003</v>
          </cell>
        </row>
        <row r="902">
          <cell r="A902">
            <v>42963</v>
          </cell>
          <cell r="B902">
            <v>72.411873</v>
          </cell>
        </row>
        <row r="903">
          <cell r="A903">
            <v>42964</v>
          </cell>
          <cell r="B903">
            <v>71.267287999999994</v>
          </cell>
        </row>
        <row r="904">
          <cell r="A904">
            <v>42965</v>
          </cell>
          <cell r="B904">
            <v>70.918541000000005</v>
          </cell>
        </row>
        <row r="905">
          <cell r="A905">
            <v>42968</v>
          </cell>
          <cell r="B905">
            <v>71.276222000000004</v>
          </cell>
        </row>
        <row r="906">
          <cell r="A906">
            <v>42969</v>
          </cell>
          <cell r="B906">
            <v>71.553428999999994</v>
          </cell>
        </row>
        <row r="907">
          <cell r="A907">
            <v>42970</v>
          </cell>
          <cell r="B907">
            <v>71.499793999999994</v>
          </cell>
        </row>
        <row r="908">
          <cell r="A908">
            <v>42971</v>
          </cell>
          <cell r="B908">
            <v>70.051192999999998</v>
          </cell>
        </row>
        <row r="909">
          <cell r="A909">
            <v>42972</v>
          </cell>
          <cell r="B909">
            <v>70.310501000000002</v>
          </cell>
        </row>
        <row r="910">
          <cell r="A910">
            <v>42975</v>
          </cell>
          <cell r="B910">
            <v>69.773994000000002</v>
          </cell>
        </row>
        <row r="911">
          <cell r="A911">
            <v>42976</v>
          </cell>
          <cell r="B911">
            <v>70.435676999999998</v>
          </cell>
        </row>
        <row r="912">
          <cell r="A912">
            <v>42977</v>
          </cell>
          <cell r="B912">
            <v>70.230018999999999</v>
          </cell>
        </row>
        <row r="913">
          <cell r="A913">
            <v>42978</v>
          </cell>
          <cell r="B913">
            <v>69.809753000000001</v>
          </cell>
        </row>
        <row r="914">
          <cell r="A914">
            <v>42979</v>
          </cell>
          <cell r="B914">
            <v>70.078002999999995</v>
          </cell>
        </row>
        <row r="915">
          <cell r="A915">
            <v>42983</v>
          </cell>
          <cell r="B915">
            <v>71.356682000000006</v>
          </cell>
        </row>
        <row r="916">
          <cell r="A916">
            <v>42984</v>
          </cell>
          <cell r="B916">
            <v>71.607085999999995</v>
          </cell>
        </row>
        <row r="917">
          <cell r="A917">
            <v>42985</v>
          </cell>
          <cell r="B917">
            <v>71.642853000000002</v>
          </cell>
        </row>
        <row r="918">
          <cell r="A918">
            <v>42986</v>
          </cell>
          <cell r="B918">
            <v>70.534049999999993</v>
          </cell>
        </row>
        <row r="919">
          <cell r="A919">
            <v>42989</v>
          </cell>
          <cell r="B919">
            <v>70.712897999999996</v>
          </cell>
        </row>
        <row r="920">
          <cell r="A920">
            <v>42990</v>
          </cell>
          <cell r="B920">
            <v>71.186813000000001</v>
          </cell>
        </row>
        <row r="921">
          <cell r="A921">
            <v>42991</v>
          </cell>
          <cell r="B921">
            <v>71.41037</v>
          </cell>
        </row>
        <row r="922">
          <cell r="A922">
            <v>42992</v>
          </cell>
          <cell r="B922">
            <v>71.249413000000004</v>
          </cell>
        </row>
        <row r="923">
          <cell r="A923">
            <v>42993</v>
          </cell>
          <cell r="B923">
            <v>71.875336000000004</v>
          </cell>
        </row>
        <row r="924">
          <cell r="A924">
            <v>42996</v>
          </cell>
          <cell r="B924">
            <v>71.535552999999993</v>
          </cell>
        </row>
        <row r="925">
          <cell r="A925">
            <v>42997</v>
          </cell>
          <cell r="B925">
            <v>71.580253999999996</v>
          </cell>
        </row>
        <row r="926">
          <cell r="A926">
            <v>42998</v>
          </cell>
          <cell r="B926">
            <v>71.982651000000004</v>
          </cell>
        </row>
        <row r="927">
          <cell r="A927">
            <v>42999</v>
          </cell>
          <cell r="B927">
            <v>71.544501999999994</v>
          </cell>
        </row>
        <row r="928">
          <cell r="A928">
            <v>43000</v>
          </cell>
          <cell r="B928">
            <v>71.115273000000002</v>
          </cell>
        </row>
        <row r="929">
          <cell r="A929">
            <v>43003</v>
          </cell>
          <cell r="B929">
            <v>70.775490000000005</v>
          </cell>
        </row>
        <row r="930">
          <cell r="A930">
            <v>43004</v>
          </cell>
          <cell r="B930">
            <v>70.990088999999998</v>
          </cell>
        </row>
        <row r="931">
          <cell r="A931">
            <v>43005</v>
          </cell>
          <cell r="B931">
            <v>70.900672999999998</v>
          </cell>
        </row>
        <row r="932">
          <cell r="A932">
            <v>43006</v>
          </cell>
          <cell r="B932">
            <v>70.596656999999993</v>
          </cell>
        </row>
        <row r="933">
          <cell r="A933">
            <v>43007</v>
          </cell>
          <cell r="B933">
            <v>69.87236</v>
          </cell>
        </row>
        <row r="934">
          <cell r="A934">
            <v>43010</v>
          </cell>
          <cell r="B934">
            <v>70.149551000000002</v>
          </cell>
        </row>
        <row r="935">
          <cell r="A935">
            <v>43011</v>
          </cell>
          <cell r="B935">
            <v>70.838074000000006</v>
          </cell>
        </row>
        <row r="936">
          <cell r="A936">
            <v>43012</v>
          </cell>
          <cell r="B936">
            <v>70.721832000000006</v>
          </cell>
        </row>
        <row r="937">
          <cell r="A937">
            <v>43013</v>
          </cell>
          <cell r="B937">
            <v>71.007987999999997</v>
          </cell>
        </row>
        <row r="938">
          <cell r="A938">
            <v>43014</v>
          </cell>
          <cell r="B938">
            <v>70.641356999999999</v>
          </cell>
        </row>
        <row r="939">
          <cell r="A939">
            <v>43017</v>
          </cell>
          <cell r="B939">
            <v>72.009467999999998</v>
          </cell>
        </row>
        <row r="940">
          <cell r="A940">
            <v>43018</v>
          </cell>
          <cell r="B940">
            <v>75.228577000000001</v>
          </cell>
        </row>
        <row r="941">
          <cell r="A941">
            <v>43019</v>
          </cell>
          <cell r="B941">
            <v>76.659294000000003</v>
          </cell>
        </row>
        <row r="942">
          <cell r="A942">
            <v>43020</v>
          </cell>
          <cell r="B942">
            <v>76.990120000000005</v>
          </cell>
        </row>
        <row r="943">
          <cell r="A943">
            <v>43021</v>
          </cell>
          <cell r="B943">
            <v>77.455123999999998</v>
          </cell>
        </row>
        <row r="944">
          <cell r="A944">
            <v>43024</v>
          </cell>
          <cell r="B944">
            <v>76.668221000000003</v>
          </cell>
        </row>
        <row r="945">
          <cell r="A945">
            <v>43025</v>
          </cell>
          <cell r="B945">
            <v>76.882857999999999</v>
          </cell>
        </row>
        <row r="946">
          <cell r="A946">
            <v>43026</v>
          </cell>
          <cell r="B946">
            <v>77.097442999999998</v>
          </cell>
        </row>
        <row r="947">
          <cell r="A947">
            <v>43027</v>
          </cell>
          <cell r="B947">
            <v>77.258408000000003</v>
          </cell>
        </row>
        <row r="948">
          <cell r="A948">
            <v>43028</v>
          </cell>
          <cell r="B948">
            <v>78.188354000000004</v>
          </cell>
        </row>
        <row r="949">
          <cell r="A949">
            <v>43031</v>
          </cell>
          <cell r="B949">
            <v>79.270331999999996</v>
          </cell>
        </row>
        <row r="950">
          <cell r="A950">
            <v>43032</v>
          </cell>
          <cell r="B950">
            <v>78.671227000000002</v>
          </cell>
        </row>
        <row r="951">
          <cell r="A951">
            <v>43033</v>
          </cell>
          <cell r="B951">
            <v>79.118331999999995</v>
          </cell>
        </row>
        <row r="952">
          <cell r="A952">
            <v>43034</v>
          </cell>
          <cell r="B952">
            <v>79.243492000000003</v>
          </cell>
        </row>
        <row r="953">
          <cell r="A953">
            <v>43035</v>
          </cell>
          <cell r="B953">
            <v>78.841117999999994</v>
          </cell>
        </row>
        <row r="954">
          <cell r="A954">
            <v>43038</v>
          </cell>
          <cell r="B954">
            <v>77.750197999999997</v>
          </cell>
        </row>
        <row r="955">
          <cell r="A955">
            <v>43039</v>
          </cell>
          <cell r="B955">
            <v>78.072113000000002</v>
          </cell>
        </row>
        <row r="956">
          <cell r="A956">
            <v>43040</v>
          </cell>
          <cell r="B956">
            <v>78.635445000000004</v>
          </cell>
        </row>
        <row r="957">
          <cell r="A957">
            <v>43041</v>
          </cell>
          <cell r="B957">
            <v>79.404456999999994</v>
          </cell>
        </row>
        <row r="958">
          <cell r="A958">
            <v>43042</v>
          </cell>
          <cell r="B958">
            <v>80.191360000000003</v>
          </cell>
        </row>
        <row r="959">
          <cell r="A959">
            <v>43045</v>
          </cell>
          <cell r="B959">
            <v>79.315033</v>
          </cell>
        </row>
        <row r="960">
          <cell r="A960">
            <v>43046</v>
          </cell>
          <cell r="B960">
            <v>79.538582000000005</v>
          </cell>
        </row>
        <row r="961">
          <cell r="A961">
            <v>43047</v>
          </cell>
          <cell r="B961">
            <v>80.709991000000002</v>
          </cell>
        </row>
        <row r="962">
          <cell r="A962">
            <v>43048</v>
          </cell>
          <cell r="B962">
            <v>80.745750000000001</v>
          </cell>
        </row>
        <row r="963">
          <cell r="A963">
            <v>43049</v>
          </cell>
          <cell r="B963">
            <v>81.300147999999993</v>
          </cell>
        </row>
        <row r="964">
          <cell r="A964">
            <v>43052</v>
          </cell>
          <cell r="B964">
            <v>81.362740000000002</v>
          </cell>
        </row>
        <row r="965">
          <cell r="A965">
            <v>43053</v>
          </cell>
          <cell r="B965">
            <v>81.452140999999997</v>
          </cell>
        </row>
        <row r="966">
          <cell r="A966">
            <v>43054</v>
          </cell>
          <cell r="B966">
            <v>80.325485</v>
          </cell>
        </row>
        <row r="967">
          <cell r="A967">
            <v>43055</v>
          </cell>
          <cell r="B967">
            <v>89.079635999999994</v>
          </cell>
        </row>
        <row r="968">
          <cell r="A968">
            <v>43056</v>
          </cell>
          <cell r="B968">
            <v>87.157127000000003</v>
          </cell>
        </row>
        <row r="969">
          <cell r="A969">
            <v>43059</v>
          </cell>
          <cell r="B969">
            <v>87.1661</v>
          </cell>
        </row>
        <row r="970">
          <cell r="A970">
            <v>43060</v>
          </cell>
          <cell r="B970">
            <v>86.307648</v>
          </cell>
        </row>
        <row r="971">
          <cell r="A971">
            <v>43061</v>
          </cell>
          <cell r="B971">
            <v>86.209282000000002</v>
          </cell>
        </row>
        <row r="972">
          <cell r="A972">
            <v>43063</v>
          </cell>
          <cell r="B972">
            <v>86.397048999999996</v>
          </cell>
        </row>
        <row r="973">
          <cell r="A973">
            <v>43066</v>
          </cell>
          <cell r="B973">
            <v>86.397048999999996</v>
          </cell>
        </row>
        <row r="974">
          <cell r="A974">
            <v>43067</v>
          </cell>
          <cell r="B974">
            <v>86.531188999999998</v>
          </cell>
        </row>
        <row r="975">
          <cell r="A975">
            <v>43068</v>
          </cell>
          <cell r="B975">
            <v>87.237601999999995</v>
          </cell>
        </row>
        <row r="976">
          <cell r="A976">
            <v>43069</v>
          </cell>
          <cell r="B976">
            <v>86.942550999999995</v>
          </cell>
        </row>
        <row r="977">
          <cell r="A977">
            <v>43070</v>
          </cell>
          <cell r="B977">
            <v>87.049819999999997</v>
          </cell>
        </row>
        <row r="978">
          <cell r="A978">
            <v>43073</v>
          </cell>
          <cell r="B978">
            <v>86.745811000000003</v>
          </cell>
        </row>
        <row r="979">
          <cell r="A979">
            <v>43074</v>
          </cell>
          <cell r="B979">
            <v>87.479050000000001</v>
          </cell>
        </row>
        <row r="980">
          <cell r="A980">
            <v>43075</v>
          </cell>
          <cell r="B980">
            <v>86.987228000000002</v>
          </cell>
        </row>
        <row r="981">
          <cell r="A981">
            <v>43076</v>
          </cell>
          <cell r="B981">
            <v>86.996223000000001</v>
          </cell>
        </row>
        <row r="982">
          <cell r="A982">
            <v>43077</v>
          </cell>
          <cell r="B982">
            <v>86.789496999999997</v>
          </cell>
        </row>
        <row r="983">
          <cell r="A983">
            <v>43080</v>
          </cell>
          <cell r="B983">
            <v>87.131057999999996</v>
          </cell>
        </row>
        <row r="984">
          <cell r="A984">
            <v>43081</v>
          </cell>
          <cell r="B984">
            <v>86.924301</v>
          </cell>
        </row>
        <row r="985">
          <cell r="A985">
            <v>43082</v>
          </cell>
          <cell r="B985">
            <v>87.877159000000006</v>
          </cell>
        </row>
        <row r="986">
          <cell r="A986">
            <v>43083</v>
          </cell>
          <cell r="B986">
            <v>87.310828999999998</v>
          </cell>
        </row>
        <row r="987">
          <cell r="A987">
            <v>43084</v>
          </cell>
          <cell r="B987">
            <v>87.292854000000005</v>
          </cell>
        </row>
        <row r="988">
          <cell r="A988">
            <v>43087</v>
          </cell>
          <cell r="B988">
            <v>88.002998000000005</v>
          </cell>
        </row>
        <row r="989">
          <cell r="A989">
            <v>43088</v>
          </cell>
          <cell r="B989">
            <v>88.811988999999997</v>
          </cell>
        </row>
        <row r="990">
          <cell r="A990">
            <v>43089</v>
          </cell>
          <cell r="B990">
            <v>88.767066999999997</v>
          </cell>
        </row>
        <row r="991">
          <cell r="A991">
            <v>43090</v>
          </cell>
          <cell r="B991">
            <v>88.146820000000005</v>
          </cell>
        </row>
        <row r="992">
          <cell r="A992">
            <v>43091</v>
          </cell>
          <cell r="B992">
            <v>88.281677000000002</v>
          </cell>
        </row>
        <row r="993">
          <cell r="A993">
            <v>43095</v>
          </cell>
          <cell r="B993">
            <v>89.135620000000003</v>
          </cell>
        </row>
        <row r="994">
          <cell r="A994">
            <v>43096</v>
          </cell>
          <cell r="B994">
            <v>89.22551</v>
          </cell>
        </row>
        <row r="995">
          <cell r="A995">
            <v>43097</v>
          </cell>
          <cell r="B995">
            <v>89.351356999999993</v>
          </cell>
        </row>
        <row r="996">
          <cell r="A996">
            <v>43098</v>
          </cell>
          <cell r="B996">
            <v>88.767066999999997</v>
          </cell>
        </row>
        <row r="997">
          <cell r="A997">
            <v>43102</v>
          </cell>
          <cell r="B997">
            <v>88.623238000000001</v>
          </cell>
        </row>
        <row r="998">
          <cell r="A998">
            <v>43103</v>
          </cell>
          <cell r="B998">
            <v>89.396286000000003</v>
          </cell>
        </row>
        <row r="999">
          <cell r="A999">
            <v>43104</v>
          </cell>
          <cell r="B999">
            <v>89.477196000000006</v>
          </cell>
        </row>
        <row r="1000">
          <cell r="A1000">
            <v>43105</v>
          </cell>
          <cell r="B1000">
            <v>90.007568000000006</v>
          </cell>
        </row>
        <row r="1001">
          <cell r="A1001">
            <v>43108</v>
          </cell>
          <cell r="B1001">
            <v>91.337952000000001</v>
          </cell>
        </row>
        <row r="1002">
          <cell r="A1002">
            <v>43109</v>
          </cell>
          <cell r="B1002">
            <v>90.241257000000004</v>
          </cell>
        </row>
        <row r="1003">
          <cell r="A1003">
            <v>43110</v>
          </cell>
          <cell r="B1003">
            <v>89.594063000000006</v>
          </cell>
        </row>
        <row r="1004">
          <cell r="A1004">
            <v>43111</v>
          </cell>
          <cell r="B1004">
            <v>89.908676</v>
          </cell>
        </row>
        <row r="1005">
          <cell r="A1005">
            <v>43112</v>
          </cell>
          <cell r="B1005">
            <v>90.672736999999998</v>
          </cell>
        </row>
        <row r="1006">
          <cell r="A1006">
            <v>43116</v>
          </cell>
          <cell r="B1006">
            <v>90.510941000000003</v>
          </cell>
        </row>
        <row r="1007">
          <cell r="A1007">
            <v>43117</v>
          </cell>
          <cell r="B1007">
            <v>92.317734000000002</v>
          </cell>
        </row>
        <row r="1008">
          <cell r="A1008">
            <v>43118</v>
          </cell>
          <cell r="B1008">
            <v>93.755996999999994</v>
          </cell>
        </row>
        <row r="1009">
          <cell r="A1009">
            <v>43119</v>
          </cell>
          <cell r="B1009">
            <v>94.016677999999999</v>
          </cell>
        </row>
        <row r="1010">
          <cell r="A1010">
            <v>43122</v>
          </cell>
          <cell r="B1010">
            <v>94.789726000000002</v>
          </cell>
        </row>
        <row r="1011">
          <cell r="A1011">
            <v>43123</v>
          </cell>
          <cell r="B1011">
            <v>95.194243999999998</v>
          </cell>
        </row>
        <row r="1012">
          <cell r="A1012">
            <v>43124</v>
          </cell>
          <cell r="B1012">
            <v>95.095389999999995</v>
          </cell>
        </row>
        <row r="1013">
          <cell r="A1013">
            <v>43125</v>
          </cell>
          <cell r="B1013">
            <v>95.823493999999997</v>
          </cell>
        </row>
        <row r="1014">
          <cell r="A1014">
            <v>43126</v>
          </cell>
          <cell r="B1014">
            <v>97.432509999999994</v>
          </cell>
        </row>
        <row r="1015">
          <cell r="A1015">
            <v>43129</v>
          </cell>
          <cell r="B1015">
            <v>98.475280999999995</v>
          </cell>
        </row>
        <row r="1016">
          <cell r="A1016">
            <v>43130</v>
          </cell>
          <cell r="B1016">
            <v>96.839248999999995</v>
          </cell>
        </row>
        <row r="1017">
          <cell r="A1017">
            <v>43131</v>
          </cell>
          <cell r="B1017">
            <v>95.823493999999997</v>
          </cell>
        </row>
        <row r="1018">
          <cell r="A1018">
            <v>43132</v>
          </cell>
          <cell r="B1018">
            <v>94.852669000000006</v>
          </cell>
        </row>
        <row r="1019">
          <cell r="A1019">
            <v>43133</v>
          </cell>
          <cell r="B1019">
            <v>93.917800999999997</v>
          </cell>
        </row>
        <row r="1020">
          <cell r="A1020">
            <v>43136</v>
          </cell>
          <cell r="B1020">
            <v>89.971610999999996</v>
          </cell>
        </row>
        <row r="1021">
          <cell r="A1021">
            <v>43137</v>
          </cell>
          <cell r="B1021">
            <v>90.699691999999999</v>
          </cell>
        </row>
        <row r="1022">
          <cell r="A1022">
            <v>43138</v>
          </cell>
          <cell r="B1022">
            <v>92.452599000000006</v>
          </cell>
        </row>
        <row r="1023">
          <cell r="A1023">
            <v>43139</v>
          </cell>
          <cell r="B1023">
            <v>89.908676</v>
          </cell>
        </row>
        <row r="1024">
          <cell r="A1024">
            <v>43140</v>
          </cell>
          <cell r="B1024">
            <v>89.324402000000006</v>
          </cell>
        </row>
        <row r="1025">
          <cell r="A1025">
            <v>43143</v>
          </cell>
          <cell r="B1025">
            <v>89.486191000000005</v>
          </cell>
        </row>
        <row r="1026">
          <cell r="A1026">
            <v>43144</v>
          </cell>
          <cell r="B1026">
            <v>90.771621999999994</v>
          </cell>
        </row>
        <row r="1027">
          <cell r="A1027">
            <v>43145</v>
          </cell>
          <cell r="B1027">
            <v>91.418846000000002</v>
          </cell>
        </row>
        <row r="1028">
          <cell r="A1028">
            <v>43146</v>
          </cell>
          <cell r="B1028">
            <v>92.794158999999993</v>
          </cell>
        </row>
        <row r="1029">
          <cell r="A1029">
            <v>43147</v>
          </cell>
          <cell r="B1029">
            <v>94.187461999999996</v>
          </cell>
        </row>
        <row r="1030">
          <cell r="A1030">
            <v>43151</v>
          </cell>
          <cell r="B1030">
            <v>84.596123000000006</v>
          </cell>
        </row>
        <row r="1031">
          <cell r="A1031">
            <v>43152</v>
          </cell>
          <cell r="B1031">
            <v>82.267966999999999</v>
          </cell>
        </row>
        <row r="1032">
          <cell r="A1032">
            <v>43153</v>
          </cell>
          <cell r="B1032">
            <v>83.391586000000004</v>
          </cell>
        </row>
        <row r="1033">
          <cell r="A1033">
            <v>43154</v>
          </cell>
          <cell r="B1033">
            <v>83.499465999999998</v>
          </cell>
        </row>
        <row r="1034">
          <cell r="A1034">
            <v>43157</v>
          </cell>
          <cell r="B1034">
            <v>83.706222999999994</v>
          </cell>
        </row>
        <row r="1035">
          <cell r="A1035">
            <v>43158</v>
          </cell>
          <cell r="B1035">
            <v>82.267966999999999</v>
          </cell>
        </row>
        <row r="1036">
          <cell r="A1036">
            <v>43159</v>
          </cell>
          <cell r="B1036">
            <v>80.910636999999994</v>
          </cell>
        </row>
        <row r="1037">
          <cell r="A1037">
            <v>43160</v>
          </cell>
          <cell r="B1037">
            <v>80.074637999999993</v>
          </cell>
        </row>
        <row r="1038">
          <cell r="A1038">
            <v>43161</v>
          </cell>
          <cell r="B1038">
            <v>79.795967000000005</v>
          </cell>
        </row>
        <row r="1039">
          <cell r="A1039">
            <v>43164</v>
          </cell>
          <cell r="B1039">
            <v>80.883644000000004</v>
          </cell>
        </row>
        <row r="1040">
          <cell r="A1040">
            <v>43165</v>
          </cell>
          <cell r="B1040">
            <v>80.056647999999996</v>
          </cell>
        </row>
        <row r="1041">
          <cell r="A1041">
            <v>43166</v>
          </cell>
          <cell r="B1041">
            <v>78.870086999999998</v>
          </cell>
        </row>
        <row r="1042">
          <cell r="A1042">
            <v>43167</v>
          </cell>
          <cell r="B1042">
            <v>79.503082000000006</v>
          </cell>
        </row>
        <row r="1043">
          <cell r="A1043">
            <v>43168</v>
          </cell>
          <cell r="B1043">
            <v>80.226500999999999</v>
          </cell>
        </row>
        <row r="1044">
          <cell r="A1044">
            <v>43171</v>
          </cell>
          <cell r="B1044">
            <v>79.638748000000007</v>
          </cell>
        </row>
        <row r="1045">
          <cell r="A1045">
            <v>43172</v>
          </cell>
          <cell r="B1045">
            <v>79.846725000000006</v>
          </cell>
        </row>
        <row r="1046">
          <cell r="A1046">
            <v>43173</v>
          </cell>
          <cell r="B1046">
            <v>79.277023</v>
          </cell>
        </row>
        <row r="1047">
          <cell r="A1047">
            <v>43174</v>
          </cell>
          <cell r="B1047">
            <v>79.132323999999997</v>
          </cell>
        </row>
        <row r="1048">
          <cell r="A1048">
            <v>43175</v>
          </cell>
          <cell r="B1048">
            <v>80.633408000000003</v>
          </cell>
        </row>
        <row r="1049">
          <cell r="A1049">
            <v>43178</v>
          </cell>
          <cell r="B1049">
            <v>79.078086999999996</v>
          </cell>
        </row>
        <row r="1050">
          <cell r="A1050">
            <v>43179</v>
          </cell>
          <cell r="B1050">
            <v>79.530227999999994</v>
          </cell>
        </row>
        <row r="1051">
          <cell r="A1051">
            <v>43180</v>
          </cell>
          <cell r="B1051">
            <v>79.738204999999994</v>
          </cell>
        </row>
        <row r="1052">
          <cell r="A1052">
            <v>43181</v>
          </cell>
          <cell r="B1052">
            <v>78.797759999999997</v>
          </cell>
        </row>
        <row r="1053">
          <cell r="A1053">
            <v>43182</v>
          </cell>
          <cell r="B1053">
            <v>77.242408999999995</v>
          </cell>
        </row>
        <row r="1054">
          <cell r="A1054">
            <v>43185</v>
          </cell>
          <cell r="B1054">
            <v>79.123305999999999</v>
          </cell>
        </row>
        <row r="1055">
          <cell r="A1055">
            <v>43186</v>
          </cell>
          <cell r="B1055">
            <v>77.812118999999996</v>
          </cell>
        </row>
        <row r="1056">
          <cell r="A1056">
            <v>43187</v>
          </cell>
          <cell r="B1056">
            <v>79.367446999999999</v>
          </cell>
        </row>
        <row r="1057">
          <cell r="A1057">
            <v>43188</v>
          </cell>
          <cell r="B1057">
            <v>80.452560000000005</v>
          </cell>
        </row>
        <row r="1058">
          <cell r="A1058">
            <v>43192</v>
          </cell>
          <cell r="B1058">
            <v>77.359970000000004</v>
          </cell>
        </row>
        <row r="1059">
          <cell r="A1059">
            <v>43193</v>
          </cell>
          <cell r="B1059">
            <v>78.490311000000005</v>
          </cell>
        </row>
        <row r="1060">
          <cell r="A1060">
            <v>43194</v>
          </cell>
          <cell r="B1060">
            <v>78.870093999999995</v>
          </cell>
        </row>
        <row r="1061">
          <cell r="A1061">
            <v>43195</v>
          </cell>
          <cell r="B1061">
            <v>79.40361</v>
          </cell>
        </row>
        <row r="1062">
          <cell r="A1062">
            <v>43196</v>
          </cell>
          <cell r="B1062">
            <v>78.390831000000006</v>
          </cell>
        </row>
        <row r="1063">
          <cell r="A1063">
            <v>43199</v>
          </cell>
          <cell r="B1063">
            <v>78.020095999999995</v>
          </cell>
        </row>
        <row r="1064">
          <cell r="A1064">
            <v>43200</v>
          </cell>
          <cell r="B1064">
            <v>78.173820000000006</v>
          </cell>
        </row>
        <row r="1065">
          <cell r="A1065">
            <v>43201</v>
          </cell>
          <cell r="B1065">
            <v>77.685508999999996</v>
          </cell>
        </row>
        <row r="1066">
          <cell r="A1066">
            <v>43202</v>
          </cell>
          <cell r="B1066">
            <v>77.251480000000001</v>
          </cell>
        </row>
        <row r="1067">
          <cell r="A1067">
            <v>43203</v>
          </cell>
          <cell r="B1067">
            <v>77.784958000000003</v>
          </cell>
        </row>
        <row r="1068">
          <cell r="A1068">
            <v>43206</v>
          </cell>
          <cell r="B1068">
            <v>78.526482000000001</v>
          </cell>
        </row>
        <row r="1069">
          <cell r="A1069">
            <v>43207</v>
          </cell>
          <cell r="B1069">
            <v>79.484984999999995</v>
          </cell>
        </row>
        <row r="1070">
          <cell r="A1070">
            <v>43208</v>
          </cell>
          <cell r="B1070">
            <v>79.186583999999996</v>
          </cell>
        </row>
        <row r="1071">
          <cell r="A1071">
            <v>43209</v>
          </cell>
          <cell r="B1071">
            <v>79.475966999999997</v>
          </cell>
        </row>
        <row r="1072">
          <cell r="A1072">
            <v>43210</v>
          </cell>
          <cell r="B1072">
            <v>78.653069000000002</v>
          </cell>
        </row>
        <row r="1073">
          <cell r="A1073">
            <v>43213</v>
          </cell>
          <cell r="B1073">
            <v>77.857322999999994</v>
          </cell>
        </row>
        <row r="1074">
          <cell r="A1074">
            <v>43214</v>
          </cell>
          <cell r="B1074">
            <v>78.246132000000003</v>
          </cell>
        </row>
        <row r="1075">
          <cell r="A1075">
            <v>43215</v>
          </cell>
          <cell r="B1075">
            <v>78.824889999999996</v>
          </cell>
        </row>
        <row r="1076">
          <cell r="A1076">
            <v>43216</v>
          </cell>
          <cell r="B1076">
            <v>79.521193999999994</v>
          </cell>
        </row>
        <row r="1077">
          <cell r="A1077">
            <v>43217</v>
          </cell>
          <cell r="B1077">
            <v>78.933402999999998</v>
          </cell>
        </row>
        <row r="1078">
          <cell r="A1078">
            <v>43220</v>
          </cell>
          <cell r="B1078">
            <v>79.991386000000006</v>
          </cell>
        </row>
        <row r="1079">
          <cell r="A1079">
            <v>43221</v>
          </cell>
          <cell r="B1079">
            <v>79.041893000000002</v>
          </cell>
        </row>
        <row r="1080">
          <cell r="A1080">
            <v>43222</v>
          </cell>
          <cell r="B1080">
            <v>78.074332999999996</v>
          </cell>
        </row>
        <row r="1081">
          <cell r="A1081">
            <v>43223</v>
          </cell>
          <cell r="B1081">
            <v>77.974884000000003</v>
          </cell>
        </row>
        <row r="1082">
          <cell r="A1082">
            <v>43224</v>
          </cell>
          <cell r="B1082">
            <v>79.150429000000003</v>
          </cell>
        </row>
        <row r="1083">
          <cell r="A1083">
            <v>43227</v>
          </cell>
          <cell r="B1083">
            <v>77.287627999999998</v>
          </cell>
        </row>
        <row r="1084">
          <cell r="A1084">
            <v>43228</v>
          </cell>
          <cell r="B1084">
            <v>77.531784000000002</v>
          </cell>
        </row>
        <row r="1085">
          <cell r="A1085">
            <v>43229</v>
          </cell>
          <cell r="B1085">
            <v>75.108352999999994</v>
          </cell>
        </row>
        <row r="1086">
          <cell r="A1086">
            <v>43230</v>
          </cell>
          <cell r="B1086">
            <v>75.244857999999994</v>
          </cell>
        </row>
        <row r="1087">
          <cell r="A1087">
            <v>43231</v>
          </cell>
          <cell r="B1087">
            <v>75.872719000000004</v>
          </cell>
        </row>
        <row r="1088">
          <cell r="A1088">
            <v>43234</v>
          </cell>
          <cell r="B1088">
            <v>76.791779000000005</v>
          </cell>
        </row>
        <row r="1089">
          <cell r="A1089">
            <v>43235</v>
          </cell>
          <cell r="B1089">
            <v>76.910079999999994</v>
          </cell>
        </row>
        <row r="1090">
          <cell r="A1090">
            <v>43236</v>
          </cell>
          <cell r="B1090">
            <v>78.375113999999996</v>
          </cell>
        </row>
        <row r="1091">
          <cell r="A1091">
            <v>43237</v>
          </cell>
          <cell r="B1091">
            <v>76.882782000000006</v>
          </cell>
        </row>
        <row r="1092">
          <cell r="A1092">
            <v>43238</v>
          </cell>
          <cell r="B1092">
            <v>76.109298999999993</v>
          </cell>
        </row>
        <row r="1093">
          <cell r="A1093">
            <v>43241</v>
          </cell>
          <cell r="B1093">
            <v>76.900977999999995</v>
          </cell>
        </row>
        <row r="1094">
          <cell r="A1094">
            <v>43242</v>
          </cell>
          <cell r="B1094">
            <v>75.863617000000005</v>
          </cell>
        </row>
        <row r="1095">
          <cell r="A1095">
            <v>43243</v>
          </cell>
          <cell r="B1095">
            <v>75.536026000000007</v>
          </cell>
        </row>
        <row r="1096">
          <cell r="A1096">
            <v>43244</v>
          </cell>
          <cell r="B1096">
            <v>75.390450000000001</v>
          </cell>
        </row>
        <row r="1097">
          <cell r="A1097">
            <v>43245</v>
          </cell>
          <cell r="B1097">
            <v>75.035552999999993</v>
          </cell>
        </row>
        <row r="1098">
          <cell r="A1098">
            <v>43249</v>
          </cell>
          <cell r="B1098">
            <v>74.980964999999998</v>
          </cell>
        </row>
        <row r="1099">
          <cell r="A1099">
            <v>43250</v>
          </cell>
          <cell r="B1099">
            <v>76.546097000000003</v>
          </cell>
        </row>
        <row r="1100">
          <cell r="A1100">
            <v>43251</v>
          </cell>
          <cell r="B1100">
            <v>75.108352999999994</v>
          </cell>
        </row>
        <row r="1101">
          <cell r="A1101">
            <v>43252</v>
          </cell>
          <cell r="B1101">
            <v>75.517837999999998</v>
          </cell>
        </row>
        <row r="1102">
          <cell r="A1102">
            <v>43255</v>
          </cell>
          <cell r="B1102">
            <v>77.729056999999997</v>
          </cell>
        </row>
        <row r="1103">
          <cell r="A1103">
            <v>43256</v>
          </cell>
          <cell r="B1103">
            <v>77.001075999999998</v>
          </cell>
        </row>
        <row r="1104">
          <cell r="A1104">
            <v>43257</v>
          </cell>
          <cell r="B1104">
            <v>76.946465000000003</v>
          </cell>
        </row>
        <row r="1105">
          <cell r="A1105">
            <v>43258</v>
          </cell>
          <cell r="B1105">
            <v>77.301353000000006</v>
          </cell>
        </row>
        <row r="1106">
          <cell r="A1106">
            <v>43259</v>
          </cell>
          <cell r="B1106">
            <v>76.764481000000004</v>
          </cell>
        </row>
        <row r="1107">
          <cell r="A1107">
            <v>43262</v>
          </cell>
          <cell r="B1107">
            <v>76.709900000000005</v>
          </cell>
        </row>
        <row r="1108">
          <cell r="A1108">
            <v>43263</v>
          </cell>
          <cell r="B1108">
            <v>76.527893000000006</v>
          </cell>
        </row>
        <row r="1109">
          <cell r="A1109">
            <v>43264</v>
          </cell>
          <cell r="B1109">
            <v>76.518790999999993</v>
          </cell>
        </row>
        <row r="1110">
          <cell r="A1110">
            <v>43265</v>
          </cell>
          <cell r="B1110">
            <v>76.245811000000003</v>
          </cell>
        </row>
        <row r="1111">
          <cell r="A1111">
            <v>43266</v>
          </cell>
          <cell r="B1111">
            <v>76.163917999999995</v>
          </cell>
        </row>
        <row r="1112">
          <cell r="A1112">
            <v>43269</v>
          </cell>
          <cell r="B1112">
            <v>75.526932000000002</v>
          </cell>
        </row>
        <row r="1113">
          <cell r="A1113">
            <v>43270</v>
          </cell>
          <cell r="B1113">
            <v>76.082008000000002</v>
          </cell>
        </row>
        <row r="1114">
          <cell r="A1114">
            <v>43271</v>
          </cell>
          <cell r="B1114">
            <v>76.082008000000002</v>
          </cell>
        </row>
        <row r="1115">
          <cell r="A1115">
            <v>43272</v>
          </cell>
          <cell r="B1115">
            <v>76.627983</v>
          </cell>
        </row>
        <row r="1116">
          <cell r="A1116">
            <v>43273</v>
          </cell>
          <cell r="B1116">
            <v>77.183052000000004</v>
          </cell>
        </row>
        <row r="1117">
          <cell r="A1117">
            <v>43276</v>
          </cell>
          <cell r="B1117">
            <v>78.684517</v>
          </cell>
        </row>
        <row r="1118">
          <cell r="A1118">
            <v>43277</v>
          </cell>
          <cell r="B1118">
            <v>78.238624999999999</v>
          </cell>
        </row>
        <row r="1119">
          <cell r="A1119">
            <v>43278</v>
          </cell>
          <cell r="B1119">
            <v>79.066710999999998</v>
          </cell>
        </row>
        <row r="1120">
          <cell r="A1120">
            <v>43279</v>
          </cell>
          <cell r="B1120">
            <v>78.129424999999998</v>
          </cell>
        </row>
        <row r="1121">
          <cell r="A1121">
            <v>43280</v>
          </cell>
          <cell r="B1121">
            <v>77.938346999999993</v>
          </cell>
        </row>
        <row r="1122">
          <cell r="A1122">
            <v>43283</v>
          </cell>
          <cell r="B1122">
            <v>76.436904999999996</v>
          </cell>
        </row>
        <row r="1123">
          <cell r="A1123">
            <v>43284</v>
          </cell>
          <cell r="B1123">
            <v>76.837288000000001</v>
          </cell>
        </row>
        <row r="1124">
          <cell r="A1124">
            <v>43286</v>
          </cell>
          <cell r="B1124">
            <v>76.955566000000005</v>
          </cell>
        </row>
        <row r="1125">
          <cell r="A1125">
            <v>43287</v>
          </cell>
          <cell r="B1125">
            <v>76.900977999999995</v>
          </cell>
        </row>
        <row r="1126">
          <cell r="A1126">
            <v>43290</v>
          </cell>
          <cell r="B1126">
            <v>78.193129999999996</v>
          </cell>
        </row>
        <row r="1127">
          <cell r="A1127">
            <v>43291</v>
          </cell>
          <cell r="B1127">
            <v>79.357872</v>
          </cell>
        </row>
        <row r="1128">
          <cell r="A1128">
            <v>43292</v>
          </cell>
          <cell r="B1128">
            <v>78.739104999999995</v>
          </cell>
        </row>
        <row r="1129">
          <cell r="A1129">
            <v>43293</v>
          </cell>
          <cell r="B1129">
            <v>78.730002999999996</v>
          </cell>
        </row>
        <row r="1130">
          <cell r="A1130">
            <v>43294</v>
          </cell>
          <cell r="B1130">
            <v>79.803771999999995</v>
          </cell>
        </row>
        <row r="1131">
          <cell r="A1131">
            <v>43297</v>
          </cell>
          <cell r="B1131">
            <v>79.749161000000001</v>
          </cell>
        </row>
        <row r="1132">
          <cell r="A1132">
            <v>43298</v>
          </cell>
          <cell r="B1132">
            <v>80.249656999999999</v>
          </cell>
        </row>
        <row r="1133">
          <cell r="A1133">
            <v>43299</v>
          </cell>
          <cell r="B1133">
            <v>80.140441999999993</v>
          </cell>
        </row>
        <row r="1134">
          <cell r="A1134">
            <v>43300</v>
          </cell>
          <cell r="B1134">
            <v>79.821976000000006</v>
          </cell>
        </row>
        <row r="1135">
          <cell r="A1135">
            <v>43301</v>
          </cell>
          <cell r="B1135">
            <v>80.131332</v>
          </cell>
        </row>
        <row r="1136">
          <cell r="A1136">
            <v>43304</v>
          </cell>
          <cell r="B1136">
            <v>79.740059000000002</v>
          </cell>
        </row>
        <row r="1137">
          <cell r="A1137">
            <v>43305</v>
          </cell>
          <cell r="B1137">
            <v>80.040336999999994</v>
          </cell>
        </row>
        <row r="1138">
          <cell r="A1138">
            <v>43306</v>
          </cell>
          <cell r="B1138">
            <v>79.985748000000001</v>
          </cell>
        </row>
        <row r="1139">
          <cell r="A1139">
            <v>43307</v>
          </cell>
          <cell r="B1139">
            <v>80.286040999999997</v>
          </cell>
        </row>
        <row r="1140">
          <cell r="A1140">
            <v>43308</v>
          </cell>
          <cell r="B1140">
            <v>80.195037999999997</v>
          </cell>
        </row>
        <row r="1141">
          <cell r="A1141">
            <v>43311</v>
          </cell>
          <cell r="B1141">
            <v>80.877517999999995</v>
          </cell>
        </row>
        <row r="1142">
          <cell r="A1142">
            <v>43312</v>
          </cell>
          <cell r="B1142">
            <v>81.196006999999994</v>
          </cell>
        </row>
        <row r="1143">
          <cell r="A1143">
            <v>43313</v>
          </cell>
          <cell r="B1143">
            <v>80.295158000000001</v>
          </cell>
        </row>
        <row r="1144">
          <cell r="A1144">
            <v>43314</v>
          </cell>
          <cell r="B1144">
            <v>80.768332999999998</v>
          </cell>
        </row>
        <row r="1145">
          <cell r="A1145">
            <v>43315</v>
          </cell>
          <cell r="B1145">
            <v>81.532677000000007</v>
          </cell>
        </row>
        <row r="1146">
          <cell r="A1146">
            <v>43318</v>
          </cell>
          <cell r="B1146">
            <v>81.596382000000006</v>
          </cell>
        </row>
        <row r="1147">
          <cell r="A1147">
            <v>43319</v>
          </cell>
          <cell r="B1147">
            <v>81.687370000000001</v>
          </cell>
        </row>
        <row r="1148">
          <cell r="A1148">
            <v>43320</v>
          </cell>
          <cell r="B1148">
            <v>81.942161999999996</v>
          </cell>
        </row>
        <row r="1149">
          <cell r="A1149">
            <v>43321</v>
          </cell>
          <cell r="B1149">
            <v>81.466262999999998</v>
          </cell>
        </row>
        <row r="1150">
          <cell r="A1150">
            <v>43322</v>
          </cell>
          <cell r="B1150">
            <v>82.537070999999997</v>
          </cell>
        </row>
        <row r="1151">
          <cell r="A1151">
            <v>43325</v>
          </cell>
          <cell r="B1151">
            <v>82.042854000000005</v>
          </cell>
        </row>
        <row r="1152">
          <cell r="A1152">
            <v>43326</v>
          </cell>
          <cell r="B1152">
            <v>83.150299000000004</v>
          </cell>
        </row>
        <row r="1153">
          <cell r="A1153">
            <v>43327</v>
          </cell>
          <cell r="B1153">
            <v>82.573700000000002</v>
          </cell>
        </row>
        <row r="1154">
          <cell r="A1154">
            <v>43328</v>
          </cell>
          <cell r="B1154">
            <v>90.280083000000005</v>
          </cell>
        </row>
        <row r="1155">
          <cell r="A1155">
            <v>43329</v>
          </cell>
          <cell r="B1155">
            <v>89.557029999999997</v>
          </cell>
        </row>
        <row r="1156">
          <cell r="A1156">
            <v>43332</v>
          </cell>
          <cell r="B1156">
            <v>87.863845999999995</v>
          </cell>
        </row>
        <row r="1157">
          <cell r="A1157">
            <v>43333</v>
          </cell>
          <cell r="B1157">
            <v>87.937049999999999</v>
          </cell>
        </row>
        <row r="1158">
          <cell r="A1158">
            <v>43334</v>
          </cell>
          <cell r="B1158">
            <v>87.561783000000005</v>
          </cell>
        </row>
        <row r="1159">
          <cell r="A1159">
            <v>43335</v>
          </cell>
          <cell r="B1159">
            <v>87.113326999999998</v>
          </cell>
        </row>
        <row r="1160">
          <cell r="A1160">
            <v>43336</v>
          </cell>
          <cell r="B1160">
            <v>86.902809000000005</v>
          </cell>
        </row>
        <row r="1161">
          <cell r="A1161">
            <v>43339</v>
          </cell>
          <cell r="B1161">
            <v>86.527564999999996</v>
          </cell>
        </row>
        <row r="1162">
          <cell r="A1162">
            <v>43340</v>
          </cell>
          <cell r="B1162">
            <v>87.927902000000003</v>
          </cell>
        </row>
        <row r="1163">
          <cell r="A1163">
            <v>43341</v>
          </cell>
          <cell r="B1163">
            <v>87.53434</v>
          </cell>
        </row>
        <row r="1164">
          <cell r="A1164">
            <v>43342</v>
          </cell>
          <cell r="B1164">
            <v>87.955353000000002</v>
          </cell>
        </row>
        <row r="1165">
          <cell r="A1165">
            <v>43343</v>
          </cell>
          <cell r="B1165">
            <v>87.735703000000001</v>
          </cell>
        </row>
        <row r="1166">
          <cell r="A1166">
            <v>43347</v>
          </cell>
          <cell r="B1166">
            <v>87.278060999999994</v>
          </cell>
        </row>
        <row r="1167">
          <cell r="A1167">
            <v>43348</v>
          </cell>
          <cell r="B1167">
            <v>88.431281999999996</v>
          </cell>
        </row>
        <row r="1168">
          <cell r="A1168">
            <v>43349</v>
          </cell>
          <cell r="B1168">
            <v>88.275695999999996</v>
          </cell>
        </row>
        <row r="1169">
          <cell r="A1169">
            <v>43350</v>
          </cell>
          <cell r="B1169">
            <v>87.708243999999993</v>
          </cell>
        </row>
        <row r="1170">
          <cell r="A1170">
            <v>43353</v>
          </cell>
          <cell r="B1170">
            <v>88.687545999999998</v>
          </cell>
        </row>
        <row r="1171">
          <cell r="A1171">
            <v>43354</v>
          </cell>
          <cell r="B1171">
            <v>88.449584999999999</v>
          </cell>
        </row>
        <row r="1172">
          <cell r="A1172">
            <v>43355</v>
          </cell>
          <cell r="B1172">
            <v>87.836365000000001</v>
          </cell>
        </row>
        <row r="1173">
          <cell r="A1173">
            <v>43356</v>
          </cell>
          <cell r="B1173">
            <v>87.058395000000004</v>
          </cell>
        </row>
        <row r="1174">
          <cell r="A1174">
            <v>43357</v>
          </cell>
          <cell r="B1174">
            <v>86.573311000000004</v>
          </cell>
        </row>
        <row r="1175">
          <cell r="A1175">
            <v>43360</v>
          </cell>
          <cell r="B1175">
            <v>86.783828999999997</v>
          </cell>
        </row>
        <row r="1176">
          <cell r="A1176">
            <v>43361</v>
          </cell>
          <cell r="B1176">
            <v>87.342147999999995</v>
          </cell>
        </row>
        <row r="1177">
          <cell r="A1177">
            <v>43362</v>
          </cell>
          <cell r="B1177">
            <v>87.168243000000004</v>
          </cell>
        </row>
        <row r="1178">
          <cell r="A1178">
            <v>43363</v>
          </cell>
          <cell r="B1178">
            <v>87.635024999999999</v>
          </cell>
        </row>
        <row r="1179">
          <cell r="A1179">
            <v>43364</v>
          </cell>
          <cell r="B1179">
            <v>87.772307999999995</v>
          </cell>
        </row>
        <row r="1180">
          <cell r="A1180">
            <v>43367</v>
          </cell>
          <cell r="B1180">
            <v>86.875343000000001</v>
          </cell>
        </row>
        <row r="1181">
          <cell r="A1181">
            <v>43368</v>
          </cell>
          <cell r="B1181">
            <v>87.040099999999995</v>
          </cell>
        </row>
        <row r="1182">
          <cell r="A1182">
            <v>43369</v>
          </cell>
          <cell r="B1182">
            <v>86.573311000000004</v>
          </cell>
        </row>
        <row r="1183">
          <cell r="A1183">
            <v>43370</v>
          </cell>
          <cell r="B1183">
            <v>86.152313000000007</v>
          </cell>
        </row>
        <row r="1184">
          <cell r="A1184">
            <v>43371</v>
          </cell>
          <cell r="B1184">
            <v>85.950965999999994</v>
          </cell>
        </row>
        <row r="1185">
          <cell r="A1185">
            <v>43374</v>
          </cell>
          <cell r="B1185">
            <v>86.399422000000001</v>
          </cell>
        </row>
        <row r="1186">
          <cell r="A1186">
            <v>43375</v>
          </cell>
          <cell r="B1186">
            <v>87.085869000000002</v>
          </cell>
        </row>
        <row r="1187">
          <cell r="A1187">
            <v>43376</v>
          </cell>
          <cell r="B1187">
            <v>86.097389000000007</v>
          </cell>
        </row>
        <row r="1188">
          <cell r="A1188">
            <v>43377</v>
          </cell>
          <cell r="B1188">
            <v>86.225555</v>
          </cell>
        </row>
        <row r="1189">
          <cell r="A1189">
            <v>43378</v>
          </cell>
          <cell r="B1189">
            <v>85.401809999999998</v>
          </cell>
        </row>
        <row r="1190">
          <cell r="A1190">
            <v>43381</v>
          </cell>
          <cell r="B1190">
            <v>86.664856</v>
          </cell>
        </row>
        <row r="1191">
          <cell r="A1191">
            <v>43382</v>
          </cell>
          <cell r="B1191">
            <v>88.852287000000004</v>
          </cell>
        </row>
        <row r="1192">
          <cell r="A1192">
            <v>43383</v>
          </cell>
          <cell r="B1192">
            <v>87.644165000000001</v>
          </cell>
        </row>
        <row r="1193">
          <cell r="A1193">
            <v>43384</v>
          </cell>
          <cell r="B1193">
            <v>85.960114000000004</v>
          </cell>
        </row>
        <row r="1194">
          <cell r="A1194">
            <v>43385</v>
          </cell>
          <cell r="B1194">
            <v>86.774688999999995</v>
          </cell>
        </row>
        <row r="1195">
          <cell r="A1195">
            <v>43388</v>
          </cell>
          <cell r="B1195">
            <v>85.868576000000004</v>
          </cell>
        </row>
        <row r="1196">
          <cell r="A1196">
            <v>43389</v>
          </cell>
          <cell r="B1196">
            <v>87.689926</v>
          </cell>
        </row>
        <row r="1197">
          <cell r="A1197">
            <v>43390</v>
          </cell>
          <cell r="B1197">
            <v>88.376373000000001</v>
          </cell>
        </row>
        <row r="1198">
          <cell r="A1198">
            <v>43391</v>
          </cell>
          <cell r="B1198">
            <v>88.019417000000004</v>
          </cell>
        </row>
        <row r="1199">
          <cell r="A1199">
            <v>43392</v>
          </cell>
          <cell r="B1199">
            <v>88.916359</v>
          </cell>
        </row>
        <row r="1200">
          <cell r="A1200">
            <v>43395</v>
          </cell>
          <cell r="B1200">
            <v>88.907218999999998</v>
          </cell>
        </row>
        <row r="1201">
          <cell r="A1201">
            <v>43396</v>
          </cell>
          <cell r="B1201">
            <v>89.511284000000003</v>
          </cell>
        </row>
        <row r="1202">
          <cell r="A1202">
            <v>43397</v>
          </cell>
          <cell r="B1202">
            <v>89.291611000000003</v>
          </cell>
        </row>
        <row r="1203">
          <cell r="A1203">
            <v>43398</v>
          </cell>
          <cell r="B1203">
            <v>90.774315000000001</v>
          </cell>
        </row>
        <row r="1204">
          <cell r="A1204">
            <v>43399</v>
          </cell>
          <cell r="B1204">
            <v>90.554657000000006</v>
          </cell>
        </row>
        <row r="1205">
          <cell r="A1205">
            <v>43402</v>
          </cell>
          <cell r="B1205">
            <v>91.341781999999995</v>
          </cell>
        </row>
        <row r="1206">
          <cell r="A1206">
            <v>43403</v>
          </cell>
          <cell r="B1206">
            <v>93.739738000000003</v>
          </cell>
        </row>
        <row r="1207">
          <cell r="A1207">
            <v>43404</v>
          </cell>
          <cell r="B1207">
            <v>91.781104999999997</v>
          </cell>
        </row>
        <row r="1208">
          <cell r="A1208">
            <v>43405</v>
          </cell>
          <cell r="B1208">
            <v>92.055663999999993</v>
          </cell>
        </row>
        <row r="1209">
          <cell r="A1209">
            <v>43406</v>
          </cell>
          <cell r="B1209">
            <v>92.751250999999996</v>
          </cell>
        </row>
        <row r="1210">
          <cell r="A1210">
            <v>43409</v>
          </cell>
          <cell r="B1210">
            <v>94.188202000000004</v>
          </cell>
        </row>
        <row r="1211">
          <cell r="A1211">
            <v>43410</v>
          </cell>
          <cell r="B1211">
            <v>94.572577999999993</v>
          </cell>
        </row>
        <row r="1212">
          <cell r="A1212">
            <v>43411</v>
          </cell>
          <cell r="B1212">
            <v>95.478706000000003</v>
          </cell>
        </row>
        <row r="1213">
          <cell r="A1213">
            <v>43412</v>
          </cell>
          <cell r="B1213">
            <v>95.991241000000002</v>
          </cell>
        </row>
        <row r="1214">
          <cell r="A1214">
            <v>43413</v>
          </cell>
          <cell r="B1214">
            <v>96.613608999999997</v>
          </cell>
        </row>
        <row r="1215">
          <cell r="A1215">
            <v>43416</v>
          </cell>
          <cell r="B1215">
            <v>95.066849000000005</v>
          </cell>
        </row>
        <row r="1216">
          <cell r="A1216">
            <v>43417</v>
          </cell>
          <cell r="B1216">
            <v>94.215652000000006</v>
          </cell>
        </row>
        <row r="1217">
          <cell r="A1217">
            <v>43418</v>
          </cell>
          <cell r="B1217">
            <v>92.925171000000006</v>
          </cell>
        </row>
        <row r="1218">
          <cell r="A1218">
            <v>43419</v>
          </cell>
          <cell r="B1218">
            <v>91.103820999999996</v>
          </cell>
        </row>
        <row r="1219">
          <cell r="A1219">
            <v>43420</v>
          </cell>
          <cell r="B1219">
            <v>89.410622000000004</v>
          </cell>
        </row>
        <row r="1220">
          <cell r="A1220">
            <v>43423</v>
          </cell>
          <cell r="B1220">
            <v>88.577713000000003</v>
          </cell>
        </row>
        <row r="1221">
          <cell r="A1221">
            <v>43424</v>
          </cell>
          <cell r="B1221">
            <v>86.179778999999996</v>
          </cell>
        </row>
        <row r="1222">
          <cell r="A1222">
            <v>43425</v>
          </cell>
          <cell r="B1222">
            <v>86.188911000000004</v>
          </cell>
        </row>
        <row r="1223">
          <cell r="A1223">
            <v>43427</v>
          </cell>
          <cell r="B1223">
            <v>87.040099999999995</v>
          </cell>
        </row>
        <row r="1224">
          <cell r="A1224">
            <v>43430</v>
          </cell>
          <cell r="B1224">
            <v>87.085869000000002</v>
          </cell>
        </row>
        <row r="1225">
          <cell r="A1225">
            <v>43431</v>
          </cell>
          <cell r="B1225">
            <v>86.985184000000004</v>
          </cell>
        </row>
        <row r="1226">
          <cell r="A1226">
            <v>43432</v>
          </cell>
          <cell r="B1226">
            <v>89.200080999999997</v>
          </cell>
        </row>
        <row r="1227">
          <cell r="A1227">
            <v>43433</v>
          </cell>
          <cell r="B1227">
            <v>89.044494999999998</v>
          </cell>
        </row>
        <row r="1228">
          <cell r="A1228">
            <v>43434</v>
          </cell>
          <cell r="B1228">
            <v>89.373985000000005</v>
          </cell>
        </row>
        <row r="1229">
          <cell r="A1229">
            <v>43437</v>
          </cell>
          <cell r="B1229">
            <v>90.380759999999995</v>
          </cell>
        </row>
        <row r="1230">
          <cell r="A1230">
            <v>43438</v>
          </cell>
          <cell r="B1230">
            <v>87.689926</v>
          </cell>
        </row>
        <row r="1231">
          <cell r="A1231">
            <v>43440</v>
          </cell>
          <cell r="B1231">
            <v>87.211410999999998</v>
          </cell>
        </row>
        <row r="1232">
          <cell r="A1232">
            <v>43441</v>
          </cell>
          <cell r="B1232">
            <v>85.757430999999997</v>
          </cell>
        </row>
        <row r="1233">
          <cell r="A1233">
            <v>43444</v>
          </cell>
          <cell r="B1233">
            <v>86.447609</v>
          </cell>
        </row>
        <row r="1234">
          <cell r="A1234">
            <v>43445</v>
          </cell>
          <cell r="B1234">
            <v>86.364784</v>
          </cell>
        </row>
        <row r="1235">
          <cell r="A1235">
            <v>43446</v>
          </cell>
          <cell r="B1235">
            <v>85.683800000000005</v>
          </cell>
        </row>
        <row r="1236">
          <cell r="A1236">
            <v>43447</v>
          </cell>
          <cell r="B1236">
            <v>85.545776000000004</v>
          </cell>
        </row>
        <row r="1237">
          <cell r="A1237">
            <v>43448</v>
          </cell>
          <cell r="B1237">
            <v>84.524299999999997</v>
          </cell>
        </row>
        <row r="1238">
          <cell r="A1238">
            <v>43451</v>
          </cell>
          <cell r="B1238">
            <v>83.530440999999996</v>
          </cell>
        </row>
        <row r="1239">
          <cell r="A1239">
            <v>43452</v>
          </cell>
          <cell r="B1239">
            <v>83.815726999999995</v>
          </cell>
        </row>
        <row r="1240">
          <cell r="A1240">
            <v>43453</v>
          </cell>
          <cell r="B1240">
            <v>83.327988000000005</v>
          </cell>
        </row>
        <row r="1241">
          <cell r="A1241">
            <v>43454</v>
          </cell>
          <cell r="B1241">
            <v>80.318787</v>
          </cell>
        </row>
        <row r="1242">
          <cell r="A1242">
            <v>43455</v>
          </cell>
          <cell r="B1242">
            <v>80.180747999999994</v>
          </cell>
        </row>
        <row r="1243">
          <cell r="A1243">
            <v>43458</v>
          </cell>
          <cell r="B1243">
            <v>78.975234999999998</v>
          </cell>
        </row>
        <row r="1244">
          <cell r="A1244">
            <v>43460</v>
          </cell>
          <cell r="B1244">
            <v>83.199150000000003</v>
          </cell>
        </row>
        <row r="1245">
          <cell r="A1245">
            <v>43461</v>
          </cell>
          <cell r="B1245">
            <v>84.285019000000005</v>
          </cell>
        </row>
        <row r="1246">
          <cell r="A1246">
            <v>43462</v>
          </cell>
          <cell r="B1246">
            <v>84.781966999999995</v>
          </cell>
        </row>
        <row r="1247">
          <cell r="A1247">
            <v>43465</v>
          </cell>
          <cell r="B1247">
            <v>85.720618999999999</v>
          </cell>
        </row>
        <row r="1248">
          <cell r="A1248">
            <v>43467</v>
          </cell>
          <cell r="B1248">
            <v>85.895461999999995</v>
          </cell>
        </row>
        <row r="1249">
          <cell r="A1249">
            <v>43468</v>
          </cell>
          <cell r="B1249">
            <v>85.453734999999995</v>
          </cell>
        </row>
        <row r="1250">
          <cell r="A1250">
            <v>43469</v>
          </cell>
          <cell r="B1250">
            <v>85.987487999999999</v>
          </cell>
        </row>
        <row r="1251">
          <cell r="A1251">
            <v>43472</v>
          </cell>
          <cell r="B1251">
            <v>86.999756000000005</v>
          </cell>
        </row>
        <row r="1252">
          <cell r="A1252">
            <v>43473</v>
          </cell>
          <cell r="B1252">
            <v>87.607123999999999</v>
          </cell>
        </row>
        <row r="1253">
          <cell r="A1253">
            <v>43474</v>
          </cell>
          <cell r="B1253">
            <v>87.321854000000002</v>
          </cell>
        </row>
        <row r="1254">
          <cell r="A1254">
            <v>43475</v>
          </cell>
          <cell r="B1254">
            <v>87.386261000000005</v>
          </cell>
        </row>
        <row r="1255">
          <cell r="A1255">
            <v>43476</v>
          </cell>
          <cell r="B1255">
            <v>87.275841</v>
          </cell>
        </row>
        <row r="1256">
          <cell r="A1256">
            <v>43479</v>
          </cell>
          <cell r="B1256">
            <v>87.377037000000001</v>
          </cell>
        </row>
        <row r="1257">
          <cell r="A1257">
            <v>43480</v>
          </cell>
          <cell r="B1257">
            <v>88.573386999999997</v>
          </cell>
        </row>
        <row r="1258">
          <cell r="A1258">
            <v>43481</v>
          </cell>
          <cell r="B1258">
            <v>88.665390000000002</v>
          </cell>
        </row>
        <row r="1259">
          <cell r="A1259">
            <v>43482</v>
          </cell>
          <cell r="B1259">
            <v>89.024276999999998</v>
          </cell>
        </row>
        <row r="1260">
          <cell r="A1260">
            <v>43483</v>
          </cell>
          <cell r="B1260">
            <v>89.935340999999994</v>
          </cell>
        </row>
        <row r="1261">
          <cell r="A1261">
            <v>43487</v>
          </cell>
          <cell r="B1261">
            <v>89.714484999999996</v>
          </cell>
        </row>
        <row r="1262">
          <cell r="A1262">
            <v>43488</v>
          </cell>
          <cell r="B1262">
            <v>90.837173000000007</v>
          </cell>
        </row>
        <row r="1263">
          <cell r="A1263">
            <v>43489</v>
          </cell>
          <cell r="B1263">
            <v>90.515067999999999</v>
          </cell>
        </row>
        <row r="1264">
          <cell r="A1264">
            <v>43490</v>
          </cell>
          <cell r="B1264">
            <v>89.208327999999995</v>
          </cell>
        </row>
        <row r="1265">
          <cell r="A1265">
            <v>43493</v>
          </cell>
          <cell r="B1265">
            <v>89.318747999999999</v>
          </cell>
        </row>
        <row r="1266">
          <cell r="A1266">
            <v>43494</v>
          </cell>
          <cell r="B1266">
            <v>88.996673999999999</v>
          </cell>
        </row>
        <row r="1267">
          <cell r="A1267">
            <v>43495</v>
          </cell>
          <cell r="B1267">
            <v>87.239020999999994</v>
          </cell>
        </row>
        <row r="1268">
          <cell r="A1268">
            <v>43496</v>
          </cell>
          <cell r="B1268">
            <v>88.186858999999998</v>
          </cell>
        </row>
        <row r="1269">
          <cell r="A1269">
            <v>43497</v>
          </cell>
          <cell r="B1269">
            <v>86.373977999999994</v>
          </cell>
        </row>
        <row r="1270">
          <cell r="A1270">
            <v>43500</v>
          </cell>
          <cell r="B1270">
            <v>87.211410999999998</v>
          </cell>
        </row>
        <row r="1271">
          <cell r="A1271">
            <v>43501</v>
          </cell>
          <cell r="B1271">
            <v>87.975211999999999</v>
          </cell>
        </row>
        <row r="1272">
          <cell r="A1272">
            <v>43502</v>
          </cell>
          <cell r="B1272">
            <v>88.012016000000003</v>
          </cell>
        </row>
        <row r="1273">
          <cell r="A1273">
            <v>43503</v>
          </cell>
          <cell r="B1273">
            <v>89.015083000000004</v>
          </cell>
        </row>
        <row r="1274">
          <cell r="A1274">
            <v>43504</v>
          </cell>
          <cell r="B1274">
            <v>87.956801999999996</v>
          </cell>
        </row>
        <row r="1275">
          <cell r="A1275">
            <v>43507</v>
          </cell>
          <cell r="B1275">
            <v>88.527336000000005</v>
          </cell>
        </row>
        <row r="1276">
          <cell r="A1276">
            <v>43508</v>
          </cell>
          <cell r="B1276">
            <v>89.235954000000007</v>
          </cell>
        </row>
        <row r="1277">
          <cell r="A1277">
            <v>43509</v>
          </cell>
          <cell r="B1277">
            <v>90.128555000000006</v>
          </cell>
        </row>
        <row r="1278">
          <cell r="A1278">
            <v>43510</v>
          </cell>
          <cell r="B1278">
            <v>90.662315000000007</v>
          </cell>
        </row>
        <row r="1279">
          <cell r="A1279">
            <v>43511</v>
          </cell>
          <cell r="B1279">
            <v>92.015083000000004</v>
          </cell>
        </row>
        <row r="1280">
          <cell r="A1280">
            <v>43515</v>
          </cell>
          <cell r="B1280">
            <v>94.048812999999996</v>
          </cell>
        </row>
        <row r="1281">
          <cell r="A1281">
            <v>43516</v>
          </cell>
          <cell r="B1281">
            <v>91.913833999999994</v>
          </cell>
        </row>
        <row r="1282">
          <cell r="A1282">
            <v>43517</v>
          </cell>
          <cell r="B1282">
            <v>91.462920999999994</v>
          </cell>
        </row>
        <row r="1283">
          <cell r="A1283">
            <v>43518</v>
          </cell>
          <cell r="B1283">
            <v>91.610175999999996</v>
          </cell>
        </row>
        <row r="1284">
          <cell r="A1284">
            <v>43521</v>
          </cell>
          <cell r="B1284">
            <v>91.214470000000006</v>
          </cell>
        </row>
        <row r="1285">
          <cell r="A1285">
            <v>43522</v>
          </cell>
          <cell r="B1285">
            <v>90.818770999999998</v>
          </cell>
        </row>
        <row r="1286">
          <cell r="A1286">
            <v>43523</v>
          </cell>
          <cell r="B1286">
            <v>90.285019000000005</v>
          </cell>
        </row>
        <row r="1287">
          <cell r="A1287">
            <v>43524</v>
          </cell>
          <cell r="B1287">
            <v>91.094818000000004</v>
          </cell>
        </row>
        <row r="1288">
          <cell r="A1288">
            <v>43525</v>
          </cell>
          <cell r="B1288">
            <v>90.119392000000005</v>
          </cell>
        </row>
        <row r="1289">
          <cell r="A1289">
            <v>43528</v>
          </cell>
          <cell r="B1289">
            <v>90.045769000000007</v>
          </cell>
        </row>
        <row r="1290">
          <cell r="A1290">
            <v>43529</v>
          </cell>
          <cell r="B1290">
            <v>90.496657999999996</v>
          </cell>
        </row>
        <row r="1291">
          <cell r="A1291">
            <v>43530</v>
          </cell>
          <cell r="B1291">
            <v>90.423027000000005</v>
          </cell>
        </row>
        <row r="1292">
          <cell r="A1292">
            <v>43531</v>
          </cell>
          <cell r="B1292">
            <v>89.677643000000003</v>
          </cell>
        </row>
        <row r="1293">
          <cell r="A1293">
            <v>43532</v>
          </cell>
          <cell r="B1293">
            <v>89.806479999999993</v>
          </cell>
        </row>
        <row r="1294">
          <cell r="A1294">
            <v>43535</v>
          </cell>
          <cell r="B1294">
            <v>90.625525999999994</v>
          </cell>
        </row>
        <row r="1295">
          <cell r="A1295">
            <v>43536</v>
          </cell>
          <cell r="B1295">
            <v>90.524283999999994</v>
          </cell>
        </row>
        <row r="1296">
          <cell r="A1296">
            <v>43537</v>
          </cell>
          <cell r="B1296">
            <v>91.131630000000001</v>
          </cell>
        </row>
        <row r="1297">
          <cell r="A1297">
            <v>43538</v>
          </cell>
          <cell r="B1297">
            <v>90.872603999999995</v>
          </cell>
        </row>
        <row r="1298">
          <cell r="A1298">
            <v>43539</v>
          </cell>
          <cell r="B1298">
            <v>91.057625000000002</v>
          </cell>
        </row>
        <row r="1299">
          <cell r="A1299">
            <v>43542</v>
          </cell>
          <cell r="B1299">
            <v>92.204864999999998</v>
          </cell>
        </row>
        <row r="1300">
          <cell r="A1300">
            <v>43543</v>
          </cell>
          <cell r="B1300">
            <v>92.380652999999995</v>
          </cell>
        </row>
        <row r="1301">
          <cell r="A1301">
            <v>43544</v>
          </cell>
          <cell r="B1301">
            <v>91.261168999999995</v>
          </cell>
        </row>
        <row r="1302">
          <cell r="A1302">
            <v>43545</v>
          </cell>
          <cell r="B1302">
            <v>91.649742000000003</v>
          </cell>
        </row>
        <row r="1303">
          <cell r="A1303">
            <v>43546</v>
          </cell>
          <cell r="B1303">
            <v>90.928093000000004</v>
          </cell>
        </row>
        <row r="1304">
          <cell r="A1304">
            <v>43549</v>
          </cell>
          <cell r="B1304">
            <v>90.826317000000003</v>
          </cell>
        </row>
        <row r="1305">
          <cell r="A1305">
            <v>43550</v>
          </cell>
          <cell r="B1305">
            <v>90.965110999999993</v>
          </cell>
        </row>
        <row r="1306">
          <cell r="A1306">
            <v>43551</v>
          </cell>
          <cell r="B1306">
            <v>89.938141000000002</v>
          </cell>
        </row>
        <row r="1307">
          <cell r="A1307">
            <v>43552</v>
          </cell>
          <cell r="B1307">
            <v>89.864113000000003</v>
          </cell>
        </row>
        <row r="1308">
          <cell r="A1308">
            <v>43553</v>
          </cell>
          <cell r="B1308">
            <v>90.234215000000006</v>
          </cell>
        </row>
        <row r="1309">
          <cell r="A1309">
            <v>43556</v>
          </cell>
          <cell r="B1309">
            <v>90.502494999999996</v>
          </cell>
        </row>
        <row r="1310">
          <cell r="A1310">
            <v>43557</v>
          </cell>
          <cell r="B1310">
            <v>89.688323999999994</v>
          </cell>
        </row>
        <row r="1311">
          <cell r="A1311">
            <v>43558</v>
          </cell>
          <cell r="B1311">
            <v>89.919623999999999</v>
          </cell>
        </row>
        <row r="1312">
          <cell r="A1312">
            <v>43559</v>
          </cell>
          <cell r="B1312">
            <v>90.770820999999998</v>
          </cell>
        </row>
        <row r="1313">
          <cell r="A1313">
            <v>43560</v>
          </cell>
          <cell r="B1313">
            <v>91.436942999999999</v>
          </cell>
        </row>
        <row r="1314">
          <cell r="A1314">
            <v>43563</v>
          </cell>
          <cell r="B1314">
            <v>91.807060000000007</v>
          </cell>
        </row>
        <row r="1315">
          <cell r="A1315">
            <v>43564</v>
          </cell>
          <cell r="B1315">
            <v>91.307434000000001</v>
          </cell>
        </row>
        <row r="1316">
          <cell r="A1316">
            <v>43565</v>
          </cell>
          <cell r="B1316">
            <v>92.149338</v>
          </cell>
        </row>
        <row r="1317">
          <cell r="A1317">
            <v>43566</v>
          </cell>
          <cell r="B1317">
            <v>93.259574999999998</v>
          </cell>
        </row>
        <row r="1318">
          <cell r="A1318">
            <v>43567</v>
          </cell>
          <cell r="B1318">
            <v>93.962738000000002</v>
          </cell>
        </row>
        <row r="1319">
          <cell r="A1319">
            <v>43570</v>
          </cell>
          <cell r="B1319">
            <v>94.767639000000003</v>
          </cell>
        </row>
        <row r="1320">
          <cell r="A1320">
            <v>43571</v>
          </cell>
          <cell r="B1320">
            <v>95.230232000000001</v>
          </cell>
        </row>
        <row r="1321">
          <cell r="A1321">
            <v>43572</v>
          </cell>
          <cell r="B1321">
            <v>95.443038999999999</v>
          </cell>
        </row>
        <row r="1322">
          <cell r="A1322">
            <v>43573</v>
          </cell>
          <cell r="B1322">
            <v>95.461539999999999</v>
          </cell>
        </row>
        <row r="1323">
          <cell r="A1323">
            <v>43577</v>
          </cell>
          <cell r="B1323">
            <v>94.712142999999998</v>
          </cell>
        </row>
        <row r="1324">
          <cell r="A1324">
            <v>43578</v>
          </cell>
          <cell r="B1324">
            <v>95.359795000000005</v>
          </cell>
        </row>
        <row r="1325">
          <cell r="A1325">
            <v>43579</v>
          </cell>
          <cell r="B1325">
            <v>95.785362000000006</v>
          </cell>
        </row>
        <row r="1326">
          <cell r="A1326">
            <v>43580</v>
          </cell>
          <cell r="B1326">
            <v>95.776122999999998</v>
          </cell>
        </row>
        <row r="1327">
          <cell r="A1327">
            <v>43581</v>
          </cell>
          <cell r="B1327">
            <v>93.934989999999999</v>
          </cell>
        </row>
        <row r="1328">
          <cell r="A1328">
            <v>43584</v>
          </cell>
          <cell r="B1328">
            <v>93.962738000000002</v>
          </cell>
        </row>
        <row r="1329">
          <cell r="A1329">
            <v>43585</v>
          </cell>
          <cell r="B1329">
            <v>95.146979999999999</v>
          </cell>
        </row>
        <row r="1330">
          <cell r="A1330">
            <v>43586</v>
          </cell>
          <cell r="B1330">
            <v>93.777694999999994</v>
          </cell>
        </row>
        <row r="1331">
          <cell r="A1331">
            <v>43587</v>
          </cell>
          <cell r="B1331">
            <v>93.583397000000005</v>
          </cell>
        </row>
        <row r="1332">
          <cell r="A1332">
            <v>43588</v>
          </cell>
          <cell r="B1332">
            <v>94.443832</v>
          </cell>
        </row>
        <row r="1333">
          <cell r="A1333">
            <v>43591</v>
          </cell>
          <cell r="B1333">
            <v>94.795410000000004</v>
          </cell>
        </row>
        <row r="1334">
          <cell r="A1334">
            <v>43592</v>
          </cell>
          <cell r="B1334">
            <v>93.722198000000006</v>
          </cell>
        </row>
        <row r="1335">
          <cell r="A1335">
            <v>43593</v>
          </cell>
          <cell r="B1335">
            <v>92.796997000000005</v>
          </cell>
        </row>
        <row r="1336">
          <cell r="A1336">
            <v>43594</v>
          </cell>
          <cell r="B1336">
            <v>92.583068999999995</v>
          </cell>
        </row>
        <row r="1337">
          <cell r="A1337">
            <v>43595</v>
          </cell>
          <cell r="B1337">
            <v>94.787430000000001</v>
          </cell>
        </row>
        <row r="1338">
          <cell r="A1338">
            <v>43598</v>
          </cell>
          <cell r="B1338">
            <v>92.908591999999999</v>
          </cell>
        </row>
        <row r="1339">
          <cell r="A1339">
            <v>43599</v>
          </cell>
          <cell r="B1339">
            <v>93.280663000000004</v>
          </cell>
        </row>
        <row r="1340">
          <cell r="A1340">
            <v>43600</v>
          </cell>
          <cell r="B1340">
            <v>92.899299999999997</v>
          </cell>
        </row>
        <row r="1341">
          <cell r="A1341">
            <v>43601</v>
          </cell>
          <cell r="B1341">
            <v>94.229354999999998</v>
          </cell>
        </row>
        <row r="1342">
          <cell r="A1342">
            <v>43602</v>
          </cell>
          <cell r="B1342">
            <v>93.810805999999999</v>
          </cell>
        </row>
        <row r="1343">
          <cell r="A1343">
            <v>43605</v>
          </cell>
          <cell r="B1343">
            <v>94.424666999999999</v>
          </cell>
        </row>
        <row r="1344">
          <cell r="A1344">
            <v>43606</v>
          </cell>
          <cell r="B1344">
            <v>94.052627999999999</v>
          </cell>
        </row>
        <row r="1345">
          <cell r="A1345">
            <v>43607</v>
          </cell>
          <cell r="B1345">
            <v>95.085059999999999</v>
          </cell>
        </row>
        <row r="1346">
          <cell r="A1346">
            <v>43608</v>
          </cell>
          <cell r="B1346">
            <v>94.740921</v>
          </cell>
        </row>
        <row r="1347">
          <cell r="A1347">
            <v>43609</v>
          </cell>
          <cell r="B1347">
            <v>95.494308000000004</v>
          </cell>
        </row>
        <row r="1348">
          <cell r="A1348">
            <v>43613</v>
          </cell>
          <cell r="B1348">
            <v>95.261780000000002</v>
          </cell>
        </row>
        <row r="1349">
          <cell r="A1349">
            <v>43614</v>
          </cell>
          <cell r="B1349">
            <v>94.982758000000004</v>
          </cell>
        </row>
        <row r="1350">
          <cell r="A1350">
            <v>43615</v>
          </cell>
          <cell r="B1350">
            <v>95.047852000000006</v>
          </cell>
        </row>
        <row r="1351">
          <cell r="A1351">
            <v>43616</v>
          </cell>
          <cell r="B1351">
            <v>94.350280999999995</v>
          </cell>
        </row>
        <row r="1352">
          <cell r="A1352">
            <v>43619</v>
          </cell>
          <cell r="B1352">
            <v>94.833922999999999</v>
          </cell>
        </row>
        <row r="1353">
          <cell r="A1353">
            <v>43620</v>
          </cell>
          <cell r="B1353">
            <v>95.391991000000004</v>
          </cell>
        </row>
        <row r="1354">
          <cell r="A1354">
            <v>43621</v>
          </cell>
          <cell r="B1354">
            <v>97.121978999999996</v>
          </cell>
        </row>
        <row r="1355">
          <cell r="A1355">
            <v>43622</v>
          </cell>
          <cell r="B1355">
            <v>97.763779</v>
          </cell>
        </row>
        <row r="1356">
          <cell r="A1356">
            <v>43623</v>
          </cell>
          <cell r="B1356">
            <v>98.647368999999998</v>
          </cell>
        </row>
        <row r="1357">
          <cell r="A1357">
            <v>43626</v>
          </cell>
          <cell r="B1357">
            <v>100.005348</v>
          </cell>
        </row>
        <row r="1358">
          <cell r="A1358">
            <v>43627</v>
          </cell>
          <cell r="B1358">
            <v>100.395973</v>
          </cell>
        </row>
        <row r="1359">
          <cell r="A1359">
            <v>43628</v>
          </cell>
          <cell r="B1359">
            <v>101.214485</v>
          </cell>
        </row>
        <row r="1360">
          <cell r="A1360">
            <v>43629</v>
          </cell>
          <cell r="B1360">
            <v>101.056366</v>
          </cell>
        </row>
        <row r="1361">
          <cell r="A1361">
            <v>43630</v>
          </cell>
          <cell r="B1361">
            <v>101.447014</v>
          </cell>
        </row>
        <row r="1362">
          <cell r="A1362">
            <v>43633</v>
          </cell>
          <cell r="B1362">
            <v>101.530716</v>
          </cell>
        </row>
        <row r="1363">
          <cell r="A1363">
            <v>43634</v>
          </cell>
          <cell r="B1363">
            <v>101.986458</v>
          </cell>
        </row>
        <row r="1364">
          <cell r="A1364">
            <v>43635</v>
          </cell>
          <cell r="B1364">
            <v>101.95856499999999</v>
          </cell>
        </row>
        <row r="1365">
          <cell r="A1365">
            <v>43636</v>
          </cell>
          <cell r="B1365">
            <v>102.609634</v>
          </cell>
        </row>
        <row r="1366">
          <cell r="A1366">
            <v>43637</v>
          </cell>
          <cell r="B1366">
            <v>103.363029</v>
          </cell>
        </row>
        <row r="1367">
          <cell r="A1367">
            <v>43640</v>
          </cell>
          <cell r="B1367">
            <v>103.46534</v>
          </cell>
        </row>
        <row r="1368">
          <cell r="A1368">
            <v>43641</v>
          </cell>
          <cell r="B1368">
            <v>102.981674</v>
          </cell>
        </row>
        <row r="1369">
          <cell r="A1369">
            <v>43642</v>
          </cell>
          <cell r="B1369">
            <v>102.460823</v>
          </cell>
        </row>
        <row r="1370">
          <cell r="A1370">
            <v>43643</v>
          </cell>
          <cell r="B1370">
            <v>102.40501399999999</v>
          </cell>
        </row>
        <row r="1371">
          <cell r="A1371">
            <v>43644</v>
          </cell>
          <cell r="B1371">
            <v>102.767746</v>
          </cell>
        </row>
        <row r="1372">
          <cell r="A1372">
            <v>43647</v>
          </cell>
          <cell r="B1372">
            <v>102.88867999999999</v>
          </cell>
        </row>
        <row r="1373">
          <cell r="A1373">
            <v>43648</v>
          </cell>
          <cell r="B1373">
            <v>103.800186</v>
          </cell>
        </row>
        <row r="1374">
          <cell r="A1374">
            <v>43649</v>
          </cell>
          <cell r="B1374">
            <v>104.469864</v>
          </cell>
        </row>
        <row r="1375">
          <cell r="A1375">
            <v>43651</v>
          </cell>
          <cell r="B1375">
            <v>104.15361799999999</v>
          </cell>
        </row>
        <row r="1376">
          <cell r="A1376">
            <v>43654</v>
          </cell>
          <cell r="B1376">
            <v>104.841904</v>
          </cell>
        </row>
        <row r="1377">
          <cell r="A1377">
            <v>43655</v>
          </cell>
          <cell r="B1377">
            <v>104.9907</v>
          </cell>
        </row>
        <row r="1378">
          <cell r="A1378">
            <v>43656</v>
          </cell>
          <cell r="B1378">
            <v>105.083733</v>
          </cell>
        </row>
        <row r="1379">
          <cell r="A1379">
            <v>43657</v>
          </cell>
          <cell r="B1379">
            <v>105.958038</v>
          </cell>
        </row>
        <row r="1380">
          <cell r="A1380">
            <v>43658</v>
          </cell>
          <cell r="B1380">
            <v>106.59050000000001</v>
          </cell>
        </row>
        <row r="1381">
          <cell r="A1381">
            <v>43661</v>
          </cell>
          <cell r="B1381">
            <v>106.943962</v>
          </cell>
        </row>
        <row r="1382">
          <cell r="A1382">
            <v>43662</v>
          </cell>
          <cell r="B1382">
            <v>106.73931899999999</v>
          </cell>
        </row>
        <row r="1383">
          <cell r="A1383">
            <v>43663</v>
          </cell>
          <cell r="B1383">
            <v>106.59050000000001</v>
          </cell>
        </row>
        <row r="1384">
          <cell r="A1384">
            <v>43664</v>
          </cell>
          <cell r="B1384">
            <v>106.70212600000001</v>
          </cell>
        </row>
        <row r="1385">
          <cell r="A1385">
            <v>43665</v>
          </cell>
          <cell r="B1385">
            <v>105.93943</v>
          </cell>
        </row>
        <row r="1386">
          <cell r="A1386">
            <v>43668</v>
          </cell>
          <cell r="B1386">
            <v>104.93491400000001</v>
          </cell>
        </row>
        <row r="1387">
          <cell r="A1387">
            <v>43669</v>
          </cell>
          <cell r="B1387">
            <v>104.255928</v>
          </cell>
        </row>
        <row r="1388">
          <cell r="A1388">
            <v>43670</v>
          </cell>
          <cell r="B1388">
            <v>104.172218</v>
          </cell>
        </row>
        <row r="1389">
          <cell r="A1389">
            <v>43671</v>
          </cell>
          <cell r="B1389">
            <v>104.376846</v>
          </cell>
        </row>
        <row r="1390">
          <cell r="A1390">
            <v>43672</v>
          </cell>
          <cell r="B1390">
            <v>105.120926</v>
          </cell>
        </row>
        <row r="1391">
          <cell r="A1391">
            <v>43675</v>
          </cell>
          <cell r="B1391">
            <v>104.42334700000001</v>
          </cell>
        </row>
        <row r="1392">
          <cell r="A1392">
            <v>43676</v>
          </cell>
          <cell r="B1392">
            <v>104.228027</v>
          </cell>
        </row>
        <row r="1393">
          <cell r="A1393">
            <v>43677</v>
          </cell>
          <cell r="B1393">
            <v>102.665451</v>
          </cell>
        </row>
        <row r="1394">
          <cell r="A1394">
            <v>43678</v>
          </cell>
          <cell r="B1394">
            <v>101.73532899999999</v>
          </cell>
        </row>
        <row r="1395">
          <cell r="A1395">
            <v>43679</v>
          </cell>
          <cell r="B1395">
            <v>101.753944</v>
          </cell>
        </row>
        <row r="1396">
          <cell r="A1396">
            <v>43682</v>
          </cell>
          <cell r="B1396">
            <v>98.424155999999996</v>
          </cell>
        </row>
        <row r="1397">
          <cell r="A1397">
            <v>43683</v>
          </cell>
          <cell r="B1397">
            <v>99.772819999999996</v>
          </cell>
        </row>
        <row r="1398">
          <cell r="A1398">
            <v>43684</v>
          </cell>
          <cell r="B1398">
            <v>100.637817</v>
          </cell>
        </row>
        <row r="1399">
          <cell r="A1399">
            <v>43685</v>
          </cell>
          <cell r="B1399">
            <v>101.43229700000001</v>
          </cell>
        </row>
        <row r="1400">
          <cell r="A1400">
            <v>43686</v>
          </cell>
          <cell r="B1400">
            <v>100.27327699999999</v>
          </cell>
        </row>
        <row r="1401">
          <cell r="A1401">
            <v>43689</v>
          </cell>
          <cell r="B1401">
            <v>98.347808999999998</v>
          </cell>
        </row>
        <row r="1402">
          <cell r="A1402">
            <v>43690</v>
          </cell>
          <cell r="B1402">
            <v>100.394783</v>
          </cell>
        </row>
        <row r="1403">
          <cell r="A1403">
            <v>43691</v>
          </cell>
          <cell r="B1403">
            <v>99.263817000000003</v>
          </cell>
        </row>
        <row r="1404">
          <cell r="A1404">
            <v>43692</v>
          </cell>
          <cell r="B1404">
            <v>105.32994100000001</v>
          </cell>
        </row>
        <row r="1405">
          <cell r="A1405">
            <v>43693</v>
          </cell>
          <cell r="B1405">
            <v>105.61032899999999</v>
          </cell>
        </row>
        <row r="1406">
          <cell r="A1406">
            <v>43696</v>
          </cell>
          <cell r="B1406">
            <v>106.37679300000001</v>
          </cell>
        </row>
        <row r="1407">
          <cell r="A1407">
            <v>43697</v>
          </cell>
          <cell r="B1407">
            <v>104.73175000000001</v>
          </cell>
        </row>
        <row r="1408">
          <cell r="A1408">
            <v>43698</v>
          </cell>
          <cell r="B1408">
            <v>104.70368999999999</v>
          </cell>
        </row>
        <row r="1409">
          <cell r="A1409">
            <v>43699</v>
          </cell>
          <cell r="B1409">
            <v>104.60086800000001</v>
          </cell>
        </row>
        <row r="1410">
          <cell r="A1410">
            <v>43700</v>
          </cell>
          <cell r="B1410">
            <v>103.591431</v>
          </cell>
        </row>
        <row r="1411">
          <cell r="A1411">
            <v>43703</v>
          </cell>
          <cell r="B1411">
            <v>104.675652</v>
          </cell>
        </row>
        <row r="1412">
          <cell r="A1412">
            <v>43704</v>
          </cell>
          <cell r="B1412">
            <v>105.07757599999999</v>
          </cell>
        </row>
        <row r="1413">
          <cell r="A1413">
            <v>43705</v>
          </cell>
          <cell r="B1413">
            <v>105.357979</v>
          </cell>
        </row>
        <row r="1414">
          <cell r="A1414">
            <v>43706</v>
          </cell>
          <cell r="B1414">
            <v>106.629158</v>
          </cell>
        </row>
        <row r="1415">
          <cell r="A1415">
            <v>43707</v>
          </cell>
          <cell r="B1415">
            <v>106.797409</v>
          </cell>
        </row>
        <row r="1416">
          <cell r="A1416">
            <v>43711</v>
          </cell>
          <cell r="B1416">
            <v>107.15258</v>
          </cell>
        </row>
        <row r="1417">
          <cell r="A1417">
            <v>43712</v>
          </cell>
          <cell r="B1417">
            <v>108.33963799999999</v>
          </cell>
        </row>
        <row r="1418">
          <cell r="A1418">
            <v>43713</v>
          </cell>
          <cell r="B1418">
            <v>107.900322</v>
          </cell>
        </row>
        <row r="1419">
          <cell r="A1419">
            <v>43714</v>
          </cell>
          <cell r="B1419">
            <v>107.23670199999999</v>
          </cell>
        </row>
        <row r="1420">
          <cell r="A1420">
            <v>43717</v>
          </cell>
          <cell r="B1420">
            <v>108.73221599999999</v>
          </cell>
        </row>
        <row r="1421">
          <cell r="A1421">
            <v>43718</v>
          </cell>
          <cell r="B1421">
            <v>108.47049</v>
          </cell>
        </row>
        <row r="1422">
          <cell r="A1422">
            <v>43719</v>
          </cell>
          <cell r="B1422">
            <v>108.44244399999999</v>
          </cell>
        </row>
        <row r="1423">
          <cell r="A1423">
            <v>43720</v>
          </cell>
          <cell r="B1423">
            <v>109.283661</v>
          </cell>
        </row>
        <row r="1424">
          <cell r="A1424">
            <v>43721</v>
          </cell>
          <cell r="B1424">
            <v>109.76035299999999</v>
          </cell>
        </row>
        <row r="1425">
          <cell r="A1425">
            <v>43724</v>
          </cell>
          <cell r="B1425">
            <v>108.021828</v>
          </cell>
        </row>
        <row r="1426">
          <cell r="A1426">
            <v>43725</v>
          </cell>
          <cell r="B1426">
            <v>108.900429</v>
          </cell>
        </row>
        <row r="1427">
          <cell r="A1427">
            <v>43726</v>
          </cell>
          <cell r="B1427">
            <v>109.507988</v>
          </cell>
        </row>
        <row r="1428">
          <cell r="A1428">
            <v>43727</v>
          </cell>
          <cell r="B1428">
            <v>109.461258</v>
          </cell>
        </row>
        <row r="1429">
          <cell r="A1429">
            <v>43728</v>
          </cell>
          <cell r="B1429">
            <v>109.339737</v>
          </cell>
        </row>
        <row r="1430">
          <cell r="A1430">
            <v>43731</v>
          </cell>
          <cell r="B1430">
            <v>109.93795</v>
          </cell>
        </row>
        <row r="1431">
          <cell r="A1431">
            <v>43732</v>
          </cell>
          <cell r="B1431">
            <v>110.667023</v>
          </cell>
        </row>
        <row r="1432">
          <cell r="A1432">
            <v>43733</v>
          </cell>
          <cell r="B1432">
            <v>110.732437</v>
          </cell>
        </row>
        <row r="1433">
          <cell r="A1433">
            <v>43734</v>
          </cell>
          <cell r="B1433">
            <v>110.573517</v>
          </cell>
        </row>
        <row r="1434">
          <cell r="A1434">
            <v>43735</v>
          </cell>
          <cell r="B1434">
            <v>110.713753</v>
          </cell>
        </row>
        <row r="1435">
          <cell r="A1435">
            <v>43738</v>
          </cell>
          <cell r="B1435">
            <v>110.928703</v>
          </cell>
        </row>
        <row r="1436">
          <cell r="A1436">
            <v>43739</v>
          </cell>
          <cell r="B1436">
            <v>110.152931</v>
          </cell>
        </row>
        <row r="1437">
          <cell r="A1437">
            <v>43740</v>
          </cell>
          <cell r="B1437">
            <v>108.535912</v>
          </cell>
        </row>
        <row r="1438">
          <cell r="A1438">
            <v>43741</v>
          </cell>
          <cell r="B1438">
            <v>108.713509</v>
          </cell>
        </row>
        <row r="1439">
          <cell r="A1439">
            <v>43742</v>
          </cell>
          <cell r="B1439">
            <v>110.44268</v>
          </cell>
        </row>
        <row r="1440">
          <cell r="A1440">
            <v>43745</v>
          </cell>
          <cell r="B1440">
            <v>109.573418</v>
          </cell>
        </row>
        <row r="1441">
          <cell r="A1441">
            <v>43746</v>
          </cell>
          <cell r="B1441">
            <v>109.900558</v>
          </cell>
        </row>
        <row r="1442">
          <cell r="A1442">
            <v>43747</v>
          </cell>
          <cell r="B1442">
            <v>111.162384</v>
          </cell>
        </row>
        <row r="1443">
          <cell r="A1443">
            <v>43748</v>
          </cell>
          <cell r="B1443">
            <v>111.79795799999999</v>
          </cell>
        </row>
        <row r="1444">
          <cell r="A1444">
            <v>43749</v>
          </cell>
          <cell r="B1444">
            <v>112.386833</v>
          </cell>
        </row>
        <row r="1445">
          <cell r="A1445">
            <v>43752</v>
          </cell>
          <cell r="B1445">
            <v>111.386719</v>
          </cell>
        </row>
        <row r="1446">
          <cell r="A1446">
            <v>43753</v>
          </cell>
          <cell r="B1446">
            <v>111.72318300000001</v>
          </cell>
        </row>
        <row r="1447">
          <cell r="A1447">
            <v>43754</v>
          </cell>
          <cell r="B1447">
            <v>111.62039900000001</v>
          </cell>
        </row>
        <row r="1448">
          <cell r="A1448">
            <v>43755</v>
          </cell>
          <cell r="B1448">
            <v>112.012947</v>
          </cell>
        </row>
        <row r="1449">
          <cell r="A1449">
            <v>43756</v>
          </cell>
          <cell r="B1449">
            <v>111.35865</v>
          </cell>
        </row>
        <row r="1450">
          <cell r="A1450">
            <v>43759</v>
          </cell>
          <cell r="B1450">
            <v>111.919456</v>
          </cell>
        </row>
        <row r="1451">
          <cell r="A1451">
            <v>43760</v>
          </cell>
          <cell r="B1451">
            <v>111.769943</v>
          </cell>
        </row>
        <row r="1452">
          <cell r="A1452">
            <v>43761</v>
          </cell>
          <cell r="B1452">
            <v>111.554962</v>
          </cell>
        </row>
        <row r="1453">
          <cell r="A1453">
            <v>43762</v>
          </cell>
          <cell r="B1453">
            <v>111.321281</v>
          </cell>
        </row>
        <row r="1454">
          <cell r="A1454">
            <v>43763</v>
          </cell>
          <cell r="B1454">
            <v>111.265198</v>
          </cell>
        </row>
        <row r="1455">
          <cell r="A1455">
            <v>43766</v>
          </cell>
          <cell r="B1455">
            <v>111.433449</v>
          </cell>
        </row>
        <row r="1456">
          <cell r="A1456">
            <v>43767</v>
          </cell>
          <cell r="B1456">
            <v>109.498642</v>
          </cell>
        </row>
        <row r="1457">
          <cell r="A1457">
            <v>43768</v>
          </cell>
          <cell r="B1457">
            <v>110.38659699999999</v>
          </cell>
        </row>
        <row r="1458">
          <cell r="A1458">
            <v>43769</v>
          </cell>
          <cell r="B1458">
            <v>109.601471</v>
          </cell>
        </row>
        <row r="1459">
          <cell r="A1459">
            <v>43770</v>
          </cell>
          <cell r="B1459">
            <v>109.93795</v>
          </cell>
        </row>
        <row r="1460">
          <cell r="A1460">
            <v>43773</v>
          </cell>
          <cell r="B1460">
            <v>109.891212</v>
          </cell>
        </row>
        <row r="1461">
          <cell r="A1461">
            <v>43774</v>
          </cell>
          <cell r="B1461">
            <v>111.09697</v>
          </cell>
        </row>
        <row r="1462">
          <cell r="A1462">
            <v>43775</v>
          </cell>
          <cell r="B1462">
            <v>111.695168</v>
          </cell>
        </row>
        <row r="1463">
          <cell r="A1463">
            <v>43776</v>
          </cell>
          <cell r="B1463">
            <v>112.377487</v>
          </cell>
        </row>
        <row r="1464">
          <cell r="A1464">
            <v>43777</v>
          </cell>
          <cell r="B1464">
            <v>111.639061</v>
          </cell>
        </row>
        <row r="1465">
          <cell r="A1465">
            <v>43780</v>
          </cell>
          <cell r="B1465">
            <v>111.265198</v>
          </cell>
        </row>
        <row r="1466">
          <cell r="A1466">
            <v>43781</v>
          </cell>
          <cell r="B1466">
            <v>111.33998099999999</v>
          </cell>
        </row>
        <row r="1467">
          <cell r="A1467">
            <v>43782</v>
          </cell>
          <cell r="B1467">
            <v>113.078491</v>
          </cell>
        </row>
        <row r="1468">
          <cell r="A1468">
            <v>43783</v>
          </cell>
          <cell r="B1468">
            <v>112.77005</v>
          </cell>
        </row>
        <row r="1469">
          <cell r="A1469">
            <v>43784</v>
          </cell>
          <cell r="B1469">
            <v>111.106308</v>
          </cell>
        </row>
        <row r="1470">
          <cell r="A1470">
            <v>43787</v>
          </cell>
          <cell r="B1470">
            <v>112.396179</v>
          </cell>
        </row>
        <row r="1471">
          <cell r="A1471">
            <v>43788</v>
          </cell>
          <cell r="B1471">
            <v>112.059685</v>
          </cell>
        </row>
        <row r="1472">
          <cell r="A1472">
            <v>43789</v>
          </cell>
          <cell r="B1472">
            <v>111.349335</v>
          </cell>
        </row>
        <row r="1473">
          <cell r="A1473">
            <v>43790</v>
          </cell>
          <cell r="B1473">
            <v>112.031639</v>
          </cell>
        </row>
        <row r="1474">
          <cell r="A1474">
            <v>43791</v>
          </cell>
          <cell r="B1474">
            <v>111.564308</v>
          </cell>
        </row>
        <row r="1475">
          <cell r="A1475">
            <v>43794</v>
          </cell>
          <cell r="B1475">
            <v>111.153038</v>
          </cell>
        </row>
        <row r="1476">
          <cell r="A1476">
            <v>43795</v>
          </cell>
          <cell r="B1476">
            <v>111.405411</v>
          </cell>
        </row>
        <row r="1477">
          <cell r="A1477">
            <v>43796</v>
          </cell>
          <cell r="B1477">
            <v>111.003479</v>
          </cell>
        </row>
        <row r="1478">
          <cell r="A1478">
            <v>43798</v>
          </cell>
          <cell r="B1478">
            <v>111.311943</v>
          </cell>
        </row>
        <row r="1479">
          <cell r="A1479">
            <v>43801</v>
          </cell>
          <cell r="B1479">
            <v>111.489525</v>
          </cell>
        </row>
        <row r="1480">
          <cell r="A1480">
            <v>43802</v>
          </cell>
          <cell r="B1480">
            <v>110.919365</v>
          </cell>
        </row>
        <row r="1481">
          <cell r="A1481">
            <v>43803</v>
          </cell>
          <cell r="B1481">
            <v>110.93807200000001</v>
          </cell>
        </row>
        <row r="1482">
          <cell r="A1482">
            <v>43804</v>
          </cell>
          <cell r="B1482">
            <v>111.407494</v>
          </cell>
        </row>
        <row r="1483">
          <cell r="A1483">
            <v>43805</v>
          </cell>
          <cell r="B1483">
            <v>112.45903800000001</v>
          </cell>
        </row>
        <row r="1484">
          <cell r="A1484">
            <v>43808</v>
          </cell>
          <cell r="B1484">
            <v>112.06471999999999</v>
          </cell>
        </row>
        <row r="1485">
          <cell r="A1485">
            <v>43809</v>
          </cell>
          <cell r="B1485">
            <v>111.858147</v>
          </cell>
        </row>
        <row r="1486">
          <cell r="A1486">
            <v>43810</v>
          </cell>
          <cell r="B1486">
            <v>111.726715</v>
          </cell>
        </row>
        <row r="1487">
          <cell r="A1487">
            <v>43811</v>
          </cell>
          <cell r="B1487">
            <v>112.440269</v>
          </cell>
        </row>
        <row r="1488">
          <cell r="A1488">
            <v>43812</v>
          </cell>
          <cell r="B1488">
            <v>112.93787399999999</v>
          </cell>
        </row>
        <row r="1489">
          <cell r="A1489">
            <v>43815</v>
          </cell>
          <cell r="B1489">
            <v>113.172607</v>
          </cell>
        </row>
        <row r="1490">
          <cell r="A1490">
            <v>43816</v>
          </cell>
          <cell r="B1490">
            <v>113.867355</v>
          </cell>
        </row>
        <row r="1491">
          <cell r="A1491">
            <v>43817</v>
          </cell>
          <cell r="B1491">
            <v>112.534149</v>
          </cell>
        </row>
        <row r="1492">
          <cell r="A1492">
            <v>43818</v>
          </cell>
          <cell r="B1492">
            <v>112.740723</v>
          </cell>
        </row>
        <row r="1493">
          <cell r="A1493">
            <v>43819</v>
          </cell>
          <cell r="B1493">
            <v>112.93787399999999</v>
          </cell>
        </row>
        <row r="1494">
          <cell r="A1494">
            <v>43822</v>
          </cell>
          <cell r="B1494">
            <v>111.75489</v>
          </cell>
        </row>
        <row r="1495">
          <cell r="A1495">
            <v>43823</v>
          </cell>
          <cell r="B1495">
            <v>112.205544</v>
          </cell>
        </row>
        <row r="1496">
          <cell r="A1496">
            <v>43825</v>
          </cell>
          <cell r="B1496">
            <v>112.214928</v>
          </cell>
        </row>
        <row r="1497">
          <cell r="A1497">
            <v>43826</v>
          </cell>
          <cell r="B1497">
            <v>112.280663</v>
          </cell>
        </row>
        <row r="1498">
          <cell r="A1498">
            <v>43829</v>
          </cell>
          <cell r="B1498">
            <v>112.102272</v>
          </cell>
        </row>
        <row r="1499">
          <cell r="A1499">
            <v>43830</v>
          </cell>
          <cell r="B1499">
            <v>111.576508</v>
          </cell>
        </row>
        <row r="1500">
          <cell r="A1500">
            <v>43832</v>
          </cell>
          <cell r="B1500">
            <v>111.670372</v>
          </cell>
        </row>
        <row r="1501">
          <cell r="A1501">
            <v>43833</v>
          </cell>
          <cell r="B1501">
            <v>110.68456999999999</v>
          </cell>
        </row>
        <row r="1502">
          <cell r="A1502">
            <v>43836</v>
          </cell>
          <cell r="B1502">
            <v>110.459236</v>
          </cell>
        </row>
        <row r="1503">
          <cell r="A1503">
            <v>43837</v>
          </cell>
          <cell r="B1503">
            <v>109.43583700000001</v>
          </cell>
        </row>
        <row r="1504">
          <cell r="A1504">
            <v>43838</v>
          </cell>
          <cell r="B1504">
            <v>109.060303</v>
          </cell>
        </row>
        <row r="1505">
          <cell r="A1505">
            <v>43839</v>
          </cell>
          <cell r="B1505">
            <v>110.186966</v>
          </cell>
        </row>
        <row r="1506">
          <cell r="A1506">
            <v>43840</v>
          </cell>
          <cell r="B1506">
            <v>109.266869</v>
          </cell>
        </row>
        <row r="1507">
          <cell r="A1507">
            <v>43843</v>
          </cell>
          <cell r="B1507">
            <v>108.79742400000001</v>
          </cell>
        </row>
        <row r="1508">
          <cell r="A1508">
            <v>43844</v>
          </cell>
          <cell r="B1508">
            <v>109.07907899999999</v>
          </cell>
        </row>
        <row r="1509">
          <cell r="A1509">
            <v>43845</v>
          </cell>
          <cell r="B1509">
            <v>108.234077</v>
          </cell>
        </row>
        <row r="1510">
          <cell r="A1510">
            <v>43846</v>
          </cell>
          <cell r="B1510">
            <v>108.816185</v>
          </cell>
        </row>
        <row r="1511">
          <cell r="A1511">
            <v>43847</v>
          </cell>
          <cell r="B1511">
            <v>107.933655</v>
          </cell>
        </row>
        <row r="1512">
          <cell r="A1512">
            <v>43851</v>
          </cell>
          <cell r="B1512">
            <v>108.52514600000001</v>
          </cell>
        </row>
        <row r="1513">
          <cell r="A1513">
            <v>43852</v>
          </cell>
          <cell r="B1513">
            <v>109.003967</v>
          </cell>
        </row>
        <row r="1514">
          <cell r="A1514">
            <v>43853</v>
          </cell>
          <cell r="B1514">
            <v>108.731689</v>
          </cell>
        </row>
        <row r="1515">
          <cell r="A1515">
            <v>43854</v>
          </cell>
          <cell r="B1515">
            <v>107.379715</v>
          </cell>
        </row>
        <row r="1516">
          <cell r="A1516">
            <v>43857</v>
          </cell>
          <cell r="B1516">
            <v>108.77864099999999</v>
          </cell>
        </row>
        <row r="1517">
          <cell r="A1517">
            <v>43858</v>
          </cell>
          <cell r="B1517">
            <v>109.47341900000001</v>
          </cell>
        </row>
        <row r="1518">
          <cell r="A1518">
            <v>43859</v>
          </cell>
          <cell r="B1518">
            <v>108.806816</v>
          </cell>
        </row>
        <row r="1519">
          <cell r="A1519">
            <v>43860</v>
          </cell>
          <cell r="B1519">
            <v>109.45462000000001</v>
          </cell>
        </row>
        <row r="1520">
          <cell r="A1520">
            <v>43861</v>
          </cell>
          <cell r="B1520">
            <v>107.492355</v>
          </cell>
        </row>
        <row r="1521">
          <cell r="A1521">
            <v>43864</v>
          </cell>
          <cell r="B1521">
            <v>107.28582</v>
          </cell>
        </row>
        <row r="1522">
          <cell r="A1522">
            <v>43865</v>
          </cell>
          <cell r="B1522">
            <v>108.224693</v>
          </cell>
        </row>
        <row r="1523">
          <cell r="A1523">
            <v>43866</v>
          </cell>
          <cell r="B1523">
            <v>109.67057800000001</v>
          </cell>
        </row>
        <row r="1524">
          <cell r="A1524">
            <v>43867</v>
          </cell>
          <cell r="B1524">
            <v>109.201134</v>
          </cell>
        </row>
        <row r="1525">
          <cell r="A1525">
            <v>43868</v>
          </cell>
          <cell r="B1525">
            <v>109.33255800000001</v>
          </cell>
        </row>
        <row r="1526">
          <cell r="A1526">
            <v>43871</v>
          </cell>
          <cell r="B1526">
            <v>108.205917</v>
          </cell>
        </row>
        <row r="1527">
          <cell r="A1527">
            <v>43872</v>
          </cell>
          <cell r="B1527">
            <v>108.346756</v>
          </cell>
        </row>
        <row r="1528">
          <cell r="A1528">
            <v>43873</v>
          </cell>
          <cell r="B1528">
            <v>108.769249</v>
          </cell>
        </row>
        <row r="1529">
          <cell r="A1529">
            <v>43874</v>
          </cell>
          <cell r="B1529">
            <v>110.26207700000001</v>
          </cell>
        </row>
        <row r="1530">
          <cell r="A1530">
            <v>43875</v>
          </cell>
          <cell r="B1530">
            <v>110.68456999999999</v>
          </cell>
        </row>
        <row r="1531">
          <cell r="A1531">
            <v>43879</v>
          </cell>
          <cell r="B1531">
            <v>112.318214</v>
          </cell>
        </row>
        <row r="1532">
          <cell r="A1532">
            <v>43880</v>
          </cell>
          <cell r="B1532">
            <v>110.48741099999999</v>
          </cell>
        </row>
        <row r="1533">
          <cell r="A1533">
            <v>43881</v>
          </cell>
          <cell r="B1533">
            <v>110.496788</v>
          </cell>
        </row>
        <row r="1534">
          <cell r="A1534">
            <v>43882</v>
          </cell>
          <cell r="B1534">
            <v>111.332397</v>
          </cell>
        </row>
        <row r="1535">
          <cell r="A1535">
            <v>43885</v>
          </cell>
          <cell r="B1535">
            <v>109.21051</v>
          </cell>
        </row>
        <row r="1536">
          <cell r="A1536">
            <v>43886</v>
          </cell>
          <cell r="B1536">
            <v>107.398483</v>
          </cell>
        </row>
        <row r="1537">
          <cell r="A1537">
            <v>43887</v>
          </cell>
          <cell r="B1537">
            <v>106.82576</v>
          </cell>
        </row>
        <row r="1538">
          <cell r="A1538">
            <v>43888</v>
          </cell>
          <cell r="B1538">
            <v>103.652351</v>
          </cell>
        </row>
        <row r="1539">
          <cell r="A1539">
            <v>43889</v>
          </cell>
          <cell r="B1539">
            <v>101.098595</v>
          </cell>
        </row>
        <row r="1540">
          <cell r="A1540">
            <v>43892</v>
          </cell>
          <cell r="B1540">
            <v>108.79742400000001</v>
          </cell>
        </row>
        <row r="1541">
          <cell r="A1541">
            <v>43893</v>
          </cell>
          <cell r="B1541">
            <v>106.008942</v>
          </cell>
        </row>
        <row r="1542">
          <cell r="A1542">
            <v>43894</v>
          </cell>
          <cell r="B1542">
            <v>109.633026</v>
          </cell>
        </row>
        <row r="1543">
          <cell r="A1543">
            <v>43895</v>
          </cell>
          <cell r="B1543">
            <v>108.834976</v>
          </cell>
        </row>
        <row r="1544">
          <cell r="A1544">
            <v>43896</v>
          </cell>
          <cell r="B1544">
            <v>110.064903</v>
          </cell>
        </row>
        <row r="1545">
          <cell r="A1545">
            <v>43899</v>
          </cell>
          <cell r="B1545">
            <v>109.99917600000001</v>
          </cell>
        </row>
        <row r="1546">
          <cell r="A1546">
            <v>43900</v>
          </cell>
          <cell r="B1546">
            <v>112.46843</v>
          </cell>
        </row>
        <row r="1547">
          <cell r="A1547">
            <v>43901</v>
          </cell>
          <cell r="B1547">
            <v>107.436035</v>
          </cell>
        </row>
        <row r="1548">
          <cell r="A1548">
            <v>43902</v>
          </cell>
          <cell r="B1548">
            <v>97.690460000000002</v>
          </cell>
        </row>
        <row r="1549">
          <cell r="A1549">
            <v>43903</v>
          </cell>
          <cell r="B1549">
            <v>107.126205</v>
          </cell>
        </row>
        <row r="1550">
          <cell r="A1550">
            <v>43906</v>
          </cell>
          <cell r="B1550">
            <v>100.23483299999999</v>
          </cell>
        </row>
        <row r="1551">
          <cell r="A1551">
            <v>43907</v>
          </cell>
          <cell r="B1551">
            <v>111.970833</v>
          </cell>
        </row>
        <row r="1552">
          <cell r="A1552">
            <v>43908</v>
          </cell>
          <cell r="B1552">
            <v>115.087914</v>
          </cell>
        </row>
        <row r="1553">
          <cell r="A1553">
            <v>43909</v>
          </cell>
          <cell r="B1553">
            <v>112.645454</v>
          </cell>
        </row>
        <row r="1554">
          <cell r="A1554">
            <v>43910</v>
          </cell>
          <cell r="B1554">
            <v>107.47762299999999</v>
          </cell>
        </row>
        <row r="1555">
          <cell r="A1555">
            <v>43913</v>
          </cell>
          <cell r="B1555">
            <v>107.769958</v>
          </cell>
        </row>
        <row r="1556">
          <cell r="A1556">
            <v>43914</v>
          </cell>
          <cell r="B1556">
            <v>108.477234</v>
          </cell>
        </row>
        <row r="1557">
          <cell r="A1557">
            <v>43915</v>
          </cell>
          <cell r="B1557">
            <v>103.16796100000001</v>
          </cell>
        </row>
        <row r="1558">
          <cell r="A1558">
            <v>43916</v>
          </cell>
          <cell r="B1558">
            <v>103.564026</v>
          </cell>
        </row>
        <row r="1559">
          <cell r="A1559">
            <v>43917</v>
          </cell>
          <cell r="B1559">
            <v>103.33770800000001</v>
          </cell>
        </row>
        <row r="1560">
          <cell r="A1560">
            <v>43920</v>
          </cell>
          <cell r="B1560">
            <v>108.62812</v>
          </cell>
        </row>
        <row r="1561">
          <cell r="A1561">
            <v>43921</v>
          </cell>
          <cell r="B1561">
            <v>107.147552</v>
          </cell>
        </row>
        <row r="1562">
          <cell r="A1562">
            <v>43922</v>
          </cell>
          <cell r="B1562">
            <v>107.637939</v>
          </cell>
        </row>
        <row r="1563">
          <cell r="A1563">
            <v>43923</v>
          </cell>
          <cell r="B1563">
            <v>111.891014</v>
          </cell>
        </row>
        <row r="1564">
          <cell r="A1564">
            <v>43924</v>
          </cell>
          <cell r="B1564">
            <v>112.673737</v>
          </cell>
        </row>
        <row r="1565">
          <cell r="A1565">
            <v>43927</v>
          </cell>
          <cell r="B1565">
            <v>118.888351</v>
          </cell>
        </row>
        <row r="1566">
          <cell r="A1566">
            <v>43928</v>
          </cell>
          <cell r="B1566">
            <v>115.040764</v>
          </cell>
        </row>
        <row r="1567">
          <cell r="A1567">
            <v>43929</v>
          </cell>
          <cell r="B1567">
            <v>114.899292</v>
          </cell>
        </row>
        <row r="1568">
          <cell r="A1568">
            <v>43930</v>
          </cell>
          <cell r="B1568">
            <v>114.861565</v>
          </cell>
        </row>
        <row r="1569">
          <cell r="A1569">
            <v>43934</v>
          </cell>
          <cell r="B1569">
            <v>118.162209</v>
          </cell>
        </row>
        <row r="1570">
          <cell r="A1570">
            <v>43935</v>
          </cell>
          <cell r="B1570">
            <v>121.65141300000001</v>
          </cell>
        </row>
        <row r="1571">
          <cell r="A1571">
            <v>43936</v>
          </cell>
          <cell r="B1571">
            <v>121.425102</v>
          </cell>
        </row>
        <row r="1572">
          <cell r="A1572">
            <v>43937</v>
          </cell>
          <cell r="B1572">
            <v>124.791718</v>
          </cell>
        </row>
        <row r="1573">
          <cell r="A1573">
            <v>43938</v>
          </cell>
          <cell r="B1573">
            <v>124.59369700000001</v>
          </cell>
        </row>
        <row r="1574">
          <cell r="A1574">
            <v>43941</v>
          </cell>
          <cell r="B1574">
            <v>122.453011</v>
          </cell>
        </row>
        <row r="1575">
          <cell r="A1575">
            <v>43942</v>
          </cell>
          <cell r="B1575">
            <v>121.849457</v>
          </cell>
        </row>
        <row r="1576">
          <cell r="A1576">
            <v>43943</v>
          </cell>
          <cell r="B1576">
            <v>124.093872</v>
          </cell>
        </row>
        <row r="1577">
          <cell r="A1577">
            <v>43944</v>
          </cell>
          <cell r="B1577">
            <v>121.208214</v>
          </cell>
        </row>
        <row r="1578">
          <cell r="A1578">
            <v>43945</v>
          </cell>
          <cell r="B1578">
            <v>122.066368</v>
          </cell>
        </row>
        <row r="1579">
          <cell r="A1579">
            <v>43948</v>
          </cell>
          <cell r="B1579">
            <v>120.991302</v>
          </cell>
        </row>
        <row r="1580">
          <cell r="A1580">
            <v>43949</v>
          </cell>
          <cell r="B1580">
            <v>120.70837400000001</v>
          </cell>
        </row>
        <row r="1581">
          <cell r="A1581">
            <v>43950</v>
          </cell>
          <cell r="B1581">
            <v>116.559029</v>
          </cell>
        </row>
        <row r="1582">
          <cell r="A1582">
            <v>43951</v>
          </cell>
          <cell r="B1582">
            <v>114.625816</v>
          </cell>
        </row>
        <row r="1583">
          <cell r="A1583">
            <v>43952</v>
          </cell>
          <cell r="B1583">
            <v>115.917793</v>
          </cell>
        </row>
        <row r="1584">
          <cell r="A1584">
            <v>43955</v>
          </cell>
          <cell r="B1584">
            <v>116.653336</v>
          </cell>
        </row>
        <row r="1585">
          <cell r="A1585">
            <v>43956</v>
          </cell>
          <cell r="B1585">
            <v>117.62468</v>
          </cell>
        </row>
        <row r="1586">
          <cell r="A1586">
            <v>43957</v>
          </cell>
          <cell r="B1586">
            <v>116.276115</v>
          </cell>
        </row>
        <row r="1587">
          <cell r="A1587">
            <v>43958</v>
          </cell>
          <cell r="B1587">
            <v>115.45208</v>
          </cell>
        </row>
        <row r="1588">
          <cell r="A1588">
            <v>43959</v>
          </cell>
          <cell r="B1588">
            <v>116.446625</v>
          </cell>
        </row>
        <row r="1589">
          <cell r="A1589">
            <v>43962</v>
          </cell>
          <cell r="B1589">
            <v>117.13806200000001</v>
          </cell>
        </row>
        <row r="1590">
          <cell r="A1590">
            <v>43963</v>
          </cell>
          <cell r="B1590">
            <v>117.242271</v>
          </cell>
        </row>
        <row r="1591">
          <cell r="A1591">
            <v>43964</v>
          </cell>
          <cell r="B1591">
            <v>117.175949</v>
          </cell>
        </row>
        <row r="1592">
          <cell r="A1592">
            <v>43965</v>
          </cell>
          <cell r="B1592">
            <v>116.901276</v>
          </cell>
        </row>
        <row r="1593">
          <cell r="A1593">
            <v>43966</v>
          </cell>
          <cell r="B1593">
            <v>119.288177</v>
          </cell>
        </row>
        <row r="1594">
          <cell r="A1594">
            <v>43969</v>
          </cell>
          <cell r="B1594">
            <v>120.91733600000001</v>
          </cell>
        </row>
        <row r="1595">
          <cell r="A1595">
            <v>43970</v>
          </cell>
          <cell r="B1595">
            <v>118.350464</v>
          </cell>
        </row>
        <row r="1596">
          <cell r="A1596">
            <v>43971</v>
          </cell>
          <cell r="B1596">
            <v>118.82403600000001</v>
          </cell>
        </row>
        <row r="1597">
          <cell r="A1597">
            <v>43972</v>
          </cell>
          <cell r="B1597">
            <v>118.388351</v>
          </cell>
        </row>
        <row r="1598">
          <cell r="A1598">
            <v>43973</v>
          </cell>
          <cell r="B1598">
            <v>117.763199</v>
          </cell>
        </row>
        <row r="1599">
          <cell r="A1599">
            <v>43977</v>
          </cell>
          <cell r="B1599">
            <v>117.318031</v>
          </cell>
        </row>
        <row r="1600">
          <cell r="A1600">
            <v>43978</v>
          </cell>
          <cell r="B1600">
            <v>116.01091</v>
          </cell>
        </row>
        <row r="1601">
          <cell r="A1601">
            <v>43979</v>
          </cell>
          <cell r="B1601">
            <v>117.15701300000001</v>
          </cell>
        </row>
        <row r="1602">
          <cell r="A1602">
            <v>43980</v>
          </cell>
          <cell r="B1602">
            <v>117.507462</v>
          </cell>
        </row>
        <row r="1603">
          <cell r="A1603">
            <v>43983</v>
          </cell>
          <cell r="B1603">
            <v>117.41274300000001</v>
          </cell>
        </row>
        <row r="1604">
          <cell r="A1604">
            <v>43984</v>
          </cell>
          <cell r="B1604">
            <v>117.393822</v>
          </cell>
        </row>
        <row r="1605">
          <cell r="A1605">
            <v>43985</v>
          </cell>
          <cell r="B1605">
            <v>116.948624</v>
          </cell>
        </row>
        <row r="1606">
          <cell r="A1606">
            <v>43986</v>
          </cell>
          <cell r="B1606">
            <v>115.66046900000001</v>
          </cell>
        </row>
        <row r="1607">
          <cell r="A1607">
            <v>43987</v>
          </cell>
          <cell r="B1607">
            <v>115.139503</v>
          </cell>
        </row>
        <row r="1608">
          <cell r="A1608">
            <v>43990</v>
          </cell>
          <cell r="B1608">
            <v>114.836395</v>
          </cell>
        </row>
        <row r="1609">
          <cell r="A1609">
            <v>43991</v>
          </cell>
          <cell r="B1609">
            <v>114.94059799999999</v>
          </cell>
        </row>
        <row r="1610">
          <cell r="A1610">
            <v>43992</v>
          </cell>
          <cell r="B1610">
            <v>114.760651</v>
          </cell>
        </row>
        <row r="1611">
          <cell r="A1611">
            <v>43993</v>
          </cell>
          <cell r="B1611">
            <v>113.747147</v>
          </cell>
        </row>
        <row r="1612">
          <cell r="A1612">
            <v>43994</v>
          </cell>
          <cell r="B1612">
            <v>111.521286</v>
          </cell>
        </row>
        <row r="1613">
          <cell r="A1613">
            <v>43997</v>
          </cell>
          <cell r="B1613">
            <v>111.843338</v>
          </cell>
        </row>
        <row r="1614">
          <cell r="A1614">
            <v>43998</v>
          </cell>
          <cell r="B1614">
            <v>113.330406</v>
          </cell>
        </row>
        <row r="1615">
          <cell r="A1615">
            <v>43999</v>
          </cell>
          <cell r="B1615">
            <v>112.743134</v>
          </cell>
        </row>
        <row r="1616">
          <cell r="A1616">
            <v>44000</v>
          </cell>
          <cell r="B1616">
            <v>111.758072</v>
          </cell>
        </row>
        <row r="1617">
          <cell r="A1617">
            <v>44001</v>
          </cell>
          <cell r="B1617">
            <v>113.519836</v>
          </cell>
        </row>
        <row r="1618">
          <cell r="A1618">
            <v>44004</v>
          </cell>
          <cell r="B1618">
            <v>115.253181</v>
          </cell>
        </row>
        <row r="1619">
          <cell r="A1619">
            <v>44005</v>
          </cell>
          <cell r="B1619">
            <v>114.67540700000001</v>
          </cell>
        </row>
        <row r="1620">
          <cell r="A1620">
            <v>44006</v>
          </cell>
          <cell r="B1620">
            <v>113.94606</v>
          </cell>
        </row>
        <row r="1621">
          <cell r="A1621">
            <v>44007</v>
          </cell>
          <cell r="B1621">
            <v>113.38723</v>
          </cell>
        </row>
        <row r="1622">
          <cell r="A1622">
            <v>44008</v>
          </cell>
          <cell r="B1622">
            <v>112.07064099999999</v>
          </cell>
        </row>
        <row r="1623">
          <cell r="A1623">
            <v>44011</v>
          </cell>
          <cell r="B1623">
            <v>112.771553</v>
          </cell>
        </row>
        <row r="1624">
          <cell r="A1624">
            <v>44012</v>
          </cell>
          <cell r="B1624">
            <v>113.453529</v>
          </cell>
        </row>
        <row r="1625">
          <cell r="A1625">
            <v>44013</v>
          </cell>
          <cell r="B1625">
            <v>113.368286</v>
          </cell>
        </row>
        <row r="1626">
          <cell r="A1626">
            <v>44014</v>
          </cell>
          <cell r="B1626">
            <v>112.913635</v>
          </cell>
        </row>
        <row r="1627">
          <cell r="A1627">
            <v>44018</v>
          </cell>
          <cell r="B1627">
            <v>112.610542</v>
          </cell>
        </row>
        <row r="1628">
          <cell r="A1628">
            <v>44019</v>
          </cell>
          <cell r="B1628">
            <v>120.244812</v>
          </cell>
        </row>
        <row r="1629">
          <cell r="A1629">
            <v>44020</v>
          </cell>
          <cell r="B1629">
            <v>117.867401</v>
          </cell>
        </row>
        <row r="1630">
          <cell r="A1630">
            <v>44021</v>
          </cell>
          <cell r="B1630">
            <v>121.00256299999999</v>
          </cell>
        </row>
        <row r="1631">
          <cell r="A1631">
            <v>44022</v>
          </cell>
          <cell r="B1631">
            <v>123.77778600000001</v>
          </cell>
        </row>
        <row r="1632">
          <cell r="A1632">
            <v>44025</v>
          </cell>
          <cell r="B1632">
            <v>122.67910000000001</v>
          </cell>
        </row>
        <row r="1633">
          <cell r="A1633">
            <v>44026</v>
          </cell>
          <cell r="B1633">
            <v>125.03755200000001</v>
          </cell>
        </row>
        <row r="1634">
          <cell r="A1634">
            <v>44027</v>
          </cell>
          <cell r="B1634">
            <v>125.028091</v>
          </cell>
        </row>
        <row r="1635">
          <cell r="A1635">
            <v>44028</v>
          </cell>
          <cell r="B1635">
            <v>125.217522</v>
          </cell>
        </row>
        <row r="1636">
          <cell r="A1636">
            <v>44029</v>
          </cell>
          <cell r="B1636">
            <v>124.78183</v>
          </cell>
        </row>
        <row r="1637">
          <cell r="A1637">
            <v>44032</v>
          </cell>
          <cell r="B1637">
            <v>124.526093</v>
          </cell>
        </row>
        <row r="1638">
          <cell r="A1638">
            <v>44033</v>
          </cell>
          <cell r="B1638">
            <v>125.340675</v>
          </cell>
        </row>
        <row r="1639">
          <cell r="A1639">
            <v>44034</v>
          </cell>
          <cell r="B1639">
            <v>125.653267</v>
          </cell>
        </row>
        <row r="1640">
          <cell r="A1640">
            <v>44035</v>
          </cell>
          <cell r="B1640">
            <v>124.68710299999999</v>
          </cell>
        </row>
        <row r="1641">
          <cell r="A1641">
            <v>44036</v>
          </cell>
          <cell r="B1641">
            <v>124.308243</v>
          </cell>
        </row>
        <row r="1642">
          <cell r="A1642">
            <v>44039</v>
          </cell>
          <cell r="B1642">
            <v>124.279816</v>
          </cell>
        </row>
        <row r="1643">
          <cell r="A1643">
            <v>44040</v>
          </cell>
          <cell r="B1643">
            <v>124.800781</v>
          </cell>
        </row>
        <row r="1644">
          <cell r="A1644">
            <v>44041</v>
          </cell>
          <cell r="B1644">
            <v>123.7873</v>
          </cell>
        </row>
        <row r="1645">
          <cell r="A1645">
            <v>44042</v>
          </cell>
          <cell r="B1645">
            <v>123.24739099999999</v>
          </cell>
        </row>
        <row r="1646">
          <cell r="A1646">
            <v>44043</v>
          </cell>
          <cell r="B1646">
            <v>122.56540699999999</v>
          </cell>
        </row>
        <row r="1647">
          <cell r="A1647">
            <v>44046</v>
          </cell>
          <cell r="B1647">
            <v>122.47071800000001</v>
          </cell>
        </row>
        <row r="1648">
          <cell r="A1648">
            <v>44047</v>
          </cell>
          <cell r="B1648">
            <v>124.68710299999999</v>
          </cell>
        </row>
        <row r="1649">
          <cell r="A1649">
            <v>44048</v>
          </cell>
          <cell r="B1649">
            <v>122.953773</v>
          </cell>
        </row>
        <row r="1650">
          <cell r="A1650">
            <v>44049</v>
          </cell>
          <cell r="B1650">
            <v>122.518066</v>
          </cell>
        </row>
        <row r="1651">
          <cell r="A1651">
            <v>44050</v>
          </cell>
          <cell r="B1651">
            <v>123.105316</v>
          </cell>
        </row>
        <row r="1652">
          <cell r="A1652">
            <v>44053</v>
          </cell>
          <cell r="B1652">
            <v>124.914421</v>
          </cell>
        </row>
        <row r="1653">
          <cell r="A1653">
            <v>44054</v>
          </cell>
          <cell r="B1653">
            <v>123.32317399999999</v>
          </cell>
        </row>
        <row r="1654">
          <cell r="A1654">
            <v>44055</v>
          </cell>
          <cell r="B1654">
            <v>124.92392</v>
          </cell>
        </row>
        <row r="1655">
          <cell r="A1655">
            <v>44056</v>
          </cell>
          <cell r="B1655">
            <v>125.399452</v>
          </cell>
        </row>
        <row r="1656">
          <cell r="A1656">
            <v>44057</v>
          </cell>
          <cell r="B1656">
            <v>126.11277</v>
          </cell>
        </row>
        <row r="1657">
          <cell r="A1657">
            <v>44060</v>
          </cell>
          <cell r="B1657">
            <v>128.96601899999999</v>
          </cell>
        </row>
        <row r="1658">
          <cell r="A1658">
            <v>44061</v>
          </cell>
          <cell r="B1658">
            <v>128.11952199999999</v>
          </cell>
        </row>
        <row r="1659">
          <cell r="A1659">
            <v>44062</v>
          </cell>
          <cell r="B1659">
            <v>125.93206000000001</v>
          </cell>
        </row>
        <row r="1660">
          <cell r="A1660">
            <v>44063</v>
          </cell>
          <cell r="B1660">
            <v>124.182053</v>
          </cell>
        </row>
        <row r="1661">
          <cell r="A1661">
            <v>44064</v>
          </cell>
          <cell r="B1661">
            <v>125.190201</v>
          </cell>
        </row>
        <row r="1662">
          <cell r="A1662">
            <v>44067</v>
          </cell>
          <cell r="B1662">
            <v>124.90490699999999</v>
          </cell>
        </row>
        <row r="1663">
          <cell r="A1663">
            <v>44068</v>
          </cell>
          <cell r="B1663">
            <v>124.239136</v>
          </cell>
        </row>
        <row r="1664">
          <cell r="A1664">
            <v>44069</v>
          </cell>
          <cell r="B1664">
            <v>124.305725</v>
          </cell>
        </row>
        <row r="1665">
          <cell r="A1665">
            <v>44070</v>
          </cell>
          <cell r="B1665">
            <v>129.94560200000001</v>
          </cell>
        </row>
        <row r="1666">
          <cell r="A1666">
            <v>44071</v>
          </cell>
          <cell r="B1666">
            <v>133.436081</v>
          </cell>
        </row>
        <row r="1667">
          <cell r="A1667">
            <v>44074</v>
          </cell>
          <cell r="B1667">
            <v>132.05699200000001</v>
          </cell>
        </row>
        <row r="1668">
          <cell r="A1668">
            <v>44075</v>
          </cell>
          <cell r="B1668">
            <v>140.36938499999999</v>
          </cell>
        </row>
        <row r="1669">
          <cell r="A1669">
            <v>44076</v>
          </cell>
          <cell r="B1669">
            <v>140.45498699999999</v>
          </cell>
        </row>
        <row r="1670">
          <cell r="A1670">
            <v>44077</v>
          </cell>
          <cell r="B1670">
            <v>137.468613</v>
          </cell>
        </row>
        <row r="1671">
          <cell r="A1671">
            <v>44078</v>
          </cell>
          <cell r="B1671">
            <v>135.84225499999999</v>
          </cell>
        </row>
        <row r="1672">
          <cell r="A1672">
            <v>44082</v>
          </cell>
          <cell r="B1672">
            <v>131.67654400000001</v>
          </cell>
        </row>
        <row r="1673">
          <cell r="A1673">
            <v>44083</v>
          </cell>
          <cell r="B1673">
            <v>133.046097</v>
          </cell>
        </row>
        <row r="1674">
          <cell r="A1674">
            <v>44084</v>
          </cell>
          <cell r="B1674">
            <v>130.11679100000001</v>
          </cell>
        </row>
        <row r="1675">
          <cell r="A1675">
            <v>44085</v>
          </cell>
          <cell r="B1675">
            <v>130.01216099999999</v>
          </cell>
        </row>
        <row r="1676">
          <cell r="A1676">
            <v>44088</v>
          </cell>
          <cell r="B1676">
            <v>130.60185200000001</v>
          </cell>
        </row>
        <row r="1677">
          <cell r="A1677">
            <v>44089</v>
          </cell>
          <cell r="B1677">
            <v>130.63986199999999</v>
          </cell>
        </row>
        <row r="1678">
          <cell r="A1678">
            <v>44090</v>
          </cell>
          <cell r="B1678">
            <v>129.593658</v>
          </cell>
        </row>
        <row r="1679">
          <cell r="A1679">
            <v>44091</v>
          </cell>
          <cell r="B1679">
            <v>130.00266999999999</v>
          </cell>
        </row>
        <row r="1680">
          <cell r="A1680">
            <v>44092</v>
          </cell>
          <cell r="B1680">
            <v>128.67112700000001</v>
          </cell>
        </row>
        <row r="1681">
          <cell r="A1681">
            <v>44095</v>
          </cell>
          <cell r="B1681">
            <v>130.36407500000001</v>
          </cell>
        </row>
        <row r="1682">
          <cell r="A1682">
            <v>44096</v>
          </cell>
          <cell r="B1682">
            <v>131.54342700000001</v>
          </cell>
        </row>
        <row r="1683">
          <cell r="A1683">
            <v>44097</v>
          </cell>
          <cell r="B1683">
            <v>129.336929</v>
          </cell>
        </row>
        <row r="1684">
          <cell r="A1684">
            <v>44098</v>
          </cell>
          <cell r="B1684">
            <v>130.01216099999999</v>
          </cell>
        </row>
        <row r="1685">
          <cell r="A1685">
            <v>44099</v>
          </cell>
          <cell r="B1685">
            <v>130.55427599999999</v>
          </cell>
        </row>
        <row r="1686">
          <cell r="A1686">
            <v>44102</v>
          </cell>
          <cell r="B1686">
            <v>130.53526299999999</v>
          </cell>
        </row>
        <row r="1687">
          <cell r="A1687">
            <v>44103</v>
          </cell>
          <cell r="B1687">
            <v>130.43061800000001</v>
          </cell>
        </row>
        <row r="1688">
          <cell r="A1688">
            <v>44104</v>
          </cell>
          <cell r="B1688">
            <v>133.065155</v>
          </cell>
        </row>
        <row r="1689">
          <cell r="A1689">
            <v>44105</v>
          </cell>
          <cell r="B1689">
            <v>136.08003199999999</v>
          </cell>
        </row>
        <row r="1690">
          <cell r="A1690">
            <v>44106</v>
          </cell>
          <cell r="B1690">
            <v>133.626251</v>
          </cell>
        </row>
        <row r="1691">
          <cell r="A1691">
            <v>44109</v>
          </cell>
          <cell r="B1691">
            <v>134.86265599999999</v>
          </cell>
        </row>
        <row r="1692">
          <cell r="A1692">
            <v>44110</v>
          </cell>
          <cell r="B1692">
            <v>133.74989299999999</v>
          </cell>
        </row>
        <row r="1693">
          <cell r="A1693">
            <v>44111</v>
          </cell>
          <cell r="B1693">
            <v>133.997162</v>
          </cell>
        </row>
        <row r="1694">
          <cell r="A1694">
            <v>44112</v>
          </cell>
          <cell r="B1694">
            <v>134.444153</v>
          </cell>
        </row>
        <row r="1695">
          <cell r="A1695">
            <v>44113</v>
          </cell>
          <cell r="B1695">
            <v>135.794693</v>
          </cell>
        </row>
        <row r="1696">
          <cell r="A1696">
            <v>44116</v>
          </cell>
          <cell r="B1696">
            <v>137.19276400000001</v>
          </cell>
        </row>
        <row r="1697">
          <cell r="A1697">
            <v>44117</v>
          </cell>
          <cell r="B1697">
            <v>139.075928</v>
          </cell>
        </row>
        <row r="1698">
          <cell r="A1698">
            <v>44118</v>
          </cell>
          <cell r="B1698">
            <v>136.89794900000001</v>
          </cell>
        </row>
        <row r="1699">
          <cell r="A1699">
            <v>44119</v>
          </cell>
          <cell r="B1699">
            <v>137.45910599999999</v>
          </cell>
        </row>
        <row r="1700">
          <cell r="A1700">
            <v>44120</v>
          </cell>
          <cell r="B1700">
            <v>137.63028</v>
          </cell>
        </row>
        <row r="1701">
          <cell r="A1701">
            <v>44123</v>
          </cell>
          <cell r="B1701">
            <v>135.95640599999999</v>
          </cell>
        </row>
        <row r="1702">
          <cell r="A1702">
            <v>44124</v>
          </cell>
          <cell r="B1702">
            <v>136.85990899999999</v>
          </cell>
        </row>
        <row r="1703">
          <cell r="A1703">
            <v>44125</v>
          </cell>
          <cell r="B1703">
            <v>137.335464</v>
          </cell>
        </row>
        <row r="1704">
          <cell r="A1704">
            <v>44126</v>
          </cell>
          <cell r="B1704">
            <v>136.52705399999999</v>
          </cell>
        </row>
        <row r="1705">
          <cell r="A1705">
            <v>44127</v>
          </cell>
          <cell r="B1705">
            <v>136.812378</v>
          </cell>
        </row>
        <row r="1706">
          <cell r="A1706">
            <v>44130</v>
          </cell>
          <cell r="B1706">
            <v>135.20504800000001</v>
          </cell>
        </row>
        <row r="1707">
          <cell r="A1707">
            <v>44131</v>
          </cell>
          <cell r="B1707">
            <v>135.88031000000001</v>
          </cell>
        </row>
        <row r="1708">
          <cell r="A1708">
            <v>44132</v>
          </cell>
          <cell r="B1708">
            <v>133.188751</v>
          </cell>
        </row>
        <row r="1709">
          <cell r="A1709">
            <v>44133</v>
          </cell>
          <cell r="B1709">
            <v>133.0746</v>
          </cell>
        </row>
        <row r="1710">
          <cell r="A1710">
            <v>44134</v>
          </cell>
          <cell r="B1710">
            <v>131.96186800000001</v>
          </cell>
        </row>
        <row r="1711">
          <cell r="A1711">
            <v>44137</v>
          </cell>
          <cell r="B1711">
            <v>133.531128</v>
          </cell>
        </row>
        <row r="1712">
          <cell r="A1712">
            <v>44138</v>
          </cell>
          <cell r="B1712">
            <v>135.794693</v>
          </cell>
        </row>
        <row r="1713">
          <cell r="A1713">
            <v>44139</v>
          </cell>
          <cell r="B1713">
            <v>135.01480100000001</v>
          </cell>
        </row>
        <row r="1714">
          <cell r="A1714">
            <v>44140</v>
          </cell>
          <cell r="B1714">
            <v>136.45095800000001</v>
          </cell>
        </row>
        <row r="1715">
          <cell r="A1715">
            <v>44141</v>
          </cell>
          <cell r="B1715">
            <v>138.638443</v>
          </cell>
        </row>
        <row r="1716">
          <cell r="A1716">
            <v>44144</v>
          </cell>
          <cell r="B1716">
            <v>136.51754800000001</v>
          </cell>
        </row>
        <row r="1717">
          <cell r="A1717">
            <v>44145</v>
          </cell>
          <cell r="B1717">
            <v>138.43869000000001</v>
          </cell>
        </row>
        <row r="1718">
          <cell r="A1718">
            <v>44146</v>
          </cell>
          <cell r="B1718">
            <v>140.74031099999999</v>
          </cell>
        </row>
        <row r="1719">
          <cell r="A1719">
            <v>44147</v>
          </cell>
          <cell r="B1719">
            <v>140.97807299999999</v>
          </cell>
        </row>
        <row r="1720">
          <cell r="A1720">
            <v>44148</v>
          </cell>
          <cell r="B1720">
            <v>143.175049</v>
          </cell>
        </row>
        <row r="1721">
          <cell r="A1721">
            <v>44151</v>
          </cell>
          <cell r="B1721">
            <v>144.982101</v>
          </cell>
        </row>
        <row r="1722">
          <cell r="A1722">
            <v>44152</v>
          </cell>
          <cell r="B1722">
            <v>142.062286</v>
          </cell>
        </row>
        <row r="1723">
          <cell r="A1723">
            <v>44153</v>
          </cell>
          <cell r="B1723">
            <v>141.79600500000001</v>
          </cell>
        </row>
        <row r="1724">
          <cell r="A1724">
            <v>44154</v>
          </cell>
          <cell r="B1724">
            <v>144.67775</v>
          </cell>
        </row>
        <row r="1725">
          <cell r="A1725">
            <v>44155</v>
          </cell>
          <cell r="B1725">
            <v>142.88973999999999</v>
          </cell>
        </row>
        <row r="1726">
          <cell r="A1726">
            <v>44158</v>
          </cell>
          <cell r="B1726">
            <v>143.545975</v>
          </cell>
        </row>
        <row r="1727">
          <cell r="A1727">
            <v>44159</v>
          </cell>
          <cell r="B1727">
            <v>143.954926</v>
          </cell>
        </row>
        <row r="1728">
          <cell r="A1728">
            <v>44160</v>
          </cell>
          <cell r="B1728">
            <v>144.401962</v>
          </cell>
        </row>
        <row r="1729">
          <cell r="A1729">
            <v>44162</v>
          </cell>
          <cell r="B1729">
            <v>144.18319700000001</v>
          </cell>
        </row>
        <row r="1730">
          <cell r="A1730">
            <v>44165</v>
          </cell>
          <cell r="B1730">
            <v>145.31497200000001</v>
          </cell>
        </row>
        <row r="1731">
          <cell r="A1731">
            <v>44166</v>
          </cell>
          <cell r="B1731">
            <v>145.172302</v>
          </cell>
        </row>
        <row r="1732">
          <cell r="A1732">
            <v>44167</v>
          </cell>
          <cell r="B1732">
            <v>143.156036</v>
          </cell>
        </row>
        <row r="1733">
          <cell r="A1733">
            <v>44168</v>
          </cell>
          <cell r="B1733">
            <v>141.995743</v>
          </cell>
        </row>
        <row r="1734">
          <cell r="A1734">
            <v>44169</v>
          </cell>
          <cell r="B1734">
            <v>141.62480199999999</v>
          </cell>
        </row>
        <row r="1735">
          <cell r="A1735">
            <v>44172</v>
          </cell>
          <cell r="B1735">
            <v>140.863922</v>
          </cell>
        </row>
        <row r="1736">
          <cell r="A1736">
            <v>44173</v>
          </cell>
          <cell r="B1736">
            <v>142.13836699999999</v>
          </cell>
        </row>
        <row r="1737">
          <cell r="A1737">
            <v>44174</v>
          </cell>
          <cell r="B1737">
            <v>141.016098</v>
          </cell>
        </row>
        <row r="1738">
          <cell r="A1738">
            <v>44175</v>
          </cell>
          <cell r="B1738">
            <v>140.35746800000001</v>
          </cell>
        </row>
        <row r="1739">
          <cell r="A1739">
            <v>44176</v>
          </cell>
          <cell r="B1739">
            <v>140.31929</v>
          </cell>
        </row>
        <row r="1740">
          <cell r="A1740">
            <v>44179</v>
          </cell>
          <cell r="B1740">
            <v>139.030655</v>
          </cell>
        </row>
        <row r="1741">
          <cell r="A1741">
            <v>44180</v>
          </cell>
          <cell r="B1741">
            <v>138.96383700000001</v>
          </cell>
        </row>
        <row r="1742">
          <cell r="A1742">
            <v>44181</v>
          </cell>
          <cell r="B1742">
            <v>138.82067900000001</v>
          </cell>
        </row>
        <row r="1743">
          <cell r="A1743">
            <v>44182</v>
          </cell>
          <cell r="B1743">
            <v>139.46017499999999</v>
          </cell>
        </row>
        <row r="1744">
          <cell r="A1744">
            <v>44183</v>
          </cell>
          <cell r="B1744">
            <v>139.317047</v>
          </cell>
        </row>
        <row r="1745">
          <cell r="A1745">
            <v>44186</v>
          </cell>
          <cell r="B1745">
            <v>139.336105</v>
          </cell>
        </row>
        <row r="1746">
          <cell r="A1746">
            <v>44187</v>
          </cell>
          <cell r="B1746">
            <v>137.64656099999999</v>
          </cell>
        </row>
        <row r="1747">
          <cell r="A1747">
            <v>44188</v>
          </cell>
          <cell r="B1747">
            <v>136.711105</v>
          </cell>
        </row>
        <row r="1748">
          <cell r="A1748">
            <v>44189</v>
          </cell>
          <cell r="B1748">
            <v>136.97837799999999</v>
          </cell>
        </row>
        <row r="1749">
          <cell r="A1749">
            <v>44193</v>
          </cell>
          <cell r="B1749">
            <v>138.62020899999999</v>
          </cell>
        </row>
        <row r="1750">
          <cell r="A1750">
            <v>44194</v>
          </cell>
          <cell r="B1750">
            <v>137.74200400000001</v>
          </cell>
        </row>
        <row r="1751">
          <cell r="A1751">
            <v>44195</v>
          </cell>
          <cell r="B1751">
            <v>137.62747200000001</v>
          </cell>
        </row>
        <row r="1752">
          <cell r="A1752">
            <v>44196</v>
          </cell>
          <cell r="B1752">
            <v>137.59880100000001</v>
          </cell>
        </row>
        <row r="1753">
          <cell r="A1753">
            <v>44200</v>
          </cell>
          <cell r="B1753">
            <v>139.870667</v>
          </cell>
        </row>
        <row r="1754">
          <cell r="A1754">
            <v>44201</v>
          </cell>
          <cell r="B1754">
            <v>139.126114</v>
          </cell>
        </row>
        <row r="1755">
          <cell r="A1755">
            <v>44202</v>
          </cell>
          <cell r="B1755">
            <v>139.99473599999999</v>
          </cell>
        </row>
        <row r="1756">
          <cell r="A1756">
            <v>44203</v>
          </cell>
          <cell r="B1756">
            <v>139.985229</v>
          </cell>
        </row>
        <row r="1757">
          <cell r="A1757">
            <v>44204</v>
          </cell>
          <cell r="B1757">
            <v>139.96612500000001</v>
          </cell>
        </row>
        <row r="1758">
          <cell r="A1758">
            <v>44207</v>
          </cell>
          <cell r="B1758">
            <v>140.59610000000001</v>
          </cell>
        </row>
        <row r="1759">
          <cell r="A1759">
            <v>44208</v>
          </cell>
          <cell r="B1759">
            <v>142.199738</v>
          </cell>
        </row>
        <row r="1760">
          <cell r="A1760">
            <v>44209</v>
          </cell>
          <cell r="B1760">
            <v>140.74885599999999</v>
          </cell>
        </row>
        <row r="1761">
          <cell r="A1761">
            <v>44210</v>
          </cell>
          <cell r="B1761">
            <v>140.29066499999999</v>
          </cell>
        </row>
        <row r="1762">
          <cell r="A1762">
            <v>44211</v>
          </cell>
          <cell r="B1762">
            <v>138.066574</v>
          </cell>
        </row>
        <row r="1763">
          <cell r="A1763">
            <v>44215</v>
          </cell>
          <cell r="B1763">
            <v>136.873367</v>
          </cell>
        </row>
        <row r="1764">
          <cell r="A1764">
            <v>44216</v>
          </cell>
          <cell r="B1764">
            <v>138.897018</v>
          </cell>
        </row>
        <row r="1765">
          <cell r="A1765">
            <v>44217</v>
          </cell>
          <cell r="B1765">
            <v>138.26701399999999</v>
          </cell>
        </row>
        <row r="1766">
          <cell r="A1766">
            <v>44218</v>
          </cell>
          <cell r="B1766">
            <v>139.67976400000001</v>
          </cell>
        </row>
        <row r="1767">
          <cell r="A1767">
            <v>44221</v>
          </cell>
          <cell r="B1767">
            <v>139.55564899999999</v>
          </cell>
        </row>
        <row r="1768">
          <cell r="A1768">
            <v>44222</v>
          </cell>
          <cell r="B1768">
            <v>140.806107</v>
          </cell>
        </row>
        <row r="1769">
          <cell r="A1769">
            <v>44223</v>
          </cell>
          <cell r="B1769">
            <v>137.30290199999999</v>
          </cell>
        </row>
        <row r="1770">
          <cell r="A1770">
            <v>44224</v>
          </cell>
          <cell r="B1770">
            <v>137.216995</v>
          </cell>
        </row>
        <row r="1771">
          <cell r="A1771">
            <v>44225</v>
          </cell>
          <cell r="B1771">
            <v>134.105164</v>
          </cell>
        </row>
        <row r="1772">
          <cell r="A1772">
            <v>44228</v>
          </cell>
          <cell r="B1772">
            <v>132.94061300000001</v>
          </cell>
        </row>
        <row r="1773">
          <cell r="A1773">
            <v>44229</v>
          </cell>
          <cell r="B1773">
            <v>134.37243699999999</v>
          </cell>
        </row>
        <row r="1774">
          <cell r="A1774">
            <v>44230</v>
          </cell>
          <cell r="B1774">
            <v>134.78289799999999</v>
          </cell>
        </row>
        <row r="1775">
          <cell r="A1775">
            <v>44231</v>
          </cell>
          <cell r="B1775">
            <v>136.05244400000001</v>
          </cell>
        </row>
        <row r="1776">
          <cell r="A1776">
            <v>44232</v>
          </cell>
          <cell r="B1776">
            <v>137.79925499999999</v>
          </cell>
        </row>
        <row r="1777">
          <cell r="A1777">
            <v>44235</v>
          </cell>
          <cell r="B1777">
            <v>138.43884299999999</v>
          </cell>
        </row>
        <row r="1778">
          <cell r="A1778">
            <v>44236</v>
          </cell>
          <cell r="B1778">
            <v>139.20245399999999</v>
          </cell>
        </row>
        <row r="1779">
          <cell r="A1779">
            <v>44237</v>
          </cell>
          <cell r="B1779">
            <v>137.57972699999999</v>
          </cell>
        </row>
        <row r="1780">
          <cell r="A1780">
            <v>44238</v>
          </cell>
          <cell r="B1780">
            <v>137.47473099999999</v>
          </cell>
        </row>
        <row r="1781">
          <cell r="A1781">
            <v>44239</v>
          </cell>
          <cell r="B1781">
            <v>137.90428199999999</v>
          </cell>
        </row>
        <row r="1782">
          <cell r="A1782">
            <v>44243</v>
          </cell>
          <cell r="B1782">
            <v>139.04020700000001</v>
          </cell>
        </row>
        <row r="1783">
          <cell r="A1783">
            <v>44244</v>
          </cell>
          <cell r="B1783">
            <v>140.51020800000001</v>
          </cell>
        </row>
        <row r="1784">
          <cell r="A1784">
            <v>44245</v>
          </cell>
          <cell r="B1784">
            <v>131.40377799999999</v>
          </cell>
        </row>
        <row r="1785">
          <cell r="A1785">
            <v>44246</v>
          </cell>
          <cell r="B1785">
            <v>132.052887</v>
          </cell>
        </row>
        <row r="1786">
          <cell r="A1786">
            <v>44249</v>
          </cell>
          <cell r="B1786">
            <v>131.432388</v>
          </cell>
        </row>
        <row r="1787">
          <cell r="A1787">
            <v>44250</v>
          </cell>
          <cell r="B1787">
            <v>129.31333900000001</v>
          </cell>
        </row>
        <row r="1788">
          <cell r="A1788">
            <v>44251</v>
          </cell>
          <cell r="B1788">
            <v>127.156006</v>
          </cell>
        </row>
        <row r="1789">
          <cell r="A1789">
            <v>44252</v>
          </cell>
          <cell r="B1789">
            <v>125.953278</v>
          </cell>
        </row>
        <row r="1790">
          <cell r="A1790">
            <v>44253</v>
          </cell>
          <cell r="B1790">
            <v>124.015511</v>
          </cell>
        </row>
        <row r="1791">
          <cell r="A1791">
            <v>44256</v>
          </cell>
          <cell r="B1791">
            <v>125.39962800000001</v>
          </cell>
        </row>
        <row r="1792">
          <cell r="A1792">
            <v>44257</v>
          </cell>
          <cell r="B1792">
            <v>124.196884</v>
          </cell>
        </row>
        <row r="1793">
          <cell r="A1793">
            <v>44258</v>
          </cell>
          <cell r="B1793">
            <v>121.79141199999999</v>
          </cell>
        </row>
        <row r="1794">
          <cell r="A1794">
            <v>44259</v>
          </cell>
          <cell r="B1794">
            <v>121.734146</v>
          </cell>
        </row>
        <row r="1795">
          <cell r="A1795">
            <v>44260</v>
          </cell>
          <cell r="B1795">
            <v>123.251892</v>
          </cell>
        </row>
        <row r="1796">
          <cell r="A1796">
            <v>44263</v>
          </cell>
          <cell r="B1796">
            <v>122.068253</v>
          </cell>
        </row>
        <row r="1797">
          <cell r="A1797">
            <v>44264</v>
          </cell>
          <cell r="B1797">
            <v>123.032341</v>
          </cell>
        </row>
        <row r="1798">
          <cell r="A1798">
            <v>44265</v>
          </cell>
          <cell r="B1798">
            <v>126.172821</v>
          </cell>
        </row>
        <row r="1799">
          <cell r="A1799">
            <v>44266</v>
          </cell>
          <cell r="B1799">
            <v>126.12509900000001</v>
          </cell>
        </row>
        <row r="1800">
          <cell r="A1800">
            <v>44267</v>
          </cell>
          <cell r="B1800">
            <v>128.02465799999999</v>
          </cell>
        </row>
        <row r="1801">
          <cell r="A1801">
            <v>44270</v>
          </cell>
          <cell r="B1801">
            <v>127.366013</v>
          </cell>
        </row>
        <row r="1802">
          <cell r="A1802">
            <v>44271</v>
          </cell>
          <cell r="B1802">
            <v>127.32785</v>
          </cell>
        </row>
        <row r="1803">
          <cell r="A1803">
            <v>44272</v>
          </cell>
          <cell r="B1803">
            <v>126.26828</v>
          </cell>
        </row>
        <row r="1804">
          <cell r="A1804">
            <v>44273</v>
          </cell>
          <cell r="B1804">
            <v>124.61958300000001</v>
          </cell>
        </row>
        <row r="1805">
          <cell r="A1805">
            <v>44274</v>
          </cell>
          <cell r="B1805">
            <v>126.277855</v>
          </cell>
        </row>
        <row r="1806">
          <cell r="A1806">
            <v>44277</v>
          </cell>
          <cell r="B1806">
            <v>126.881737</v>
          </cell>
        </row>
        <row r="1807">
          <cell r="A1807">
            <v>44278</v>
          </cell>
          <cell r="B1807">
            <v>128.38664199999999</v>
          </cell>
        </row>
        <row r="1808">
          <cell r="A1808">
            <v>44279</v>
          </cell>
          <cell r="B1808">
            <v>127.591064</v>
          </cell>
        </row>
        <row r="1809">
          <cell r="A1809">
            <v>44280</v>
          </cell>
          <cell r="B1809">
            <v>128.45372</v>
          </cell>
        </row>
        <row r="1810">
          <cell r="A1810">
            <v>44281</v>
          </cell>
          <cell r="B1810">
            <v>129.527344</v>
          </cell>
        </row>
        <row r="1811">
          <cell r="A1811">
            <v>44284</v>
          </cell>
          <cell r="B1811">
            <v>131.00344799999999</v>
          </cell>
        </row>
        <row r="1812">
          <cell r="A1812">
            <v>44285</v>
          </cell>
          <cell r="B1812">
            <v>130.11203</v>
          </cell>
        </row>
        <row r="1813">
          <cell r="A1813">
            <v>44286</v>
          </cell>
          <cell r="B1813">
            <v>130.198273</v>
          </cell>
        </row>
        <row r="1814">
          <cell r="A1814">
            <v>44287</v>
          </cell>
          <cell r="B1814">
            <v>129.99696399999999</v>
          </cell>
        </row>
        <row r="1815">
          <cell r="A1815">
            <v>44291</v>
          </cell>
          <cell r="B1815">
            <v>133.64904799999999</v>
          </cell>
        </row>
        <row r="1816">
          <cell r="A1816">
            <v>44292</v>
          </cell>
          <cell r="B1816">
            <v>134.29125999999999</v>
          </cell>
        </row>
        <row r="1817">
          <cell r="A1817">
            <v>44293</v>
          </cell>
          <cell r="B1817">
            <v>134.00367700000001</v>
          </cell>
        </row>
        <row r="1818">
          <cell r="A1818">
            <v>44294</v>
          </cell>
          <cell r="B1818">
            <v>133.91743500000001</v>
          </cell>
        </row>
        <row r="1819">
          <cell r="A1819">
            <v>44295</v>
          </cell>
          <cell r="B1819">
            <v>133.984512</v>
          </cell>
        </row>
        <row r="1820">
          <cell r="A1820">
            <v>44298</v>
          </cell>
          <cell r="B1820">
            <v>134.00367700000001</v>
          </cell>
        </row>
        <row r="1821">
          <cell r="A1821">
            <v>44299</v>
          </cell>
          <cell r="B1821">
            <v>133.59153699999999</v>
          </cell>
        </row>
        <row r="1822">
          <cell r="A1822">
            <v>44300</v>
          </cell>
          <cell r="B1822">
            <v>133.54359400000001</v>
          </cell>
        </row>
        <row r="1823">
          <cell r="A1823">
            <v>44301</v>
          </cell>
          <cell r="B1823">
            <v>134.34877</v>
          </cell>
        </row>
        <row r="1824">
          <cell r="A1824">
            <v>44302</v>
          </cell>
          <cell r="B1824">
            <v>134.78009</v>
          </cell>
        </row>
        <row r="1825">
          <cell r="A1825">
            <v>44305</v>
          </cell>
          <cell r="B1825">
            <v>133.91743500000001</v>
          </cell>
        </row>
        <row r="1826">
          <cell r="A1826">
            <v>44306</v>
          </cell>
          <cell r="B1826">
            <v>134.95263700000001</v>
          </cell>
        </row>
        <row r="1827">
          <cell r="A1827">
            <v>44307</v>
          </cell>
          <cell r="B1827">
            <v>135.34562700000001</v>
          </cell>
        </row>
        <row r="1828">
          <cell r="A1828">
            <v>44308</v>
          </cell>
          <cell r="B1828">
            <v>133.87905900000001</v>
          </cell>
        </row>
        <row r="1829">
          <cell r="A1829">
            <v>44309</v>
          </cell>
          <cell r="B1829">
            <v>134.09951799999999</v>
          </cell>
        </row>
        <row r="1830">
          <cell r="A1830">
            <v>44312</v>
          </cell>
          <cell r="B1830">
            <v>132.192047</v>
          </cell>
        </row>
        <row r="1831">
          <cell r="A1831">
            <v>44313</v>
          </cell>
          <cell r="B1831">
            <v>132.642563</v>
          </cell>
        </row>
        <row r="1832">
          <cell r="A1832">
            <v>44314</v>
          </cell>
          <cell r="B1832">
            <v>132.17288199999999</v>
          </cell>
        </row>
        <row r="1833">
          <cell r="A1833">
            <v>44315</v>
          </cell>
          <cell r="B1833">
            <v>133.84072900000001</v>
          </cell>
        </row>
        <row r="1834">
          <cell r="A1834">
            <v>44316</v>
          </cell>
          <cell r="B1834">
            <v>134.10913099999999</v>
          </cell>
        </row>
        <row r="1835">
          <cell r="A1835">
            <v>44319</v>
          </cell>
          <cell r="B1835">
            <v>136.227509</v>
          </cell>
        </row>
        <row r="1836">
          <cell r="A1836">
            <v>44320</v>
          </cell>
          <cell r="B1836">
            <v>134.88554400000001</v>
          </cell>
        </row>
        <row r="1837">
          <cell r="A1837">
            <v>44321</v>
          </cell>
          <cell r="B1837">
            <v>134.770523</v>
          </cell>
        </row>
        <row r="1838">
          <cell r="A1838">
            <v>44322</v>
          </cell>
          <cell r="B1838">
            <v>135.73281900000001</v>
          </cell>
        </row>
        <row r="1839">
          <cell r="A1839">
            <v>44323</v>
          </cell>
          <cell r="B1839">
            <v>134.914886</v>
          </cell>
        </row>
        <row r="1840">
          <cell r="A1840">
            <v>44326</v>
          </cell>
          <cell r="B1840">
            <v>135.511505</v>
          </cell>
        </row>
        <row r="1841">
          <cell r="A1841">
            <v>44327</v>
          </cell>
          <cell r="B1841">
            <v>134.289368</v>
          </cell>
        </row>
        <row r="1842">
          <cell r="A1842">
            <v>44328</v>
          </cell>
          <cell r="B1842">
            <v>130.81546</v>
          </cell>
        </row>
        <row r="1843">
          <cell r="A1843">
            <v>44329</v>
          </cell>
          <cell r="B1843">
            <v>133.02874800000001</v>
          </cell>
        </row>
        <row r="1844">
          <cell r="A1844">
            <v>44330</v>
          </cell>
          <cell r="B1844">
            <v>134.26048299999999</v>
          </cell>
        </row>
        <row r="1845">
          <cell r="A1845">
            <v>44333</v>
          </cell>
          <cell r="B1845">
            <v>133.65425099999999</v>
          </cell>
        </row>
        <row r="1846">
          <cell r="A1846">
            <v>44334</v>
          </cell>
          <cell r="B1846">
            <v>136.56037900000001</v>
          </cell>
        </row>
        <row r="1847">
          <cell r="A1847">
            <v>44335</v>
          </cell>
          <cell r="B1847">
            <v>136.57002299999999</v>
          </cell>
        </row>
        <row r="1848">
          <cell r="A1848">
            <v>44336</v>
          </cell>
          <cell r="B1848">
            <v>137.05117799999999</v>
          </cell>
        </row>
        <row r="1849">
          <cell r="A1849">
            <v>44337</v>
          </cell>
          <cell r="B1849">
            <v>136.406418</v>
          </cell>
        </row>
        <row r="1850">
          <cell r="A1850">
            <v>44340</v>
          </cell>
          <cell r="B1850">
            <v>136.41604599999999</v>
          </cell>
        </row>
        <row r="1851">
          <cell r="A1851">
            <v>44341</v>
          </cell>
          <cell r="B1851">
            <v>136.97418200000001</v>
          </cell>
        </row>
        <row r="1852">
          <cell r="A1852">
            <v>44342</v>
          </cell>
          <cell r="B1852">
            <v>136.81059300000001</v>
          </cell>
        </row>
        <row r="1853">
          <cell r="A1853">
            <v>44343</v>
          </cell>
          <cell r="B1853">
            <v>136.34869399999999</v>
          </cell>
        </row>
        <row r="1854">
          <cell r="A1854">
            <v>44344</v>
          </cell>
          <cell r="B1854">
            <v>136.675873</v>
          </cell>
        </row>
        <row r="1855">
          <cell r="A1855">
            <v>44348</v>
          </cell>
          <cell r="B1855">
            <v>136.319839</v>
          </cell>
        </row>
        <row r="1856">
          <cell r="A1856">
            <v>44349</v>
          </cell>
          <cell r="B1856">
            <v>136.02151499999999</v>
          </cell>
        </row>
        <row r="1857">
          <cell r="A1857">
            <v>44350</v>
          </cell>
          <cell r="B1857">
            <v>136.2621</v>
          </cell>
        </row>
        <row r="1858">
          <cell r="A1858">
            <v>44351</v>
          </cell>
          <cell r="B1858">
            <v>136.50268600000001</v>
          </cell>
        </row>
        <row r="1859">
          <cell r="A1859">
            <v>44354</v>
          </cell>
          <cell r="B1859">
            <v>135.58845500000001</v>
          </cell>
        </row>
        <row r="1860">
          <cell r="A1860">
            <v>44355</v>
          </cell>
          <cell r="B1860">
            <v>134.558807</v>
          </cell>
        </row>
        <row r="1861">
          <cell r="A1861">
            <v>44356</v>
          </cell>
          <cell r="B1861">
            <v>133.837097</v>
          </cell>
        </row>
        <row r="1862">
          <cell r="A1862">
            <v>44357</v>
          </cell>
          <cell r="B1862">
            <v>134.60691800000001</v>
          </cell>
        </row>
        <row r="1863">
          <cell r="A1863">
            <v>44358</v>
          </cell>
          <cell r="B1863">
            <v>135.444107</v>
          </cell>
        </row>
        <row r="1864">
          <cell r="A1864">
            <v>44361</v>
          </cell>
          <cell r="B1864">
            <v>135.26127600000001</v>
          </cell>
        </row>
        <row r="1865">
          <cell r="A1865">
            <v>44362</v>
          </cell>
          <cell r="B1865">
            <v>134.722397</v>
          </cell>
        </row>
        <row r="1866">
          <cell r="A1866">
            <v>44363</v>
          </cell>
          <cell r="B1866">
            <v>131.979828</v>
          </cell>
        </row>
        <row r="1867">
          <cell r="A1867">
            <v>44364</v>
          </cell>
          <cell r="B1867">
            <v>132.528336</v>
          </cell>
        </row>
        <row r="1868">
          <cell r="A1868">
            <v>44365</v>
          </cell>
          <cell r="B1868">
            <v>130.07446300000001</v>
          </cell>
        </row>
        <row r="1869">
          <cell r="A1869">
            <v>44368</v>
          </cell>
          <cell r="B1869">
            <v>131.25810200000001</v>
          </cell>
        </row>
        <row r="1870">
          <cell r="A1870">
            <v>44369</v>
          </cell>
          <cell r="B1870">
            <v>131.86438000000001</v>
          </cell>
        </row>
        <row r="1871">
          <cell r="A1871">
            <v>44370</v>
          </cell>
          <cell r="B1871">
            <v>130.83470199999999</v>
          </cell>
        </row>
        <row r="1872">
          <cell r="A1872">
            <v>44371</v>
          </cell>
          <cell r="B1872">
            <v>131.748886</v>
          </cell>
        </row>
        <row r="1873">
          <cell r="A1873">
            <v>44372</v>
          </cell>
          <cell r="B1873">
            <v>133.307816</v>
          </cell>
        </row>
        <row r="1874">
          <cell r="A1874">
            <v>44375</v>
          </cell>
          <cell r="B1874">
            <v>132.89404300000001</v>
          </cell>
        </row>
        <row r="1875">
          <cell r="A1875">
            <v>44376</v>
          </cell>
          <cell r="B1875">
            <v>132.124191</v>
          </cell>
        </row>
        <row r="1876">
          <cell r="A1876">
            <v>44377</v>
          </cell>
          <cell r="B1876">
            <v>135.70394899999999</v>
          </cell>
        </row>
        <row r="1877">
          <cell r="A1877">
            <v>44378</v>
          </cell>
          <cell r="B1877">
            <v>134.068039</v>
          </cell>
        </row>
        <row r="1878">
          <cell r="A1878">
            <v>44379</v>
          </cell>
          <cell r="B1878">
            <v>134.828247</v>
          </cell>
        </row>
        <row r="1879">
          <cell r="A1879">
            <v>44383</v>
          </cell>
          <cell r="B1879">
            <v>134.664658</v>
          </cell>
        </row>
        <row r="1880">
          <cell r="A1880">
            <v>44384</v>
          </cell>
          <cell r="B1880">
            <v>134.443344</v>
          </cell>
        </row>
        <row r="1881">
          <cell r="A1881">
            <v>44385</v>
          </cell>
          <cell r="B1881">
            <v>134.32785000000001</v>
          </cell>
        </row>
        <row r="1882">
          <cell r="A1882">
            <v>44386</v>
          </cell>
          <cell r="B1882">
            <v>135.011078</v>
          </cell>
        </row>
        <row r="1883">
          <cell r="A1883">
            <v>44389</v>
          </cell>
          <cell r="B1883">
            <v>134.77050800000001</v>
          </cell>
        </row>
        <row r="1884">
          <cell r="A1884">
            <v>44390</v>
          </cell>
          <cell r="B1884">
            <v>135.28054800000001</v>
          </cell>
        </row>
        <row r="1885">
          <cell r="A1885">
            <v>44391</v>
          </cell>
          <cell r="B1885">
            <v>136.21397400000001</v>
          </cell>
        </row>
        <row r="1886">
          <cell r="A1886">
            <v>44392</v>
          </cell>
          <cell r="B1886">
            <v>136.319839</v>
          </cell>
        </row>
        <row r="1887">
          <cell r="A1887">
            <v>44393</v>
          </cell>
          <cell r="B1887">
            <v>136.22358700000001</v>
          </cell>
        </row>
        <row r="1888">
          <cell r="A1888">
            <v>44396</v>
          </cell>
          <cell r="B1888">
            <v>135.90602100000001</v>
          </cell>
        </row>
        <row r="1889">
          <cell r="A1889">
            <v>44397</v>
          </cell>
          <cell r="B1889">
            <v>136.52188100000001</v>
          </cell>
        </row>
        <row r="1890">
          <cell r="A1890">
            <v>44398</v>
          </cell>
          <cell r="B1890">
            <v>135.848297</v>
          </cell>
        </row>
        <row r="1891">
          <cell r="A1891">
            <v>44399</v>
          </cell>
          <cell r="B1891">
            <v>135.944534</v>
          </cell>
        </row>
        <row r="1892">
          <cell r="A1892">
            <v>44400</v>
          </cell>
          <cell r="B1892">
            <v>137.060776</v>
          </cell>
        </row>
        <row r="1893">
          <cell r="A1893">
            <v>44403</v>
          </cell>
          <cell r="B1893">
            <v>137.25325000000001</v>
          </cell>
        </row>
        <row r="1894">
          <cell r="A1894">
            <v>44404</v>
          </cell>
          <cell r="B1894">
            <v>137.26286300000001</v>
          </cell>
        </row>
        <row r="1895">
          <cell r="A1895">
            <v>44405</v>
          </cell>
          <cell r="B1895">
            <v>136.70474200000001</v>
          </cell>
        </row>
        <row r="1896">
          <cell r="A1896">
            <v>44406</v>
          </cell>
          <cell r="B1896">
            <v>136.87794500000001</v>
          </cell>
        </row>
        <row r="1897">
          <cell r="A1897">
            <v>44407</v>
          </cell>
          <cell r="B1897">
            <v>137.17628500000001</v>
          </cell>
        </row>
        <row r="1898">
          <cell r="A1898">
            <v>44410</v>
          </cell>
          <cell r="B1898">
            <v>136.85871900000001</v>
          </cell>
        </row>
        <row r="1899">
          <cell r="A1899">
            <v>44411</v>
          </cell>
          <cell r="B1899">
            <v>138.39840699999999</v>
          </cell>
        </row>
        <row r="1900">
          <cell r="A1900">
            <v>44412</v>
          </cell>
          <cell r="B1900">
            <v>137.45533800000001</v>
          </cell>
        </row>
        <row r="1901">
          <cell r="A1901">
            <v>44413</v>
          </cell>
          <cell r="B1901">
            <v>140.00543200000001</v>
          </cell>
        </row>
        <row r="1902">
          <cell r="A1902">
            <v>44414</v>
          </cell>
          <cell r="B1902">
            <v>139.75526400000001</v>
          </cell>
        </row>
        <row r="1903">
          <cell r="A1903">
            <v>44417</v>
          </cell>
          <cell r="B1903">
            <v>140.09204099999999</v>
          </cell>
        </row>
        <row r="1904">
          <cell r="A1904">
            <v>44418</v>
          </cell>
          <cell r="B1904">
            <v>143.07517999999999</v>
          </cell>
        </row>
        <row r="1905">
          <cell r="A1905">
            <v>44419</v>
          </cell>
          <cell r="B1905">
            <v>144.355042</v>
          </cell>
        </row>
        <row r="1906">
          <cell r="A1906">
            <v>44420</v>
          </cell>
          <cell r="B1906">
            <v>143.968704</v>
          </cell>
        </row>
        <row r="1907">
          <cell r="A1907">
            <v>44421</v>
          </cell>
          <cell r="B1907">
            <v>144.422684</v>
          </cell>
        </row>
        <row r="1908">
          <cell r="A1908">
            <v>44424</v>
          </cell>
          <cell r="B1908">
            <v>145.60098300000001</v>
          </cell>
        </row>
        <row r="1909">
          <cell r="A1909">
            <v>44425</v>
          </cell>
          <cell r="B1909">
            <v>145.55270400000001</v>
          </cell>
        </row>
        <row r="1910">
          <cell r="A1910">
            <v>44426</v>
          </cell>
          <cell r="B1910">
            <v>144.00735499999999</v>
          </cell>
        </row>
        <row r="1911">
          <cell r="A1911">
            <v>44427</v>
          </cell>
          <cell r="B1911">
            <v>144.98284899999999</v>
          </cell>
        </row>
        <row r="1912">
          <cell r="A1912">
            <v>44428</v>
          </cell>
          <cell r="B1912">
            <v>146.277084</v>
          </cell>
        </row>
        <row r="1913">
          <cell r="A1913">
            <v>44431</v>
          </cell>
          <cell r="B1913">
            <v>145.31123400000001</v>
          </cell>
        </row>
        <row r="1914">
          <cell r="A1914">
            <v>44432</v>
          </cell>
          <cell r="B1914">
            <v>143.81416300000001</v>
          </cell>
        </row>
        <row r="1915">
          <cell r="A1915">
            <v>44433</v>
          </cell>
          <cell r="B1915">
            <v>143.87211600000001</v>
          </cell>
        </row>
        <row r="1916">
          <cell r="A1916">
            <v>44434</v>
          </cell>
          <cell r="B1916">
            <v>142.31710799999999</v>
          </cell>
        </row>
        <row r="1917">
          <cell r="A1917">
            <v>44435</v>
          </cell>
          <cell r="B1917">
            <v>141.51547199999999</v>
          </cell>
        </row>
        <row r="1918">
          <cell r="A1918">
            <v>44438</v>
          </cell>
          <cell r="B1918">
            <v>142.65516700000001</v>
          </cell>
        </row>
        <row r="1919">
          <cell r="A1919">
            <v>44439</v>
          </cell>
          <cell r="B1919">
            <v>143.04151899999999</v>
          </cell>
        </row>
        <row r="1920">
          <cell r="A1920">
            <v>44440</v>
          </cell>
          <cell r="B1920">
            <v>142.73240699999999</v>
          </cell>
        </row>
        <row r="1921">
          <cell r="A1921">
            <v>44441</v>
          </cell>
          <cell r="B1921">
            <v>143.48576399999999</v>
          </cell>
        </row>
        <row r="1922">
          <cell r="A1922">
            <v>44442</v>
          </cell>
          <cell r="B1922">
            <v>144.15220600000001</v>
          </cell>
        </row>
        <row r="1923">
          <cell r="A1923">
            <v>44446</v>
          </cell>
          <cell r="B1923">
            <v>142.23983799999999</v>
          </cell>
        </row>
        <row r="1924">
          <cell r="A1924">
            <v>44447</v>
          </cell>
          <cell r="B1924">
            <v>142.42335499999999</v>
          </cell>
        </row>
        <row r="1925">
          <cell r="A1925">
            <v>44448</v>
          </cell>
          <cell r="B1925">
            <v>141.41888399999999</v>
          </cell>
        </row>
        <row r="1926">
          <cell r="A1926">
            <v>44449</v>
          </cell>
          <cell r="B1926">
            <v>140.90696700000001</v>
          </cell>
        </row>
        <row r="1927">
          <cell r="A1927">
            <v>44452</v>
          </cell>
          <cell r="B1927">
            <v>140.10533100000001</v>
          </cell>
        </row>
        <row r="1928">
          <cell r="A1928">
            <v>44453</v>
          </cell>
          <cell r="B1928">
            <v>139.37129200000001</v>
          </cell>
        </row>
        <row r="1929">
          <cell r="A1929">
            <v>44454</v>
          </cell>
          <cell r="B1929">
            <v>139.61274700000001</v>
          </cell>
        </row>
        <row r="1930">
          <cell r="A1930">
            <v>44455</v>
          </cell>
          <cell r="B1930">
            <v>140.07635500000001</v>
          </cell>
        </row>
        <row r="1931">
          <cell r="A1931">
            <v>44456</v>
          </cell>
          <cell r="B1931">
            <v>139.78660600000001</v>
          </cell>
        </row>
        <row r="1932">
          <cell r="A1932">
            <v>44459</v>
          </cell>
          <cell r="B1932">
            <v>137.86457799999999</v>
          </cell>
        </row>
        <row r="1933">
          <cell r="A1933">
            <v>44460</v>
          </cell>
          <cell r="B1933">
            <v>138.13500999999999</v>
          </cell>
        </row>
        <row r="1934">
          <cell r="A1934">
            <v>44461</v>
          </cell>
          <cell r="B1934">
            <v>137.816284</v>
          </cell>
        </row>
        <row r="1935">
          <cell r="A1935">
            <v>44462</v>
          </cell>
          <cell r="B1935">
            <v>137.89355499999999</v>
          </cell>
        </row>
        <row r="1936">
          <cell r="A1936">
            <v>44463</v>
          </cell>
          <cell r="B1936">
            <v>138.279877</v>
          </cell>
        </row>
        <row r="1937">
          <cell r="A1937">
            <v>44466</v>
          </cell>
          <cell r="B1937">
            <v>137.391312</v>
          </cell>
        </row>
        <row r="1938">
          <cell r="A1938">
            <v>44467</v>
          </cell>
          <cell r="B1938">
            <v>135.701065</v>
          </cell>
        </row>
        <row r="1939">
          <cell r="A1939">
            <v>44468</v>
          </cell>
          <cell r="B1939">
            <v>135.64312699999999</v>
          </cell>
        </row>
        <row r="1940">
          <cell r="A1940">
            <v>44469</v>
          </cell>
          <cell r="B1940">
            <v>134.61935399999999</v>
          </cell>
        </row>
        <row r="1941">
          <cell r="A1941">
            <v>44470</v>
          </cell>
          <cell r="B1941">
            <v>132.368942</v>
          </cell>
        </row>
        <row r="1942">
          <cell r="A1942">
            <v>44473</v>
          </cell>
          <cell r="B1942">
            <v>131.09397899999999</v>
          </cell>
        </row>
        <row r="1943">
          <cell r="A1943">
            <v>44474</v>
          </cell>
          <cell r="B1943">
            <v>131.95361299999999</v>
          </cell>
        </row>
        <row r="1944">
          <cell r="A1944">
            <v>44475</v>
          </cell>
          <cell r="B1944">
            <v>132.919479</v>
          </cell>
        </row>
        <row r="1945">
          <cell r="A1945">
            <v>44476</v>
          </cell>
          <cell r="B1945">
            <v>134.484116</v>
          </cell>
        </row>
        <row r="1946">
          <cell r="A1946">
            <v>44477</v>
          </cell>
          <cell r="B1946">
            <v>134.889771</v>
          </cell>
        </row>
        <row r="1947">
          <cell r="A1947">
            <v>44480</v>
          </cell>
          <cell r="B1947">
            <v>134.764206</v>
          </cell>
        </row>
        <row r="1948">
          <cell r="A1948">
            <v>44481</v>
          </cell>
          <cell r="B1948">
            <v>134.61935399999999</v>
          </cell>
        </row>
        <row r="1949">
          <cell r="A1949">
            <v>44482</v>
          </cell>
          <cell r="B1949">
            <v>133.64382900000001</v>
          </cell>
        </row>
        <row r="1950">
          <cell r="A1950">
            <v>44483</v>
          </cell>
          <cell r="B1950">
            <v>135.09262100000001</v>
          </cell>
        </row>
        <row r="1951">
          <cell r="A1951">
            <v>44484</v>
          </cell>
          <cell r="B1951">
            <v>135.74939000000001</v>
          </cell>
        </row>
        <row r="1952">
          <cell r="A1952">
            <v>44487</v>
          </cell>
          <cell r="B1952">
            <v>136.84079</v>
          </cell>
        </row>
        <row r="1953">
          <cell r="A1953">
            <v>44488</v>
          </cell>
          <cell r="B1953">
            <v>139.74797100000001</v>
          </cell>
        </row>
        <row r="1954">
          <cell r="A1954">
            <v>44489</v>
          </cell>
          <cell r="B1954">
            <v>141.01319899999999</v>
          </cell>
        </row>
        <row r="1955">
          <cell r="A1955">
            <v>44490</v>
          </cell>
          <cell r="B1955">
            <v>141.79556299999999</v>
          </cell>
        </row>
        <row r="1956">
          <cell r="A1956">
            <v>44491</v>
          </cell>
          <cell r="B1956">
            <v>143.27330000000001</v>
          </cell>
        </row>
        <row r="1957">
          <cell r="A1957">
            <v>44494</v>
          </cell>
          <cell r="B1957">
            <v>144.93454</v>
          </cell>
        </row>
        <row r="1958">
          <cell r="A1958">
            <v>44495</v>
          </cell>
          <cell r="B1958">
            <v>143.669296</v>
          </cell>
        </row>
        <row r="1959">
          <cell r="A1959">
            <v>44496</v>
          </cell>
          <cell r="B1959">
            <v>142.49096700000001</v>
          </cell>
        </row>
        <row r="1960">
          <cell r="A1960">
            <v>44497</v>
          </cell>
          <cell r="B1960">
            <v>143.379547</v>
          </cell>
        </row>
        <row r="1961">
          <cell r="A1961">
            <v>44498</v>
          </cell>
          <cell r="B1961">
            <v>144.31643700000001</v>
          </cell>
        </row>
        <row r="1962">
          <cell r="A1962">
            <v>44501</v>
          </cell>
          <cell r="B1962">
            <v>144.67373699999999</v>
          </cell>
        </row>
        <row r="1963">
          <cell r="A1963">
            <v>44502</v>
          </cell>
          <cell r="B1963">
            <v>144.60617099999999</v>
          </cell>
        </row>
        <row r="1964">
          <cell r="A1964">
            <v>44503</v>
          </cell>
          <cell r="B1964">
            <v>145.05046100000001</v>
          </cell>
        </row>
        <row r="1965">
          <cell r="A1965">
            <v>44504</v>
          </cell>
          <cell r="B1965">
            <v>146.11286899999999</v>
          </cell>
        </row>
        <row r="1966">
          <cell r="A1966">
            <v>44505</v>
          </cell>
          <cell r="B1966">
            <v>145.09873999999999</v>
          </cell>
        </row>
        <row r="1967">
          <cell r="A1967">
            <v>44508</v>
          </cell>
          <cell r="B1967">
            <v>144.17152400000001</v>
          </cell>
        </row>
        <row r="1968">
          <cell r="A1968">
            <v>44509</v>
          </cell>
          <cell r="B1968">
            <v>144.67373699999999</v>
          </cell>
        </row>
        <row r="1969">
          <cell r="A1969">
            <v>44510</v>
          </cell>
          <cell r="B1969">
            <v>143.369888</v>
          </cell>
        </row>
        <row r="1970">
          <cell r="A1970">
            <v>44511</v>
          </cell>
          <cell r="B1970">
            <v>143.42782600000001</v>
          </cell>
        </row>
        <row r="1971">
          <cell r="A1971">
            <v>44512</v>
          </cell>
          <cell r="B1971">
            <v>142.71312</v>
          </cell>
        </row>
        <row r="1972">
          <cell r="A1972">
            <v>44515</v>
          </cell>
          <cell r="B1972">
            <v>141.892166</v>
          </cell>
        </row>
        <row r="1973">
          <cell r="A1973">
            <v>44516</v>
          </cell>
          <cell r="B1973">
            <v>138.279877</v>
          </cell>
        </row>
        <row r="1974">
          <cell r="A1974">
            <v>44517</v>
          </cell>
          <cell r="B1974">
            <v>137.091904</v>
          </cell>
        </row>
        <row r="1975">
          <cell r="A1975">
            <v>44518</v>
          </cell>
          <cell r="B1975">
            <v>138.270218</v>
          </cell>
        </row>
        <row r="1976">
          <cell r="A1976">
            <v>44519</v>
          </cell>
          <cell r="B1976">
            <v>137.52654999999999</v>
          </cell>
        </row>
        <row r="1977">
          <cell r="A1977">
            <v>44522</v>
          </cell>
          <cell r="B1977">
            <v>139.8349</v>
          </cell>
        </row>
        <row r="1978">
          <cell r="A1978">
            <v>44523</v>
          </cell>
          <cell r="B1978">
            <v>140.82968099999999</v>
          </cell>
        </row>
        <row r="1979">
          <cell r="A1979">
            <v>44524</v>
          </cell>
          <cell r="B1979">
            <v>141.534775</v>
          </cell>
        </row>
        <row r="1980">
          <cell r="A1980">
            <v>44526</v>
          </cell>
          <cell r="B1980">
            <v>139.95079000000001</v>
          </cell>
        </row>
        <row r="1981">
          <cell r="A1981">
            <v>44529</v>
          </cell>
          <cell r="B1981">
            <v>137.758331</v>
          </cell>
        </row>
        <row r="1982">
          <cell r="A1982">
            <v>44530</v>
          </cell>
          <cell r="B1982">
            <v>135.82666</v>
          </cell>
        </row>
        <row r="1983">
          <cell r="A1983">
            <v>44531</v>
          </cell>
          <cell r="B1983">
            <v>132.455872</v>
          </cell>
        </row>
        <row r="1984">
          <cell r="A1984">
            <v>44532</v>
          </cell>
          <cell r="B1984">
            <v>130.84288000000001</v>
          </cell>
        </row>
        <row r="1985">
          <cell r="A1985">
            <v>44533</v>
          </cell>
          <cell r="B1985">
            <v>132.81320199999999</v>
          </cell>
        </row>
        <row r="1986">
          <cell r="A1986">
            <v>44536</v>
          </cell>
          <cell r="B1986">
            <v>134.252319</v>
          </cell>
        </row>
        <row r="1987">
          <cell r="A1987">
            <v>44537</v>
          </cell>
          <cell r="B1987">
            <v>133.81770299999999</v>
          </cell>
        </row>
        <row r="1988">
          <cell r="A1988">
            <v>44538</v>
          </cell>
          <cell r="B1988">
            <v>132.46549999999999</v>
          </cell>
        </row>
        <row r="1989">
          <cell r="A1989">
            <v>44539</v>
          </cell>
          <cell r="B1989">
            <v>134.307999</v>
          </cell>
        </row>
        <row r="1990">
          <cell r="A1990">
            <v>44540</v>
          </cell>
          <cell r="B1990">
            <v>136.761414</v>
          </cell>
        </row>
        <row r="1991">
          <cell r="A1991">
            <v>44543</v>
          </cell>
          <cell r="B1991">
            <v>139.224548</v>
          </cell>
        </row>
        <row r="1992">
          <cell r="A1992">
            <v>44544</v>
          </cell>
          <cell r="B1992">
            <v>140.55306999999999</v>
          </cell>
        </row>
        <row r="1993">
          <cell r="A1993">
            <v>44545</v>
          </cell>
          <cell r="B1993">
            <v>141.35797099999999</v>
          </cell>
        </row>
        <row r="1994">
          <cell r="A1994">
            <v>44546</v>
          </cell>
          <cell r="B1994">
            <v>139.00151099999999</v>
          </cell>
        </row>
        <row r="1995">
          <cell r="A1995">
            <v>44547</v>
          </cell>
          <cell r="B1995">
            <v>134.55043000000001</v>
          </cell>
        </row>
        <row r="1996">
          <cell r="A1996">
            <v>44550</v>
          </cell>
          <cell r="B1996">
            <v>134.98683199999999</v>
          </cell>
        </row>
        <row r="1997">
          <cell r="A1997">
            <v>44551</v>
          </cell>
          <cell r="B1997">
            <v>135.394104</v>
          </cell>
        </row>
        <row r="1998">
          <cell r="A1998">
            <v>44552</v>
          </cell>
          <cell r="B1998">
            <v>135.568634</v>
          </cell>
        </row>
        <row r="1999">
          <cell r="A1999">
            <v>44553</v>
          </cell>
          <cell r="B1999">
            <v>135.26805100000001</v>
          </cell>
        </row>
        <row r="2000">
          <cell r="A2000">
            <v>44557</v>
          </cell>
          <cell r="B2000">
            <v>136.499573</v>
          </cell>
        </row>
        <row r="2001">
          <cell r="A2001">
            <v>44558</v>
          </cell>
          <cell r="B2001">
            <v>138.45846599999999</v>
          </cell>
        </row>
        <row r="2002">
          <cell r="A2002">
            <v>44559</v>
          </cell>
          <cell r="B2002">
            <v>138.39056400000001</v>
          </cell>
        </row>
        <row r="2003">
          <cell r="A2003">
            <v>44560</v>
          </cell>
          <cell r="B2003">
            <v>138.83663899999999</v>
          </cell>
        </row>
        <row r="2004">
          <cell r="A2004">
            <v>44561</v>
          </cell>
          <cell r="B2004">
            <v>140.31063800000001</v>
          </cell>
        </row>
        <row r="2005">
          <cell r="A2005">
            <v>44564</v>
          </cell>
          <cell r="B2005">
            <v>140.271851</v>
          </cell>
        </row>
        <row r="2006">
          <cell r="A2006">
            <v>44565</v>
          </cell>
          <cell r="B2006">
            <v>137.702057</v>
          </cell>
        </row>
        <row r="2007">
          <cell r="A2007">
            <v>44566</v>
          </cell>
          <cell r="B2007">
            <v>139.56393399999999</v>
          </cell>
        </row>
        <row r="2008">
          <cell r="A2008">
            <v>44567</v>
          </cell>
          <cell r="B2008">
            <v>139.17607100000001</v>
          </cell>
        </row>
        <row r="2009">
          <cell r="A2009">
            <v>44568</v>
          </cell>
          <cell r="B2009">
            <v>140.504593</v>
          </cell>
        </row>
        <row r="2010">
          <cell r="A2010">
            <v>44571</v>
          </cell>
          <cell r="B2010">
            <v>140.23307800000001</v>
          </cell>
        </row>
        <row r="2011">
          <cell r="A2011">
            <v>44572</v>
          </cell>
          <cell r="B2011">
            <v>139.83549500000001</v>
          </cell>
        </row>
        <row r="2012">
          <cell r="A2012">
            <v>44573</v>
          </cell>
          <cell r="B2012">
            <v>139.09848</v>
          </cell>
        </row>
        <row r="2013">
          <cell r="A2013">
            <v>44574</v>
          </cell>
          <cell r="B2013">
            <v>141.067047</v>
          </cell>
        </row>
        <row r="2014">
          <cell r="A2014">
            <v>44575</v>
          </cell>
          <cell r="B2014">
            <v>140.66944899999999</v>
          </cell>
        </row>
        <row r="2015">
          <cell r="A2015">
            <v>44579</v>
          </cell>
          <cell r="B2015">
            <v>138.20631399999999</v>
          </cell>
        </row>
        <row r="2016">
          <cell r="A2016">
            <v>44580</v>
          </cell>
          <cell r="B2016">
            <v>139.58332799999999</v>
          </cell>
        </row>
        <row r="2017">
          <cell r="A2017">
            <v>44581</v>
          </cell>
          <cell r="B2017">
            <v>136.94567900000001</v>
          </cell>
        </row>
        <row r="2018">
          <cell r="A2018">
            <v>44582</v>
          </cell>
          <cell r="B2018">
            <v>135.94683800000001</v>
          </cell>
        </row>
        <row r="2019">
          <cell r="A2019">
            <v>44585</v>
          </cell>
          <cell r="B2019">
            <v>135.95657299999999</v>
          </cell>
        </row>
        <row r="2020">
          <cell r="A2020">
            <v>44586</v>
          </cell>
          <cell r="B2020">
            <v>132.99884</v>
          </cell>
        </row>
        <row r="2021">
          <cell r="A2021">
            <v>44587</v>
          </cell>
          <cell r="B2021">
            <v>131.64125100000001</v>
          </cell>
        </row>
        <row r="2022">
          <cell r="A2022">
            <v>44588</v>
          </cell>
          <cell r="B2022">
            <v>131.7285</v>
          </cell>
        </row>
        <row r="2023">
          <cell r="A2023">
            <v>44589</v>
          </cell>
          <cell r="B2023">
            <v>133.357651</v>
          </cell>
        </row>
        <row r="2024">
          <cell r="A2024">
            <v>44592</v>
          </cell>
          <cell r="B2024">
            <v>135.578339</v>
          </cell>
        </row>
        <row r="2025">
          <cell r="A2025">
            <v>44593</v>
          </cell>
          <cell r="B2025">
            <v>136.64506499999999</v>
          </cell>
        </row>
        <row r="2026">
          <cell r="A2026">
            <v>44594</v>
          </cell>
          <cell r="B2026">
            <v>136.58689899999999</v>
          </cell>
        </row>
        <row r="2027">
          <cell r="A2027">
            <v>44595</v>
          </cell>
          <cell r="B2027">
            <v>136.722656</v>
          </cell>
        </row>
        <row r="2028">
          <cell r="A2028">
            <v>44596</v>
          </cell>
          <cell r="B2028">
            <v>135.1129</v>
          </cell>
        </row>
        <row r="2029">
          <cell r="A2029">
            <v>44599</v>
          </cell>
          <cell r="B2029">
            <v>133.78431699999999</v>
          </cell>
        </row>
        <row r="2030">
          <cell r="A2030">
            <v>44600</v>
          </cell>
          <cell r="B2030">
            <v>133.813446</v>
          </cell>
        </row>
        <row r="2031">
          <cell r="A2031">
            <v>44601</v>
          </cell>
          <cell r="B2031">
            <v>133.52250699999999</v>
          </cell>
        </row>
        <row r="2032">
          <cell r="A2032">
            <v>44602</v>
          </cell>
          <cell r="B2032">
            <v>131.96125799999999</v>
          </cell>
        </row>
        <row r="2033">
          <cell r="A2033">
            <v>44603</v>
          </cell>
          <cell r="B2033">
            <v>131.233948</v>
          </cell>
        </row>
        <row r="2034">
          <cell r="A2034">
            <v>44606</v>
          </cell>
          <cell r="B2034">
            <v>129.89572100000001</v>
          </cell>
        </row>
        <row r="2035">
          <cell r="A2035">
            <v>44607</v>
          </cell>
          <cell r="B2035">
            <v>130.303009</v>
          </cell>
        </row>
        <row r="2036">
          <cell r="A2036">
            <v>44608</v>
          </cell>
          <cell r="B2036">
            <v>129.48841899999999</v>
          </cell>
        </row>
        <row r="2037">
          <cell r="A2037">
            <v>44609</v>
          </cell>
          <cell r="B2037">
            <v>134.67649800000001</v>
          </cell>
        </row>
        <row r="2038">
          <cell r="A2038">
            <v>44610</v>
          </cell>
          <cell r="B2038">
            <v>133.813446</v>
          </cell>
        </row>
        <row r="2039">
          <cell r="A2039">
            <v>44614</v>
          </cell>
          <cell r="B2039">
            <v>132.32002299999999</v>
          </cell>
        </row>
        <row r="2040">
          <cell r="A2040">
            <v>44615</v>
          </cell>
          <cell r="B2040">
            <v>130.96241800000001</v>
          </cell>
        </row>
        <row r="2041">
          <cell r="A2041">
            <v>44616</v>
          </cell>
          <cell r="B2041">
            <v>130.458145</v>
          </cell>
        </row>
        <row r="2042">
          <cell r="A2042">
            <v>44617</v>
          </cell>
          <cell r="B2042">
            <v>132.25216699999999</v>
          </cell>
        </row>
        <row r="2043">
          <cell r="A2043">
            <v>44620</v>
          </cell>
          <cell r="B2043">
            <v>131.069107</v>
          </cell>
        </row>
        <row r="2044">
          <cell r="A2044">
            <v>44621</v>
          </cell>
          <cell r="B2044">
            <v>131.87397799999999</v>
          </cell>
        </row>
        <row r="2045">
          <cell r="A2045">
            <v>44622</v>
          </cell>
          <cell r="B2045">
            <v>132.03883400000001</v>
          </cell>
        </row>
        <row r="2046">
          <cell r="A2046">
            <v>44623</v>
          </cell>
          <cell r="B2046">
            <v>135.07406599999999</v>
          </cell>
        </row>
        <row r="2047">
          <cell r="A2047">
            <v>44624</v>
          </cell>
          <cell r="B2047">
            <v>138.497253</v>
          </cell>
        </row>
        <row r="2048">
          <cell r="A2048">
            <v>44627</v>
          </cell>
          <cell r="B2048">
            <v>137.382034</v>
          </cell>
        </row>
        <row r="2049">
          <cell r="A2049">
            <v>44628</v>
          </cell>
          <cell r="B2049">
            <v>134.54075599999999</v>
          </cell>
        </row>
        <row r="2050">
          <cell r="A2050">
            <v>44629</v>
          </cell>
          <cell r="B2050">
            <v>135.23895300000001</v>
          </cell>
        </row>
        <row r="2051">
          <cell r="A2051">
            <v>44630</v>
          </cell>
          <cell r="B2051">
            <v>138.31298799999999</v>
          </cell>
        </row>
        <row r="2052">
          <cell r="A2052">
            <v>44631</v>
          </cell>
          <cell r="B2052">
            <v>137.769958</v>
          </cell>
        </row>
        <row r="2053">
          <cell r="A2053">
            <v>44634</v>
          </cell>
          <cell r="B2053">
            <v>139.69000199999999</v>
          </cell>
        </row>
        <row r="2054">
          <cell r="A2054">
            <v>44635</v>
          </cell>
          <cell r="B2054">
            <v>141.36762999999999</v>
          </cell>
        </row>
        <row r="2055">
          <cell r="A2055">
            <v>44636</v>
          </cell>
          <cell r="B2055">
            <v>140.95066800000001</v>
          </cell>
        </row>
        <row r="2056">
          <cell r="A2056">
            <v>44637</v>
          </cell>
          <cell r="B2056">
            <v>141.164841</v>
          </cell>
        </row>
        <row r="2057">
          <cell r="A2057">
            <v>44638</v>
          </cell>
          <cell r="B2057">
            <v>141.58343500000001</v>
          </cell>
        </row>
        <row r="2058">
          <cell r="A2058">
            <v>44641</v>
          </cell>
          <cell r="B2058">
            <v>140.405518</v>
          </cell>
        </row>
        <row r="2059">
          <cell r="A2059">
            <v>44642</v>
          </cell>
          <cell r="B2059">
            <v>139.98692299999999</v>
          </cell>
        </row>
        <row r="2060">
          <cell r="A2060">
            <v>44643</v>
          </cell>
          <cell r="B2060">
            <v>138.18598900000001</v>
          </cell>
        </row>
        <row r="2061">
          <cell r="A2061">
            <v>44644</v>
          </cell>
          <cell r="B2061">
            <v>139.042633</v>
          </cell>
        </row>
        <row r="2062">
          <cell r="A2062">
            <v>44645</v>
          </cell>
          <cell r="B2062">
            <v>139.64619400000001</v>
          </cell>
        </row>
        <row r="2063">
          <cell r="A2063">
            <v>44648</v>
          </cell>
          <cell r="B2063">
            <v>142.12855500000001</v>
          </cell>
        </row>
        <row r="2064">
          <cell r="A2064">
            <v>44649</v>
          </cell>
          <cell r="B2064">
            <v>143.325943</v>
          </cell>
        </row>
        <row r="2065">
          <cell r="A2065">
            <v>44650</v>
          </cell>
          <cell r="B2065">
            <v>145.89595</v>
          </cell>
        </row>
        <row r="2066">
          <cell r="A2066">
            <v>44651</v>
          </cell>
          <cell r="B2066">
            <v>144.971161</v>
          </cell>
        </row>
        <row r="2067">
          <cell r="A2067">
            <v>44652</v>
          </cell>
          <cell r="B2067">
            <v>147.005753</v>
          </cell>
        </row>
        <row r="2068">
          <cell r="A2068">
            <v>44655</v>
          </cell>
          <cell r="B2068">
            <v>147.034943</v>
          </cell>
        </row>
        <row r="2069">
          <cell r="A2069">
            <v>44656</v>
          </cell>
          <cell r="B2069">
            <v>147.45353700000001</v>
          </cell>
        </row>
        <row r="2070">
          <cell r="A2070">
            <v>44657</v>
          </cell>
          <cell r="B2070">
            <v>150.88020299999999</v>
          </cell>
        </row>
        <row r="2071">
          <cell r="A2071">
            <v>44658</v>
          </cell>
          <cell r="B2071">
            <v>152.38909899999999</v>
          </cell>
        </row>
        <row r="2072">
          <cell r="A2072">
            <v>44659</v>
          </cell>
          <cell r="B2072">
            <v>153.23603800000001</v>
          </cell>
        </row>
        <row r="2073">
          <cell r="A2073">
            <v>44662</v>
          </cell>
          <cell r="B2073">
            <v>150.198746</v>
          </cell>
        </row>
        <row r="2074">
          <cell r="A2074">
            <v>44663</v>
          </cell>
          <cell r="B2074">
            <v>149.16686999999999</v>
          </cell>
        </row>
        <row r="2075">
          <cell r="A2075">
            <v>44664</v>
          </cell>
          <cell r="B2075">
            <v>153.05107100000001</v>
          </cell>
        </row>
        <row r="2076">
          <cell r="A2076">
            <v>44665</v>
          </cell>
          <cell r="B2076">
            <v>152.91478000000001</v>
          </cell>
        </row>
        <row r="2077">
          <cell r="A2077">
            <v>44669</v>
          </cell>
          <cell r="B2077">
            <v>151.74659700000001</v>
          </cell>
        </row>
        <row r="2078">
          <cell r="A2078">
            <v>44670</v>
          </cell>
          <cell r="B2078">
            <v>153.46966599999999</v>
          </cell>
        </row>
        <row r="2079">
          <cell r="A2079">
            <v>44671</v>
          </cell>
          <cell r="B2079">
            <v>155.39717099999999</v>
          </cell>
        </row>
        <row r="2080">
          <cell r="A2080">
            <v>44672</v>
          </cell>
          <cell r="B2080">
            <v>155.630798</v>
          </cell>
        </row>
        <row r="2081">
          <cell r="A2081">
            <v>44673</v>
          </cell>
          <cell r="B2081">
            <v>152.70062300000001</v>
          </cell>
        </row>
        <row r="2082">
          <cell r="A2082">
            <v>44676</v>
          </cell>
          <cell r="B2082">
            <v>152.77848800000001</v>
          </cell>
        </row>
        <row r="2083">
          <cell r="A2083">
            <v>44677</v>
          </cell>
          <cell r="B2083">
            <v>151.18197599999999</v>
          </cell>
        </row>
        <row r="2084">
          <cell r="A2084">
            <v>44678</v>
          </cell>
          <cell r="B2084">
            <v>150.15010100000001</v>
          </cell>
        </row>
        <row r="2085">
          <cell r="A2085">
            <v>44679</v>
          </cell>
          <cell r="B2085">
            <v>152.06785600000001</v>
          </cell>
        </row>
        <row r="2086">
          <cell r="A2086">
            <v>44680</v>
          </cell>
          <cell r="B2086">
            <v>148.933243</v>
          </cell>
        </row>
        <row r="2087">
          <cell r="A2087">
            <v>44683</v>
          </cell>
          <cell r="B2087">
            <v>147.949997</v>
          </cell>
        </row>
        <row r="2088">
          <cell r="A2088">
            <v>44684</v>
          </cell>
          <cell r="B2088">
            <v>148.465958</v>
          </cell>
        </row>
        <row r="2089">
          <cell r="A2089">
            <v>44685</v>
          </cell>
          <cell r="B2089">
            <v>150.520004</v>
          </cell>
        </row>
        <row r="2090">
          <cell r="A2090">
            <v>44686</v>
          </cell>
          <cell r="B2090">
            <v>149.23034699999999</v>
          </cell>
        </row>
        <row r="2091">
          <cell r="A2091">
            <v>44687</v>
          </cell>
          <cell r="B2091">
            <v>146.12339800000001</v>
          </cell>
        </row>
        <row r="2092">
          <cell r="A2092">
            <v>44690</v>
          </cell>
          <cell r="B2092">
            <v>147.833191</v>
          </cell>
        </row>
        <row r="2093">
          <cell r="A2093">
            <v>44691</v>
          </cell>
          <cell r="B2093">
            <v>145.75213600000001</v>
          </cell>
        </row>
        <row r="2094">
          <cell r="A2094">
            <v>44692</v>
          </cell>
          <cell r="B2094">
            <v>144.227982</v>
          </cell>
        </row>
        <row r="2095">
          <cell r="A2095">
            <v>44693</v>
          </cell>
          <cell r="B2095">
            <v>144.09120200000001</v>
          </cell>
        </row>
        <row r="2096">
          <cell r="A2096">
            <v>44694</v>
          </cell>
          <cell r="B2096">
            <v>144.64810199999999</v>
          </cell>
        </row>
        <row r="2097">
          <cell r="A2097">
            <v>44697</v>
          </cell>
          <cell r="B2097">
            <v>144.80444299999999</v>
          </cell>
        </row>
        <row r="2098">
          <cell r="A2098">
            <v>44698</v>
          </cell>
          <cell r="B2098">
            <v>128.33184800000001</v>
          </cell>
        </row>
        <row r="2099">
          <cell r="A2099">
            <v>44699</v>
          </cell>
          <cell r="B2099">
            <v>119.616798</v>
          </cell>
        </row>
        <row r="2100">
          <cell r="A2100">
            <v>44700</v>
          </cell>
          <cell r="B2100">
            <v>116.334007</v>
          </cell>
        </row>
        <row r="2101">
          <cell r="A2101">
            <v>44701</v>
          </cell>
          <cell r="B2101">
            <v>116.461021</v>
          </cell>
        </row>
        <row r="2102">
          <cell r="A2102">
            <v>44704</v>
          </cell>
          <cell r="B2102">
            <v>119.782906</v>
          </cell>
        </row>
        <row r="2103">
          <cell r="A2103">
            <v>44705</v>
          </cell>
          <cell r="B2103">
            <v>121.277748</v>
          </cell>
        </row>
        <row r="2104">
          <cell r="A2104">
            <v>44706</v>
          </cell>
          <cell r="B2104">
            <v>120.535202</v>
          </cell>
        </row>
        <row r="2105">
          <cell r="A2105">
            <v>44707</v>
          </cell>
          <cell r="B2105">
            <v>123.104767</v>
          </cell>
        </row>
        <row r="2106">
          <cell r="A2106">
            <v>44708</v>
          </cell>
          <cell r="B2106">
            <v>125.527779</v>
          </cell>
        </row>
        <row r="2107">
          <cell r="A2107">
            <v>44712</v>
          </cell>
          <cell r="B2107">
            <v>125.674347</v>
          </cell>
        </row>
        <row r="2108">
          <cell r="A2108">
            <v>44713</v>
          </cell>
          <cell r="B2108">
            <v>122.56740600000001</v>
          </cell>
        </row>
        <row r="2109">
          <cell r="A2109">
            <v>44714</v>
          </cell>
          <cell r="B2109">
            <v>124.580078</v>
          </cell>
        </row>
        <row r="2110">
          <cell r="A2110">
            <v>44715</v>
          </cell>
          <cell r="B2110">
            <v>122.440392</v>
          </cell>
        </row>
        <row r="2111">
          <cell r="A2111">
            <v>44718</v>
          </cell>
          <cell r="B2111">
            <v>122.000748</v>
          </cell>
        </row>
        <row r="2112">
          <cell r="A2112">
            <v>44719</v>
          </cell>
          <cell r="B2112">
            <v>120.535202</v>
          </cell>
        </row>
        <row r="2113">
          <cell r="A2113">
            <v>44720</v>
          </cell>
          <cell r="B2113">
            <v>119.48979199999999</v>
          </cell>
        </row>
        <row r="2114">
          <cell r="A2114">
            <v>44721</v>
          </cell>
          <cell r="B2114">
            <v>118.239197</v>
          </cell>
        </row>
        <row r="2115">
          <cell r="A2115">
            <v>44722</v>
          </cell>
          <cell r="B2115">
            <v>118.903572</v>
          </cell>
        </row>
        <row r="2116">
          <cell r="A2116">
            <v>44725</v>
          </cell>
          <cell r="B2116">
            <v>116.666206</v>
          </cell>
        </row>
        <row r="2117">
          <cell r="A2117">
            <v>44726</v>
          </cell>
          <cell r="B2117">
            <v>116.71505000000001</v>
          </cell>
        </row>
        <row r="2118">
          <cell r="A2118">
            <v>44727</v>
          </cell>
          <cell r="B2118">
            <v>116.636887</v>
          </cell>
        </row>
        <row r="2119">
          <cell r="A2119">
            <v>44728</v>
          </cell>
          <cell r="B2119">
            <v>117.848389</v>
          </cell>
        </row>
        <row r="2120">
          <cell r="A2120">
            <v>44729</v>
          </cell>
          <cell r="B2120">
            <v>115.57192999999999</v>
          </cell>
        </row>
        <row r="2121">
          <cell r="A2121">
            <v>44733</v>
          </cell>
          <cell r="B2121">
            <v>119.36277800000001</v>
          </cell>
        </row>
        <row r="2122">
          <cell r="A2122">
            <v>44734</v>
          </cell>
          <cell r="B2122">
            <v>117.91677900000001</v>
          </cell>
        </row>
        <row r="2123">
          <cell r="A2123">
            <v>44735</v>
          </cell>
          <cell r="B2123">
            <v>120.77945699999999</v>
          </cell>
        </row>
        <row r="2124">
          <cell r="A2124">
            <v>44736</v>
          </cell>
          <cell r="B2124">
            <v>120.87715900000001</v>
          </cell>
        </row>
        <row r="2125">
          <cell r="A2125">
            <v>44739</v>
          </cell>
          <cell r="B2125">
            <v>121.267982</v>
          </cell>
        </row>
        <row r="2126">
          <cell r="A2126">
            <v>44740</v>
          </cell>
          <cell r="B2126">
            <v>119.558182</v>
          </cell>
        </row>
        <row r="2127">
          <cell r="A2127">
            <v>44741</v>
          </cell>
          <cell r="B2127">
            <v>119.118523</v>
          </cell>
        </row>
        <row r="2128">
          <cell r="A2128">
            <v>44742</v>
          </cell>
          <cell r="B2128">
            <v>118.786331</v>
          </cell>
        </row>
        <row r="2129">
          <cell r="A2129">
            <v>44743</v>
          </cell>
          <cell r="B2129">
            <v>119.81220999999999</v>
          </cell>
        </row>
        <row r="2130">
          <cell r="A2130">
            <v>44747</v>
          </cell>
          <cell r="B2130">
            <v>121.394981</v>
          </cell>
        </row>
        <row r="2131">
          <cell r="A2131">
            <v>44748</v>
          </cell>
          <cell r="B2131">
            <v>122.25475299999999</v>
          </cell>
        </row>
        <row r="2132">
          <cell r="A2132">
            <v>44749</v>
          </cell>
          <cell r="B2132">
            <v>122.440392</v>
          </cell>
        </row>
        <row r="2133">
          <cell r="A2133">
            <v>44750</v>
          </cell>
          <cell r="B2133">
            <v>122.518562</v>
          </cell>
        </row>
        <row r="2134">
          <cell r="A2134">
            <v>44753</v>
          </cell>
          <cell r="B2134">
            <v>122.56740600000001</v>
          </cell>
        </row>
        <row r="2135">
          <cell r="A2135">
            <v>44754</v>
          </cell>
          <cell r="B2135">
            <v>122.196144</v>
          </cell>
        </row>
        <row r="2136">
          <cell r="A2136">
            <v>44755</v>
          </cell>
          <cell r="B2136">
            <v>122.48925800000001</v>
          </cell>
        </row>
        <row r="2137">
          <cell r="A2137">
            <v>44756</v>
          </cell>
          <cell r="B2137">
            <v>124.88294999999999</v>
          </cell>
        </row>
        <row r="2138">
          <cell r="A2138">
            <v>44757</v>
          </cell>
          <cell r="B2138">
            <v>126.10423299999999</v>
          </cell>
        </row>
        <row r="2139">
          <cell r="A2139">
            <v>44760</v>
          </cell>
          <cell r="B2139">
            <v>125.811127</v>
          </cell>
        </row>
        <row r="2140">
          <cell r="A2140">
            <v>44761</v>
          </cell>
          <cell r="B2140">
            <v>126.58297</v>
          </cell>
        </row>
        <row r="2141">
          <cell r="A2141">
            <v>44762</v>
          </cell>
          <cell r="B2141">
            <v>127.63814499999999</v>
          </cell>
        </row>
        <row r="2142">
          <cell r="A2142">
            <v>44763</v>
          </cell>
          <cell r="B2142">
            <v>129.504257</v>
          </cell>
        </row>
        <row r="2143">
          <cell r="A2143">
            <v>44764</v>
          </cell>
          <cell r="B2143">
            <v>129.172089</v>
          </cell>
        </row>
        <row r="2144">
          <cell r="A2144">
            <v>44767</v>
          </cell>
          <cell r="B2144">
            <v>128.986435</v>
          </cell>
        </row>
        <row r="2145">
          <cell r="A2145">
            <v>44768</v>
          </cell>
          <cell r="B2145">
            <v>119.17714700000001</v>
          </cell>
        </row>
        <row r="2146">
          <cell r="A2146">
            <v>44769</v>
          </cell>
          <cell r="B2146">
            <v>123.681206</v>
          </cell>
        </row>
        <row r="2147">
          <cell r="A2147">
            <v>44770</v>
          </cell>
          <cell r="B2147">
            <v>126.76860000000001</v>
          </cell>
        </row>
        <row r="2148">
          <cell r="A2148">
            <v>44771</v>
          </cell>
          <cell r="B2148">
            <v>129.015762</v>
          </cell>
        </row>
        <row r="2149">
          <cell r="A2149">
            <v>44774</v>
          </cell>
          <cell r="B2149">
            <v>129.49449200000001</v>
          </cell>
        </row>
        <row r="2150">
          <cell r="A2150">
            <v>44775</v>
          </cell>
          <cell r="B2150">
            <v>129.631271</v>
          </cell>
        </row>
        <row r="2151">
          <cell r="A2151">
            <v>44776</v>
          </cell>
          <cell r="B2151">
            <v>127.501373</v>
          </cell>
        </row>
        <row r="2152">
          <cell r="A2152">
            <v>44777</v>
          </cell>
          <cell r="B2152">
            <v>122.684647</v>
          </cell>
        </row>
        <row r="2153">
          <cell r="A2153">
            <v>44778</v>
          </cell>
          <cell r="B2153">
            <v>123.671448</v>
          </cell>
        </row>
        <row r="2154">
          <cell r="A2154">
            <v>44781</v>
          </cell>
          <cell r="B2154">
            <v>124.677773</v>
          </cell>
        </row>
        <row r="2155">
          <cell r="A2155">
            <v>44782</v>
          </cell>
          <cell r="B2155">
            <v>125.908821</v>
          </cell>
        </row>
        <row r="2156">
          <cell r="A2156">
            <v>44783</v>
          </cell>
          <cell r="B2156">
            <v>126.172623</v>
          </cell>
        </row>
        <row r="2157">
          <cell r="A2157">
            <v>44784</v>
          </cell>
          <cell r="B2157">
            <v>127.389404</v>
          </cell>
        </row>
        <row r="2158">
          <cell r="A2158">
            <v>44785</v>
          </cell>
          <cell r="B2158">
            <v>129.744461</v>
          </cell>
        </row>
        <row r="2159">
          <cell r="A2159">
            <v>44788</v>
          </cell>
          <cell r="B2159">
            <v>130.11737099999999</v>
          </cell>
        </row>
        <row r="2160">
          <cell r="A2160">
            <v>44789</v>
          </cell>
          <cell r="B2160">
            <v>136.760605</v>
          </cell>
        </row>
        <row r="2161">
          <cell r="A2161">
            <v>44790</v>
          </cell>
          <cell r="B2161">
            <v>136.907791</v>
          </cell>
        </row>
        <row r="2162">
          <cell r="A2162">
            <v>44791</v>
          </cell>
          <cell r="B2162">
            <v>136.466217</v>
          </cell>
        </row>
        <row r="2163">
          <cell r="A2163">
            <v>44792</v>
          </cell>
          <cell r="B2163">
            <v>134.45459</v>
          </cell>
        </row>
        <row r="2164">
          <cell r="A2164">
            <v>44795</v>
          </cell>
          <cell r="B2164">
            <v>132.05046100000001</v>
          </cell>
        </row>
        <row r="2165">
          <cell r="A2165">
            <v>44796</v>
          </cell>
          <cell r="B2165">
            <v>131.49113500000001</v>
          </cell>
        </row>
        <row r="2166">
          <cell r="A2166">
            <v>44797</v>
          </cell>
          <cell r="B2166">
            <v>132.442993</v>
          </cell>
        </row>
        <row r="2167">
          <cell r="A2167">
            <v>44798</v>
          </cell>
          <cell r="B2167">
            <v>133.32614100000001</v>
          </cell>
        </row>
        <row r="2168">
          <cell r="A2168">
            <v>44799</v>
          </cell>
          <cell r="B2168">
            <v>129.13609299999999</v>
          </cell>
        </row>
        <row r="2169">
          <cell r="A2169">
            <v>44802</v>
          </cell>
          <cell r="B2169">
            <v>130.39212000000001</v>
          </cell>
        </row>
        <row r="2170">
          <cell r="A2170">
            <v>44803</v>
          </cell>
          <cell r="B2170">
            <v>129.99960300000001</v>
          </cell>
        </row>
        <row r="2171">
          <cell r="A2171">
            <v>44804</v>
          </cell>
          <cell r="B2171">
            <v>130.068298</v>
          </cell>
        </row>
        <row r="2172">
          <cell r="A2172">
            <v>44805</v>
          </cell>
          <cell r="B2172">
            <v>131.962143</v>
          </cell>
        </row>
        <row r="2173">
          <cell r="A2173">
            <v>44806</v>
          </cell>
          <cell r="B2173">
            <v>130.50985700000001</v>
          </cell>
        </row>
        <row r="2174">
          <cell r="A2174">
            <v>44810</v>
          </cell>
          <cell r="B2174">
            <v>129.862213</v>
          </cell>
        </row>
        <row r="2175">
          <cell r="A2175">
            <v>44811</v>
          </cell>
          <cell r="B2175">
            <v>133.19856300000001</v>
          </cell>
        </row>
        <row r="2176">
          <cell r="A2176">
            <v>44812</v>
          </cell>
          <cell r="B2176">
            <v>133.87562600000001</v>
          </cell>
        </row>
        <row r="2177">
          <cell r="A2177">
            <v>44813</v>
          </cell>
          <cell r="B2177">
            <v>134.27795399999999</v>
          </cell>
        </row>
        <row r="2178">
          <cell r="A2178">
            <v>44816</v>
          </cell>
          <cell r="B2178">
            <v>135.48493999999999</v>
          </cell>
        </row>
        <row r="2179">
          <cell r="A2179">
            <v>44817</v>
          </cell>
          <cell r="B2179">
            <v>132.688309</v>
          </cell>
        </row>
        <row r="2180">
          <cell r="A2180">
            <v>44818</v>
          </cell>
          <cell r="B2180">
            <v>132.39392100000001</v>
          </cell>
        </row>
        <row r="2181">
          <cell r="A2181">
            <v>44819</v>
          </cell>
          <cell r="B2181">
            <v>130.97105400000001</v>
          </cell>
        </row>
        <row r="2182">
          <cell r="A2182">
            <v>44820</v>
          </cell>
          <cell r="B2182">
            <v>130.696304</v>
          </cell>
        </row>
        <row r="2183">
          <cell r="A2183">
            <v>44823</v>
          </cell>
          <cell r="B2183">
            <v>131.81497200000001</v>
          </cell>
        </row>
        <row r="2184">
          <cell r="A2184">
            <v>44824</v>
          </cell>
          <cell r="B2184">
            <v>131.049576</v>
          </cell>
        </row>
        <row r="2185">
          <cell r="A2185">
            <v>44825</v>
          </cell>
          <cell r="B2185">
            <v>132.246735</v>
          </cell>
        </row>
        <row r="2186">
          <cell r="A2186">
            <v>44826</v>
          </cell>
          <cell r="B2186">
            <v>130.89257799999999</v>
          </cell>
        </row>
        <row r="2187">
          <cell r="A2187">
            <v>44827</v>
          </cell>
          <cell r="B2187">
            <v>127.624916</v>
          </cell>
        </row>
        <row r="2188">
          <cell r="A2188">
            <v>44830</v>
          </cell>
          <cell r="B2188">
            <v>128.851517</v>
          </cell>
        </row>
        <row r="2189">
          <cell r="A2189">
            <v>44831</v>
          </cell>
          <cell r="B2189">
            <v>128.498245</v>
          </cell>
        </row>
        <row r="2190">
          <cell r="A2190">
            <v>44832</v>
          </cell>
          <cell r="B2190">
            <v>130.61779799999999</v>
          </cell>
        </row>
        <row r="2191">
          <cell r="A2191">
            <v>44833</v>
          </cell>
          <cell r="B2191">
            <v>129.77387999999999</v>
          </cell>
        </row>
        <row r="2192">
          <cell r="A2192">
            <v>44834</v>
          </cell>
          <cell r="B2192">
            <v>127.271652</v>
          </cell>
        </row>
        <row r="2193">
          <cell r="A2193">
            <v>44837</v>
          </cell>
          <cell r="B2193">
            <v>130.048676</v>
          </cell>
        </row>
        <row r="2194">
          <cell r="A2194">
            <v>44838</v>
          </cell>
          <cell r="B2194">
            <v>131.73644999999999</v>
          </cell>
        </row>
        <row r="2195">
          <cell r="A2195">
            <v>44839</v>
          </cell>
          <cell r="B2195">
            <v>130.43135100000001</v>
          </cell>
        </row>
        <row r="2196">
          <cell r="A2196">
            <v>44840</v>
          </cell>
          <cell r="B2196">
            <v>129.21456900000001</v>
          </cell>
        </row>
        <row r="2197">
          <cell r="A2197">
            <v>44841</v>
          </cell>
          <cell r="B2197">
            <v>126.15300000000001</v>
          </cell>
        </row>
        <row r="2198">
          <cell r="A2198">
            <v>44844</v>
          </cell>
          <cell r="B2198">
            <v>126.89876599999999</v>
          </cell>
        </row>
        <row r="2199">
          <cell r="A2199">
            <v>44845</v>
          </cell>
          <cell r="B2199">
            <v>130.186035</v>
          </cell>
        </row>
        <row r="2200">
          <cell r="A2200">
            <v>44846</v>
          </cell>
          <cell r="B2200">
            <v>128.714111</v>
          </cell>
        </row>
        <row r="2201">
          <cell r="A2201">
            <v>44847</v>
          </cell>
          <cell r="B2201">
            <v>129.80332899999999</v>
          </cell>
        </row>
        <row r="2202">
          <cell r="A2202">
            <v>44848</v>
          </cell>
          <cell r="B2202">
            <v>127.987961</v>
          </cell>
        </row>
        <row r="2203">
          <cell r="A2203">
            <v>44851</v>
          </cell>
          <cell r="B2203">
            <v>128.91038499999999</v>
          </cell>
        </row>
        <row r="2204">
          <cell r="A2204">
            <v>44852</v>
          </cell>
          <cell r="B2204">
            <v>131.628525</v>
          </cell>
        </row>
        <row r="2205">
          <cell r="A2205">
            <v>44853</v>
          </cell>
          <cell r="B2205">
            <v>131.25563</v>
          </cell>
        </row>
        <row r="2206">
          <cell r="A2206">
            <v>44854</v>
          </cell>
          <cell r="B2206">
            <v>131.579453</v>
          </cell>
        </row>
        <row r="2207">
          <cell r="A2207">
            <v>44855</v>
          </cell>
          <cell r="B2207">
            <v>134.23872399999999</v>
          </cell>
        </row>
        <row r="2208">
          <cell r="A2208">
            <v>44858</v>
          </cell>
          <cell r="B2208">
            <v>136.79984999999999</v>
          </cell>
        </row>
        <row r="2209">
          <cell r="A2209">
            <v>44859</v>
          </cell>
          <cell r="B2209">
            <v>137.447495</v>
          </cell>
        </row>
        <row r="2210">
          <cell r="A2210">
            <v>44860</v>
          </cell>
          <cell r="B2210">
            <v>138.49745200000001</v>
          </cell>
        </row>
        <row r="2211">
          <cell r="A2211">
            <v>44861</v>
          </cell>
          <cell r="B2211">
            <v>138.095123</v>
          </cell>
        </row>
        <row r="2212">
          <cell r="A2212">
            <v>44862</v>
          </cell>
          <cell r="B2212">
            <v>139.841812</v>
          </cell>
        </row>
        <row r="2213">
          <cell r="A2213">
            <v>44865</v>
          </cell>
          <cell r="B2213">
            <v>139.665176</v>
          </cell>
        </row>
        <row r="2214">
          <cell r="A2214">
            <v>44866</v>
          </cell>
          <cell r="B2214">
            <v>139.03717</v>
          </cell>
        </row>
        <row r="2215">
          <cell r="A2215">
            <v>44867</v>
          </cell>
          <cell r="B2215">
            <v>138.114746</v>
          </cell>
        </row>
        <row r="2216">
          <cell r="A2216">
            <v>44868</v>
          </cell>
          <cell r="B2216">
            <v>138.08532700000001</v>
          </cell>
        </row>
        <row r="2217">
          <cell r="A2217">
            <v>44869</v>
          </cell>
          <cell r="B2217">
            <v>138.330658</v>
          </cell>
        </row>
        <row r="2218">
          <cell r="A2218">
            <v>44872</v>
          </cell>
          <cell r="B2218">
            <v>139.782928</v>
          </cell>
        </row>
        <row r="2219">
          <cell r="A2219">
            <v>44873</v>
          </cell>
          <cell r="B2219">
            <v>140.11656199999999</v>
          </cell>
        </row>
        <row r="2220">
          <cell r="A2220">
            <v>44874</v>
          </cell>
          <cell r="B2220">
            <v>136.858734</v>
          </cell>
        </row>
        <row r="2221">
          <cell r="A2221">
            <v>44875</v>
          </cell>
          <cell r="B2221">
            <v>139.69461100000001</v>
          </cell>
        </row>
        <row r="2222">
          <cell r="A2222">
            <v>44876</v>
          </cell>
          <cell r="B2222">
            <v>139.910492</v>
          </cell>
        </row>
        <row r="2223">
          <cell r="A2223">
            <v>44879</v>
          </cell>
          <cell r="B2223">
            <v>135.79894999999999</v>
          </cell>
        </row>
        <row r="2224">
          <cell r="A2224">
            <v>44880</v>
          </cell>
          <cell r="B2224">
            <v>144.67950400000001</v>
          </cell>
        </row>
        <row r="2225">
          <cell r="A2225">
            <v>44881</v>
          </cell>
          <cell r="B2225">
            <v>145.71965</v>
          </cell>
        </row>
        <row r="2226">
          <cell r="A2226">
            <v>44882</v>
          </cell>
          <cell r="B2226">
            <v>145.22901899999999</v>
          </cell>
        </row>
        <row r="2227">
          <cell r="A2227">
            <v>44883</v>
          </cell>
          <cell r="B2227">
            <v>147.41726700000001</v>
          </cell>
        </row>
        <row r="2228">
          <cell r="A2228">
            <v>44886</v>
          </cell>
          <cell r="B2228">
            <v>148.32003800000001</v>
          </cell>
        </row>
        <row r="2229">
          <cell r="A2229">
            <v>44887</v>
          </cell>
          <cell r="B2229">
            <v>148.84993</v>
          </cell>
        </row>
        <row r="2230">
          <cell r="A2230">
            <v>44888</v>
          </cell>
          <cell r="B2230">
            <v>149.56626900000001</v>
          </cell>
        </row>
        <row r="2231">
          <cell r="A2231">
            <v>44890</v>
          </cell>
          <cell r="B2231">
            <v>150.204117</v>
          </cell>
        </row>
        <row r="2232">
          <cell r="A2232">
            <v>44893</v>
          </cell>
          <cell r="B2232">
            <v>150.635864</v>
          </cell>
        </row>
        <row r="2233">
          <cell r="A2233">
            <v>44894</v>
          </cell>
          <cell r="B2233">
            <v>150.105988</v>
          </cell>
        </row>
        <row r="2234">
          <cell r="A2234">
            <v>44895</v>
          </cell>
          <cell r="B2234">
            <v>149.56626900000001</v>
          </cell>
        </row>
        <row r="2235">
          <cell r="A2235">
            <v>44896</v>
          </cell>
          <cell r="B2235">
            <v>150.49847399999999</v>
          </cell>
        </row>
        <row r="2236">
          <cell r="A2236">
            <v>44897</v>
          </cell>
          <cell r="B2236">
            <v>150.35128800000001</v>
          </cell>
        </row>
        <row r="2237">
          <cell r="A2237">
            <v>44900</v>
          </cell>
          <cell r="B2237">
            <v>148.81068400000001</v>
          </cell>
        </row>
        <row r="2238">
          <cell r="A2238">
            <v>44901</v>
          </cell>
          <cell r="B2238">
            <v>147.08363299999999</v>
          </cell>
        </row>
        <row r="2239">
          <cell r="A2239">
            <v>44902</v>
          </cell>
          <cell r="B2239">
            <v>146.31823700000001</v>
          </cell>
        </row>
        <row r="2240">
          <cell r="A2240">
            <v>44903</v>
          </cell>
          <cell r="B2240">
            <v>146.54478499999999</v>
          </cell>
        </row>
        <row r="2241">
          <cell r="A2241">
            <v>44904</v>
          </cell>
          <cell r="B2241">
            <v>143.12690699999999</v>
          </cell>
        </row>
        <row r="2242">
          <cell r="A2242">
            <v>44907</v>
          </cell>
          <cell r="B2242">
            <v>145.79621900000001</v>
          </cell>
        </row>
        <row r="2243">
          <cell r="A2243">
            <v>44908</v>
          </cell>
          <cell r="B2243">
            <v>145.27418499999999</v>
          </cell>
        </row>
        <row r="2244">
          <cell r="A2244">
            <v>44909</v>
          </cell>
          <cell r="B2244">
            <v>144.46649199999999</v>
          </cell>
        </row>
        <row r="2245">
          <cell r="A2245">
            <v>44910</v>
          </cell>
          <cell r="B2245">
            <v>143.176163</v>
          </cell>
        </row>
        <row r="2246">
          <cell r="A2246">
            <v>44911</v>
          </cell>
          <cell r="B2246">
            <v>140.60536200000001</v>
          </cell>
        </row>
        <row r="2247">
          <cell r="A2247">
            <v>44914</v>
          </cell>
          <cell r="B2247">
            <v>140.65463299999999</v>
          </cell>
        </row>
        <row r="2248">
          <cell r="A2248">
            <v>44915</v>
          </cell>
          <cell r="B2248">
            <v>141.88584900000001</v>
          </cell>
        </row>
        <row r="2249">
          <cell r="A2249">
            <v>44916</v>
          </cell>
          <cell r="B2249">
            <v>142.99887100000001</v>
          </cell>
        </row>
        <row r="2250">
          <cell r="A2250">
            <v>44917</v>
          </cell>
          <cell r="B2250">
            <v>141.32440199999999</v>
          </cell>
        </row>
        <row r="2251">
          <cell r="A2251">
            <v>44918</v>
          </cell>
          <cell r="B2251">
            <v>141.61003099999999</v>
          </cell>
        </row>
        <row r="2252">
          <cell r="A2252">
            <v>44922</v>
          </cell>
          <cell r="B2252">
            <v>141.64944499999999</v>
          </cell>
        </row>
        <row r="2253">
          <cell r="A2253">
            <v>44923</v>
          </cell>
          <cell r="B2253">
            <v>139.16729699999999</v>
          </cell>
        </row>
        <row r="2254">
          <cell r="A2254">
            <v>44924</v>
          </cell>
          <cell r="B2254">
            <v>140.01438899999999</v>
          </cell>
        </row>
        <row r="2255">
          <cell r="A2255">
            <v>44925</v>
          </cell>
          <cell r="B2255">
            <v>139.65978999999999</v>
          </cell>
        </row>
        <row r="2256">
          <cell r="A2256">
            <v>44929</v>
          </cell>
          <cell r="B2256">
            <v>141.44262699999999</v>
          </cell>
        </row>
        <row r="2257">
          <cell r="A2257">
            <v>44930</v>
          </cell>
          <cell r="B2257">
            <v>141.60020399999999</v>
          </cell>
        </row>
        <row r="2258">
          <cell r="A2258">
            <v>44931</v>
          </cell>
          <cell r="B2258">
            <v>141.117569</v>
          </cell>
        </row>
        <row r="2259">
          <cell r="A2259">
            <v>44932</v>
          </cell>
          <cell r="B2259">
            <v>144.57482899999999</v>
          </cell>
        </row>
        <row r="2260">
          <cell r="A2260">
            <v>44935</v>
          </cell>
          <cell r="B2260">
            <v>142.77233899999999</v>
          </cell>
        </row>
        <row r="2261">
          <cell r="A2261">
            <v>44936</v>
          </cell>
          <cell r="B2261">
            <v>142.68367000000001</v>
          </cell>
        </row>
        <row r="2262">
          <cell r="A2262">
            <v>44937</v>
          </cell>
          <cell r="B2262">
            <v>143.93460099999999</v>
          </cell>
        </row>
        <row r="2263">
          <cell r="A2263">
            <v>44938</v>
          </cell>
          <cell r="B2263">
            <v>142.63441499999999</v>
          </cell>
        </row>
        <row r="2264">
          <cell r="A2264">
            <v>44939</v>
          </cell>
          <cell r="B2264">
            <v>143.107193</v>
          </cell>
        </row>
        <row r="2265">
          <cell r="A2265">
            <v>44943</v>
          </cell>
          <cell r="B2265">
            <v>142.24044799999999</v>
          </cell>
        </row>
        <row r="2266">
          <cell r="A2266">
            <v>44944</v>
          </cell>
          <cell r="B2266">
            <v>138.72406000000001</v>
          </cell>
        </row>
        <row r="2267">
          <cell r="A2267">
            <v>44945</v>
          </cell>
          <cell r="B2267">
            <v>136.74427800000001</v>
          </cell>
        </row>
        <row r="2268">
          <cell r="A2268">
            <v>44946</v>
          </cell>
          <cell r="B2268">
            <v>138.42855800000001</v>
          </cell>
        </row>
        <row r="2269">
          <cell r="A2269">
            <v>44949</v>
          </cell>
          <cell r="B2269">
            <v>140.49704</v>
          </cell>
        </row>
        <row r="2270">
          <cell r="A2270">
            <v>44950</v>
          </cell>
          <cell r="B2270">
            <v>140.871307</v>
          </cell>
        </row>
        <row r="2271">
          <cell r="A2271">
            <v>44951</v>
          </cell>
          <cell r="B2271">
            <v>140.20152300000001</v>
          </cell>
        </row>
        <row r="2272">
          <cell r="A2272">
            <v>44952</v>
          </cell>
          <cell r="B2272">
            <v>140.073486</v>
          </cell>
        </row>
        <row r="2273">
          <cell r="A2273">
            <v>44953</v>
          </cell>
          <cell r="B2273">
            <v>141.14712499999999</v>
          </cell>
        </row>
        <row r="2274">
          <cell r="A2274">
            <v>44956</v>
          </cell>
          <cell r="B2274">
            <v>140.01438899999999</v>
          </cell>
        </row>
        <row r="2275">
          <cell r="A2275">
            <v>44957</v>
          </cell>
          <cell r="B2275">
            <v>141.70854199999999</v>
          </cell>
        </row>
        <row r="2276">
          <cell r="A2276">
            <v>44958</v>
          </cell>
          <cell r="B2276">
            <v>142.49653599999999</v>
          </cell>
        </row>
        <row r="2277">
          <cell r="A2277">
            <v>44959</v>
          </cell>
          <cell r="B2277">
            <v>141.46229600000001</v>
          </cell>
        </row>
        <row r="2278">
          <cell r="A2278">
            <v>44960</v>
          </cell>
          <cell r="B2278">
            <v>139.580994</v>
          </cell>
        </row>
        <row r="2279">
          <cell r="A2279">
            <v>44963</v>
          </cell>
          <cell r="B2279">
            <v>138.56646699999999</v>
          </cell>
        </row>
        <row r="2280">
          <cell r="A2280">
            <v>44964</v>
          </cell>
          <cell r="B2280">
            <v>138.861954</v>
          </cell>
        </row>
        <row r="2281">
          <cell r="A2281">
            <v>44965</v>
          </cell>
          <cell r="B2281">
            <v>138.11338799999999</v>
          </cell>
        </row>
        <row r="2282">
          <cell r="A2282">
            <v>44966</v>
          </cell>
          <cell r="B2282">
            <v>139.39385999999999</v>
          </cell>
        </row>
        <row r="2283">
          <cell r="A2283">
            <v>44967</v>
          </cell>
          <cell r="B2283">
            <v>141.56080600000001</v>
          </cell>
        </row>
        <row r="2284">
          <cell r="A2284">
            <v>44970</v>
          </cell>
          <cell r="B2284">
            <v>143.71791099999999</v>
          </cell>
        </row>
        <row r="2285">
          <cell r="A2285">
            <v>44971</v>
          </cell>
          <cell r="B2285">
            <v>143.304214</v>
          </cell>
        </row>
        <row r="2286">
          <cell r="A2286">
            <v>44972</v>
          </cell>
          <cell r="B2286">
            <v>144.36799600000001</v>
          </cell>
        </row>
        <row r="2287">
          <cell r="A2287">
            <v>44973</v>
          </cell>
          <cell r="B2287">
            <v>142.10253900000001</v>
          </cell>
        </row>
        <row r="2288">
          <cell r="A2288">
            <v>44974</v>
          </cell>
          <cell r="B2288">
            <v>144.23994400000001</v>
          </cell>
        </row>
        <row r="2289">
          <cell r="A2289">
            <v>44978</v>
          </cell>
          <cell r="B2289">
            <v>145.11657700000001</v>
          </cell>
        </row>
        <row r="2290">
          <cell r="A2290">
            <v>44979</v>
          </cell>
          <cell r="B2290">
            <v>142.07299800000001</v>
          </cell>
        </row>
        <row r="2291">
          <cell r="A2291">
            <v>44980</v>
          </cell>
          <cell r="B2291">
            <v>139.955276</v>
          </cell>
        </row>
        <row r="2292">
          <cell r="A2292">
            <v>44981</v>
          </cell>
          <cell r="B2292">
            <v>140.32959</v>
          </cell>
        </row>
        <row r="2293">
          <cell r="A2293">
            <v>44984</v>
          </cell>
          <cell r="B2293">
            <v>139.31504799999999</v>
          </cell>
        </row>
        <row r="2294">
          <cell r="A2294">
            <v>44985</v>
          </cell>
          <cell r="B2294">
            <v>139.99468999999999</v>
          </cell>
        </row>
        <row r="2295">
          <cell r="A2295">
            <v>44986</v>
          </cell>
          <cell r="B2295">
            <v>138.04441800000001</v>
          </cell>
        </row>
        <row r="2296">
          <cell r="A2296">
            <v>44987</v>
          </cell>
          <cell r="B2296">
            <v>138.38917499999999</v>
          </cell>
        </row>
        <row r="2297">
          <cell r="A2297">
            <v>44988</v>
          </cell>
          <cell r="B2297">
            <v>138.55664100000001</v>
          </cell>
        </row>
        <row r="2298">
          <cell r="A2298">
            <v>44991</v>
          </cell>
          <cell r="B2298">
            <v>138.536911</v>
          </cell>
        </row>
        <row r="2299">
          <cell r="A2299">
            <v>44992</v>
          </cell>
          <cell r="B2299">
            <v>137.15795900000001</v>
          </cell>
        </row>
        <row r="2300">
          <cell r="A2300">
            <v>44993</v>
          </cell>
          <cell r="B2300">
            <v>136.025238</v>
          </cell>
        </row>
        <row r="2301">
          <cell r="A2301">
            <v>44994</v>
          </cell>
          <cell r="B2301">
            <v>135.109207</v>
          </cell>
        </row>
        <row r="2302">
          <cell r="A2302">
            <v>44995</v>
          </cell>
          <cell r="B2302">
            <v>134.91223099999999</v>
          </cell>
        </row>
        <row r="2303">
          <cell r="A2303">
            <v>44998</v>
          </cell>
          <cell r="B2303">
            <v>135.30621300000001</v>
          </cell>
        </row>
        <row r="2304">
          <cell r="A2304">
            <v>44999</v>
          </cell>
          <cell r="B2304">
            <v>136.025238</v>
          </cell>
        </row>
        <row r="2305">
          <cell r="A2305">
            <v>45000</v>
          </cell>
          <cell r="B2305">
            <v>137.542114</v>
          </cell>
        </row>
        <row r="2306">
          <cell r="A2306">
            <v>45001</v>
          </cell>
          <cell r="B2306">
            <v>136.760773</v>
          </cell>
        </row>
        <row r="2307">
          <cell r="A2307">
            <v>45002</v>
          </cell>
          <cell r="B2307">
            <v>137.86845400000001</v>
          </cell>
        </row>
        <row r="2308">
          <cell r="A2308">
            <v>45005</v>
          </cell>
          <cell r="B2308">
            <v>139.35199</v>
          </cell>
        </row>
        <row r="2309">
          <cell r="A2309">
            <v>45006</v>
          </cell>
          <cell r="B2309">
            <v>138.877274</v>
          </cell>
        </row>
        <row r="2310">
          <cell r="A2310">
            <v>45007</v>
          </cell>
          <cell r="B2310">
            <v>137.98715200000001</v>
          </cell>
        </row>
        <row r="2311">
          <cell r="A2311">
            <v>45008</v>
          </cell>
          <cell r="B2311">
            <v>139.10472100000001</v>
          </cell>
        </row>
        <row r="2312">
          <cell r="A2312">
            <v>45009</v>
          </cell>
          <cell r="B2312">
            <v>140.242096</v>
          </cell>
        </row>
        <row r="2313">
          <cell r="A2313">
            <v>45012</v>
          </cell>
          <cell r="B2313">
            <v>142.58606</v>
          </cell>
        </row>
        <row r="2314">
          <cell r="A2314">
            <v>45013</v>
          </cell>
          <cell r="B2314">
            <v>142.03222700000001</v>
          </cell>
        </row>
        <row r="2315">
          <cell r="A2315">
            <v>45014</v>
          </cell>
          <cell r="B2315">
            <v>142.645386</v>
          </cell>
        </row>
        <row r="2316">
          <cell r="A2316">
            <v>45015</v>
          </cell>
          <cell r="B2316">
            <v>144.06958</v>
          </cell>
        </row>
        <row r="2317">
          <cell r="A2317">
            <v>45016</v>
          </cell>
          <cell r="B2317">
            <v>145.83003199999999</v>
          </cell>
        </row>
        <row r="2318">
          <cell r="A2318">
            <v>45019</v>
          </cell>
          <cell r="B2318">
            <v>147.05641199999999</v>
          </cell>
        </row>
        <row r="2319">
          <cell r="A2319">
            <v>45020</v>
          </cell>
          <cell r="B2319">
            <v>145.61244199999999</v>
          </cell>
        </row>
        <row r="2320">
          <cell r="A2320">
            <v>45021</v>
          </cell>
          <cell r="B2320">
            <v>148.02563499999999</v>
          </cell>
        </row>
        <row r="2321">
          <cell r="A2321">
            <v>45022</v>
          </cell>
          <cell r="B2321">
            <v>149.14323400000001</v>
          </cell>
        </row>
        <row r="2322">
          <cell r="A2322">
            <v>45026</v>
          </cell>
          <cell r="B2322">
            <v>148.856415</v>
          </cell>
        </row>
        <row r="2323">
          <cell r="A2323">
            <v>45027</v>
          </cell>
          <cell r="B2323">
            <v>148.42126500000001</v>
          </cell>
        </row>
        <row r="2324">
          <cell r="A2324">
            <v>45028</v>
          </cell>
          <cell r="B2324">
            <v>147.699265</v>
          </cell>
        </row>
        <row r="2325">
          <cell r="A2325">
            <v>45029</v>
          </cell>
          <cell r="B2325">
            <v>147.84762599999999</v>
          </cell>
        </row>
        <row r="2326">
          <cell r="A2326">
            <v>45030</v>
          </cell>
          <cell r="B2326">
            <v>146.84869399999999</v>
          </cell>
        </row>
        <row r="2327">
          <cell r="A2327">
            <v>45033</v>
          </cell>
          <cell r="B2327">
            <v>147.87728899999999</v>
          </cell>
        </row>
        <row r="2328">
          <cell r="A2328">
            <v>45034</v>
          </cell>
          <cell r="B2328">
            <v>148.20367400000001</v>
          </cell>
        </row>
        <row r="2329">
          <cell r="A2329">
            <v>45035</v>
          </cell>
          <cell r="B2329">
            <v>148.361908</v>
          </cell>
        </row>
        <row r="2330">
          <cell r="A2330">
            <v>45036</v>
          </cell>
          <cell r="B2330">
            <v>149.31137100000001</v>
          </cell>
        </row>
        <row r="2331">
          <cell r="A2331">
            <v>45037</v>
          </cell>
          <cell r="B2331">
            <v>150.06300400000001</v>
          </cell>
        </row>
        <row r="2332">
          <cell r="A2332">
            <v>45040</v>
          </cell>
          <cell r="B2332">
            <v>151.08169599999999</v>
          </cell>
        </row>
        <row r="2333">
          <cell r="A2333">
            <v>45041</v>
          </cell>
          <cell r="B2333">
            <v>149.90477000000001</v>
          </cell>
        </row>
        <row r="2334">
          <cell r="A2334">
            <v>45042</v>
          </cell>
          <cell r="B2334">
            <v>149.252014</v>
          </cell>
        </row>
        <row r="2335">
          <cell r="A2335">
            <v>45043</v>
          </cell>
          <cell r="B2335">
            <v>149.716858</v>
          </cell>
        </row>
        <row r="2336">
          <cell r="A2336">
            <v>45044</v>
          </cell>
          <cell r="B2336">
            <v>149.31137100000001</v>
          </cell>
        </row>
        <row r="2337">
          <cell r="A2337">
            <v>45047</v>
          </cell>
          <cell r="B2337">
            <v>149.92454499999999</v>
          </cell>
        </row>
        <row r="2338">
          <cell r="A2338">
            <v>45048</v>
          </cell>
          <cell r="B2338">
            <v>149.51904300000001</v>
          </cell>
        </row>
        <row r="2339">
          <cell r="A2339">
            <v>45049</v>
          </cell>
          <cell r="B2339">
            <v>148.96519499999999</v>
          </cell>
        </row>
        <row r="2340">
          <cell r="A2340">
            <v>45050</v>
          </cell>
          <cell r="B2340">
            <v>149.382172</v>
          </cell>
        </row>
        <row r="2341">
          <cell r="A2341">
            <v>45051</v>
          </cell>
          <cell r="B2341">
            <v>150.672775</v>
          </cell>
        </row>
        <row r="2342">
          <cell r="A2342">
            <v>45054</v>
          </cell>
          <cell r="B2342">
            <v>151.615906</v>
          </cell>
        </row>
        <row r="2343">
          <cell r="A2343">
            <v>45055</v>
          </cell>
          <cell r="B2343">
            <v>151.874008</v>
          </cell>
        </row>
        <row r="2344">
          <cell r="A2344">
            <v>45056</v>
          </cell>
          <cell r="B2344">
            <v>151.44712799999999</v>
          </cell>
        </row>
        <row r="2345">
          <cell r="A2345">
            <v>45057</v>
          </cell>
          <cell r="B2345">
            <v>152.01300000000001</v>
          </cell>
        </row>
        <row r="2346">
          <cell r="A2346">
            <v>45058</v>
          </cell>
          <cell r="B2346">
            <v>151.96336400000001</v>
          </cell>
        </row>
        <row r="2347">
          <cell r="A2347">
            <v>45061</v>
          </cell>
          <cell r="B2347">
            <v>150.781982</v>
          </cell>
        </row>
        <row r="2348">
          <cell r="A2348">
            <v>45062</v>
          </cell>
          <cell r="B2348">
            <v>148.69714400000001</v>
          </cell>
        </row>
        <row r="2349">
          <cell r="A2349">
            <v>45063</v>
          </cell>
          <cell r="B2349">
            <v>148.448959</v>
          </cell>
        </row>
        <row r="2350">
          <cell r="A2350">
            <v>45064</v>
          </cell>
          <cell r="B2350">
            <v>150.37493900000001</v>
          </cell>
        </row>
        <row r="2351">
          <cell r="A2351">
            <v>45065</v>
          </cell>
          <cell r="B2351">
            <v>148.82621800000001</v>
          </cell>
        </row>
        <row r="2352">
          <cell r="A2352">
            <v>45068</v>
          </cell>
          <cell r="B2352">
            <v>147.515747</v>
          </cell>
        </row>
        <row r="2353">
          <cell r="A2353">
            <v>45069</v>
          </cell>
          <cell r="B2353">
            <v>147.23777799999999</v>
          </cell>
        </row>
        <row r="2354">
          <cell r="A2354">
            <v>45070</v>
          </cell>
          <cell r="B2354">
            <v>146.56269800000001</v>
          </cell>
        </row>
        <row r="2355">
          <cell r="A2355">
            <v>45071</v>
          </cell>
          <cell r="B2355">
            <v>145.10333299999999</v>
          </cell>
        </row>
        <row r="2356">
          <cell r="A2356">
            <v>45072</v>
          </cell>
          <cell r="B2356">
            <v>145.361435</v>
          </cell>
        </row>
        <row r="2357">
          <cell r="A2357">
            <v>45076</v>
          </cell>
          <cell r="B2357">
            <v>145.00404399999999</v>
          </cell>
        </row>
        <row r="2358">
          <cell r="A2358">
            <v>45077</v>
          </cell>
          <cell r="B2358">
            <v>145.80819700000001</v>
          </cell>
        </row>
        <row r="2359">
          <cell r="A2359">
            <v>45078</v>
          </cell>
          <cell r="B2359">
            <v>146.34428399999999</v>
          </cell>
        </row>
        <row r="2360">
          <cell r="A2360">
            <v>45079</v>
          </cell>
          <cell r="B2360">
            <v>147.74409499999999</v>
          </cell>
        </row>
        <row r="2361">
          <cell r="A2361">
            <v>45082</v>
          </cell>
          <cell r="B2361">
            <v>148.717026</v>
          </cell>
        </row>
        <row r="2362">
          <cell r="A2362">
            <v>45083</v>
          </cell>
          <cell r="B2362">
            <v>148.69714400000001</v>
          </cell>
        </row>
        <row r="2363">
          <cell r="A2363">
            <v>45084</v>
          </cell>
          <cell r="B2363">
            <v>148.915558</v>
          </cell>
        </row>
        <row r="2364">
          <cell r="A2364">
            <v>45085</v>
          </cell>
          <cell r="B2364">
            <v>151.06987000000001</v>
          </cell>
        </row>
        <row r="2365">
          <cell r="A2365">
            <v>45086</v>
          </cell>
          <cell r="B2365">
            <v>151.98323099999999</v>
          </cell>
        </row>
        <row r="2366">
          <cell r="A2366">
            <v>45089</v>
          </cell>
          <cell r="B2366">
            <v>152.98593099999999</v>
          </cell>
        </row>
        <row r="2367">
          <cell r="A2367">
            <v>45090</v>
          </cell>
          <cell r="B2367">
            <v>154.17726099999999</v>
          </cell>
        </row>
        <row r="2368">
          <cell r="A2368">
            <v>45091</v>
          </cell>
          <cell r="B2368">
            <v>155.73588599999999</v>
          </cell>
        </row>
        <row r="2369">
          <cell r="A2369">
            <v>45092</v>
          </cell>
          <cell r="B2369">
            <v>156.589676</v>
          </cell>
        </row>
        <row r="2370">
          <cell r="A2370">
            <v>45093</v>
          </cell>
          <cell r="B2370">
            <v>154.40557899999999</v>
          </cell>
        </row>
        <row r="2371">
          <cell r="A2371">
            <v>45097</v>
          </cell>
          <cell r="B2371">
            <v>153.04548600000001</v>
          </cell>
        </row>
        <row r="2372">
          <cell r="A2372">
            <v>45098</v>
          </cell>
          <cell r="B2372">
            <v>153.34333799999999</v>
          </cell>
        </row>
        <row r="2373">
          <cell r="A2373">
            <v>45099</v>
          </cell>
          <cell r="B2373">
            <v>154.62399300000001</v>
          </cell>
        </row>
        <row r="2374">
          <cell r="A2374">
            <v>45100</v>
          </cell>
          <cell r="B2374">
            <v>154.336105</v>
          </cell>
        </row>
        <row r="2375">
          <cell r="A2375">
            <v>45103</v>
          </cell>
          <cell r="B2375">
            <v>153.92906199999999</v>
          </cell>
        </row>
        <row r="2376">
          <cell r="A2376">
            <v>45104</v>
          </cell>
          <cell r="B2376">
            <v>153.373108</v>
          </cell>
        </row>
        <row r="2377">
          <cell r="A2377">
            <v>45105</v>
          </cell>
          <cell r="B2377">
            <v>154.207031</v>
          </cell>
        </row>
        <row r="2378">
          <cell r="A2378">
            <v>45106</v>
          </cell>
          <cell r="B2378">
            <v>153.164627</v>
          </cell>
        </row>
        <row r="2379">
          <cell r="A2379">
            <v>45107</v>
          </cell>
          <cell r="B2379">
            <v>156.04364000000001</v>
          </cell>
        </row>
        <row r="2380">
          <cell r="A2380">
            <v>45110</v>
          </cell>
          <cell r="B2380">
            <v>157.056274</v>
          </cell>
        </row>
        <row r="2381">
          <cell r="A2381">
            <v>45112</v>
          </cell>
          <cell r="B2381">
            <v>156.96693400000001</v>
          </cell>
        </row>
        <row r="2382">
          <cell r="A2382">
            <v>45113</v>
          </cell>
          <cell r="B2382">
            <v>155.97416699999999</v>
          </cell>
        </row>
        <row r="2383">
          <cell r="A2383">
            <v>45114</v>
          </cell>
          <cell r="B2383">
            <v>152.38034099999999</v>
          </cell>
        </row>
        <row r="2384">
          <cell r="A2384">
            <v>45117</v>
          </cell>
          <cell r="B2384">
            <v>153.76028400000001</v>
          </cell>
        </row>
        <row r="2385">
          <cell r="A2385">
            <v>45118</v>
          </cell>
          <cell r="B2385">
            <v>153.53195199999999</v>
          </cell>
        </row>
        <row r="2386">
          <cell r="A2386">
            <v>45119</v>
          </cell>
          <cell r="B2386">
            <v>153.91911300000001</v>
          </cell>
        </row>
        <row r="2387">
          <cell r="A2387">
            <v>45120</v>
          </cell>
          <cell r="B2387">
            <v>153.01570100000001</v>
          </cell>
        </row>
        <row r="2388">
          <cell r="A2388">
            <v>45121</v>
          </cell>
          <cell r="B2388">
            <v>153.54186999999999</v>
          </cell>
        </row>
        <row r="2389">
          <cell r="A2389">
            <v>45124</v>
          </cell>
          <cell r="B2389">
            <v>153.73049900000001</v>
          </cell>
        </row>
        <row r="2390">
          <cell r="A2390">
            <v>45125</v>
          </cell>
          <cell r="B2390">
            <v>153.45253</v>
          </cell>
        </row>
        <row r="2391">
          <cell r="A2391">
            <v>45126</v>
          </cell>
          <cell r="B2391">
            <v>153.50216699999999</v>
          </cell>
        </row>
        <row r="2392">
          <cell r="A2392">
            <v>45127</v>
          </cell>
          <cell r="B2392">
            <v>156.34149199999999</v>
          </cell>
        </row>
        <row r="2393">
          <cell r="A2393">
            <v>45128</v>
          </cell>
          <cell r="B2393">
            <v>157.22505200000001</v>
          </cell>
        </row>
        <row r="2394">
          <cell r="A2394">
            <v>45131</v>
          </cell>
          <cell r="B2394">
            <v>158.14833100000001</v>
          </cell>
        </row>
        <row r="2395">
          <cell r="A2395">
            <v>45132</v>
          </cell>
          <cell r="B2395">
            <v>158.01925700000001</v>
          </cell>
        </row>
        <row r="2396">
          <cell r="A2396">
            <v>45133</v>
          </cell>
          <cell r="B2396">
            <v>158.585159</v>
          </cell>
        </row>
        <row r="2397">
          <cell r="A2397">
            <v>45134</v>
          </cell>
          <cell r="B2397">
            <v>158.009354</v>
          </cell>
        </row>
        <row r="2398">
          <cell r="A2398">
            <v>45135</v>
          </cell>
          <cell r="B2398">
            <v>158.75393700000001</v>
          </cell>
        </row>
        <row r="2399">
          <cell r="A2399">
            <v>45138</v>
          </cell>
          <cell r="B2399">
            <v>158.704285</v>
          </cell>
        </row>
        <row r="2400">
          <cell r="A2400">
            <v>45139</v>
          </cell>
          <cell r="B2400">
            <v>157.95970199999999</v>
          </cell>
        </row>
        <row r="2401">
          <cell r="A2401">
            <v>45140</v>
          </cell>
          <cell r="B2401">
            <v>158.06890899999999</v>
          </cell>
        </row>
        <row r="2402">
          <cell r="A2402">
            <v>45141</v>
          </cell>
          <cell r="B2402">
            <v>158.10861199999999</v>
          </cell>
        </row>
        <row r="2403">
          <cell r="A2403">
            <v>45142</v>
          </cell>
          <cell r="B2403">
            <v>157.195267</v>
          </cell>
        </row>
        <row r="2404">
          <cell r="A2404">
            <v>45145</v>
          </cell>
          <cell r="B2404">
            <v>159.32972699999999</v>
          </cell>
        </row>
        <row r="2405">
          <cell r="A2405">
            <v>45146</v>
          </cell>
          <cell r="B2405">
            <v>159.48857100000001</v>
          </cell>
        </row>
        <row r="2406">
          <cell r="A2406">
            <v>45147</v>
          </cell>
          <cell r="B2406">
            <v>159.746689</v>
          </cell>
        </row>
        <row r="2407">
          <cell r="A2407">
            <v>45148</v>
          </cell>
          <cell r="B2407">
            <v>159.666977</v>
          </cell>
        </row>
        <row r="2408">
          <cell r="A2408">
            <v>45149</v>
          </cell>
          <cell r="B2408">
            <v>160.6035</v>
          </cell>
        </row>
        <row r="2409">
          <cell r="A2409">
            <v>45152</v>
          </cell>
          <cell r="B2409">
            <v>159.40794399999999</v>
          </cell>
        </row>
        <row r="2410">
          <cell r="A2410">
            <v>45153</v>
          </cell>
          <cell r="B2410">
            <v>158.59097299999999</v>
          </cell>
        </row>
        <row r="2411">
          <cell r="A2411">
            <v>45154</v>
          </cell>
          <cell r="B2411">
            <v>158.67068499999999</v>
          </cell>
        </row>
        <row r="2412">
          <cell r="A2412">
            <v>45155</v>
          </cell>
          <cell r="B2412">
            <v>155.11390700000001</v>
          </cell>
        </row>
        <row r="2413">
          <cell r="A2413">
            <v>45156</v>
          </cell>
          <cell r="B2413">
            <v>157.345596</v>
          </cell>
        </row>
        <row r="2414">
          <cell r="A2414">
            <v>45159</v>
          </cell>
          <cell r="B2414">
            <v>156.927155</v>
          </cell>
        </row>
        <row r="2415">
          <cell r="A2415">
            <v>45160</v>
          </cell>
          <cell r="B2415">
            <v>156.429001</v>
          </cell>
        </row>
        <row r="2416">
          <cell r="A2416">
            <v>45161</v>
          </cell>
          <cell r="B2416">
            <v>157.514984</v>
          </cell>
        </row>
        <row r="2417">
          <cell r="A2417">
            <v>45162</v>
          </cell>
          <cell r="B2417">
            <v>156.30946399999999</v>
          </cell>
        </row>
        <row r="2418">
          <cell r="A2418">
            <v>45163</v>
          </cell>
          <cell r="B2418">
            <v>157.23602299999999</v>
          </cell>
        </row>
        <row r="2419">
          <cell r="A2419">
            <v>45166</v>
          </cell>
          <cell r="B2419">
            <v>158.13269</v>
          </cell>
        </row>
        <row r="2420">
          <cell r="A2420">
            <v>45167</v>
          </cell>
          <cell r="B2420">
            <v>159.457764</v>
          </cell>
        </row>
        <row r="2421">
          <cell r="A2421">
            <v>45168</v>
          </cell>
          <cell r="B2421">
            <v>160.6035</v>
          </cell>
        </row>
        <row r="2422">
          <cell r="A2422">
            <v>45169</v>
          </cell>
          <cell r="B2422">
            <v>162.008286</v>
          </cell>
        </row>
        <row r="2423">
          <cell r="A2423">
            <v>45170</v>
          </cell>
          <cell r="B2423">
            <v>160.97215299999999</v>
          </cell>
        </row>
        <row r="2424">
          <cell r="A2424">
            <v>45174</v>
          </cell>
          <cell r="B2424">
            <v>159.67695599999999</v>
          </cell>
        </row>
        <row r="2425">
          <cell r="A2425">
            <v>45175</v>
          </cell>
          <cell r="B2425">
            <v>160.872513</v>
          </cell>
        </row>
        <row r="2426">
          <cell r="A2426">
            <v>45176</v>
          </cell>
          <cell r="B2426">
            <v>162.86511200000001</v>
          </cell>
        </row>
        <row r="2427">
          <cell r="A2427">
            <v>45177</v>
          </cell>
          <cell r="B2427">
            <v>163.16400100000001</v>
          </cell>
        </row>
        <row r="2428">
          <cell r="A2428">
            <v>45180</v>
          </cell>
          <cell r="B2428">
            <v>163.731888</v>
          </cell>
        </row>
        <row r="2429">
          <cell r="A2429">
            <v>45181</v>
          </cell>
          <cell r="B2429">
            <v>163.911224</v>
          </cell>
        </row>
        <row r="2430">
          <cell r="A2430">
            <v>45182</v>
          </cell>
          <cell r="B2430">
            <v>163.95107999999999</v>
          </cell>
        </row>
        <row r="2431">
          <cell r="A2431">
            <v>45183</v>
          </cell>
          <cell r="B2431">
            <v>164.638519</v>
          </cell>
        </row>
        <row r="2432">
          <cell r="A2432">
            <v>45184</v>
          </cell>
          <cell r="B2432">
            <v>164.030777</v>
          </cell>
        </row>
        <row r="2433">
          <cell r="A2433">
            <v>45187</v>
          </cell>
          <cell r="B2433">
            <v>162.815292</v>
          </cell>
        </row>
        <row r="2434">
          <cell r="A2434">
            <v>45188</v>
          </cell>
          <cell r="B2434">
            <v>162.775452</v>
          </cell>
        </row>
        <row r="2435">
          <cell r="A2435">
            <v>45189</v>
          </cell>
          <cell r="B2435">
            <v>163.303482</v>
          </cell>
        </row>
        <row r="2436">
          <cell r="A2436">
            <v>45190</v>
          </cell>
          <cell r="B2436">
            <v>161.32084699999999</v>
          </cell>
        </row>
        <row r="2437">
          <cell r="A2437">
            <v>45191</v>
          </cell>
          <cell r="B2437">
            <v>161.74925200000001</v>
          </cell>
        </row>
        <row r="2438">
          <cell r="A2438">
            <v>45194</v>
          </cell>
          <cell r="B2438">
            <v>162.466599</v>
          </cell>
        </row>
        <row r="2439">
          <cell r="A2439">
            <v>45195</v>
          </cell>
          <cell r="B2439">
            <v>161.898697</v>
          </cell>
        </row>
        <row r="2440">
          <cell r="A2440">
            <v>45196</v>
          </cell>
          <cell r="B2440">
            <v>161.12158199999999</v>
          </cell>
        </row>
        <row r="2441">
          <cell r="A2441">
            <v>45197</v>
          </cell>
          <cell r="B2441">
            <v>161.93853799999999</v>
          </cell>
        </row>
        <row r="2442">
          <cell r="A2442">
            <v>45198</v>
          </cell>
          <cell r="B2442">
            <v>159.33819600000001</v>
          </cell>
        </row>
        <row r="2443">
          <cell r="A2443">
            <v>45201</v>
          </cell>
          <cell r="B2443">
            <v>159.50758400000001</v>
          </cell>
        </row>
        <row r="2444">
          <cell r="A2444">
            <v>45202</v>
          </cell>
          <cell r="B2444">
            <v>158.50131200000001</v>
          </cell>
        </row>
        <row r="2445">
          <cell r="A2445">
            <v>45203</v>
          </cell>
          <cell r="B2445">
            <v>160.40425099999999</v>
          </cell>
        </row>
        <row r="2446">
          <cell r="A2446">
            <v>45204</v>
          </cell>
          <cell r="B2446">
            <v>158.49134799999999</v>
          </cell>
        </row>
        <row r="2447">
          <cell r="A2447">
            <v>45205</v>
          </cell>
          <cell r="B2447">
            <v>155.83123800000001</v>
          </cell>
        </row>
        <row r="2448">
          <cell r="A2448">
            <v>45208</v>
          </cell>
          <cell r="B2448">
            <v>155.26333600000001</v>
          </cell>
        </row>
        <row r="2449">
          <cell r="A2449">
            <v>45209</v>
          </cell>
          <cell r="B2449">
            <v>157.01683</v>
          </cell>
        </row>
        <row r="2450">
          <cell r="A2450">
            <v>45210</v>
          </cell>
          <cell r="B2450">
            <v>157.64450099999999</v>
          </cell>
        </row>
        <row r="2451">
          <cell r="A2451">
            <v>45211</v>
          </cell>
          <cell r="B2451">
            <v>158.36183199999999</v>
          </cell>
        </row>
        <row r="2452">
          <cell r="A2452">
            <v>45212</v>
          </cell>
          <cell r="B2452">
            <v>159.238586</v>
          </cell>
        </row>
        <row r="2453">
          <cell r="A2453">
            <v>45215</v>
          </cell>
          <cell r="B2453">
            <v>160.61348000000001</v>
          </cell>
        </row>
        <row r="2454">
          <cell r="A2454">
            <v>45216</v>
          </cell>
          <cell r="B2454">
            <v>160.82269299999999</v>
          </cell>
        </row>
        <row r="2455">
          <cell r="A2455">
            <v>45217</v>
          </cell>
          <cell r="B2455">
            <v>160.94224500000001</v>
          </cell>
        </row>
        <row r="2456">
          <cell r="A2456">
            <v>45218</v>
          </cell>
          <cell r="B2456">
            <v>160.17510999999999</v>
          </cell>
        </row>
        <row r="2457">
          <cell r="A2457">
            <v>45219</v>
          </cell>
          <cell r="B2457">
            <v>158.17253099999999</v>
          </cell>
        </row>
        <row r="2458">
          <cell r="A2458">
            <v>45222</v>
          </cell>
          <cell r="B2458">
            <v>160.41419999999999</v>
          </cell>
        </row>
        <row r="2459">
          <cell r="A2459">
            <v>45223</v>
          </cell>
          <cell r="B2459">
            <v>162.64591999999999</v>
          </cell>
        </row>
        <row r="2460">
          <cell r="A2460">
            <v>45224</v>
          </cell>
          <cell r="B2460">
            <v>162.15772999999999</v>
          </cell>
        </row>
        <row r="2461">
          <cell r="A2461">
            <v>45225</v>
          </cell>
          <cell r="B2461">
            <v>161.171402</v>
          </cell>
        </row>
        <row r="2462">
          <cell r="A2462">
            <v>45226</v>
          </cell>
          <cell r="B2462">
            <v>160.573624</v>
          </cell>
        </row>
        <row r="2463">
          <cell r="A2463">
            <v>45229</v>
          </cell>
          <cell r="B2463">
            <v>162.41677899999999</v>
          </cell>
        </row>
        <row r="2464">
          <cell r="A2464">
            <v>45230</v>
          </cell>
          <cell r="B2464">
            <v>162.805328</v>
          </cell>
        </row>
        <row r="2465">
          <cell r="A2465">
            <v>45231</v>
          </cell>
          <cell r="B2465">
            <v>164.259918</v>
          </cell>
        </row>
        <row r="2466">
          <cell r="A2466">
            <v>45232</v>
          </cell>
          <cell r="B2466">
            <v>164.907532</v>
          </cell>
        </row>
        <row r="2467">
          <cell r="A2467">
            <v>45233</v>
          </cell>
          <cell r="B2467">
            <v>164.05070499999999</v>
          </cell>
        </row>
        <row r="2468">
          <cell r="A2468">
            <v>45236</v>
          </cell>
          <cell r="B2468">
            <v>164.26989699999999</v>
          </cell>
        </row>
        <row r="2469">
          <cell r="A2469">
            <v>45237</v>
          </cell>
          <cell r="B2469">
            <v>165.03703300000001</v>
          </cell>
        </row>
        <row r="2470">
          <cell r="A2470">
            <v>45238</v>
          </cell>
          <cell r="B2470">
            <v>163.692047</v>
          </cell>
        </row>
        <row r="2471">
          <cell r="A2471">
            <v>45239</v>
          </cell>
          <cell r="B2471">
            <v>163.313446</v>
          </cell>
        </row>
        <row r="2472">
          <cell r="A2472">
            <v>45240</v>
          </cell>
          <cell r="B2472">
            <v>165.57504299999999</v>
          </cell>
        </row>
        <row r="2473">
          <cell r="A2473">
            <v>45243</v>
          </cell>
          <cell r="B2473">
            <v>167.05952500000001</v>
          </cell>
        </row>
        <row r="2474">
          <cell r="A2474">
            <v>45244</v>
          </cell>
          <cell r="B2474">
            <v>167.02963299999999</v>
          </cell>
        </row>
        <row r="2475">
          <cell r="A2475">
            <v>45245</v>
          </cell>
          <cell r="B2475">
            <v>169.15176400000001</v>
          </cell>
        </row>
        <row r="2476">
          <cell r="A2476">
            <v>45246</v>
          </cell>
          <cell r="B2476">
            <v>155.46260100000001</v>
          </cell>
        </row>
        <row r="2477">
          <cell r="A2477">
            <v>45247</v>
          </cell>
          <cell r="B2477">
            <v>154.77516199999999</v>
          </cell>
        </row>
        <row r="2478">
          <cell r="A2478">
            <v>45250</v>
          </cell>
          <cell r="B2478">
            <v>154.72534200000001</v>
          </cell>
        </row>
        <row r="2479">
          <cell r="A2479">
            <v>45251</v>
          </cell>
          <cell r="B2479">
            <v>155.283264</v>
          </cell>
        </row>
        <row r="2480">
          <cell r="A2480">
            <v>45252</v>
          </cell>
          <cell r="B2480">
            <v>154.09767199999999</v>
          </cell>
        </row>
        <row r="2481">
          <cell r="A2481">
            <v>45254</v>
          </cell>
          <cell r="B2481">
            <v>155.482529</v>
          </cell>
        </row>
        <row r="2482">
          <cell r="A2482">
            <v>45257</v>
          </cell>
          <cell r="B2482">
            <v>156.189911</v>
          </cell>
        </row>
        <row r="2483">
          <cell r="A2483">
            <v>45258</v>
          </cell>
          <cell r="B2483">
            <v>158.05297899999999</v>
          </cell>
        </row>
        <row r="2484">
          <cell r="A2484">
            <v>45259</v>
          </cell>
          <cell r="B2484">
            <v>155.50245699999999</v>
          </cell>
        </row>
        <row r="2485">
          <cell r="A2485">
            <v>45260</v>
          </cell>
          <cell r="B2485">
            <v>155.11390700000001</v>
          </cell>
        </row>
        <row r="2486">
          <cell r="A2486">
            <v>45261</v>
          </cell>
          <cell r="B2486">
            <v>153.76889</v>
          </cell>
        </row>
        <row r="2487">
          <cell r="A2487">
            <v>45264</v>
          </cell>
          <cell r="B2487">
            <v>153.72905</v>
          </cell>
        </row>
        <row r="2488">
          <cell r="A2488">
            <v>45265</v>
          </cell>
          <cell r="B2488">
            <v>155.15374800000001</v>
          </cell>
        </row>
        <row r="2489">
          <cell r="A2489">
            <v>45266</v>
          </cell>
          <cell r="B2489">
            <v>153.470001</v>
          </cell>
        </row>
        <row r="2490">
          <cell r="A2490">
            <v>45267</v>
          </cell>
          <cell r="B2490">
            <v>152.46000699999999</v>
          </cell>
        </row>
        <row r="2491">
          <cell r="A2491">
            <v>45268</v>
          </cell>
          <cell r="B2491">
            <v>150.86000100000001</v>
          </cell>
        </row>
        <row r="2492">
          <cell r="A2492">
            <v>45271</v>
          </cell>
          <cell r="B2492">
            <v>151.240005</v>
          </cell>
        </row>
        <row r="2493">
          <cell r="A2493">
            <v>45272</v>
          </cell>
          <cell r="B2493">
            <v>151.36000100000001</v>
          </cell>
        </row>
        <row r="2494">
          <cell r="A2494">
            <v>45273</v>
          </cell>
          <cell r="B2494">
            <v>154.050003</v>
          </cell>
        </row>
        <row r="2495">
          <cell r="A2495">
            <v>45274</v>
          </cell>
          <cell r="B2495">
            <v>152.16999799999999</v>
          </cell>
        </row>
        <row r="2496">
          <cell r="A2496">
            <v>45275</v>
          </cell>
          <cell r="B2496">
            <v>152.740005</v>
          </cell>
        </row>
        <row r="2497">
          <cell r="A2497">
            <v>45278</v>
          </cell>
          <cell r="B2497">
            <v>154.970001</v>
          </cell>
        </row>
        <row r="2498">
          <cell r="A2498">
            <v>45279</v>
          </cell>
          <cell r="B2498">
            <v>155.529999</v>
          </cell>
        </row>
        <row r="2499">
          <cell r="A2499">
            <v>45280</v>
          </cell>
          <cell r="B2499">
            <v>153.71000699999999</v>
          </cell>
        </row>
        <row r="2500">
          <cell r="A2500">
            <v>45281</v>
          </cell>
          <cell r="B2500">
            <v>154.800003</v>
          </cell>
        </row>
        <row r="2501">
          <cell r="A2501">
            <v>45282</v>
          </cell>
          <cell r="B2501">
            <v>156.64999399999999</v>
          </cell>
        </row>
        <row r="2502">
          <cell r="A2502">
            <v>45286</v>
          </cell>
          <cell r="B2502">
            <v>156.41000399999999</v>
          </cell>
        </row>
        <row r="2503">
          <cell r="A2503">
            <v>45287</v>
          </cell>
          <cell r="B2503">
            <v>157.88000500000001</v>
          </cell>
        </row>
        <row r="2504">
          <cell r="A2504">
            <v>45288</v>
          </cell>
          <cell r="B2504">
            <v>157.570007</v>
          </cell>
        </row>
        <row r="2505">
          <cell r="A2505">
            <v>45289</v>
          </cell>
          <cell r="B2505">
            <v>157.64999399999999</v>
          </cell>
        </row>
        <row r="2506">
          <cell r="A2506">
            <v>45293</v>
          </cell>
          <cell r="B2506">
            <v>159.28999300000001</v>
          </cell>
        </row>
        <row r="2507">
          <cell r="A2507">
            <v>45294</v>
          </cell>
          <cell r="B2507">
            <v>159.300003</v>
          </cell>
        </row>
        <row r="2508">
          <cell r="A2508">
            <v>45295</v>
          </cell>
          <cell r="B2508">
            <v>157.759995</v>
          </cell>
        </row>
        <row r="2509">
          <cell r="A2509">
            <v>45296</v>
          </cell>
          <cell r="B2509">
            <v>156.71000699999999</v>
          </cell>
        </row>
        <row r="2510">
          <cell r="A2510">
            <v>45299</v>
          </cell>
          <cell r="B2510">
            <v>158.25</v>
          </cell>
        </row>
        <row r="2511">
          <cell r="A2511">
            <v>45300</v>
          </cell>
          <cell r="B2511">
            <v>159.30999800000001</v>
          </cell>
        </row>
        <row r="2512">
          <cell r="A2512">
            <v>45301</v>
          </cell>
          <cell r="B2512">
            <v>161.28999300000001</v>
          </cell>
        </row>
        <row r="2513">
          <cell r="A2513">
            <v>45302</v>
          </cell>
          <cell r="B2513">
            <v>161.11000100000001</v>
          </cell>
        </row>
        <row r="2514">
          <cell r="A2514">
            <v>45303</v>
          </cell>
          <cell r="B2514">
            <v>161.320007</v>
          </cell>
        </row>
        <row r="2515">
          <cell r="A2515">
            <v>45307</v>
          </cell>
          <cell r="B2515">
            <v>161.83000200000001</v>
          </cell>
        </row>
        <row r="2516">
          <cell r="A2516">
            <v>45308</v>
          </cell>
          <cell r="B2516">
            <v>161.070007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financial ratio"/>
    </sheetNames>
    <sheetDataSet>
      <sheetData sheetId="0">
        <row r="36">
          <cell r="B36">
            <v>2058000</v>
          </cell>
          <cell r="C36">
            <v>2377000</v>
          </cell>
          <cell r="D36">
            <v>2350000</v>
          </cell>
          <cell r="E36">
            <v>2679000</v>
          </cell>
          <cell r="F36">
            <v>3134000</v>
          </cell>
          <cell r="G36">
            <v>3659000</v>
          </cell>
          <cell r="H36">
            <v>4002000</v>
          </cell>
          <cell r="I36">
            <v>5007000</v>
          </cell>
          <cell r="J36">
            <v>5844000</v>
          </cell>
          <cell r="K36">
            <v>6292000</v>
          </cell>
        </row>
      </sheetData>
      <sheetData sheetId="1">
        <row r="30">
          <cell r="B30">
            <v>8491000</v>
          </cell>
          <cell r="C30">
            <v>9011000</v>
          </cell>
          <cell r="D30">
            <v>7612000</v>
          </cell>
          <cell r="E30">
            <v>9608000</v>
          </cell>
          <cell r="F30">
            <v>11237000</v>
          </cell>
          <cell r="G30">
            <v>11679000</v>
          </cell>
          <cell r="H30">
            <v>14172000</v>
          </cell>
          <cell r="I30">
            <v>16278000</v>
          </cell>
          <cell r="J30">
            <v>17848000</v>
          </cell>
          <cell r="K30">
            <v>17483000</v>
          </cell>
        </row>
      </sheetData>
      <sheetData sheetId="2">
        <row r="17">
          <cell r="C17">
            <v>1.6842233601560594</v>
          </cell>
          <cell r="D17">
            <v>2.149665630592446</v>
          </cell>
          <cell r="E17">
            <v>1.7455087341667357</v>
          </cell>
          <cell r="F17">
            <v>2.3723325292262016</v>
          </cell>
          <cell r="G17">
            <v>2.1900929760137511</v>
          </cell>
          <cell r="H17">
            <v>1.9784163222462769</v>
          </cell>
          <cell r="I17">
            <v>2.0385036097134108</v>
          </cell>
          <cell r="J17">
            <v>2.3744021862901388</v>
          </cell>
          <cell r="K17">
            <v>2.1085166166069178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ment "/>
      <sheetName val="balance sheet "/>
      <sheetName val="Financial ratios"/>
    </sheetNames>
    <sheetDataSet>
      <sheetData sheetId="0">
        <row r="37">
          <cell r="B37">
            <v>-241000</v>
          </cell>
          <cell r="C37">
            <v>596000</v>
          </cell>
          <cell r="D37">
            <v>2371000</v>
          </cell>
          <cell r="E37">
            <v>3033000</v>
          </cell>
          <cell r="F37">
            <v>10073000</v>
          </cell>
          <cell r="G37">
            <v>11588000</v>
          </cell>
          <cell r="H37">
            <v>21331000</v>
          </cell>
          <cell r="I37">
            <v>33364000</v>
          </cell>
          <cell r="J37">
            <v>-2722000</v>
          </cell>
        </row>
      </sheetData>
      <sheetData sheetId="1">
        <row r="29">
          <cell r="B29">
            <v>16459000</v>
          </cell>
          <cell r="C29">
            <v>20397000</v>
          </cell>
          <cell r="D29">
            <v>25309000</v>
          </cell>
          <cell r="E29">
            <v>34616000</v>
          </cell>
          <cell r="F29">
            <v>38192000</v>
          </cell>
          <cell r="G29">
            <v>47183000</v>
          </cell>
          <cell r="H29">
            <v>72539000</v>
          </cell>
          <cell r="I29">
            <v>78664000</v>
          </cell>
          <cell r="J29">
            <v>79600000</v>
          </cell>
        </row>
      </sheetData>
      <sheetData sheetId="2">
        <row r="18">
          <cell r="C18">
            <v>4.0744809608043946</v>
          </cell>
          <cell r="D18">
            <v>3.8897190675433353</v>
          </cell>
          <cell r="E18">
            <v>3.3247083225304639</v>
          </cell>
          <cell r="F18">
            <v>3.7388935003067596</v>
          </cell>
          <cell r="G18">
            <v>2.734827435762015</v>
          </cell>
          <cell r="H18">
            <v>2.6295198195294875</v>
          </cell>
          <cell r="I18">
            <v>2.4387713588283155</v>
          </cell>
          <cell r="J18">
            <v>2.0420557705522802</v>
          </cell>
          <cell r="K18">
            <v>2.1680737864875415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dized"/>
      <sheetName val="common size IS"/>
      <sheetName val="Balance sheet"/>
      <sheetName val="common size balance sheet "/>
    </sheetNames>
    <sheetDataSet>
      <sheetData sheetId="0">
        <row r="13">
          <cell r="B13" t="str">
            <v>01/31/2015</v>
          </cell>
          <cell r="C13" t="str">
            <v>01/31/2016</v>
          </cell>
          <cell r="D13" t="str">
            <v>01/31/2017</v>
          </cell>
          <cell r="E13" t="str">
            <v>01/31/2018</v>
          </cell>
          <cell r="F13" t="str">
            <v>01/31/2019</v>
          </cell>
          <cell r="G13" t="str">
            <v>01/31/2020</v>
          </cell>
          <cell r="H13" t="str">
            <v>01/31/2021</v>
          </cell>
          <cell r="I13" t="str">
            <v>01/31/2022</v>
          </cell>
          <cell r="J13" t="str">
            <v>01/31/2023</v>
          </cell>
          <cell r="K13" t="str">
            <v>01/31/2024</v>
          </cell>
        </row>
        <row r="15">
          <cell r="A15" t="str">
            <v>Sales Revenue</v>
          </cell>
          <cell r="B15">
            <v>482229000</v>
          </cell>
          <cell r="C15">
            <v>478614000</v>
          </cell>
          <cell r="D15">
            <v>481317000</v>
          </cell>
          <cell r="E15">
            <v>495761000</v>
          </cell>
          <cell r="F15">
            <v>510329000</v>
          </cell>
          <cell r="G15">
            <v>519926000</v>
          </cell>
          <cell r="H15">
            <v>555233000</v>
          </cell>
          <cell r="I15">
            <v>567762000</v>
          </cell>
          <cell r="J15">
            <v>605881000</v>
          </cell>
          <cell r="K15">
            <v>642637000</v>
          </cell>
        </row>
        <row r="16">
          <cell r="A16" t="str">
            <v>Other Revenue</v>
          </cell>
          <cell r="B16">
            <v>3422000</v>
          </cell>
          <cell r="C16">
            <v>3516000</v>
          </cell>
          <cell r="D16">
            <v>4556000</v>
          </cell>
          <cell r="E16">
            <v>4582000</v>
          </cell>
          <cell r="F16">
            <v>4076000</v>
          </cell>
          <cell r="G16">
            <v>4038000</v>
          </cell>
          <cell r="H16">
            <v>3918000</v>
          </cell>
          <cell r="I16">
            <v>4992000</v>
          </cell>
          <cell r="J16">
            <v>5408000</v>
          </cell>
          <cell r="K16">
            <v>5488000</v>
          </cell>
        </row>
        <row r="17">
          <cell r="A17" t="str">
            <v>Total Revenue</v>
          </cell>
          <cell r="B17">
            <v>485651000</v>
          </cell>
          <cell r="C17">
            <v>482130000</v>
          </cell>
          <cell r="D17">
            <v>485873000</v>
          </cell>
          <cell r="E17">
            <v>500343000</v>
          </cell>
          <cell r="F17">
            <v>514405000</v>
          </cell>
          <cell r="G17">
            <v>523964000</v>
          </cell>
          <cell r="H17">
            <v>559151000</v>
          </cell>
          <cell r="I17">
            <v>572754000</v>
          </cell>
          <cell r="J17">
            <v>611289000</v>
          </cell>
          <cell r="K17">
            <v>648125000</v>
          </cell>
        </row>
        <row r="47">
          <cell r="A47" t="str">
            <v>Total Revenue</v>
          </cell>
          <cell r="B47">
            <v>485651000</v>
          </cell>
          <cell r="C47">
            <v>482130000</v>
          </cell>
          <cell r="D47">
            <v>485873000</v>
          </cell>
          <cell r="E47">
            <v>500343000</v>
          </cell>
          <cell r="F47">
            <v>514405000</v>
          </cell>
          <cell r="G47">
            <v>523964000</v>
          </cell>
          <cell r="H47">
            <v>559151000</v>
          </cell>
          <cell r="I47">
            <v>572754000</v>
          </cell>
          <cell r="J47">
            <v>611289000</v>
          </cell>
          <cell r="K47">
            <v>648125000</v>
          </cell>
        </row>
        <row r="48">
          <cell r="A48" t="str">
            <v>Net Income</v>
          </cell>
          <cell r="B48">
            <v>16363000</v>
          </cell>
          <cell r="C48">
            <v>14694000</v>
          </cell>
          <cell r="D48">
            <v>13643000</v>
          </cell>
          <cell r="E48">
            <v>9862000</v>
          </cell>
          <cell r="F48">
            <v>6670000</v>
          </cell>
          <cell r="G48">
            <v>14881000</v>
          </cell>
          <cell r="H48">
            <v>13510000</v>
          </cell>
          <cell r="I48">
            <v>13673000</v>
          </cell>
          <cell r="J48">
            <v>11680000</v>
          </cell>
          <cell r="K48">
            <v>15511000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48"/>
  <sheetViews>
    <sheetView topLeftCell="A4" zoomScale="64" zoomScaleNormal="64" workbookViewId="0">
      <selection activeCell="I34" sqref="I34"/>
    </sheetView>
  </sheetViews>
  <sheetFormatPr defaultRowHeight="13.2" x14ac:dyDescent="0.25"/>
  <cols>
    <col min="1" max="1" width="50" customWidth="1"/>
    <col min="2" max="11" width="20" bestFit="1" customWidth="1"/>
    <col min="12" max="200" width="12" customWidth="1"/>
  </cols>
  <sheetData>
    <row r="4" spans="1:21" x14ac:dyDescent="0.25">
      <c r="A4" s="1" t="s">
        <v>0</v>
      </c>
    </row>
    <row r="5" spans="1:21" ht="21" x14ac:dyDescent="0.4">
      <c r="A5" s="2" t="s">
        <v>1</v>
      </c>
    </row>
    <row r="7" spans="1:21" x14ac:dyDescent="0.25">
      <c r="A7" s="3" t="s">
        <v>2</v>
      </c>
    </row>
    <row r="9" spans="1:21" ht="13.8" x14ac:dyDescent="0.25">
      <c r="A9" s="15" t="s">
        <v>38</v>
      </c>
      <c r="C9" s="16">
        <f>C17/B17-1</f>
        <v>-7.2500622875274479E-3</v>
      </c>
      <c r="D9" s="16">
        <f t="shared" ref="D9:K9" si="0">D17/C17-1</f>
        <v>7.7634662850267766E-3</v>
      </c>
      <c r="E9" s="16">
        <f t="shared" si="0"/>
        <v>2.9781444945489843E-2</v>
      </c>
      <c r="F9" s="16">
        <f t="shared" si="0"/>
        <v>2.8104720161968855E-2</v>
      </c>
      <c r="G9" s="16">
        <f t="shared" si="0"/>
        <v>1.85826343056541E-2</v>
      </c>
      <c r="H9" s="16">
        <f t="shared" si="0"/>
        <v>6.7155377086975498E-2</v>
      </c>
      <c r="I9" s="16">
        <f t="shared" si="0"/>
        <v>2.4327954345069625E-2</v>
      </c>
      <c r="J9" s="16">
        <f t="shared" si="0"/>
        <v>6.7280193590965709E-2</v>
      </c>
      <c r="K9" s="16">
        <f t="shared" si="0"/>
        <v>6.02595499019285E-2</v>
      </c>
      <c r="L9" s="17">
        <f>AVERAGE(C9:K9)</f>
        <v>3.288947537061683E-2</v>
      </c>
    </row>
    <row r="12" spans="1:21" x14ac:dyDescent="0.25">
      <c r="A12" s="4" t="s">
        <v>3</v>
      </c>
    </row>
    <row r="13" spans="1:21" x14ac:dyDescent="0.25">
      <c r="A13" s="5" t="s">
        <v>4</v>
      </c>
      <c r="B13" s="22" t="s">
        <v>13</v>
      </c>
      <c r="C13" s="22" t="s">
        <v>12</v>
      </c>
      <c r="D13" s="22" t="s">
        <v>11</v>
      </c>
      <c r="E13" s="22" t="s">
        <v>10</v>
      </c>
      <c r="F13" s="22" t="s">
        <v>9</v>
      </c>
      <c r="G13" s="22" t="s">
        <v>8</v>
      </c>
      <c r="H13" s="22" t="s">
        <v>7</v>
      </c>
      <c r="I13" s="22" t="s">
        <v>6</v>
      </c>
      <c r="J13" s="22" t="s">
        <v>5</v>
      </c>
      <c r="K13" s="30" t="s">
        <v>103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6" t="s">
        <v>14</v>
      </c>
      <c r="B15" s="12">
        <v>482229000</v>
      </c>
      <c r="C15" s="12">
        <v>478614000</v>
      </c>
      <c r="D15" s="12">
        <v>481317000</v>
      </c>
      <c r="E15" s="12">
        <v>495761000</v>
      </c>
      <c r="F15" s="12">
        <v>510329000</v>
      </c>
      <c r="G15" s="12">
        <v>519926000</v>
      </c>
      <c r="H15" s="12">
        <v>555233000</v>
      </c>
      <c r="I15" s="12">
        <v>567762000</v>
      </c>
      <c r="J15" s="12">
        <v>605881000</v>
      </c>
      <c r="K15" s="31">
        <v>642637000</v>
      </c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 t="s">
        <v>15</v>
      </c>
      <c r="B16" s="12">
        <v>3422000</v>
      </c>
      <c r="C16" s="12">
        <v>3516000</v>
      </c>
      <c r="D16" s="12">
        <v>4556000</v>
      </c>
      <c r="E16" s="12">
        <v>4582000</v>
      </c>
      <c r="F16" s="12">
        <v>4076000</v>
      </c>
      <c r="G16" s="12">
        <v>4038000</v>
      </c>
      <c r="H16" s="12">
        <v>3918000</v>
      </c>
      <c r="I16" s="12">
        <v>4992000</v>
      </c>
      <c r="J16" s="12">
        <v>5408000</v>
      </c>
      <c r="K16" s="31">
        <v>5488000</v>
      </c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s="8" customFormat="1" ht="15.6" x14ac:dyDescent="0.3">
      <c r="A17" s="7" t="s">
        <v>16</v>
      </c>
      <c r="B17" s="13">
        <v>485651000</v>
      </c>
      <c r="C17" s="13">
        <v>482130000</v>
      </c>
      <c r="D17" s="13">
        <v>485873000</v>
      </c>
      <c r="E17" s="13">
        <v>500343000</v>
      </c>
      <c r="F17" s="13">
        <v>514405000</v>
      </c>
      <c r="G17" s="13">
        <v>523964000</v>
      </c>
      <c r="H17" s="13">
        <v>559151000</v>
      </c>
      <c r="I17" s="13">
        <v>572754000</v>
      </c>
      <c r="J17" s="13">
        <v>611289000</v>
      </c>
      <c r="K17" s="32">
        <v>648125000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6" t="s">
        <v>17</v>
      </c>
      <c r="B18" s="12">
        <v>365086000</v>
      </c>
      <c r="C18" s="12">
        <v>360984000</v>
      </c>
      <c r="D18" s="12">
        <v>361256000</v>
      </c>
      <c r="E18" s="12">
        <v>373396000</v>
      </c>
      <c r="F18" s="12">
        <v>385301000</v>
      </c>
      <c r="G18" s="12">
        <v>394605000</v>
      </c>
      <c r="H18" s="12">
        <v>420315000</v>
      </c>
      <c r="I18" s="12">
        <v>429000000</v>
      </c>
      <c r="J18" s="12">
        <v>463721000</v>
      </c>
      <c r="K18" s="31">
        <v>490142000</v>
      </c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s="10" customFormat="1" x14ac:dyDescent="0.25">
      <c r="A19" s="9" t="s">
        <v>18</v>
      </c>
      <c r="B19" s="14">
        <v>120565000</v>
      </c>
      <c r="C19" s="14">
        <v>121146000</v>
      </c>
      <c r="D19" s="14">
        <v>124617000</v>
      </c>
      <c r="E19" s="14">
        <v>126947000</v>
      </c>
      <c r="F19" s="14">
        <v>129104000</v>
      </c>
      <c r="G19" s="14">
        <v>129359000</v>
      </c>
      <c r="H19" s="14">
        <v>138836000</v>
      </c>
      <c r="I19" s="14">
        <v>143754000</v>
      </c>
      <c r="J19" s="14">
        <v>147568000</v>
      </c>
      <c r="K19" s="33">
        <v>157983000</v>
      </c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6" t="s">
        <v>19</v>
      </c>
      <c r="B20" s="12">
        <v>93418000</v>
      </c>
      <c r="C20" s="12">
        <v>97041000</v>
      </c>
      <c r="D20" s="12">
        <v>101853000</v>
      </c>
      <c r="E20" s="12">
        <v>106510000</v>
      </c>
      <c r="F20" s="12">
        <v>107147000</v>
      </c>
      <c r="G20" s="12">
        <v>108791000</v>
      </c>
      <c r="H20" s="12">
        <v>116288000</v>
      </c>
      <c r="I20" s="12">
        <v>117812000</v>
      </c>
      <c r="J20" s="12">
        <v>127140000</v>
      </c>
      <c r="K20" s="31">
        <v>130971000</v>
      </c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 t="s">
        <v>20</v>
      </c>
      <c r="B21" s="12">
        <v>93418000</v>
      </c>
      <c r="C21" s="12">
        <v>97041000</v>
      </c>
      <c r="D21" s="12">
        <v>101853000</v>
      </c>
      <c r="E21" s="12">
        <v>106510000</v>
      </c>
      <c r="F21" s="12">
        <v>107147000</v>
      </c>
      <c r="G21" s="12">
        <v>108791000</v>
      </c>
      <c r="H21" s="12">
        <v>116288000</v>
      </c>
      <c r="I21" s="12">
        <v>117812000</v>
      </c>
      <c r="J21" s="12">
        <v>127140000</v>
      </c>
      <c r="K21" s="31">
        <v>130971000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 t="s">
        <v>21</v>
      </c>
      <c r="B22" s="12">
        <v>27147000</v>
      </c>
      <c r="C22" s="12">
        <v>24105000</v>
      </c>
      <c r="D22" s="12">
        <v>22764000</v>
      </c>
      <c r="E22" s="12">
        <v>20437000</v>
      </c>
      <c r="F22" s="12">
        <v>21957000</v>
      </c>
      <c r="G22" s="12">
        <v>20568000</v>
      </c>
      <c r="H22" s="12">
        <v>22548000</v>
      </c>
      <c r="I22" s="12">
        <v>25942000</v>
      </c>
      <c r="J22" s="12">
        <v>20428000</v>
      </c>
      <c r="K22" s="31">
        <v>27012000</v>
      </c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 t="s">
        <v>22</v>
      </c>
      <c r="B23" s="12">
        <v>-2348000</v>
      </c>
      <c r="C23" s="12">
        <v>-2467000</v>
      </c>
      <c r="D23" s="12">
        <v>-2267000</v>
      </c>
      <c r="E23" s="12">
        <v>-2178000</v>
      </c>
      <c r="F23" s="12">
        <v>-2129000</v>
      </c>
      <c r="G23" s="12">
        <v>-2410000</v>
      </c>
      <c r="H23" s="12">
        <v>-2194000</v>
      </c>
      <c r="I23" s="12">
        <v>-1836000</v>
      </c>
      <c r="J23" s="12">
        <v>-1874000</v>
      </c>
      <c r="K23" s="31">
        <v>-2137000</v>
      </c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 t="s">
        <v>23</v>
      </c>
      <c r="B24" s="12">
        <v>0</v>
      </c>
      <c r="C24" s="12">
        <v>0</v>
      </c>
      <c r="D24" s="12">
        <v>0</v>
      </c>
      <c r="E24" s="12">
        <v>-3136000</v>
      </c>
      <c r="F24" s="12">
        <v>-8368000</v>
      </c>
      <c r="G24" s="12">
        <v>1958000</v>
      </c>
      <c r="H24" s="12">
        <v>210000</v>
      </c>
      <c r="I24" s="12">
        <v>-5410000</v>
      </c>
      <c r="J24" s="12">
        <v>-1538000</v>
      </c>
      <c r="K24" s="31">
        <v>-3027000</v>
      </c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 t="s">
        <v>24</v>
      </c>
      <c r="B25" s="12">
        <v>-2348000</v>
      </c>
      <c r="C25" s="12">
        <v>-2467000</v>
      </c>
      <c r="D25" s="12">
        <v>-2267000</v>
      </c>
      <c r="E25" s="12">
        <v>-5314000</v>
      </c>
      <c r="F25" s="12">
        <v>-10497000</v>
      </c>
      <c r="G25" s="12">
        <v>-452000</v>
      </c>
      <c r="H25" s="12">
        <v>-1984000</v>
      </c>
      <c r="I25" s="12">
        <v>-7246000</v>
      </c>
      <c r="J25" s="12">
        <v>-3412000</v>
      </c>
      <c r="K25" s="31">
        <v>-5164000</v>
      </c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 t="s">
        <v>25</v>
      </c>
      <c r="B26" s="12">
        <v>24799000</v>
      </c>
      <c r="C26" s="12">
        <v>21638000</v>
      </c>
      <c r="D26" s="12">
        <v>20497000</v>
      </c>
      <c r="E26" s="12">
        <v>15123000</v>
      </c>
      <c r="F26" s="12">
        <v>11460000</v>
      </c>
      <c r="G26" s="12">
        <v>20116000</v>
      </c>
      <c r="H26" s="12">
        <v>20564000</v>
      </c>
      <c r="I26" s="12">
        <v>18696000</v>
      </c>
      <c r="J26" s="12">
        <v>17016000</v>
      </c>
      <c r="K26" s="31">
        <v>21848000</v>
      </c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 t="s">
        <v>26</v>
      </c>
      <c r="B27" s="12">
        <v>7985000</v>
      </c>
      <c r="C27" s="12">
        <v>6558000</v>
      </c>
      <c r="D27" s="12">
        <v>6204000</v>
      </c>
      <c r="E27" s="12">
        <v>4600000</v>
      </c>
      <c r="F27" s="12">
        <v>4281000</v>
      </c>
      <c r="G27" s="12">
        <v>4915000</v>
      </c>
      <c r="H27" s="12">
        <v>6858000</v>
      </c>
      <c r="I27" s="12">
        <v>4756000</v>
      </c>
      <c r="J27" s="12">
        <v>5724000</v>
      </c>
      <c r="K27" s="31">
        <v>5578000</v>
      </c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 t="s">
        <v>27</v>
      </c>
      <c r="B28" s="12">
        <v>736000</v>
      </c>
      <c r="C28" s="12">
        <v>386000</v>
      </c>
      <c r="D28" s="12">
        <v>650000</v>
      </c>
      <c r="E28" s="12">
        <v>661000</v>
      </c>
      <c r="F28" s="12">
        <v>509000</v>
      </c>
      <c r="G28" s="12">
        <v>320000</v>
      </c>
      <c r="H28" s="12">
        <v>196000</v>
      </c>
      <c r="I28" s="12">
        <v>267000</v>
      </c>
      <c r="J28" s="12">
        <v>-388000</v>
      </c>
      <c r="K28" s="31">
        <v>759000</v>
      </c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s="8" customFormat="1" ht="15.6" x14ac:dyDescent="0.3">
      <c r="A29" s="7" t="s">
        <v>28</v>
      </c>
      <c r="B29" s="13">
        <v>16363000</v>
      </c>
      <c r="C29" s="13">
        <v>14694000</v>
      </c>
      <c r="D29" s="13">
        <v>13643000</v>
      </c>
      <c r="E29" s="13">
        <v>9862000</v>
      </c>
      <c r="F29" s="13">
        <v>6670000</v>
      </c>
      <c r="G29" s="13">
        <v>14881000</v>
      </c>
      <c r="H29" s="13">
        <v>13510000</v>
      </c>
      <c r="I29" s="13">
        <v>13673000</v>
      </c>
      <c r="J29" s="13">
        <v>11680000</v>
      </c>
      <c r="K29" s="32">
        <v>15511000</v>
      </c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s="8" customFormat="1" ht="15.6" x14ac:dyDescent="0.3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s="8" customFormat="1" ht="15.6" x14ac:dyDescent="0.3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6" t="s">
        <v>29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31"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 t="s">
        <v>30</v>
      </c>
      <c r="B33" s="12">
        <v>16363000</v>
      </c>
      <c r="C33" s="12">
        <v>14694000</v>
      </c>
      <c r="D33" s="12">
        <v>13643000</v>
      </c>
      <c r="E33" s="12">
        <v>9862000</v>
      </c>
      <c r="F33" s="12">
        <v>6670000</v>
      </c>
      <c r="G33" s="12">
        <v>14881000</v>
      </c>
      <c r="H33" s="12">
        <v>13510000</v>
      </c>
      <c r="I33" s="12">
        <v>13673000</v>
      </c>
      <c r="J33" s="12">
        <v>11680000</v>
      </c>
      <c r="K33" s="31">
        <v>15511000</v>
      </c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 t="s">
        <v>31</v>
      </c>
      <c r="B34" s="12">
        <v>3230000</v>
      </c>
      <c r="C34" s="12">
        <v>3207000</v>
      </c>
      <c r="D34" s="12">
        <v>3101000</v>
      </c>
      <c r="E34" s="12">
        <v>2995000</v>
      </c>
      <c r="F34" s="12">
        <v>2929000</v>
      </c>
      <c r="G34" s="12">
        <v>2850000</v>
      </c>
      <c r="H34" s="12">
        <v>2831000</v>
      </c>
      <c r="I34" s="12">
        <v>2792000</v>
      </c>
      <c r="J34" s="12">
        <v>2724000</v>
      </c>
      <c r="K34" s="31">
        <v>8077000</v>
      </c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 t="s">
        <v>32</v>
      </c>
      <c r="B35" s="12">
        <v>5.07</v>
      </c>
      <c r="C35" s="12">
        <v>4.58</v>
      </c>
      <c r="D35" s="12">
        <v>4.4000000000000004</v>
      </c>
      <c r="E35" s="12">
        <v>3.29</v>
      </c>
      <c r="F35" s="12">
        <v>2.2799999999999998</v>
      </c>
      <c r="G35" s="12">
        <v>5.22</v>
      </c>
      <c r="H35" s="12">
        <v>4.7699999999999996</v>
      </c>
      <c r="I35" s="12">
        <v>4.9000000000000004</v>
      </c>
      <c r="J35" s="12">
        <v>4.29</v>
      </c>
      <c r="K35" s="31">
        <v>1.92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 t="s">
        <v>33</v>
      </c>
      <c r="B36" s="12">
        <v>5.01</v>
      </c>
      <c r="C36" s="12">
        <v>4.58</v>
      </c>
      <c r="D36" s="12">
        <v>4.4000000000000004</v>
      </c>
      <c r="E36" s="12">
        <v>3.29</v>
      </c>
      <c r="F36" s="12">
        <v>2.2799999999999998</v>
      </c>
      <c r="G36" s="12">
        <v>5.22</v>
      </c>
      <c r="H36" s="12">
        <v>4.7699999999999996</v>
      </c>
      <c r="I36" s="12">
        <v>4.9000000000000004</v>
      </c>
      <c r="J36" s="12">
        <v>4.29</v>
      </c>
      <c r="K36" s="31">
        <v>1.92</v>
      </c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 t="s">
        <v>34</v>
      </c>
      <c r="B37" s="12">
        <v>3243000</v>
      </c>
      <c r="C37" s="12">
        <v>3217000</v>
      </c>
      <c r="D37" s="12">
        <v>3112000</v>
      </c>
      <c r="E37" s="12">
        <v>3010000</v>
      </c>
      <c r="F37" s="12">
        <v>2945000</v>
      </c>
      <c r="G37" s="12">
        <v>2868000</v>
      </c>
      <c r="H37" s="12">
        <v>2847000</v>
      </c>
      <c r="I37" s="12">
        <v>2805000</v>
      </c>
      <c r="J37" s="12">
        <v>2734000</v>
      </c>
      <c r="K37" s="31">
        <v>8108000</v>
      </c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 t="s">
        <v>35</v>
      </c>
      <c r="B38" s="12">
        <v>5.05</v>
      </c>
      <c r="C38" s="12">
        <v>4.57</v>
      </c>
      <c r="D38" s="12">
        <v>4.38</v>
      </c>
      <c r="E38" s="12">
        <v>3.28</v>
      </c>
      <c r="F38" s="12">
        <v>2.2599999999999998</v>
      </c>
      <c r="G38" s="12">
        <v>5.19</v>
      </c>
      <c r="H38" s="12">
        <v>4.75</v>
      </c>
      <c r="I38" s="12">
        <v>4.87</v>
      </c>
      <c r="J38" s="12">
        <v>4.2699999999999996</v>
      </c>
      <c r="K38" s="31">
        <v>1.91</v>
      </c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 t="s">
        <v>36</v>
      </c>
      <c r="B39" s="12">
        <v>4.99</v>
      </c>
      <c r="C39" s="12">
        <v>4.57</v>
      </c>
      <c r="D39" s="12">
        <v>4.38</v>
      </c>
      <c r="E39" s="12">
        <v>3.28</v>
      </c>
      <c r="F39" s="12">
        <v>2.2599999999999998</v>
      </c>
      <c r="G39" s="12">
        <v>5.19</v>
      </c>
      <c r="H39" s="12">
        <v>4.75</v>
      </c>
      <c r="I39" s="12">
        <v>4.87</v>
      </c>
      <c r="J39" s="12">
        <v>4.2699999999999996</v>
      </c>
      <c r="K39" s="31">
        <v>1.91</v>
      </c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 t="s">
        <v>37</v>
      </c>
      <c r="B40" s="12">
        <v>3228000</v>
      </c>
      <c r="C40" s="12">
        <v>3162000</v>
      </c>
      <c r="D40" s="12">
        <v>3048000</v>
      </c>
      <c r="E40" s="12">
        <v>2952000</v>
      </c>
      <c r="F40" s="12">
        <v>2878000</v>
      </c>
      <c r="G40" s="12">
        <v>2832000</v>
      </c>
      <c r="H40" s="12">
        <v>2821000</v>
      </c>
      <c r="I40" s="12">
        <v>2761000</v>
      </c>
      <c r="J40" s="12">
        <v>2693000</v>
      </c>
      <c r="K40" s="31">
        <v>8054000</v>
      </c>
      <c r="L40" s="6"/>
      <c r="M40" s="6"/>
      <c r="N40" s="6"/>
      <c r="O40" s="6"/>
      <c r="P40" s="6"/>
      <c r="Q40" s="6"/>
      <c r="R40" s="6"/>
      <c r="S40" s="6"/>
      <c r="T40" s="6"/>
      <c r="U40" s="6"/>
    </row>
    <row r="47" spans="1:21" s="8" customFormat="1" ht="15.6" x14ac:dyDescent="0.3">
      <c r="A47" s="7" t="s">
        <v>16</v>
      </c>
      <c r="B47" s="13">
        <f>B17</f>
        <v>485651000</v>
      </c>
      <c r="C47" s="13">
        <f t="shared" ref="C47:K47" si="1">C17</f>
        <v>482130000</v>
      </c>
      <c r="D47" s="13">
        <f t="shared" si="1"/>
        <v>485873000</v>
      </c>
      <c r="E47" s="13">
        <f t="shared" si="1"/>
        <v>500343000</v>
      </c>
      <c r="F47" s="13">
        <f t="shared" si="1"/>
        <v>514405000</v>
      </c>
      <c r="G47" s="13">
        <f t="shared" si="1"/>
        <v>523964000</v>
      </c>
      <c r="H47" s="13">
        <f t="shared" si="1"/>
        <v>559151000</v>
      </c>
      <c r="I47" s="13">
        <f t="shared" si="1"/>
        <v>572754000</v>
      </c>
      <c r="J47" s="13">
        <f t="shared" si="1"/>
        <v>611289000</v>
      </c>
      <c r="K47" s="13">
        <f t="shared" si="1"/>
        <v>648125000</v>
      </c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s="8" customFormat="1" ht="15.6" x14ac:dyDescent="0.3">
      <c r="A48" s="7" t="s">
        <v>28</v>
      </c>
      <c r="B48" s="13">
        <f>B29</f>
        <v>16363000</v>
      </c>
      <c r="C48" s="13">
        <f t="shared" ref="C48:K48" si="2">C29</f>
        <v>14694000</v>
      </c>
      <c r="D48" s="13">
        <f t="shared" si="2"/>
        <v>13643000</v>
      </c>
      <c r="E48" s="13">
        <f t="shared" si="2"/>
        <v>9862000</v>
      </c>
      <c r="F48" s="13">
        <f t="shared" si="2"/>
        <v>6670000</v>
      </c>
      <c r="G48" s="13">
        <f t="shared" si="2"/>
        <v>14881000</v>
      </c>
      <c r="H48" s="13">
        <f t="shared" si="2"/>
        <v>13510000</v>
      </c>
      <c r="I48" s="13">
        <f t="shared" si="2"/>
        <v>13673000</v>
      </c>
      <c r="J48" s="13">
        <f t="shared" si="2"/>
        <v>11680000</v>
      </c>
      <c r="K48" s="13">
        <f t="shared" si="2"/>
        <v>15511000</v>
      </c>
      <c r="L48" s="7"/>
      <c r="M48" s="7"/>
      <c r="N48" s="7"/>
      <c r="O48" s="7"/>
      <c r="P48" s="7"/>
      <c r="Q48" s="7"/>
      <c r="R48" s="7"/>
      <c r="S48" s="7"/>
      <c r="T48" s="7"/>
      <c r="U48" s="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3:T40">
    <sortCondition ref="B13:T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FDD3-B4DC-4CDE-AB0B-2A08DCFFF81E}">
  <dimension ref="B6:M22"/>
  <sheetViews>
    <sheetView topLeftCell="F22" workbookViewId="0">
      <selection activeCell="K37" sqref="K37"/>
    </sheetView>
  </sheetViews>
  <sheetFormatPr defaultRowHeight="13.2" x14ac:dyDescent="0.25"/>
  <cols>
    <col min="2" max="2" width="25.44140625" bestFit="1" customWidth="1"/>
    <col min="3" max="12" width="10.109375" bestFit="1" customWidth="1"/>
  </cols>
  <sheetData>
    <row r="6" spans="2:13" x14ac:dyDescent="0.25">
      <c r="C6" t="str">
        <f>standardized!B13</f>
        <v>01/31/2015</v>
      </c>
      <c r="D6" t="str">
        <f>standardized!C13</f>
        <v>01/31/2016</v>
      </c>
      <c r="E6" t="str">
        <f>standardized!D13</f>
        <v>01/31/2017</v>
      </c>
      <c r="F6" t="str">
        <f>standardized!E13</f>
        <v>01/31/2018</v>
      </c>
      <c r="G6" t="str">
        <f>standardized!F13</f>
        <v>01/31/2019</v>
      </c>
      <c r="H6" t="str">
        <f>standardized!G13</f>
        <v>01/31/2020</v>
      </c>
      <c r="I6" t="str">
        <f>standardized!H13</f>
        <v>01/31/2021</v>
      </c>
      <c r="J6" t="str">
        <f>standardized!I13</f>
        <v>01/31/2022</v>
      </c>
      <c r="K6" t="str">
        <f>standardized!J13</f>
        <v>01/31/2023</v>
      </c>
      <c r="L6" t="str">
        <f>standardized!K13</f>
        <v>01/31/2024</v>
      </c>
      <c r="M6" s="28" t="s">
        <v>104</v>
      </c>
    </row>
    <row r="8" spans="2:13" x14ac:dyDescent="0.25">
      <c r="B8" t="str">
        <f>standardized!A15</f>
        <v>Sales Revenue</v>
      </c>
      <c r="C8" s="16">
        <f>standardized!B15/standardized!B$17</f>
        <v>0.99295378780235188</v>
      </c>
      <c r="D8" s="16">
        <f>standardized!C15/standardized!C$17</f>
        <v>0.99270736108518454</v>
      </c>
      <c r="E8" s="16">
        <f>standardized!D15/standardized!D$17</f>
        <v>0.99062306405171718</v>
      </c>
      <c r="F8" s="16">
        <f>standardized!E15/standardized!E$17</f>
        <v>0.99084228219441461</v>
      </c>
      <c r="G8" s="16">
        <f>standardized!F15/standardized!F$17</f>
        <v>0.99207628230674272</v>
      </c>
      <c r="H8" s="16">
        <f>standardized!G15/standardized!G$17</f>
        <v>0.99229336366620613</v>
      </c>
      <c r="I8" s="16">
        <f>standardized!H15/standardized!H$17</f>
        <v>0.99299294823759587</v>
      </c>
      <c r="J8" s="16">
        <f>standardized!I15/standardized!I$17</f>
        <v>0.99128421626038399</v>
      </c>
      <c r="K8" s="16">
        <f>standardized!J15/standardized!J$17</f>
        <v>0.99115312070068329</v>
      </c>
      <c r="L8" s="16">
        <f>standardized!K15/standardized!K$17</f>
        <v>0.99153249758919959</v>
      </c>
      <c r="M8" s="17">
        <f>AVERAGE(C8:L8)</f>
        <v>0.99184589238944798</v>
      </c>
    </row>
    <row r="9" spans="2:13" x14ac:dyDescent="0.25">
      <c r="B9" t="str">
        <f>standardized!A16</f>
        <v>Other Revenue</v>
      </c>
      <c r="C9" s="16">
        <f>standardized!B16/standardized!B$17</f>
        <v>7.046212197648105E-3</v>
      </c>
      <c r="D9" s="16">
        <f>standardized!C16/standardized!C$17</f>
        <v>7.2926389148155061E-3</v>
      </c>
      <c r="E9" s="16">
        <f>standardized!D16/standardized!D$17</f>
        <v>9.3769359482827816E-3</v>
      </c>
      <c r="F9" s="16">
        <f>standardized!E16/standardized!E$17</f>
        <v>9.1577178055853685E-3</v>
      </c>
      <c r="G9" s="16">
        <f>standardized!F16/standardized!F$17</f>
        <v>7.9237176932572592E-3</v>
      </c>
      <c r="H9" s="16">
        <f>standardized!G16/standardized!G$17</f>
        <v>7.706636333793925E-3</v>
      </c>
      <c r="I9" s="16">
        <f>standardized!H16/standardized!H$17</f>
        <v>7.0070517624040733E-3</v>
      </c>
      <c r="J9" s="16">
        <f>standardized!I16/standardized!I$17</f>
        <v>8.71578373961596E-3</v>
      </c>
      <c r="K9" s="16">
        <f>standardized!J16/standardized!J$17</f>
        <v>8.8468792993166897E-3</v>
      </c>
      <c r="L9" s="16">
        <f>standardized!K16/standardized!K$17</f>
        <v>8.467502410800385E-3</v>
      </c>
      <c r="M9" s="17">
        <f t="shared" ref="M9:M22" si="0">AVERAGE(C9:L9)</f>
        <v>8.1541076105520038E-3</v>
      </c>
    </row>
    <row r="10" spans="2:13" x14ac:dyDescent="0.25">
      <c r="B10" t="str">
        <f>standardized!A17</f>
        <v>Total Revenue</v>
      </c>
      <c r="C10" s="16">
        <f>standardized!B17/standardized!B$17</f>
        <v>1</v>
      </c>
      <c r="D10" s="16">
        <f>standardized!C17/standardized!C$17</f>
        <v>1</v>
      </c>
      <c r="E10" s="16">
        <f>standardized!D17/standardized!D$17</f>
        <v>1</v>
      </c>
      <c r="F10" s="16">
        <f>standardized!E17/standardized!E$17</f>
        <v>1</v>
      </c>
      <c r="G10" s="16">
        <f>standardized!F17/standardized!F$17</f>
        <v>1</v>
      </c>
      <c r="H10" s="16">
        <f>standardized!G17/standardized!G$17</f>
        <v>1</v>
      </c>
      <c r="I10" s="16">
        <f>standardized!H17/standardized!H$17</f>
        <v>1</v>
      </c>
      <c r="J10" s="16">
        <f>standardized!I17/standardized!I$17</f>
        <v>1</v>
      </c>
      <c r="K10" s="16">
        <f>standardized!J17/standardized!J$17</f>
        <v>1</v>
      </c>
      <c r="L10" s="16">
        <f>standardized!K17/standardized!K$17</f>
        <v>1</v>
      </c>
      <c r="M10" s="17">
        <f t="shared" si="0"/>
        <v>1</v>
      </c>
    </row>
    <row r="11" spans="2:13" x14ac:dyDescent="0.25">
      <c r="B11" t="str">
        <f>standardized!A18</f>
        <v>Direct Costs</v>
      </c>
      <c r="C11" s="16">
        <f>standardized!B18/standardized!B$17</f>
        <v>0.75174559508783056</v>
      </c>
      <c r="D11" s="16">
        <f>standardized!C18/standardized!C$17</f>
        <v>0.74872752162279888</v>
      </c>
      <c r="E11" s="16">
        <f>standardized!D18/standardized!D$17</f>
        <v>0.74351939704408354</v>
      </c>
      <c r="F11" s="16">
        <f>standardized!E18/standardized!E$17</f>
        <v>0.74628005188440727</v>
      </c>
      <c r="G11" s="16">
        <f>standardized!F18/standardized!F$17</f>
        <v>0.7490226572447779</v>
      </c>
      <c r="H11" s="16">
        <f>standardized!G18/standardized!G$17</f>
        <v>0.75311471780504002</v>
      </c>
      <c r="I11" s="16">
        <f>standardized!H18/standardized!H$17</f>
        <v>0.75170213412834819</v>
      </c>
      <c r="J11" s="16">
        <f>standardized!I18/standardized!I$17</f>
        <v>0.7490126651232466</v>
      </c>
      <c r="K11" s="16">
        <f>standardized!J18/standardized!J$17</f>
        <v>0.75859536160474017</v>
      </c>
      <c r="L11" s="16">
        <f>standardized!K18/standardized!K$17</f>
        <v>0.7562460945033751</v>
      </c>
      <c r="M11" s="19">
        <f t="shared" si="0"/>
        <v>0.75079661960486488</v>
      </c>
    </row>
    <row r="12" spans="2:13" x14ac:dyDescent="0.25">
      <c r="B12" t="str">
        <f>standardized!A19</f>
        <v>Gross Profit</v>
      </c>
      <c r="C12" s="16">
        <f>standardized!B19/standardized!B$17</f>
        <v>0.24825440491216944</v>
      </c>
      <c r="D12" s="16">
        <f>standardized!C19/standardized!C$17</f>
        <v>0.25127247837720118</v>
      </c>
      <c r="E12" s="16">
        <f>standardized!D19/standardized!D$17</f>
        <v>0.25648060295591646</v>
      </c>
      <c r="F12" s="16">
        <f>standardized!E19/standardized!E$17</f>
        <v>0.25371994811559273</v>
      </c>
      <c r="G12" s="16">
        <f>standardized!F19/standardized!F$17</f>
        <v>0.25097734275522204</v>
      </c>
      <c r="H12" s="16">
        <f>standardized!G19/standardized!G$17</f>
        <v>0.24688528219495995</v>
      </c>
      <c r="I12" s="16">
        <f>standardized!H19/standardized!H$17</f>
        <v>0.24829786587165184</v>
      </c>
      <c r="J12" s="16">
        <f>standardized!I19/standardized!I$17</f>
        <v>0.25098733487675334</v>
      </c>
      <c r="K12" s="16">
        <f>standardized!J19/standardized!J$17</f>
        <v>0.24140463839525986</v>
      </c>
      <c r="L12" s="16">
        <f>standardized!K19/standardized!K$17</f>
        <v>0.24375390549662487</v>
      </c>
      <c r="M12" s="17">
        <f t="shared" si="0"/>
        <v>0.24920338039513515</v>
      </c>
    </row>
    <row r="13" spans="2:13" x14ac:dyDescent="0.25">
      <c r="B13" t="str">
        <f>standardized!A20</f>
        <v>Selling General &amp; Admin</v>
      </c>
      <c r="C13" s="16">
        <f>standardized!B20/standardized!B$17</f>
        <v>0.19235623935706916</v>
      </c>
      <c r="D13" s="16">
        <f>standardized!C20/standardized!C$17</f>
        <v>0.20127558957127745</v>
      </c>
      <c r="E13" s="16">
        <f>standardized!D20/standardized!D$17</f>
        <v>0.20962885363047545</v>
      </c>
      <c r="F13" s="16">
        <f>standardized!E20/standardized!E$17</f>
        <v>0.21287396845763806</v>
      </c>
      <c r="G13" s="16">
        <f>standardized!F20/standardized!F$17</f>
        <v>0.20829307646698614</v>
      </c>
      <c r="H13" s="16">
        <f>standardized!G20/standardized!G$17</f>
        <v>0.20763067691673473</v>
      </c>
      <c r="I13" s="16">
        <f>standardized!H20/standardized!H$17</f>
        <v>0.20797244393732642</v>
      </c>
      <c r="J13" s="16">
        <f>standardized!I20/standardized!I$17</f>
        <v>0.20569389301515137</v>
      </c>
      <c r="K13" s="16">
        <f>standardized!J20/standardized!J$17</f>
        <v>0.20798672968105103</v>
      </c>
      <c r="L13" s="16">
        <f>standardized!K20/standardized!K$17</f>
        <v>0.20207675988428159</v>
      </c>
      <c r="M13" s="17">
        <f t="shared" si="0"/>
        <v>0.20557882309179912</v>
      </c>
    </row>
    <row r="14" spans="2:13" x14ac:dyDescent="0.25">
      <c r="B14" t="str">
        <f>standardized!A21</f>
        <v>Total Indirect Operating Costs</v>
      </c>
      <c r="C14" s="16">
        <f>standardized!B21/standardized!B$17</f>
        <v>0.19235623935706916</v>
      </c>
      <c r="D14" s="16">
        <f>standardized!C21/standardized!C$17</f>
        <v>0.20127558957127745</v>
      </c>
      <c r="E14" s="16">
        <f>standardized!D21/standardized!D$17</f>
        <v>0.20962885363047545</v>
      </c>
      <c r="F14" s="16">
        <f>standardized!E21/standardized!E$17</f>
        <v>0.21287396845763806</v>
      </c>
      <c r="G14" s="16">
        <f>standardized!F21/standardized!F$17</f>
        <v>0.20829307646698614</v>
      </c>
      <c r="H14" s="16">
        <f>standardized!G21/standardized!G$17</f>
        <v>0.20763067691673473</v>
      </c>
      <c r="I14" s="16">
        <f>standardized!H21/standardized!H$17</f>
        <v>0.20797244393732642</v>
      </c>
      <c r="J14" s="16">
        <f>standardized!I21/standardized!I$17</f>
        <v>0.20569389301515137</v>
      </c>
      <c r="K14" s="16">
        <f>standardized!J21/standardized!J$17</f>
        <v>0.20798672968105103</v>
      </c>
      <c r="L14" s="16">
        <f>standardized!K21/standardized!K$17</f>
        <v>0.20207675988428159</v>
      </c>
      <c r="M14" s="17">
        <f t="shared" si="0"/>
        <v>0.20557882309179912</v>
      </c>
    </row>
    <row r="15" spans="2:13" x14ac:dyDescent="0.25">
      <c r="B15" t="str">
        <f>standardized!A22</f>
        <v>Operating Income</v>
      </c>
      <c r="C15" s="16">
        <f>standardized!B22/standardized!B$17</f>
        <v>5.5898165555100264E-2</v>
      </c>
      <c r="D15" s="16">
        <f>standardized!C22/standardized!C$17</f>
        <v>4.9996888805923713E-2</v>
      </c>
      <c r="E15" s="16">
        <f>standardized!D22/standardized!D$17</f>
        <v>4.6851749325441013E-2</v>
      </c>
      <c r="F15" s="16">
        <f>standardized!E22/standardized!E$17</f>
        <v>4.084597965795464E-2</v>
      </c>
      <c r="G15" s="16">
        <f>standardized!F22/standardized!F$17</f>
        <v>4.268426628823592E-2</v>
      </c>
      <c r="H15" s="16">
        <f>standardized!G22/standardized!G$17</f>
        <v>3.9254605278225219E-2</v>
      </c>
      <c r="I15" s="16">
        <f>standardized!H22/standardized!H$17</f>
        <v>4.032542193432543E-2</v>
      </c>
      <c r="J15" s="16">
        <f>standardized!I22/standardized!I$17</f>
        <v>4.5293441861602016E-2</v>
      </c>
      <c r="K15" s="16">
        <f>standardized!J22/standardized!J$17</f>
        <v>3.3417908714208827E-2</v>
      </c>
      <c r="L15" s="16">
        <f>standardized!K22/standardized!K$17</f>
        <v>4.16771456123433E-2</v>
      </c>
      <c r="M15" s="17">
        <f t="shared" si="0"/>
        <v>4.3624557303336038E-2</v>
      </c>
    </row>
    <row r="16" spans="2:13" x14ac:dyDescent="0.25">
      <c r="B16" t="str">
        <f>standardized!A23</f>
        <v>Interest Income</v>
      </c>
      <c r="C16" s="16">
        <f>standardized!B23/standardized!B$17</f>
        <v>-4.8347475862296173E-3</v>
      </c>
      <c r="D16" s="16">
        <f>standardized!C23/standardized!C$17</f>
        <v>-5.1168771907991618E-3</v>
      </c>
      <c r="E16" s="16">
        <f>standardized!D23/standardized!D$17</f>
        <v>-4.6658283131600234E-3</v>
      </c>
      <c r="F16" s="16">
        <f>standardized!E23/standardized!E$17</f>
        <v>-4.3530138325108972E-3</v>
      </c>
      <c r="G16" s="16">
        <f>standardized!F23/standardized!F$17</f>
        <v>-4.1387622593092987E-3</v>
      </c>
      <c r="H16" s="16">
        <f>standardized!G23/standardized!G$17</f>
        <v>-4.5995526410211388E-3</v>
      </c>
      <c r="I16" s="16">
        <f>standardized!H23/standardized!H$17</f>
        <v>-3.9238059128929399E-3</v>
      </c>
      <c r="J16" s="16">
        <f>standardized!I23/standardized!I$17</f>
        <v>-3.2055646926952932E-3</v>
      </c>
      <c r="K16" s="16">
        <f>standardized!J23/standardized!J$17</f>
        <v>-3.0656530708061164E-3</v>
      </c>
      <c r="L16" s="16">
        <f>standardized!K23/standardized!K$17</f>
        <v>-3.2972034715525555E-3</v>
      </c>
      <c r="M16" s="17">
        <f t="shared" si="0"/>
        <v>-4.1201008970977041E-3</v>
      </c>
    </row>
    <row r="17" spans="2:13" x14ac:dyDescent="0.25">
      <c r="B17" t="str">
        <f>standardized!A24</f>
        <v>Other Non-Operating Income</v>
      </c>
      <c r="C17" s="16">
        <f>standardized!B24/standardized!B$17</f>
        <v>0</v>
      </c>
      <c r="D17" s="16">
        <f>standardized!C24/standardized!C$17</f>
        <v>0</v>
      </c>
      <c r="E17" s="16">
        <f>standardized!D24/standardized!D$17</f>
        <v>0</v>
      </c>
      <c r="F17" s="16">
        <f>standardized!E24/standardized!E$17</f>
        <v>-6.2677003575547178E-3</v>
      </c>
      <c r="G17" s="16">
        <f>standardized!F24/standardized!F$17</f>
        <v>-1.6267337992437864E-2</v>
      </c>
      <c r="H17" s="16">
        <f>standardized!G24/standardized!G$17</f>
        <v>3.7368979548213234E-3</v>
      </c>
      <c r="I17" s="16">
        <f>standardized!H24/standardized!H$17</f>
        <v>3.7556939002165784E-4</v>
      </c>
      <c r="J17" s="16">
        <f>standardized!I24/standardized!I$17</f>
        <v>-9.4455909517873297E-3</v>
      </c>
      <c r="K17" s="16">
        <f>standardized!J24/standardized!J$17</f>
        <v>-2.5159948894876239E-3</v>
      </c>
      <c r="L17" s="16">
        <f>standardized!K24/standardized!K$17</f>
        <v>-4.6703953712632596E-3</v>
      </c>
      <c r="M17" s="17">
        <f t="shared" si="0"/>
        <v>-3.5054552217687815E-3</v>
      </c>
    </row>
    <row r="18" spans="2:13" x14ac:dyDescent="0.25">
      <c r="B18" t="str">
        <f>standardized!A25</f>
        <v>Total Non-Operating Income</v>
      </c>
      <c r="C18" s="16">
        <f>standardized!B25/standardized!B$17</f>
        <v>-4.8347475862296173E-3</v>
      </c>
      <c r="D18" s="16">
        <f>standardized!C25/standardized!C$17</f>
        <v>-5.1168771907991618E-3</v>
      </c>
      <c r="E18" s="16">
        <f>standardized!D25/standardized!D$17</f>
        <v>-4.6658283131600234E-3</v>
      </c>
      <c r="F18" s="16">
        <f>standardized!E25/standardized!E$17</f>
        <v>-1.0620714190065614E-2</v>
      </c>
      <c r="G18" s="16">
        <f>standardized!F25/standardized!F$17</f>
        <v>-2.0406100251747165E-2</v>
      </c>
      <c r="H18" s="16">
        <f>standardized!G25/standardized!G$17</f>
        <v>-8.626546861998152E-4</v>
      </c>
      <c r="I18" s="16">
        <f>standardized!H25/standardized!H$17</f>
        <v>-3.5482365228712816E-3</v>
      </c>
      <c r="J18" s="16">
        <f>standardized!I25/standardized!I$17</f>
        <v>-1.2651155644482623E-2</v>
      </c>
      <c r="K18" s="16">
        <f>standardized!J25/standardized!J$17</f>
        <v>-5.5816479602937398E-3</v>
      </c>
      <c r="L18" s="16">
        <f>standardized!K25/standardized!K$17</f>
        <v>-7.9675988428158147E-3</v>
      </c>
      <c r="M18" s="17">
        <f t="shared" si="0"/>
        <v>-7.6255561188664864E-3</v>
      </c>
    </row>
    <row r="19" spans="2:13" x14ac:dyDescent="0.25">
      <c r="B19" t="str">
        <f>standardized!A26</f>
        <v>Earnings Before Tax</v>
      </c>
      <c r="C19" s="16">
        <f>standardized!B26/standardized!B$17</f>
        <v>5.106341796887065E-2</v>
      </c>
      <c r="D19" s="16">
        <f>standardized!C26/standardized!C$17</f>
        <v>4.4880011615124553E-2</v>
      </c>
      <c r="E19" s="16">
        <f>standardized!D26/standardized!D$17</f>
        <v>4.218592101228099E-2</v>
      </c>
      <c r="F19" s="16">
        <f>standardized!E26/standardized!E$17</f>
        <v>3.0225265467889027E-2</v>
      </c>
      <c r="G19" s="16">
        <f>standardized!F26/standardized!F$17</f>
        <v>2.2278166036488758E-2</v>
      </c>
      <c r="H19" s="16">
        <f>standardized!G26/standardized!G$17</f>
        <v>3.8391950592025409E-2</v>
      </c>
      <c r="I19" s="16">
        <f>standardized!H26/standardized!H$17</f>
        <v>3.6777185411454152E-2</v>
      </c>
      <c r="J19" s="16">
        <f>standardized!I26/standardized!I$17</f>
        <v>3.2642286217119391E-2</v>
      </c>
      <c r="K19" s="16">
        <f>standardized!J26/standardized!J$17</f>
        <v>2.7836260753915088E-2</v>
      </c>
      <c r="L19" s="16">
        <f>standardized!K26/standardized!K$17</f>
        <v>3.3709546769527483E-2</v>
      </c>
      <c r="M19" s="17">
        <f t="shared" si="0"/>
        <v>3.5999001184469553E-2</v>
      </c>
    </row>
    <row r="20" spans="2:13" x14ac:dyDescent="0.25">
      <c r="B20" t="str">
        <f>standardized!A27</f>
        <v>Taxation</v>
      </c>
      <c r="C20" s="16">
        <f>standardized!B27/standardized!B$17</f>
        <v>1.6441848158451233E-2</v>
      </c>
      <c r="D20" s="16">
        <f>standardized!C27/standardized!C$17</f>
        <v>1.3602140501524486E-2</v>
      </c>
      <c r="E20" s="16">
        <f>standardized!D27/standardized!D$17</f>
        <v>1.2768768793491304E-2</v>
      </c>
      <c r="F20" s="16">
        <f>standardized!E27/standardized!E$17</f>
        <v>9.1936931265152108E-3</v>
      </c>
      <c r="G20" s="16">
        <f>standardized!F27/standardized!F$17</f>
        <v>8.3222363701752518E-3</v>
      </c>
      <c r="H20" s="16">
        <f>standardized!G27/standardized!G$17</f>
        <v>9.3804154483895837E-3</v>
      </c>
      <c r="I20" s="16">
        <f>standardized!H27/standardized!H$17</f>
        <v>1.2265023222707283E-2</v>
      </c>
      <c r="J20" s="16">
        <f>standardized!I27/standardized!I$17</f>
        <v>8.3037394762847574E-3</v>
      </c>
      <c r="K20" s="16">
        <f>standardized!J27/standardized!J$17</f>
        <v>9.3638197317471774E-3</v>
      </c>
      <c r="L20" s="16">
        <f>standardized!K27/standardized!K$17</f>
        <v>8.6063645130183223E-3</v>
      </c>
      <c r="M20" s="17">
        <f t="shared" si="0"/>
        <v>1.0824804934230461E-2</v>
      </c>
    </row>
    <row r="21" spans="2:13" x14ac:dyDescent="0.25">
      <c r="B21" t="str">
        <f>standardized!A28</f>
        <v>Minority Interests</v>
      </c>
      <c r="C21" s="16">
        <f>standardized!B28/standardized!B$17</f>
        <v>1.5154915772849227E-3</v>
      </c>
      <c r="D21" s="16">
        <f>standardized!C28/standardized!C$17</f>
        <v>8.0061394229772058E-4</v>
      </c>
      <c r="E21" s="16">
        <f>standardized!D28/standardized!D$17</f>
        <v>1.3377981488989922E-3</v>
      </c>
      <c r="F21" s="16">
        <f>standardized!E28/standardized!E$17</f>
        <v>1.3210937297014249E-3</v>
      </c>
      <c r="G21" s="16">
        <f>standardized!F28/standardized!F$17</f>
        <v>9.8949271488418659E-4</v>
      </c>
      <c r="H21" s="16">
        <f>standardized!G28/standardized!G$17</f>
        <v>6.1072898138040017E-4</v>
      </c>
      <c r="I21" s="16">
        <f>standardized!H28/standardized!H$17</f>
        <v>3.5053143068688064E-4</v>
      </c>
      <c r="J21" s="16">
        <f>standardized!I28/standardized!I$17</f>
        <v>4.6616872165013254E-4</v>
      </c>
      <c r="K21" s="16">
        <f>standardized!J28/standardized!J$17</f>
        <v>-6.3472432842730687E-4</v>
      </c>
      <c r="L21" s="16">
        <f>standardized!K28/standardized!K$17</f>
        <v>1.1710703953712633E-3</v>
      </c>
      <c r="M21" s="17">
        <f t="shared" si="0"/>
        <v>7.9282653137286167E-4</v>
      </c>
    </row>
    <row r="22" spans="2:13" s="15" customFormat="1" ht="13.8" x14ac:dyDescent="0.25">
      <c r="B22" s="15" t="str">
        <f>standardized!A29</f>
        <v>Net Income</v>
      </c>
      <c r="C22" s="18">
        <f>standardized!B29/standardized!B$17</f>
        <v>3.369291940096901E-2</v>
      </c>
      <c r="D22" s="18">
        <f>standardized!C29/standardized!C$17</f>
        <v>3.0477257171302344E-2</v>
      </c>
      <c r="E22" s="18">
        <f>standardized!D29/standardized!D$17</f>
        <v>2.8079354069890691E-2</v>
      </c>
      <c r="F22" s="18">
        <f>standardized!E29/standardized!E$17</f>
        <v>1.9710478611672393E-2</v>
      </c>
      <c r="G22" s="18">
        <f>standardized!F29/standardized!F$17</f>
        <v>1.2966436951429322E-2</v>
      </c>
      <c r="H22" s="18">
        <f>standardized!G29/standardized!G$17</f>
        <v>2.8400806162255422E-2</v>
      </c>
      <c r="I22" s="18">
        <f>standardized!H29/standardized!H$17</f>
        <v>2.4161630758059986E-2</v>
      </c>
      <c r="J22" s="18">
        <f>standardized!I29/standardized!I$17</f>
        <v>2.3872378019184501E-2</v>
      </c>
      <c r="K22" s="18">
        <f>standardized!J29/standardized!J$17</f>
        <v>1.9107165350595218E-2</v>
      </c>
      <c r="L22" s="18">
        <f>standardized!K29/standardized!K$17</f>
        <v>2.3932111861137896E-2</v>
      </c>
      <c r="M22" s="17">
        <f t="shared" si="0"/>
        <v>2.4440053835649678E-2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6442-AD22-431B-99DE-1859BB38E8A5}">
  <dimension ref="A4:U64"/>
  <sheetViews>
    <sheetView topLeftCell="A8" zoomScale="70" zoomScaleNormal="70" workbookViewId="0">
      <selection activeCell="D75" sqref="D75"/>
    </sheetView>
  </sheetViews>
  <sheetFormatPr defaultRowHeight="13.2" x14ac:dyDescent="0.25"/>
  <cols>
    <col min="1" max="1" width="50" customWidth="1"/>
    <col min="2" max="11" width="19.109375" bestFit="1" customWidth="1"/>
    <col min="12" max="200" width="12" customWidth="1"/>
  </cols>
  <sheetData>
    <row r="4" spans="1:21" x14ac:dyDescent="0.25">
      <c r="A4" s="1" t="s">
        <v>0</v>
      </c>
    </row>
    <row r="5" spans="1:21" ht="21" x14ac:dyDescent="0.4">
      <c r="A5" s="2" t="s">
        <v>1</v>
      </c>
    </row>
    <row r="7" spans="1:21" x14ac:dyDescent="0.25">
      <c r="A7" s="3" t="s">
        <v>2</v>
      </c>
    </row>
    <row r="10" spans="1:21" x14ac:dyDescent="0.25">
      <c r="A10" s="4" t="s">
        <v>39</v>
      </c>
    </row>
    <row r="11" spans="1:21" x14ac:dyDescent="0.25">
      <c r="A11" s="5" t="s">
        <v>4</v>
      </c>
      <c r="B11" s="22" t="s">
        <v>13</v>
      </c>
      <c r="C11" s="22" t="s">
        <v>12</v>
      </c>
      <c r="D11" s="22" t="s">
        <v>11</v>
      </c>
      <c r="E11" s="22" t="s">
        <v>10</v>
      </c>
      <c r="F11" s="22" t="s">
        <v>9</v>
      </c>
      <c r="G11" s="22" t="s">
        <v>8</v>
      </c>
      <c r="H11" s="22" t="s">
        <v>7</v>
      </c>
      <c r="I11" s="22" t="s">
        <v>6</v>
      </c>
      <c r="J11" s="22" t="s">
        <v>5</v>
      </c>
      <c r="K11" s="30" t="s">
        <v>103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6" t="s">
        <v>40</v>
      </c>
      <c r="B13" s="23">
        <v>9135000</v>
      </c>
      <c r="C13" s="23">
        <v>8705000</v>
      </c>
      <c r="D13" s="23">
        <v>6867000</v>
      </c>
      <c r="E13" s="23">
        <v>6756000</v>
      </c>
      <c r="F13" s="23">
        <v>7722000</v>
      </c>
      <c r="G13" s="23">
        <v>9465000</v>
      </c>
      <c r="H13" s="23">
        <v>17741000</v>
      </c>
      <c r="I13" s="23">
        <v>14760000</v>
      </c>
      <c r="J13" s="23">
        <v>8625000</v>
      </c>
      <c r="K13" s="34">
        <v>9867000</v>
      </c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 t="s">
        <v>41</v>
      </c>
      <c r="B14" s="23">
        <v>9135000</v>
      </c>
      <c r="C14" s="23">
        <v>8705000</v>
      </c>
      <c r="D14" s="23">
        <v>6867000</v>
      </c>
      <c r="E14" s="23">
        <v>6756000</v>
      </c>
      <c r="F14" s="23">
        <v>7722000</v>
      </c>
      <c r="G14" s="23">
        <v>9465000</v>
      </c>
      <c r="H14" s="23">
        <v>17741000</v>
      </c>
      <c r="I14" s="23">
        <v>14760000</v>
      </c>
      <c r="J14" s="23">
        <v>8625000</v>
      </c>
      <c r="K14" s="34">
        <v>9867000</v>
      </c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 t="s">
        <v>42</v>
      </c>
      <c r="B15" s="23">
        <v>6778000</v>
      </c>
      <c r="C15" s="23">
        <v>5624000</v>
      </c>
      <c r="D15" s="23">
        <v>5835000</v>
      </c>
      <c r="E15" s="23">
        <v>5614000</v>
      </c>
      <c r="F15" s="23">
        <v>6283000</v>
      </c>
      <c r="G15" s="23">
        <v>6284000</v>
      </c>
      <c r="H15" s="23">
        <v>6516000</v>
      </c>
      <c r="I15" s="23">
        <v>8280000</v>
      </c>
      <c r="J15" s="23">
        <v>7933000</v>
      </c>
      <c r="K15" s="34">
        <v>8796000</v>
      </c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 t="s">
        <v>43</v>
      </c>
      <c r="B16" s="23">
        <v>45141000</v>
      </c>
      <c r="C16" s="23">
        <v>44469000</v>
      </c>
      <c r="D16" s="23">
        <v>43046000</v>
      </c>
      <c r="E16" s="23">
        <v>43783000</v>
      </c>
      <c r="F16" s="23">
        <v>44269000</v>
      </c>
      <c r="G16" s="23">
        <v>44435000</v>
      </c>
      <c r="H16" s="23">
        <v>44949000</v>
      </c>
      <c r="I16" s="23">
        <v>56511000</v>
      </c>
      <c r="J16" s="23">
        <v>56576000</v>
      </c>
      <c r="K16" s="34">
        <v>54892000</v>
      </c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 t="s">
        <v>44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34">
        <v>3322000</v>
      </c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 t="s">
        <v>45</v>
      </c>
      <c r="B18" s="23">
        <v>2224000</v>
      </c>
      <c r="C18" s="23">
        <v>1441000</v>
      </c>
      <c r="D18" s="23">
        <v>1941000</v>
      </c>
      <c r="E18" s="23">
        <v>3511000</v>
      </c>
      <c r="F18" s="23">
        <v>3623000</v>
      </c>
      <c r="G18" s="23">
        <v>1622000</v>
      </c>
      <c r="H18" s="23">
        <v>20861000</v>
      </c>
      <c r="I18" s="23">
        <v>1519000</v>
      </c>
      <c r="J18" s="23">
        <v>2521000</v>
      </c>
      <c r="K18" s="34"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s="10" customFormat="1" x14ac:dyDescent="0.25">
      <c r="A19" s="9" t="s">
        <v>46</v>
      </c>
      <c r="B19" s="25">
        <v>63278000</v>
      </c>
      <c r="C19" s="25">
        <v>60239000</v>
      </c>
      <c r="D19" s="25">
        <v>57689000</v>
      </c>
      <c r="E19" s="25">
        <v>59664000</v>
      </c>
      <c r="F19" s="25">
        <v>61897000</v>
      </c>
      <c r="G19" s="25">
        <v>61806000</v>
      </c>
      <c r="H19" s="25">
        <v>90067000</v>
      </c>
      <c r="I19" s="25">
        <v>81070000</v>
      </c>
      <c r="J19" s="25">
        <v>75655000</v>
      </c>
      <c r="K19" s="35">
        <v>76877000</v>
      </c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6" t="s">
        <v>47</v>
      </c>
      <c r="B20" s="23">
        <v>177395000</v>
      </c>
      <c r="C20" s="23">
        <v>176958000</v>
      </c>
      <c r="D20" s="23">
        <v>179492000</v>
      </c>
      <c r="E20" s="23">
        <v>185154000</v>
      </c>
      <c r="F20" s="23">
        <v>185810000</v>
      </c>
      <c r="G20" s="23">
        <v>195028000</v>
      </c>
      <c r="H20" s="23">
        <v>180571000</v>
      </c>
      <c r="I20" s="23">
        <v>189324000</v>
      </c>
      <c r="J20" s="23">
        <v>202370000</v>
      </c>
      <c r="K20" s="34">
        <v>219859000</v>
      </c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 t="s">
        <v>48</v>
      </c>
      <c r="B21" s="23">
        <v>63115000</v>
      </c>
      <c r="C21" s="23">
        <v>66787000</v>
      </c>
      <c r="D21" s="23">
        <v>71782000</v>
      </c>
      <c r="E21" s="23">
        <v>77479000</v>
      </c>
      <c r="F21" s="23">
        <v>81493000</v>
      </c>
      <c r="G21" s="23">
        <v>89820000</v>
      </c>
      <c r="H21" s="23">
        <v>88370000</v>
      </c>
      <c r="I21" s="23">
        <v>94809000</v>
      </c>
      <c r="J21" s="23">
        <v>101610000</v>
      </c>
      <c r="K21" s="34">
        <v>109049000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 t="s">
        <v>49</v>
      </c>
      <c r="B22" s="23">
        <v>114280000</v>
      </c>
      <c r="C22" s="23">
        <v>110171000</v>
      </c>
      <c r="D22" s="23">
        <v>107710000</v>
      </c>
      <c r="E22" s="23">
        <v>107675000</v>
      </c>
      <c r="F22" s="23">
        <v>104317000</v>
      </c>
      <c r="G22" s="23">
        <v>105208000</v>
      </c>
      <c r="H22" s="23">
        <v>92201000</v>
      </c>
      <c r="I22" s="23">
        <v>94515000</v>
      </c>
      <c r="J22" s="23">
        <v>100760000</v>
      </c>
      <c r="K22" s="34">
        <v>110810000</v>
      </c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 t="s">
        <v>50</v>
      </c>
      <c r="B23" s="23">
        <v>18102000</v>
      </c>
      <c r="C23" s="23">
        <v>16695000</v>
      </c>
      <c r="D23" s="23">
        <v>17037000</v>
      </c>
      <c r="E23" s="23">
        <v>18242000</v>
      </c>
      <c r="F23" s="23">
        <v>31181000</v>
      </c>
      <c r="G23" s="23">
        <v>31073000</v>
      </c>
      <c r="H23" s="23">
        <v>28983000</v>
      </c>
      <c r="I23" s="23">
        <v>29014000</v>
      </c>
      <c r="J23" s="23">
        <v>28174000</v>
      </c>
      <c r="K23" s="34">
        <v>28113000</v>
      </c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 t="s">
        <v>51</v>
      </c>
      <c r="B24" s="23">
        <v>8046000</v>
      </c>
      <c r="C24" s="23">
        <v>12476000</v>
      </c>
      <c r="D24" s="23">
        <v>16389000</v>
      </c>
      <c r="E24" s="23">
        <v>18941000</v>
      </c>
      <c r="F24" s="23">
        <v>21900000</v>
      </c>
      <c r="G24" s="23">
        <v>38408000</v>
      </c>
      <c r="H24" s="23">
        <v>41245000</v>
      </c>
      <c r="I24" s="23">
        <v>40261000</v>
      </c>
      <c r="J24" s="23">
        <v>38608000</v>
      </c>
      <c r="K24" s="34">
        <v>36599000</v>
      </c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s="15" customFormat="1" ht="13.8" x14ac:dyDescent="0.25">
      <c r="A25" s="20" t="s">
        <v>52</v>
      </c>
      <c r="B25" s="26">
        <v>203706000</v>
      </c>
      <c r="C25" s="26">
        <v>199581000</v>
      </c>
      <c r="D25" s="26">
        <v>198825000</v>
      </c>
      <c r="E25" s="26">
        <v>204522000</v>
      </c>
      <c r="F25" s="26">
        <v>219295000</v>
      </c>
      <c r="G25" s="26">
        <v>236495000</v>
      </c>
      <c r="H25" s="26">
        <v>252496000</v>
      </c>
      <c r="I25" s="26">
        <v>244860000</v>
      </c>
      <c r="J25" s="26">
        <v>243197000</v>
      </c>
      <c r="K25" s="35">
        <v>252399000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25">
      <c r="A26" s="6" t="s">
        <v>53</v>
      </c>
      <c r="B26" s="23">
        <v>58583000</v>
      </c>
      <c r="C26" s="23">
        <v>58615000</v>
      </c>
      <c r="D26" s="23">
        <v>63008000</v>
      </c>
      <c r="E26" s="23">
        <v>66842000</v>
      </c>
      <c r="F26" s="23">
        <v>67715000</v>
      </c>
      <c r="G26" s="23">
        <v>67559000</v>
      </c>
      <c r="H26" s="23">
        <v>72305000</v>
      </c>
      <c r="I26" s="23">
        <v>79592000</v>
      </c>
      <c r="J26" s="23">
        <v>83107000</v>
      </c>
      <c r="K26" s="34">
        <v>85878000</v>
      </c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 t="s">
        <v>54</v>
      </c>
      <c r="B27" s="23">
        <v>38410000</v>
      </c>
      <c r="C27" s="23">
        <v>38487000</v>
      </c>
      <c r="D27" s="23">
        <v>41433000</v>
      </c>
      <c r="E27" s="23">
        <v>46092000</v>
      </c>
      <c r="F27" s="23">
        <v>47060000</v>
      </c>
      <c r="G27" s="23">
        <v>46973000</v>
      </c>
      <c r="H27" s="23">
        <v>49141000</v>
      </c>
      <c r="I27" s="23">
        <v>55261000</v>
      </c>
      <c r="J27" s="23">
        <v>53742000</v>
      </c>
      <c r="K27" s="34">
        <v>56812000</v>
      </c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 t="s">
        <v>55</v>
      </c>
      <c r="B28" s="23">
        <v>20173000</v>
      </c>
      <c r="C28" s="23">
        <v>20128000</v>
      </c>
      <c r="D28" s="23">
        <v>21575000</v>
      </c>
      <c r="E28" s="23">
        <v>20750000</v>
      </c>
      <c r="F28" s="23">
        <v>20655000</v>
      </c>
      <c r="G28" s="23">
        <v>20586000</v>
      </c>
      <c r="H28" s="23">
        <v>23164000</v>
      </c>
      <c r="I28" s="23">
        <v>24331000</v>
      </c>
      <c r="J28" s="23">
        <v>29365000</v>
      </c>
      <c r="K28" s="34">
        <v>29066000</v>
      </c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 t="s">
        <v>56</v>
      </c>
      <c r="B29" s="23">
        <v>6402000</v>
      </c>
      <c r="C29" s="23">
        <v>5453000</v>
      </c>
      <c r="D29" s="23">
        <v>3355000</v>
      </c>
      <c r="E29" s="23">
        <v>8995000</v>
      </c>
      <c r="F29" s="23">
        <v>7101000</v>
      </c>
      <c r="G29" s="23">
        <v>5937000</v>
      </c>
      <c r="H29" s="23">
        <v>3339000</v>
      </c>
      <c r="I29" s="23">
        <v>3213000</v>
      </c>
      <c r="J29" s="23">
        <v>4563000</v>
      </c>
      <c r="K29" s="34">
        <v>4325000</v>
      </c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 t="s">
        <v>57</v>
      </c>
      <c r="B30" s="23">
        <v>287000</v>
      </c>
      <c r="C30" s="23">
        <v>551000</v>
      </c>
      <c r="D30" s="23">
        <v>565000</v>
      </c>
      <c r="E30" s="23">
        <v>667000</v>
      </c>
      <c r="F30" s="23">
        <v>729000</v>
      </c>
      <c r="G30" s="23">
        <v>511000</v>
      </c>
      <c r="H30" s="23">
        <v>491000</v>
      </c>
      <c r="I30" s="23">
        <v>511000</v>
      </c>
      <c r="J30" s="23">
        <v>567000</v>
      </c>
      <c r="K30" s="34">
        <v>725000</v>
      </c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 t="s">
        <v>58</v>
      </c>
      <c r="B31" s="23">
        <v>0</v>
      </c>
      <c r="C31" s="23">
        <v>0</v>
      </c>
      <c r="D31" s="23">
        <v>0</v>
      </c>
      <c r="E31" s="23">
        <v>2017000</v>
      </c>
      <c r="F31" s="23">
        <v>1932000</v>
      </c>
      <c r="G31" s="23">
        <v>3783000</v>
      </c>
      <c r="H31" s="23">
        <v>16510000</v>
      </c>
      <c r="I31" s="23">
        <v>4063000</v>
      </c>
      <c r="J31" s="23">
        <v>3961000</v>
      </c>
      <c r="K31" s="34">
        <v>1487000</v>
      </c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9" t="s">
        <v>59</v>
      </c>
      <c r="B32" s="25">
        <v>65272000</v>
      </c>
      <c r="C32" s="25">
        <v>64619000</v>
      </c>
      <c r="D32" s="25">
        <v>66928000</v>
      </c>
      <c r="E32" s="25">
        <v>78521000</v>
      </c>
      <c r="F32" s="25">
        <v>77477000</v>
      </c>
      <c r="G32" s="25">
        <v>77790000</v>
      </c>
      <c r="H32" s="25">
        <v>92645000</v>
      </c>
      <c r="I32" s="25">
        <v>87379000</v>
      </c>
      <c r="J32" s="25">
        <v>92198000</v>
      </c>
      <c r="K32" s="35">
        <v>92415000</v>
      </c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s="10" customFormat="1" x14ac:dyDescent="0.25">
      <c r="A33" s="6" t="s">
        <v>60</v>
      </c>
      <c r="B33" s="23">
        <v>43692000</v>
      </c>
      <c r="C33" s="23">
        <v>44030000</v>
      </c>
      <c r="D33" s="23">
        <v>42018000</v>
      </c>
      <c r="E33" s="23">
        <v>36825000</v>
      </c>
      <c r="F33" s="23">
        <v>50203000</v>
      </c>
      <c r="G33" s="23">
        <v>48021000</v>
      </c>
      <c r="H33" s="23">
        <v>45041000</v>
      </c>
      <c r="I33" s="23">
        <v>39107000</v>
      </c>
      <c r="J33" s="23">
        <v>39492000</v>
      </c>
      <c r="K33" s="34">
        <v>41841000</v>
      </c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6" t="s">
        <v>27</v>
      </c>
      <c r="B34" s="23">
        <v>4543000</v>
      </c>
      <c r="C34" s="23">
        <v>3065000</v>
      </c>
      <c r="D34" s="23">
        <v>2737000</v>
      </c>
      <c r="E34" s="23">
        <v>2953000</v>
      </c>
      <c r="F34" s="23">
        <v>7138000</v>
      </c>
      <c r="G34" s="23">
        <v>6883000</v>
      </c>
      <c r="H34" s="23">
        <v>6606000</v>
      </c>
      <c r="I34" s="23">
        <v>8638000</v>
      </c>
      <c r="J34" s="23">
        <v>7298000</v>
      </c>
      <c r="K34" s="34">
        <v>6710000</v>
      </c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 t="s">
        <v>61</v>
      </c>
      <c r="B35" s="23">
        <v>8805000</v>
      </c>
      <c r="C35" s="23">
        <v>7321000</v>
      </c>
      <c r="D35" s="23">
        <v>9344000</v>
      </c>
      <c r="E35" s="23">
        <v>8354000</v>
      </c>
      <c r="F35" s="23">
        <v>11981000</v>
      </c>
      <c r="G35" s="23">
        <v>29132000</v>
      </c>
      <c r="H35" s="23">
        <v>27279000</v>
      </c>
      <c r="I35" s="23">
        <v>26483000</v>
      </c>
      <c r="J35" s="23">
        <v>27516000</v>
      </c>
      <c r="K35" s="34">
        <v>12943000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3.8" x14ac:dyDescent="0.25">
      <c r="A36" s="20" t="s">
        <v>62</v>
      </c>
      <c r="B36" s="26">
        <v>122312000</v>
      </c>
      <c r="C36" s="26">
        <v>119035000</v>
      </c>
      <c r="D36" s="26">
        <v>121027000</v>
      </c>
      <c r="E36" s="26">
        <v>126653000</v>
      </c>
      <c r="F36" s="26">
        <v>146799000</v>
      </c>
      <c r="G36" s="26">
        <v>161826000</v>
      </c>
      <c r="H36" s="26">
        <v>171571000</v>
      </c>
      <c r="I36" s="26">
        <v>161607000</v>
      </c>
      <c r="J36" s="26">
        <v>166504000</v>
      </c>
      <c r="K36" s="35">
        <v>168538000</v>
      </c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s="15" customFormat="1" ht="13.8" x14ac:dyDescent="0.25">
      <c r="A37" s="6" t="s">
        <v>63</v>
      </c>
      <c r="B37" s="23">
        <v>323000</v>
      </c>
      <c r="C37" s="23">
        <v>317000</v>
      </c>
      <c r="D37" s="23">
        <v>305000</v>
      </c>
      <c r="E37" s="23">
        <v>295000</v>
      </c>
      <c r="F37" s="23">
        <v>288000</v>
      </c>
      <c r="G37" s="23">
        <v>284000</v>
      </c>
      <c r="H37" s="23">
        <v>282000</v>
      </c>
      <c r="I37" s="23">
        <v>276000</v>
      </c>
      <c r="J37" s="23">
        <v>269000</v>
      </c>
      <c r="K37" s="34">
        <v>805000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25">
      <c r="A38" s="6" t="s">
        <v>64</v>
      </c>
      <c r="B38" s="23">
        <v>2462000</v>
      </c>
      <c r="C38" s="23">
        <v>1805000</v>
      </c>
      <c r="D38" s="23">
        <v>2371000</v>
      </c>
      <c r="E38" s="23">
        <v>2648000</v>
      </c>
      <c r="F38" s="23">
        <v>2965000</v>
      </c>
      <c r="G38" s="23">
        <v>3247000</v>
      </c>
      <c r="H38" s="23">
        <v>3646000</v>
      </c>
      <c r="I38" s="23">
        <v>4839000</v>
      </c>
      <c r="J38" s="23">
        <v>4969000</v>
      </c>
      <c r="K38" s="34">
        <v>4544000</v>
      </c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 t="s">
        <v>65</v>
      </c>
      <c r="B39" s="23">
        <v>85777000</v>
      </c>
      <c r="C39" s="23">
        <v>90021000</v>
      </c>
      <c r="D39" s="23">
        <v>89354000</v>
      </c>
      <c r="E39" s="23">
        <v>85107000</v>
      </c>
      <c r="F39" s="23">
        <v>80785000</v>
      </c>
      <c r="G39" s="23">
        <v>83943000</v>
      </c>
      <c r="H39" s="23">
        <v>88763000</v>
      </c>
      <c r="I39" s="23">
        <v>86904000</v>
      </c>
      <c r="J39" s="23">
        <v>83135000</v>
      </c>
      <c r="K39" s="34">
        <v>89814000</v>
      </c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 t="s">
        <v>66</v>
      </c>
      <c r="B40" s="23">
        <v>-7168000</v>
      </c>
      <c r="C40" s="23">
        <v>-11597000</v>
      </c>
      <c r="D40" s="23">
        <v>-14232000</v>
      </c>
      <c r="E40" s="23">
        <v>-10181000</v>
      </c>
      <c r="F40" s="23">
        <v>-11542000</v>
      </c>
      <c r="G40" s="23">
        <v>-12805000</v>
      </c>
      <c r="H40" s="23">
        <v>-11766000</v>
      </c>
      <c r="I40" s="23">
        <v>-8766000</v>
      </c>
      <c r="J40" s="23">
        <v>-11680000</v>
      </c>
      <c r="K40" s="34">
        <v>-11302000</v>
      </c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 t="s">
        <v>67</v>
      </c>
      <c r="B41" s="23">
        <v>-6355000</v>
      </c>
      <c r="C41" s="23">
        <v>-11690000</v>
      </c>
      <c r="D41" s="23">
        <v>-14362000</v>
      </c>
      <c r="E41" s="23">
        <v>-12136000</v>
      </c>
      <c r="F41" s="23">
        <v>-12085000</v>
      </c>
      <c r="G41" s="23">
        <v>-11827000</v>
      </c>
      <c r="H41" s="23">
        <v>-10772000</v>
      </c>
      <c r="I41" s="23">
        <v>-8100000</v>
      </c>
      <c r="J41" s="23">
        <v>-10816000</v>
      </c>
      <c r="K41" s="34">
        <v>-10483000</v>
      </c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6" t="s">
        <v>68</v>
      </c>
      <c r="B42" s="23">
        <v>6355000</v>
      </c>
      <c r="C42" s="23">
        <v>11690000</v>
      </c>
      <c r="D42" s="23">
        <v>14362000</v>
      </c>
      <c r="E42" s="23">
        <v>12136000</v>
      </c>
      <c r="F42" s="23">
        <v>12085000</v>
      </c>
      <c r="G42" s="23">
        <v>11827000</v>
      </c>
      <c r="H42" s="23">
        <v>10772000</v>
      </c>
      <c r="I42" s="23">
        <v>8100000</v>
      </c>
      <c r="J42" s="23">
        <v>10816000</v>
      </c>
      <c r="K42" s="34">
        <v>10483000</v>
      </c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5">
      <c r="A43" s="6" t="s">
        <v>69</v>
      </c>
      <c r="B43" s="23">
        <v>81394000</v>
      </c>
      <c r="C43" s="23">
        <v>80546000</v>
      </c>
      <c r="D43" s="23">
        <v>77798000</v>
      </c>
      <c r="E43" s="23">
        <v>77869000</v>
      </c>
      <c r="F43" s="23">
        <v>72496000</v>
      </c>
      <c r="G43" s="23">
        <v>74669000</v>
      </c>
      <c r="H43" s="23">
        <v>80925000</v>
      </c>
      <c r="I43" s="23">
        <v>83253000</v>
      </c>
      <c r="J43" s="23">
        <v>76693000</v>
      </c>
      <c r="K43" s="34">
        <v>83861000</v>
      </c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3.8" x14ac:dyDescent="0.25">
      <c r="A44" s="20" t="s">
        <v>70</v>
      </c>
      <c r="B44" s="26">
        <v>203706000</v>
      </c>
      <c r="C44" s="26">
        <v>199581000</v>
      </c>
      <c r="D44" s="26">
        <v>198825000</v>
      </c>
      <c r="E44" s="26">
        <v>204522000</v>
      </c>
      <c r="F44" s="26">
        <v>219295000</v>
      </c>
      <c r="G44" s="26">
        <v>236495000</v>
      </c>
      <c r="H44" s="26">
        <v>252496000</v>
      </c>
      <c r="I44" s="26">
        <v>244860000</v>
      </c>
      <c r="J44" s="26">
        <v>243197000</v>
      </c>
      <c r="K44" s="35">
        <v>252399000</v>
      </c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s="15" customFormat="1" ht="13.8" x14ac:dyDescent="0.25">
      <c r="A45" s="20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51" spans="1:21" s="10" customFormat="1" x14ac:dyDescent="0.25">
      <c r="A51" s="9" t="s">
        <v>46</v>
      </c>
      <c r="B51" s="25">
        <v>61185000</v>
      </c>
      <c r="C51" s="25">
        <v>63278000</v>
      </c>
      <c r="D51" s="25">
        <v>60239000</v>
      </c>
      <c r="E51" s="25">
        <v>57689000</v>
      </c>
      <c r="F51" s="25">
        <v>59664000</v>
      </c>
      <c r="G51" s="25">
        <v>61897000</v>
      </c>
      <c r="H51" s="25">
        <v>61806000</v>
      </c>
      <c r="I51" s="25">
        <v>90067000</v>
      </c>
      <c r="J51" s="25">
        <v>81070000</v>
      </c>
      <c r="K51" s="25">
        <v>75655000</v>
      </c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s="15" customFormat="1" ht="13.8" x14ac:dyDescent="0.25">
      <c r="A52" s="20" t="s">
        <v>52</v>
      </c>
      <c r="B52" s="26">
        <v>204751000</v>
      </c>
      <c r="C52" s="26">
        <v>203706000</v>
      </c>
      <c r="D52" s="26">
        <v>199581000</v>
      </c>
      <c r="E52" s="26">
        <v>198825000</v>
      </c>
      <c r="F52" s="26">
        <v>204522000</v>
      </c>
      <c r="G52" s="26">
        <v>219295000</v>
      </c>
      <c r="H52" s="26">
        <v>236495000</v>
      </c>
      <c r="I52" s="26">
        <v>252496000</v>
      </c>
      <c r="J52" s="26">
        <v>244860000</v>
      </c>
      <c r="K52" s="26">
        <v>243197000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5" spans="1:21" ht="13.8" x14ac:dyDescent="0.25">
      <c r="A55" s="20" t="s">
        <v>62</v>
      </c>
      <c r="B55" s="26">
        <v>128496000</v>
      </c>
      <c r="C55" s="26">
        <v>122312000</v>
      </c>
      <c r="D55" s="26">
        <v>119035000</v>
      </c>
      <c r="E55" s="26">
        <v>121027000</v>
      </c>
      <c r="F55" s="26">
        <v>126653000</v>
      </c>
      <c r="G55" s="26">
        <v>146799000</v>
      </c>
      <c r="H55" s="26">
        <v>161826000</v>
      </c>
      <c r="I55" s="26">
        <v>171571000</v>
      </c>
      <c r="J55" s="26">
        <v>161607000</v>
      </c>
      <c r="K55" s="26">
        <v>166504000</v>
      </c>
    </row>
    <row r="56" spans="1:21" x14ac:dyDescent="0.25">
      <c r="A56" s="9" t="s">
        <v>59</v>
      </c>
      <c r="B56" s="25">
        <v>69345000</v>
      </c>
      <c r="C56" s="25">
        <v>65272000</v>
      </c>
      <c r="D56" s="25">
        <v>64619000</v>
      </c>
      <c r="E56" s="25">
        <v>66928000</v>
      </c>
      <c r="F56" s="25">
        <v>78521000</v>
      </c>
      <c r="G56" s="25">
        <v>77477000</v>
      </c>
      <c r="H56" s="25">
        <v>77790000</v>
      </c>
      <c r="I56" s="25">
        <v>92645000</v>
      </c>
      <c r="J56" s="25">
        <v>87379000</v>
      </c>
      <c r="K56" s="25">
        <v>92198000</v>
      </c>
    </row>
    <row r="59" spans="1:21" s="15" customFormat="1" ht="13.8" x14ac:dyDescent="0.25">
      <c r="A59" s="20" t="s">
        <v>52</v>
      </c>
      <c r="B59" s="26">
        <v>204751000</v>
      </c>
      <c r="C59" s="26">
        <v>203706000</v>
      </c>
      <c r="D59" s="26">
        <v>199581000</v>
      </c>
      <c r="E59" s="26">
        <v>198825000</v>
      </c>
      <c r="F59" s="26">
        <v>204522000</v>
      </c>
      <c r="G59" s="26">
        <v>219295000</v>
      </c>
      <c r="H59" s="26">
        <v>236495000</v>
      </c>
      <c r="I59" s="26">
        <v>252496000</v>
      </c>
      <c r="J59" s="26">
        <v>244860000</v>
      </c>
      <c r="K59" s="26">
        <v>243197000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pans="1:21" ht="13.8" x14ac:dyDescent="0.25">
      <c r="A60" s="20" t="s">
        <v>62</v>
      </c>
      <c r="B60" s="26">
        <v>128496000</v>
      </c>
      <c r="C60" s="26">
        <v>122312000</v>
      </c>
      <c r="D60" s="26">
        <v>119035000</v>
      </c>
      <c r="E60" s="26">
        <v>121027000</v>
      </c>
      <c r="F60" s="26">
        <v>126653000</v>
      </c>
      <c r="G60" s="26">
        <v>146799000</v>
      </c>
      <c r="H60" s="26">
        <v>161826000</v>
      </c>
      <c r="I60" s="26">
        <v>171571000</v>
      </c>
      <c r="J60" s="26">
        <v>161607000</v>
      </c>
      <c r="K60" s="26">
        <v>166504000</v>
      </c>
    </row>
    <row r="63" spans="1:21" s="10" customFormat="1" x14ac:dyDescent="0.25">
      <c r="A63" s="9" t="s">
        <v>46</v>
      </c>
      <c r="B63" s="25">
        <v>61185000</v>
      </c>
      <c r="C63" s="25">
        <v>63278000</v>
      </c>
      <c r="D63" s="25">
        <v>60239000</v>
      </c>
      <c r="E63" s="25">
        <v>57689000</v>
      </c>
      <c r="F63" s="25">
        <v>59664000</v>
      </c>
      <c r="G63" s="25">
        <v>61897000</v>
      </c>
      <c r="H63" s="25">
        <v>61806000</v>
      </c>
      <c r="I63" s="25">
        <v>90067000</v>
      </c>
      <c r="J63" s="25">
        <v>81070000</v>
      </c>
      <c r="K63" s="25">
        <v>75655000</v>
      </c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5">
      <c r="A64" s="9" t="s">
        <v>59</v>
      </c>
      <c r="B64" s="25">
        <v>69345000</v>
      </c>
      <c r="C64" s="25">
        <v>65272000</v>
      </c>
      <c r="D64" s="25">
        <v>64619000</v>
      </c>
      <c r="E64" s="25">
        <v>66928000</v>
      </c>
      <c r="F64" s="25">
        <v>78521000</v>
      </c>
      <c r="G64" s="25">
        <v>77477000</v>
      </c>
      <c r="H64" s="25">
        <v>77790000</v>
      </c>
      <c r="I64" s="25">
        <v>92645000</v>
      </c>
      <c r="J64" s="25">
        <v>87379000</v>
      </c>
      <c r="K64" s="25">
        <v>92198000</v>
      </c>
    </row>
  </sheetData>
  <sortState xmlns:xlrd2="http://schemas.microsoft.com/office/spreadsheetml/2017/richdata2" columnSort="1" ref="B11:U45">
    <sortCondition ref="B11:U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16C2-E999-4C0C-8B10-A9CCA31942BF}">
  <dimension ref="B6:L40"/>
  <sheetViews>
    <sheetView topLeftCell="E1" workbookViewId="0">
      <selection activeCell="N47" sqref="N47"/>
    </sheetView>
  </sheetViews>
  <sheetFormatPr defaultRowHeight="13.2" x14ac:dyDescent="0.25"/>
  <cols>
    <col min="2" max="2" width="31.88671875" bestFit="1" customWidth="1"/>
    <col min="3" max="12" width="10.109375" bestFit="1" customWidth="1"/>
  </cols>
  <sheetData>
    <row r="6" spans="2:12" x14ac:dyDescent="0.25">
      <c r="C6" t="str">
        <f>'Balance sheet'!B11</f>
        <v>01/31/2015</v>
      </c>
      <c r="D6" t="str">
        <f>'Balance sheet'!C11</f>
        <v>01/31/2016</v>
      </c>
      <c r="E6" t="str">
        <f>'Balance sheet'!D11</f>
        <v>01/31/2017</v>
      </c>
      <c r="F6" t="str">
        <f>'Balance sheet'!E11</f>
        <v>01/31/2018</v>
      </c>
      <c r="G6" t="str">
        <f>'Balance sheet'!F11</f>
        <v>01/31/2019</v>
      </c>
      <c r="H6" t="str">
        <f>'Balance sheet'!G11</f>
        <v>01/31/2020</v>
      </c>
      <c r="I6" t="str">
        <f>'Balance sheet'!H11</f>
        <v>01/31/2021</v>
      </c>
      <c r="J6" t="str">
        <f>'Balance sheet'!I11</f>
        <v>01/31/2022</v>
      </c>
      <c r="K6" t="str">
        <f>'Balance sheet'!J11</f>
        <v>01/31/2023</v>
      </c>
      <c r="L6" t="str">
        <f>'Balance sheet'!K11</f>
        <v>01/31/2024</v>
      </c>
    </row>
    <row r="8" spans="2:12" x14ac:dyDescent="0.25">
      <c r="B8" t="str">
        <f>'Balance sheet'!$A13</f>
        <v>Cash &amp; Equivalents</v>
      </c>
      <c r="C8" s="27">
        <f>'Balance sheet'!B13/'Balance sheet'!$B$25</f>
        <v>4.4844039939913406E-2</v>
      </c>
      <c r="D8" s="27">
        <f>'Balance sheet'!C13/'Balance sheet'!$C$25</f>
        <v>4.3616376308366026E-2</v>
      </c>
      <c r="E8" s="27">
        <f>'Balance sheet'!D13/'Balance sheet'!$D$25</f>
        <v>3.4537910222557526E-2</v>
      </c>
      <c r="F8" s="27">
        <f>'Balance sheet'!E13/'Balance sheet'!$E$25</f>
        <v>3.3033121131223045E-2</v>
      </c>
      <c r="G8" s="27">
        <f>'Balance sheet'!F13/'Balance sheet'!$F$25</f>
        <v>3.5212841150049023E-2</v>
      </c>
      <c r="H8" s="27">
        <f>'Balance sheet'!G13/'Balance sheet'!$G$25</f>
        <v>4.0021987779868498E-2</v>
      </c>
      <c r="I8" s="27">
        <f>'Balance sheet'!H13/'Balance sheet'!$H$25</f>
        <v>7.0262499207908238E-2</v>
      </c>
      <c r="J8" s="27">
        <f>'Balance sheet'!I13/'Balance sheet'!$I$25</f>
        <v>6.0279343298211226E-2</v>
      </c>
      <c r="K8" s="27">
        <f>'Balance sheet'!J13/'Balance sheet'!$J$25</f>
        <v>3.5465075638268562E-2</v>
      </c>
      <c r="L8" s="27">
        <f>'Balance sheet'!K13/'Balance sheet'!$K$25</f>
        <v>3.9092864868719768E-2</v>
      </c>
    </row>
    <row r="9" spans="2:12" x14ac:dyDescent="0.25">
      <c r="B9" t="str">
        <f>'Balance sheet'!$A14</f>
        <v>Cash &amp; Equivs &amp; ST Investments</v>
      </c>
      <c r="C9" s="27">
        <f>'Balance sheet'!B14/'Balance sheet'!$B$25</f>
        <v>4.4844039939913406E-2</v>
      </c>
      <c r="D9" s="27">
        <f>'Balance sheet'!C14/'Balance sheet'!$C$25</f>
        <v>4.3616376308366026E-2</v>
      </c>
      <c r="E9" s="27">
        <f>'Balance sheet'!D14/'Balance sheet'!$D$25</f>
        <v>3.4537910222557526E-2</v>
      </c>
      <c r="F9" s="27">
        <f>'Balance sheet'!E14/'Balance sheet'!$E$25</f>
        <v>3.3033121131223045E-2</v>
      </c>
      <c r="G9" s="27">
        <f>'Balance sheet'!F14/'Balance sheet'!$F$25</f>
        <v>3.5212841150049023E-2</v>
      </c>
      <c r="H9" s="27">
        <f>'Balance sheet'!G14/'Balance sheet'!$G$25</f>
        <v>4.0021987779868498E-2</v>
      </c>
      <c r="I9" s="27">
        <f>'Balance sheet'!H14/'Balance sheet'!$H$25</f>
        <v>7.0262499207908238E-2</v>
      </c>
      <c r="J9" s="27">
        <f>'Balance sheet'!I14/'Balance sheet'!$I$25</f>
        <v>6.0279343298211226E-2</v>
      </c>
      <c r="K9" s="27">
        <f>'Balance sheet'!J14/'Balance sheet'!$J$25</f>
        <v>3.5465075638268562E-2</v>
      </c>
      <c r="L9" s="27">
        <f>'Balance sheet'!K14/'Balance sheet'!$K$25</f>
        <v>3.9092864868719768E-2</v>
      </c>
    </row>
    <row r="10" spans="2:12" x14ac:dyDescent="0.25">
      <c r="B10" t="str">
        <f>'Balance sheet'!$A15</f>
        <v>Receivables (ST)</v>
      </c>
      <c r="C10" s="27">
        <f>'Balance sheet'!B15/'Balance sheet'!$B$25</f>
        <v>3.3273443099368701E-2</v>
      </c>
      <c r="D10" s="27">
        <f>'Balance sheet'!C15/'Balance sheet'!$C$25</f>
        <v>2.8179035078489435E-2</v>
      </c>
      <c r="E10" s="27">
        <f>'Balance sheet'!D15/'Balance sheet'!$D$25</f>
        <v>2.9347416069407772E-2</v>
      </c>
      <c r="F10" s="27">
        <f>'Balance sheet'!E15/'Balance sheet'!$E$25</f>
        <v>2.7449369749953552E-2</v>
      </c>
      <c r="G10" s="27">
        <f>'Balance sheet'!F15/'Balance sheet'!$F$25</f>
        <v>2.8650904033379693E-2</v>
      </c>
      <c r="H10" s="27">
        <f>'Balance sheet'!G15/'Balance sheet'!$G$25</f>
        <v>2.6571386287236518E-2</v>
      </c>
      <c r="I10" s="27">
        <f>'Balance sheet'!H15/'Balance sheet'!$H$25</f>
        <v>2.5806349407515368E-2</v>
      </c>
      <c r="J10" s="27">
        <f>'Balance sheet'!I15/'Balance sheet'!$I$25</f>
        <v>3.3815241362411173E-2</v>
      </c>
      <c r="K10" s="27">
        <f>'Balance sheet'!J15/'Balance sheet'!$J$25</f>
        <v>3.2619645801551828E-2</v>
      </c>
      <c r="L10" s="27">
        <f>'Balance sheet'!K15/'Balance sheet'!$K$25</f>
        <v>3.4849583397715524E-2</v>
      </c>
    </row>
    <row r="11" spans="2:12" x14ac:dyDescent="0.25">
      <c r="B11" t="str">
        <f>'Balance sheet'!$A16</f>
        <v>Inventories</v>
      </c>
      <c r="C11" s="27">
        <f>'Balance sheet'!B16/'Balance sheet'!$B$25</f>
        <v>0.2215987747047215</v>
      </c>
      <c r="D11" s="27">
        <f>'Balance sheet'!C16/'Balance sheet'!$C$25</f>
        <v>0.22281179070151969</v>
      </c>
      <c r="E11" s="27">
        <f>'Balance sheet'!D16/'Balance sheet'!$D$25</f>
        <v>0.21650194895008174</v>
      </c>
      <c r="F11" s="27">
        <f>'Balance sheet'!E16/'Balance sheet'!$E$25</f>
        <v>0.21407476946245391</v>
      </c>
      <c r="G11" s="27">
        <f>'Balance sheet'!F16/'Balance sheet'!$F$25</f>
        <v>0.20186962767048952</v>
      </c>
      <c r="H11" s="27">
        <f>'Balance sheet'!G16/'Balance sheet'!$G$25</f>
        <v>0.1878898073955052</v>
      </c>
      <c r="I11" s="27">
        <f>'Balance sheet'!H16/'Balance sheet'!$H$25</f>
        <v>0.17801866168176922</v>
      </c>
      <c r="J11" s="27">
        <f>'Balance sheet'!I16/'Balance sheet'!$I$25</f>
        <v>0.23078902229845627</v>
      </c>
      <c r="K11" s="27">
        <f>'Balance sheet'!J16/'Balance sheet'!$J$25</f>
        <v>0.23263444861573129</v>
      </c>
      <c r="L11" s="27">
        <f>'Balance sheet'!K16/'Balance sheet'!$K$25</f>
        <v>0.21748105182667127</v>
      </c>
    </row>
    <row r="12" spans="2:12" x14ac:dyDescent="0.25">
      <c r="B12" t="str">
        <f>'Balance sheet'!$A17</f>
        <v>Discontinued Ops (ST Asset)</v>
      </c>
      <c r="C12" s="27">
        <f>'Balance sheet'!B17/'Balance sheet'!$B$25</f>
        <v>0</v>
      </c>
      <c r="D12" s="27">
        <f>'Balance sheet'!C17/'Balance sheet'!$C$25</f>
        <v>0</v>
      </c>
      <c r="E12" s="27">
        <f>'Balance sheet'!D17/'Balance sheet'!$D$25</f>
        <v>0</v>
      </c>
      <c r="F12" s="27">
        <f>'Balance sheet'!E17/'Balance sheet'!$E$25</f>
        <v>0</v>
      </c>
      <c r="G12" s="27">
        <f>'Balance sheet'!F17/'Balance sheet'!$F$25</f>
        <v>0</v>
      </c>
      <c r="H12" s="27">
        <f>'Balance sheet'!G17/'Balance sheet'!$G$25</f>
        <v>0</v>
      </c>
      <c r="I12" s="27">
        <f>'Balance sheet'!H17/'Balance sheet'!$H$25</f>
        <v>0</v>
      </c>
      <c r="J12" s="27">
        <f>'Balance sheet'!I17/'Balance sheet'!$I$25</f>
        <v>0</v>
      </c>
      <c r="K12" s="27">
        <f>'Balance sheet'!J17/'Balance sheet'!$J$25</f>
        <v>0</v>
      </c>
      <c r="L12" s="27">
        <f>'Balance sheet'!K17/'Balance sheet'!$K$25</f>
        <v>1.3161700323693834E-2</v>
      </c>
    </row>
    <row r="13" spans="2:12" x14ac:dyDescent="0.25">
      <c r="B13" t="str">
        <f>'Balance sheet'!$A18</f>
        <v>Other Current Assets</v>
      </c>
      <c r="C13" s="27">
        <f>'Balance sheet'!B18/'Balance sheet'!$B$25</f>
        <v>1.0917695109618764E-2</v>
      </c>
      <c r="D13" s="27">
        <f>'Balance sheet'!C18/'Balance sheet'!$C$25</f>
        <v>7.2201261643142388E-3</v>
      </c>
      <c r="E13" s="27">
        <f>'Balance sheet'!D18/'Balance sheet'!$D$25</f>
        <v>9.7623538287438701E-3</v>
      </c>
      <c r="F13" s="27">
        <f>'Balance sheet'!E18/'Balance sheet'!$E$25</f>
        <v>1.7166857355198951E-2</v>
      </c>
      <c r="G13" s="27">
        <f>'Balance sheet'!F18/'Balance sheet'!$F$25</f>
        <v>1.6521124512642787E-2</v>
      </c>
      <c r="H13" s="27">
        <f>'Balance sheet'!G18/'Balance sheet'!$G$25</f>
        <v>6.8584959512886104E-3</v>
      </c>
      <c r="I13" s="27">
        <f>'Balance sheet'!H18/'Balance sheet'!$H$25</f>
        <v>8.2619130600088714E-2</v>
      </c>
      <c r="J13" s="27">
        <f>'Balance sheet'!I18/'Balance sheet'!$I$25</f>
        <v>6.2035448827901657E-3</v>
      </c>
      <c r="K13" s="27">
        <f>'Balance sheet'!J18/'Balance sheet'!$J$25</f>
        <v>1.0366081818443484E-2</v>
      </c>
      <c r="L13" s="27">
        <f>'Balance sheet'!K18/'Balance sheet'!$K$25</f>
        <v>0</v>
      </c>
    </row>
    <row r="14" spans="2:12" x14ac:dyDescent="0.25">
      <c r="B14" t="str">
        <f>'Balance sheet'!$A19</f>
        <v>Total Current Assets</v>
      </c>
      <c r="C14" s="27">
        <f>'Balance sheet'!B19/'Balance sheet'!$B$25</f>
        <v>0.31063395285362239</v>
      </c>
      <c r="D14" s="27">
        <f>'Balance sheet'!C19/'Balance sheet'!$C$25</f>
        <v>0.30182732825268938</v>
      </c>
      <c r="E14" s="27">
        <f>'Balance sheet'!D19/'Balance sheet'!$D$25</f>
        <v>0.29014962907079089</v>
      </c>
      <c r="F14" s="27">
        <f>'Balance sheet'!E19/'Balance sheet'!$E$25</f>
        <v>0.29172411769882944</v>
      </c>
      <c r="G14" s="27">
        <f>'Balance sheet'!F19/'Balance sheet'!$F$25</f>
        <v>0.28225449736656105</v>
      </c>
      <c r="H14" s="27">
        <f>'Balance sheet'!G19/'Balance sheet'!$G$25</f>
        <v>0.2613416774138988</v>
      </c>
      <c r="I14" s="27">
        <f>'Balance sheet'!H19/'Balance sheet'!$H$25</f>
        <v>0.35670664089728155</v>
      </c>
      <c r="J14" s="27">
        <f>'Balance sheet'!I19/'Balance sheet'!$I$25</f>
        <v>0.33108715184186882</v>
      </c>
      <c r="K14" s="27">
        <f>'Balance sheet'!J19/'Balance sheet'!$J$25</f>
        <v>0.31108525187399516</v>
      </c>
      <c r="L14" s="27">
        <f>'Balance sheet'!K19/'Balance sheet'!$K$25</f>
        <v>0.30458520041680037</v>
      </c>
    </row>
    <row r="15" spans="2:12" x14ac:dyDescent="0.25">
      <c r="B15" t="str">
        <f>'Balance sheet'!$A20</f>
        <v>Gross Property Plant &amp; Equip</v>
      </c>
      <c r="C15" s="27">
        <f>'Balance sheet'!B20/'Balance sheet'!$B$25</f>
        <v>0.87083836509479351</v>
      </c>
      <c r="D15" s="27">
        <f>'Balance sheet'!C20/'Balance sheet'!$C$25</f>
        <v>0.88664752656816026</v>
      </c>
      <c r="E15" s="27">
        <f>'Balance sheet'!D20/'Balance sheet'!$D$25</f>
        <v>0.90276373695460832</v>
      </c>
      <c r="F15" s="27">
        <f>'Balance sheet'!E20/'Balance sheet'!$E$25</f>
        <v>0.90530114119752403</v>
      </c>
      <c r="G15" s="27">
        <f>'Balance sheet'!F20/'Balance sheet'!$F$25</f>
        <v>0.84730614013087391</v>
      </c>
      <c r="H15" s="27">
        <f>'Balance sheet'!G20/'Balance sheet'!$G$25</f>
        <v>0.82466014080635952</v>
      </c>
      <c r="I15" s="27">
        <f>'Balance sheet'!H20/'Balance sheet'!$H$25</f>
        <v>0.71514400228122421</v>
      </c>
      <c r="J15" s="27">
        <f>'Balance sheet'!I20/'Balance sheet'!$I$25</f>
        <v>0.77319284489095808</v>
      </c>
      <c r="K15" s="27">
        <f>'Balance sheet'!J20/'Balance sheet'!$J$25</f>
        <v>0.83212375152654017</v>
      </c>
      <c r="L15" s="27">
        <f>'Balance sheet'!K20/'Balance sheet'!$K$25</f>
        <v>0.87107714372877865</v>
      </c>
    </row>
    <row r="16" spans="2:12" x14ac:dyDescent="0.25">
      <c r="B16" t="str">
        <f>'Balance sheet'!$A21</f>
        <v>Accumulated Depreciation</v>
      </c>
      <c r="C16" s="27">
        <f>'Balance sheet'!B21/'Balance sheet'!$B$25</f>
        <v>0.30983378005557027</v>
      </c>
      <c r="D16" s="27">
        <f>'Balance sheet'!C21/'Balance sheet'!$C$25</f>
        <v>0.33463606255104444</v>
      </c>
      <c r="E16" s="27">
        <f>'Balance sheet'!D21/'Balance sheet'!$D$25</f>
        <v>0.36103105746259273</v>
      </c>
      <c r="F16" s="27">
        <f>'Balance sheet'!E21/'Balance sheet'!$E$25</f>
        <v>0.37882966135672447</v>
      </c>
      <c r="G16" s="27">
        <f>'Balance sheet'!F21/'Balance sheet'!$F$25</f>
        <v>0.37161357988098226</v>
      </c>
      <c r="H16" s="27">
        <f>'Balance sheet'!G21/'Balance sheet'!$G$25</f>
        <v>0.37979661303621642</v>
      </c>
      <c r="I16" s="27">
        <f>'Balance sheet'!H21/'Balance sheet'!$H$25</f>
        <v>0.34998574234839364</v>
      </c>
      <c r="J16" s="27">
        <f>'Balance sheet'!I21/'Balance sheet'!$I$25</f>
        <v>0.38719676549865228</v>
      </c>
      <c r="K16" s="27">
        <f>'Balance sheet'!J21/'Balance sheet'!$J$25</f>
        <v>0.41780943021501088</v>
      </c>
      <c r="L16" s="27">
        <f>'Balance sheet'!K21/'Balance sheet'!$K$25</f>
        <v>0.432050047741869</v>
      </c>
    </row>
    <row r="17" spans="2:12" x14ac:dyDescent="0.25">
      <c r="B17" t="str">
        <f>'Balance sheet'!$A22</f>
        <v>Net Property Plant &amp; Equip</v>
      </c>
      <c r="C17" s="27">
        <f>'Balance sheet'!B22/'Balance sheet'!$B$25</f>
        <v>0.56100458503922324</v>
      </c>
      <c r="D17" s="27">
        <f>'Balance sheet'!C22/'Balance sheet'!$C$25</f>
        <v>0.55201146401711587</v>
      </c>
      <c r="E17" s="27">
        <f>'Balance sheet'!D22/'Balance sheet'!$D$25</f>
        <v>0.54173267949201565</v>
      </c>
      <c r="F17" s="27">
        <f>'Balance sheet'!E22/'Balance sheet'!$E$25</f>
        <v>0.52647147984079956</v>
      </c>
      <c r="G17" s="27">
        <f>'Balance sheet'!F22/'Balance sheet'!$F$25</f>
        <v>0.4756925602498917</v>
      </c>
      <c r="H17" s="27">
        <f>'Balance sheet'!G22/'Balance sheet'!$G$25</f>
        <v>0.44486352777014315</v>
      </c>
      <c r="I17" s="27">
        <f>'Balance sheet'!H22/'Balance sheet'!$H$25</f>
        <v>0.36515825993283063</v>
      </c>
      <c r="J17" s="27">
        <f>'Balance sheet'!I22/'Balance sheet'!$I$25</f>
        <v>0.38599607939230579</v>
      </c>
      <c r="K17" s="27">
        <f>'Balance sheet'!J22/'Balance sheet'!$J$25</f>
        <v>0.41431432131152934</v>
      </c>
      <c r="L17" s="27">
        <f>'Balance sheet'!K22/'Balance sheet'!$K$25</f>
        <v>0.43902709598690959</v>
      </c>
    </row>
    <row r="18" spans="2:12" x14ac:dyDescent="0.25">
      <c r="B18" t="str">
        <f>'Balance sheet'!$A23</f>
        <v>Intangible Assets</v>
      </c>
      <c r="C18" s="27">
        <f>'Balance sheet'!B23/'Balance sheet'!$B$25</f>
        <v>8.8863361903920357E-2</v>
      </c>
      <c r="D18" s="27">
        <f>'Balance sheet'!C23/'Balance sheet'!$C$25</f>
        <v>8.3650247268026515E-2</v>
      </c>
      <c r="E18" s="27">
        <f>'Balance sheet'!D23/'Balance sheet'!$D$25</f>
        <v>8.5688419464353072E-2</v>
      </c>
      <c r="F18" s="27">
        <f>'Balance sheet'!E23/'Balance sheet'!$E$25</f>
        <v>8.9193338613938841E-2</v>
      </c>
      <c r="G18" s="27">
        <f>'Balance sheet'!F23/'Balance sheet'!$F$25</f>
        <v>0.14218746437447274</v>
      </c>
      <c r="H18" s="27">
        <f>'Balance sheet'!G23/'Balance sheet'!$G$25</f>
        <v>0.13138966997188101</v>
      </c>
      <c r="I18" s="27">
        <f>'Balance sheet'!H23/'Balance sheet'!$H$25</f>
        <v>0.11478597680755338</v>
      </c>
      <c r="J18" s="27">
        <f>'Balance sheet'!I23/'Balance sheet'!$I$25</f>
        <v>0.1184921996242751</v>
      </c>
      <c r="K18" s="27">
        <f>'Balance sheet'!J23/'Balance sheet'!$J$25</f>
        <v>0.11584846852551635</v>
      </c>
      <c r="L18" s="27">
        <f>'Balance sheet'!K23/'Balance sheet'!$K$25</f>
        <v>0.11138316712823744</v>
      </c>
    </row>
    <row r="19" spans="2:12" x14ac:dyDescent="0.25">
      <c r="B19" t="str">
        <f>'Balance sheet'!$A24</f>
        <v>Other Assets</v>
      </c>
      <c r="C19" s="27">
        <f>'Balance sheet'!B24/'Balance sheet'!$B$25</f>
        <v>3.949810020323407E-2</v>
      </c>
      <c r="D19" s="27">
        <f>'Balance sheet'!C24/'Balance sheet'!$C$25</f>
        <v>6.2510960462168239E-2</v>
      </c>
      <c r="E19" s="27">
        <f>'Balance sheet'!D24/'Balance sheet'!$D$25</f>
        <v>8.2429271972840432E-2</v>
      </c>
      <c r="F19" s="27">
        <f>'Balance sheet'!E24/'Balance sheet'!$E$25</f>
        <v>9.2611063846432168E-2</v>
      </c>
      <c r="G19" s="27">
        <f>'Balance sheet'!F24/'Balance sheet'!$F$25</f>
        <v>9.986547800907454E-2</v>
      </c>
      <c r="H19" s="27">
        <f>'Balance sheet'!G24/'Balance sheet'!$G$25</f>
        <v>0.16240512484407704</v>
      </c>
      <c r="I19" s="27">
        <f>'Balance sheet'!H24/'Balance sheet'!$H$25</f>
        <v>0.16334912236233445</v>
      </c>
      <c r="J19" s="27">
        <f>'Balance sheet'!I24/'Balance sheet'!$I$25</f>
        <v>0.16442456914155026</v>
      </c>
      <c r="K19" s="27">
        <f>'Balance sheet'!J24/'Balance sheet'!$J$25</f>
        <v>0.15875195828895916</v>
      </c>
      <c r="L19" s="27">
        <f>'Balance sheet'!K24/'Balance sheet'!$K$25</f>
        <v>0.14500453646805256</v>
      </c>
    </row>
    <row r="20" spans="2:12" x14ac:dyDescent="0.25">
      <c r="B20" t="str">
        <f>'Balance sheet'!$A25</f>
        <v>Total Assets</v>
      </c>
      <c r="C20" s="27">
        <f>'Balance sheet'!B25/'Balance sheet'!$B$25</f>
        <v>1</v>
      </c>
      <c r="D20" s="27">
        <f>'Balance sheet'!C25/'Balance sheet'!$C$25</f>
        <v>1</v>
      </c>
      <c r="E20" s="27">
        <f>'Balance sheet'!D25/'Balance sheet'!$D$25</f>
        <v>1</v>
      </c>
      <c r="F20" s="27">
        <f>'Balance sheet'!E25/'Balance sheet'!$E$25</f>
        <v>1</v>
      </c>
      <c r="G20" s="27">
        <f>'Balance sheet'!F25/'Balance sheet'!$F$25</f>
        <v>1</v>
      </c>
      <c r="H20" s="27">
        <f>'Balance sheet'!G25/'Balance sheet'!$G$25</f>
        <v>1</v>
      </c>
      <c r="I20" s="27">
        <f>'Balance sheet'!H25/'Balance sheet'!$H$25</f>
        <v>1</v>
      </c>
      <c r="J20" s="27">
        <f>'Balance sheet'!I25/'Balance sheet'!$I$25</f>
        <v>1</v>
      </c>
      <c r="K20" s="27">
        <f>'Balance sheet'!J25/'Balance sheet'!$J$25</f>
        <v>1</v>
      </c>
      <c r="L20" s="27">
        <f>'Balance sheet'!K25/'Balance sheet'!$K$25</f>
        <v>1</v>
      </c>
    </row>
    <row r="21" spans="2:12" x14ac:dyDescent="0.25">
      <c r="B21" t="str">
        <f>'Balance sheet'!$A26</f>
        <v>Accounts Payable &amp; Accrued Exps</v>
      </c>
      <c r="C21" s="27">
        <f>'Balance sheet'!B26/'Balance sheet'!$B$25</f>
        <v>0.28758603084837953</v>
      </c>
      <c r="D21" s="27">
        <f>'Balance sheet'!C26/'Balance sheet'!$C$25</f>
        <v>0.29369028113898615</v>
      </c>
      <c r="E21" s="27">
        <f>'Balance sheet'!D26/'Balance sheet'!$D$25</f>
        <v>0.31690179806362379</v>
      </c>
      <c r="F21" s="27">
        <f>'Balance sheet'!E26/'Balance sheet'!$E$25</f>
        <v>0.32682058653836749</v>
      </c>
      <c r="G21" s="27">
        <f>'Balance sheet'!F26/'Balance sheet'!$F$25</f>
        <v>0.30878497001755628</v>
      </c>
      <c r="H21" s="27">
        <f>'Balance sheet'!G26/'Balance sheet'!$G$25</f>
        <v>0.28566777310302544</v>
      </c>
      <c r="I21" s="27">
        <f>'Balance sheet'!H26/'Balance sheet'!$H$25</f>
        <v>0.28636097205500283</v>
      </c>
      <c r="J21" s="27">
        <f>'Balance sheet'!I26/'Balance sheet'!$I$25</f>
        <v>0.32505104957935149</v>
      </c>
      <c r="K21" s="27">
        <f>'Balance sheet'!J26/'Balance sheet'!$J$25</f>
        <v>0.3417270772254592</v>
      </c>
      <c r="L21" s="27">
        <f>'Balance sheet'!K26/'Balance sheet'!$K$25</f>
        <v>0.34024698988506291</v>
      </c>
    </row>
    <row r="22" spans="2:12" x14ac:dyDescent="0.25">
      <c r="B22" t="str">
        <f>'Balance sheet'!$A27</f>
        <v>Accounts Payable</v>
      </c>
      <c r="C22" s="27">
        <f>'Balance sheet'!B27/'Balance sheet'!$B$25</f>
        <v>0.18855605627718378</v>
      </c>
      <c r="D22" s="27">
        <f>'Balance sheet'!C27/'Balance sheet'!$C$25</f>
        <v>0.19283899770018187</v>
      </c>
      <c r="E22" s="27">
        <f>'Balance sheet'!D27/'Balance sheet'!$D$25</f>
        <v>0.20838928706148624</v>
      </c>
      <c r="F22" s="27">
        <f>'Balance sheet'!E27/'Balance sheet'!$E$25</f>
        <v>0.22536450846363718</v>
      </c>
      <c r="G22" s="27">
        <f>'Balance sheet'!F27/'Balance sheet'!$F$25</f>
        <v>0.21459677603228527</v>
      </c>
      <c r="H22" s="27">
        <f>'Balance sheet'!G27/'Balance sheet'!$G$25</f>
        <v>0.1986215353390135</v>
      </c>
      <c r="I22" s="27">
        <f>'Balance sheet'!H27/'Balance sheet'!$H$25</f>
        <v>0.19462090488562195</v>
      </c>
      <c r="J22" s="27">
        <f>'Balance sheet'!I27/'Balance sheet'!$I$25</f>
        <v>0.22568406436330965</v>
      </c>
      <c r="K22" s="27">
        <f>'Balance sheet'!J27/'Balance sheet'!$J$25</f>
        <v>0.22098134434224107</v>
      </c>
      <c r="L22" s="27">
        <f>'Balance sheet'!K27/'Balance sheet'!$K$25</f>
        <v>0.22508805502398979</v>
      </c>
    </row>
    <row r="23" spans="2:12" x14ac:dyDescent="0.25">
      <c r="B23" t="str">
        <f>'Balance sheet'!$A28</f>
        <v>Accrued Expenses</v>
      </c>
      <c r="C23" s="27">
        <f>'Balance sheet'!B28/'Balance sheet'!$B$25</f>
        <v>9.9029974571195736E-2</v>
      </c>
      <c r="D23" s="27">
        <f>'Balance sheet'!C28/'Balance sheet'!$C$25</f>
        <v>0.1008512834388043</v>
      </c>
      <c r="E23" s="27">
        <f>'Balance sheet'!D28/'Balance sheet'!$D$25</f>
        <v>0.10851251100213756</v>
      </c>
      <c r="F23" s="27">
        <f>'Balance sheet'!E28/'Balance sheet'!$E$25</f>
        <v>0.10145607807473035</v>
      </c>
      <c r="G23" s="27">
        <f>'Balance sheet'!F28/'Balance sheet'!$F$25</f>
        <v>9.4188193985270979E-2</v>
      </c>
      <c r="H23" s="27">
        <f>'Balance sheet'!G28/'Balance sheet'!$G$25</f>
        <v>8.7046237764011922E-2</v>
      </c>
      <c r="I23" s="27">
        <f>'Balance sheet'!H28/'Balance sheet'!$H$25</f>
        <v>9.1740067169380907E-2</v>
      </c>
      <c r="J23" s="27">
        <f>'Balance sheet'!I28/'Balance sheet'!$I$25</f>
        <v>9.9366985216041814E-2</v>
      </c>
      <c r="K23" s="27">
        <f>'Balance sheet'!J28/'Balance sheet'!$J$25</f>
        <v>0.12074573288321813</v>
      </c>
      <c r="L23" s="27">
        <f>'Balance sheet'!K28/'Balance sheet'!$K$25</f>
        <v>0.11515893486107315</v>
      </c>
    </row>
    <row r="24" spans="2:12" x14ac:dyDescent="0.25">
      <c r="B24" t="str">
        <f>'Balance sheet'!$A29</f>
        <v>Current Debt</v>
      </c>
      <c r="C24" s="27">
        <f>'Balance sheet'!B29/'Balance sheet'!$B$25</f>
        <v>3.1427645724720919E-2</v>
      </c>
      <c r="D24" s="27">
        <f>'Balance sheet'!C29/'Balance sheet'!$C$25</f>
        <v>2.7322240092994825E-2</v>
      </c>
      <c r="E24" s="27">
        <f>'Balance sheet'!D29/'Balance sheet'!$D$25</f>
        <v>1.6874135546334715E-2</v>
      </c>
      <c r="F24" s="27">
        <f>'Balance sheet'!E29/'Balance sheet'!$E$25</f>
        <v>4.3980598664202383E-2</v>
      </c>
      <c r="G24" s="27">
        <f>'Balance sheet'!F29/'Balance sheet'!$F$25</f>
        <v>3.2381039239380745E-2</v>
      </c>
      <c r="H24" s="27">
        <f>'Balance sheet'!G29/'Balance sheet'!$G$25</f>
        <v>2.5104124822934944E-2</v>
      </c>
      <c r="I24" s="27">
        <f>'Balance sheet'!H29/'Balance sheet'!$H$25</f>
        <v>1.3223971864900831E-2</v>
      </c>
      <c r="J24" s="27">
        <f>'Balance sheet'!I29/'Balance sheet'!$I$25</f>
        <v>1.3121783876500858E-2</v>
      </c>
      <c r="K24" s="27">
        <f>'Balance sheet'!J29/'Balance sheet'!$J$25</f>
        <v>1.8762566972454431E-2</v>
      </c>
      <c r="L24" s="27">
        <f>'Balance sheet'!K29/'Balance sheet'!$K$25</f>
        <v>1.7135567098126379E-2</v>
      </c>
    </row>
    <row r="25" spans="2:12" x14ac:dyDescent="0.25">
      <c r="B25" t="str">
        <f>'Balance sheet'!$A30</f>
        <v>Current Lease Obligations</v>
      </c>
      <c r="C25" s="27">
        <f>'Balance sheet'!B30/'Balance sheet'!$B$25</f>
        <v>1.4088932088401913E-3</v>
      </c>
      <c r="D25" s="27">
        <f>'Balance sheet'!C30/'Balance sheet'!$C$25</f>
        <v>2.7607838421493027E-3</v>
      </c>
      <c r="E25" s="27">
        <f>'Balance sheet'!D30/'Balance sheet'!$D$25</f>
        <v>2.8416949578775304E-3</v>
      </c>
      <c r="F25" s="27">
        <f>'Balance sheet'!E30/'Balance sheet'!$E$25</f>
        <v>3.2612628470286816E-3</v>
      </c>
      <c r="G25" s="27">
        <f>'Balance sheet'!F30/'Balance sheet'!$F$25</f>
        <v>3.3242891994801523E-3</v>
      </c>
      <c r="H25" s="27">
        <f>'Balance sheet'!G30/'Balance sheet'!$G$25</f>
        <v>2.1607222140002961E-3</v>
      </c>
      <c r="I25" s="27">
        <f>'Balance sheet'!H30/'Balance sheet'!$H$25</f>
        <v>1.944585260756606E-3</v>
      </c>
      <c r="J25" s="27">
        <f>'Balance sheet'!I30/'Balance sheet'!$I$25</f>
        <v>2.0869068038879362E-3</v>
      </c>
      <c r="K25" s="27">
        <f>'Balance sheet'!J30/'Balance sheet'!$J$25</f>
        <v>2.3314432332635681E-3</v>
      </c>
      <c r="L25" s="27">
        <f>'Balance sheet'!K30/'Balance sheet'!$K$25</f>
        <v>2.8724361031541332E-3</v>
      </c>
    </row>
    <row r="26" spans="2:12" x14ac:dyDescent="0.25">
      <c r="B26" t="str">
        <f>'Balance sheet'!$A31</f>
        <v>Other Current Liabilities</v>
      </c>
      <c r="C26" s="27">
        <f>'Balance sheet'!B31/'Balance sheet'!$B$25</f>
        <v>0</v>
      </c>
      <c r="D26" s="27">
        <f>'Balance sheet'!C31/'Balance sheet'!$C$25</f>
        <v>0</v>
      </c>
      <c r="E26" s="27">
        <f>'Balance sheet'!D31/'Balance sheet'!$D$25</f>
        <v>0</v>
      </c>
      <c r="F26" s="27">
        <f>'Balance sheet'!E31/'Balance sheet'!$E$25</f>
        <v>9.8620197338183668E-3</v>
      </c>
      <c r="G26" s="27">
        <f>'Balance sheet'!F31/'Balance sheet'!$F$25</f>
        <v>8.8100503887457542E-3</v>
      </c>
      <c r="H26" s="27">
        <f>'Balance sheet'!G31/'Balance sheet'!$G$25</f>
        <v>1.5996109854330958E-2</v>
      </c>
      <c r="I26" s="27">
        <f>'Balance sheet'!H31/'Balance sheet'!$H$25</f>
        <v>6.5387174450288327E-2</v>
      </c>
      <c r="J26" s="27">
        <f>'Balance sheet'!I31/'Balance sheet'!$I$25</f>
        <v>1.6593155272400555E-2</v>
      </c>
      <c r="K26" s="27">
        <f>'Balance sheet'!J31/'Balance sheet'!$J$25</f>
        <v>1.6287207490223974E-2</v>
      </c>
      <c r="L26" s="27">
        <f>'Balance sheet'!K31/'Balance sheet'!$K$25</f>
        <v>5.891465497089925E-3</v>
      </c>
    </row>
    <row r="27" spans="2:12" x14ac:dyDescent="0.25">
      <c r="B27" t="str">
        <f>'Balance sheet'!$A32</f>
        <v>Total Current Liabilities</v>
      </c>
      <c r="C27" s="27">
        <f>'Balance sheet'!B32/'Balance sheet'!$B$25</f>
        <v>0.32042256978194061</v>
      </c>
      <c r="D27" s="27">
        <f>'Balance sheet'!C32/'Balance sheet'!$C$25</f>
        <v>0.32377330507413032</v>
      </c>
      <c r="E27" s="27">
        <f>'Balance sheet'!D32/'Balance sheet'!$D$25</f>
        <v>0.33661762856783606</v>
      </c>
      <c r="F27" s="27">
        <f>'Balance sheet'!E32/'Balance sheet'!$E$25</f>
        <v>0.38392446778341693</v>
      </c>
      <c r="G27" s="27">
        <f>'Balance sheet'!F32/'Balance sheet'!$F$25</f>
        <v>0.35330034884516293</v>
      </c>
      <c r="H27" s="27">
        <f>'Balance sheet'!G32/'Balance sheet'!$G$25</f>
        <v>0.32892872999429162</v>
      </c>
      <c r="I27" s="27">
        <f>'Balance sheet'!H32/'Balance sheet'!$H$25</f>
        <v>0.36691670363094858</v>
      </c>
      <c r="J27" s="27">
        <f>'Balance sheet'!I32/'Balance sheet'!$I$25</f>
        <v>0.35685289553214083</v>
      </c>
      <c r="K27" s="27">
        <f>'Balance sheet'!J32/'Balance sheet'!$J$25</f>
        <v>0.37910829492140119</v>
      </c>
      <c r="L27" s="27">
        <f>'Balance sheet'!K32/'Balance sheet'!$K$25</f>
        <v>0.36614645858343337</v>
      </c>
    </row>
    <row r="28" spans="2:12" x14ac:dyDescent="0.25">
      <c r="B28" t="str">
        <f>'Balance sheet'!$A33</f>
        <v>LT Debt &amp; Leases</v>
      </c>
      <c r="C28" s="27">
        <f>'Balance sheet'!B33/'Balance sheet'!$B$25</f>
        <v>0.21448558216252836</v>
      </c>
      <c r="D28" s="27">
        <f>'Balance sheet'!C33/'Balance sheet'!$C$25</f>
        <v>0.2206121825223844</v>
      </c>
      <c r="E28" s="27">
        <f>'Balance sheet'!D33/'Balance sheet'!$D$25</f>
        <v>0.21133157299132402</v>
      </c>
      <c r="F28" s="27">
        <f>'Balance sheet'!E33/'Balance sheet'!$E$25</f>
        <v>0.1800539795229853</v>
      </c>
      <c r="G28" s="27">
        <f>'Balance sheet'!F33/'Balance sheet'!$F$25</f>
        <v>0.22892906815020864</v>
      </c>
      <c r="H28" s="27">
        <f>'Balance sheet'!G33/'Balance sheet'!$G$25</f>
        <v>0.20305291866635658</v>
      </c>
      <c r="I28" s="27">
        <f>'Balance sheet'!H33/'Balance sheet'!$H$25</f>
        <v>0.17838302388948735</v>
      </c>
      <c r="J28" s="27">
        <f>'Balance sheet'!I33/'Balance sheet'!$I$25</f>
        <v>0.15971167197582292</v>
      </c>
      <c r="K28" s="27">
        <f>'Balance sheet'!J33/'Balance sheet'!$J$25</f>
        <v>0.16238687154857995</v>
      </c>
      <c r="L28" s="27">
        <f>'Balance sheet'!K33/'Balance sheet'!$K$25</f>
        <v>0.16577323998906493</v>
      </c>
    </row>
    <row r="29" spans="2:12" x14ac:dyDescent="0.25">
      <c r="B29" t="str">
        <f>'Balance sheet'!$A34</f>
        <v>Minority Interests</v>
      </c>
      <c r="C29" s="27">
        <f>'Balance sheet'!B34/'Balance sheet'!$B$25</f>
        <v>2.2301748598470346E-2</v>
      </c>
      <c r="D29" s="27">
        <f>'Balance sheet'!C34/'Balance sheet'!$C$25</f>
        <v>1.5357173278017446E-2</v>
      </c>
      <c r="E29" s="27">
        <f>'Balance sheet'!D34/'Balance sheet'!$D$25</f>
        <v>1.3765874512762479E-2</v>
      </c>
      <c r="F29" s="27">
        <f>'Balance sheet'!E34/'Balance sheet'!$E$25</f>
        <v>1.4438544508659215E-2</v>
      </c>
      <c r="G29" s="27">
        <f>'Balance sheet'!F34/'Balance sheet'!$F$25</f>
        <v>3.2549761736473698E-2</v>
      </c>
      <c r="H29" s="27">
        <f>'Balance sheet'!G34/'Balance sheet'!$G$25</f>
        <v>2.9104209391319056E-2</v>
      </c>
      <c r="I29" s="27">
        <f>'Balance sheet'!H34/'Balance sheet'!$H$25</f>
        <v>2.616279069767442E-2</v>
      </c>
      <c r="J29" s="27">
        <f>'Balance sheet'!I34/'Balance sheet'!$I$25</f>
        <v>3.5277301315037167E-2</v>
      </c>
      <c r="K29" s="27">
        <f>'Balance sheet'!J34/'Balance sheet'!$J$25</f>
        <v>3.0008593856009735E-2</v>
      </c>
      <c r="L29" s="27">
        <f>'Balance sheet'!K34/'Balance sheet'!$K$25</f>
        <v>2.6584891382295493E-2</v>
      </c>
    </row>
    <row r="30" spans="2:12" x14ac:dyDescent="0.25">
      <c r="B30" t="str">
        <f>'Balance sheet'!$A35</f>
        <v>Other Liabilities</v>
      </c>
      <c r="C30" s="27">
        <f>'Balance sheet'!B35/'Balance sheet'!$B$25</f>
        <v>4.3224058201525729E-2</v>
      </c>
      <c r="D30" s="27">
        <f>'Balance sheet'!C35/'Balance sheet'!$C$25</f>
        <v>3.6681848472549995E-2</v>
      </c>
      <c r="E30" s="27">
        <f>'Balance sheet'!D35/'Balance sheet'!$D$25</f>
        <v>4.699610209983654E-2</v>
      </c>
      <c r="F30" s="27">
        <f>'Balance sheet'!E35/'Balance sheet'!$E$25</f>
        <v>4.0846461505363724E-2</v>
      </c>
      <c r="G30" s="27">
        <f>'Balance sheet'!F35/'Balance sheet'!$F$25</f>
        <v>5.4634168585695066E-2</v>
      </c>
      <c r="H30" s="27">
        <f>'Balance sheet'!G35/'Balance sheet'!$G$25</f>
        <v>0.12318230829404427</v>
      </c>
      <c r="I30" s="27">
        <f>'Balance sheet'!H35/'Balance sheet'!$H$25</f>
        <v>0.10803735504720867</v>
      </c>
      <c r="J30" s="27">
        <f>'Balance sheet'!I35/'Balance sheet'!$I$25</f>
        <v>0.10815568079719023</v>
      </c>
      <c r="K30" s="27">
        <f>'Balance sheet'!J35/'Balance sheet'!$J$25</f>
        <v>0.11314284304493888</v>
      </c>
      <c r="L30" s="27">
        <f>'Balance sheet'!K35/'Balance sheet'!$K$25</f>
        <v>5.1279917907757162E-2</v>
      </c>
    </row>
    <row r="31" spans="2:12" x14ac:dyDescent="0.25">
      <c r="B31" t="str">
        <f>'Balance sheet'!$A36</f>
        <v>Total Liabilities</v>
      </c>
      <c r="C31" s="27">
        <f>'Balance sheet'!B36/'Balance sheet'!$B$25</f>
        <v>0.60043395874446504</v>
      </c>
      <c r="D31" s="27">
        <f>'Balance sheet'!C36/'Balance sheet'!$C$25</f>
        <v>0.59642450934708213</v>
      </c>
      <c r="E31" s="27">
        <f>'Balance sheet'!D36/'Balance sheet'!$D$25</f>
        <v>0.60871117817175913</v>
      </c>
      <c r="F31" s="27">
        <f>'Balance sheet'!E36/'Balance sheet'!$E$25</f>
        <v>0.61926345332042521</v>
      </c>
      <c r="G31" s="27">
        <f>'Balance sheet'!F36/'Balance sheet'!$F$25</f>
        <v>0.66941334731754032</v>
      </c>
      <c r="H31" s="27">
        <f>'Balance sheet'!G36/'Balance sheet'!$G$25</f>
        <v>0.68426816634601151</v>
      </c>
      <c r="I31" s="27">
        <f>'Balance sheet'!H36/'Balance sheet'!$H$25</f>
        <v>0.67949987326531902</v>
      </c>
      <c r="J31" s="27">
        <f>'Balance sheet'!I36/'Balance sheet'!$I$25</f>
        <v>0.65999754962019108</v>
      </c>
      <c r="K31" s="27">
        <f>'Balance sheet'!J36/'Balance sheet'!$J$25</f>
        <v>0.68464660337092975</v>
      </c>
      <c r="L31" s="27">
        <f>'Balance sheet'!K36/'Balance sheet'!$K$25</f>
        <v>0.66774432545295348</v>
      </c>
    </row>
    <row r="32" spans="2:12" x14ac:dyDescent="0.25">
      <c r="B32" t="str">
        <f>'Balance sheet'!$A37</f>
        <v>Common Share Capital</v>
      </c>
      <c r="C32" s="27">
        <f>'Balance sheet'!B37/'Balance sheet'!$B$25</f>
        <v>1.5856184893915742E-3</v>
      </c>
      <c r="D32" s="27">
        <f>'Balance sheet'!C37/'Balance sheet'!$C$25</f>
        <v>1.5883275462093085E-3</v>
      </c>
      <c r="E32" s="27">
        <f>'Balance sheet'!D37/'Balance sheet'!$D$25</f>
        <v>1.5340123223940652E-3</v>
      </c>
      <c r="F32" s="27">
        <f>'Balance sheet'!E37/'Balance sheet'!$E$25</f>
        <v>1.4423876160021905E-3</v>
      </c>
      <c r="G32" s="27">
        <f>'Balance sheet'!F37/'Balance sheet'!$F$25</f>
        <v>1.313299436831665E-3</v>
      </c>
      <c r="H32" s="27">
        <f>'Balance sheet'!G37/'Balance sheet'!$G$25</f>
        <v>1.200871054356329E-3</v>
      </c>
      <c r="I32" s="27">
        <f>'Balance sheet'!H37/'Balance sheet'!$H$25</f>
        <v>1.1168493758316963E-3</v>
      </c>
      <c r="J32" s="27">
        <f>'Balance sheet'!I37/'Balance sheet'!$I$25</f>
        <v>1.1271747120803724E-3</v>
      </c>
      <c r="K32" s="27">
        <f>'Balance sheet'!J37/'Balance sheet'!$J$25</f>
        <v>1.1060991706312168E-3</v>
      </c>
      <c r="L32" s="27">
        <f>'Balance sheet'!K37/'Balance sheet'!$K$25</f>
        <v>3.1893945697090719E-3</v>
      </c>
    </row>
    <row r="33" spans="2:12" x14ac:dyDescent="0.25">
      <c r="B33" t="str">
        <f>'Balance sheet'!$A38</f>
        <v>Additional Paid-In Capital</v>
      </c>
      <c r="C33" s="27">
        <f>'Balance sheet'!B38/'Balance sheet'!$B$25</f>
        <v>1.208604557548624E-2</v>
      </c>
      <c r="D33" s="27">
        <f>'Balance sheet'!C38/'Balance sheet'!$C$25</f>
        <v>9.0439470691097857E-3</v>
      </c>
      <c r="E33" s="27">
        <f>'Balance sheet'!D38/'Balance sheet'!$D$25</f>
        <v>1.1925059725889602E-2</v>
      </c>
      <c r="F33" s="27">
        <f>'Balance sheet'!E38/'Balance sheet'!$E$25</f>
        <v>1.2947262397199323E-2</v>
      </c>
      <c r="G33" s="27">
        <f>'Balance sheet'!F38/'Balance sheet'!$F$25</f>
        <v>1.3520600104881552E-2</v>
      </c>
      <c r="H33" s="27">
        <f>'Balance sheet'!G38/'Balance sheet'!$G$25</f>
        <v>1.3729677160193661E-2</v>
      </c>
      <c r="I33" s="27">
        <f>'Balance sheet'!H38/'Balance sheet'!$H$25</f>
        <v>1.4439832710221152E-2</v>
      </c>
      <c r="J33" s="27">
        <f>'Balance sheet'!I38/'Balance sheet'!$I$25</f>
        <v>1.9762313158539574E-2</v>
      </c>
      <c r="K33" s="27">
        <f>'Balance sheet'!J38/'Balance sheet'!$J$25</f>
        <v>2.043199546047032E-2</v>
      </c>
      <c r="L33" s="27">
        <f>'Balance sheet'!K38/'Balance sheet'!$K$25</f>
        <v>1.8003240900320523E-2</v>
      </c>
    </row>
    <row r="34" spans="2:12" x14ac:dyDescent="0.25">
      <c r="B34" t="str">
        <f>'Balance sheet'!$A39</f>
        <v>Retained Earnings</v>
      </c>
      <c r="C34" s="27">
        <f>'Balance sheet'!B39/'Balance sheet'!$B$25</f>
        <v>0.42108234416266582</v>
      </c>
      <c r="D34" s="27">
        <f>'Balance sheet'!C39/'Balance sheet'!$C$25</f>
        <v>0.45104994964450523</v>
      </c>
      <c r="E34" s="27">
        <f>'Balance sheet'!D39/'Balance sheet'!$D$25</f>
        <v>0.44941028542688294</v>
      </c>
      <c r="F34" s="27">
        <f>'Balance sheet'!E39/'Balance sheet'!$E$25</f>
        <v>0.41612638249185907</v>
      </c>
      <c r="G34" s="27">
        <f>'Balance sheet'!F39/'Balance sheet'!$F$25</f>
        <v>0.36838505209877104</v>
      </c>
      <c r="H34" s="27">
        <f>'Balance sheet'!G39/'Balance sheet'!$G$25</f>
        <v>0.35494619336561029</v>
      </c>
      <c r="I34" s="27">
        <f>'Balance sheet'!H39/'Balance sheet'!$H$25</f>
        <v>0.35154220264875485</v>
      </c>
      <c r="J34" s="27">
        <f>'Balance sheet'!I39/'Balance sheet'!$I$25</f>
        <v>0.35491301151678512</v>
      </c>
      <c r="K34" s="27">
        <f>'Balance sheet'!J39/'Balance sheet'!$J$25</f>
        <v>0.34184221022463268</v>
      </c>
      <c r="L34" s="27">
        <f>'Balance sheet'!K39/'Balance sheet'!$K$25</f>
        <v>0.35584134643956594</v>
      </c>
    </row>
    <row r="35" spans="2:12" x14ac:dyDescent="0.25">
      <c r="B35" t="str">
        <f>'Balance sheet'!$A40</f>
        <v>Accum Other Comprehensive Income</v>
      </c>
      <c r="C35" s="27">
        <f>'Balance sheet'!B40/'Balance sheet'!$B$25</f>
        <v>-3.5187966972008676E-2</v>
      </c>
      <c r="D35" s="27">
        <f>'Balance sheet'!C40/'Balance sheet'!$C$25</f>
        <v>-5.810673360690647E-2</v>
      </c>
      <c r="E35" s="27">
        <f>'Balance sheet'!D40/'Balance sheet'!$D$25</f>
        <v>-7.1580535646925694E-2</v>
      </c>
      <c r="F35" s="27">
        <f>'Balance sheet'!E40/'Balance sheet'!$E$25</f>
        <v>-4.9779485825485768E-2</v>
      </c>
      <c r="G35" s="27">
        <f>'Balance sheet'!F40/'Balance sheet'!$F$25</f>
        <v>-5.2632298958024577E-2</v>
      </c>
      <c r="H35" s="27">
        <f>'Balance sheet'!G40/'Balance sheet'!$G$25</f>
        <v>-5.4144907926171798E-2</v>
      </c>
      <c r="I35" s="27">
        <f>'Balance sheet'!H40/'Balance sheet'!$H$25</f>
        <v>-4.6598758000126736E-2</v>
      </c>
      <c r="J35" s="27">
        <f>'Balance sheet'!I40/'Balance sheet'!$I$25</f>
        <v>-3.5800049007596174E-2</v>
      </c>
      <c r="K35" s="27">
        <f>'Balance sheet'!J40/'Balance sheet'!$J$25</f>
        <v>-4.8026908226663979E-2</v>
      </c>
      <c r="L35" s="27">
        <f>'Balance sheet'!K40/'Balance sheet'!$K$25</f>
        <v>-4.477830736254898E-2</v>
      </c>
    </row>
    <row r="36" spans="2:12" x14ac:dyDescent="0.25">
      <c r="B36" t="str">
        <f>'Balance sheet'!$A41</f>
        <v>For Curr Trans (BS)</v>
      </c>
      <c r="C36" s="27">
        <f>'Balance sheet'!B41/'Balance sheet'!$B$25</f>
        <v>-3.1196921052889948E-2</v>
      </c>
      <c r="D36" s="27">
        <f>'Balance sheet'!C41/'Balance sheet'!$C$25</f>
        <v>-5.8572709827087746E-2</v>
      </c>
      <c r="E36" s="27">
        <f>'Balance sheet'!D41/'Balance sheet'!$D$25</f>
        <v>-7.2234376964667418E-2</v>
      </c>
      <c r="F36" s="27">
        <f>'Balance sheet'!E41/'Balance sheet'!$E$25</f>
        <v>-5.9338359687466383E-2</v>
      </c>
      <c r="G36" s="27">
        <f>'Balance sheet'!F41/'Balance sheet'!$F$25</f>
        <v>-5.5108415604550945E-2</v>
      </c>
      <c r="H36" s="27">
        <f>'Balance sheet'!G41/'Balance sheet'!$G$25</f>
        <v>-5.0009513943212333E-2</v>
      </c>
      <c r="I36" s="27">
        <f>'Balance sheet'!H41/'Balance sheet'!$H$25</f>
        <v>-4.2662061973258981E-2</v>
      </c>
      <c r="J36" s="27">
        <f>'Balance sheet'!I41/'Balance sheet'!$I$25</f>
        <v>-3.3080127419750062E-2</v>
      </c>
      <c r="K36" s="27">
        <f>'Balance sheet'!J41/'Balance sheet'!$J$25</f>
        <v>-4.4474232823595687E-2</v>
      </c>
      <c r="L36" s="27">
        <f>'Balance sheet'!K41/'Balance sheet'!$K$25</f>
        <v>-4.1533445061192796E-2</v>
      </c>
    </row>
    <row r="37" spans="2:12" x14ac:dyDescent="0.25">
      <c r="B37" t="str">
        <f>'Balance sheet'!$A42</f>
        <v>Other Equity</v>
      </c>
      <c r="C37" s="27">
        <f>'Balance sheet'!B42/'Balance sheet'!$B$25</f>
        <v>3.1196921052889948E-2</v>
      </c>
      <c r="D37" s="27">
        <f>'Balance sheet'!C42/'Balance sheet'!$C$25</f>
        <v>5.8572709827087746E-2</v>
      </c>
      <c r="E37" s="27">
        <f>'Balance sheet'!D42/'Balance sheet'!$D$25</f>
        <v>7.2234376964667418E-2</v>
      </c>
      <c r="F37" s="27">
        <f>'Balance sheet'!E42/'Balance sheet'!$E$25</f>
        <v>5.9338359687466383E-2</v>
      </c>
      <c r="G37" s="27">
        <f>'Balance sheet'!F42/'Balance sheet'!$F$25</f>
        <v>5.5108415604550945E-2</v>
      </c>
      <c r="H37" s="27">
        <f>'Balance sheet'!G42/'Balance sheet'!$G$25</f>
        <v>5.0009513943212333E-2</v>
      </c>
      <c r="I37" s="27">
        <f>'Balance sheet'!H42/'Balance sheet'!$H$25</f>
        <v>4.2662061973258981E-2</v>
      </c>
      <c r="J37" s="27">
        <f>'Balance sheet'!I42/'Balance sheet'!$I$25</f>
        <v>3.3080127419750062E-2</v>
      </c>
      <c r="K37" s="27">
        <f>'Balance sheet'!J42/'Balance sheet'!$J$25</f>
        <v>4.4474232823595687E-2</v>
      </c>
      <c r="L37" s="27">
        <f>'Balance sheet'!K42/'Balance sheet'!$K$25</f>
        <v>4.1533445061192796E-2</v>
      </c>
    </row>
    <row r="38" spans="2:12" x14ac:dyDescent="0.25">
      <c r="B38" t="str">
        <f>'Balance sheet'!$A43</f>
        <v>Total Equity</v>
      </c>
      <c r="C38" s="27">
        <f>'Balance sheet'!B43/'Balance sheet'!$B$25</f>
        <v>0.39956604125553496</v>
      </c>
      <c r="D38" s="27">
        <f>'Balance sheet'!C43/'Balance sheet'!$C$25</f>
        <v>0.40357549065291787</v>
      </c>
      <c r="E38" s="27">
        <f>'Balance sheet'!D43/'Balance sheet'!$D$25</f>
        <v>0.39128882182824093</v>
      </c>
      <c r="F38" s="27">
        <f>'Balance sheet'!E43/'Balance sheet'!$E$25</f>
        <v>0.38073654667957479</v>
      </c>
      <c r="G38" s="27">
        <f>'Balance sheet'!F43/'Balance sheet'!$F$25</f>
        <v>0.33058665268245968</v>
      </c>
      <c r="H38" s="27">
        <f>'Balance sheet'!G43/'Balance sheet'!$G$25</f>
        <v>0.31573183365398844</v>
      </c>
      <c r="I38" s="27">
        <f>'Balance sheet'!H43/'Balance sheet'!$H$25</f>
        <v>0.32050012673468092</v>
      </c>
      <c r="J38" s="27">
        <f>'Balance sheet'!I43/'Balance sheet'!$I$25</f>
        <v>0.34000245037980886</v>
      </c>
      <c r="K38" s="27">
        <f>'Balance sheet'!J43/'Balance sheet'!$J$25</f>
        <v>0.31535339662907025</v>
      </c>
      <c r="L38" s="27">
        <f>'Balance sheet'!K43/'Balance sheet'!$K$25</f>
        <v>0.33225567454704652</v>
      </c>
    </row>
    <row r="39" spans="2:12" x14ac:dyDescent="0.25">
      <c r="B39" t="str">
        <f>'Balance sheet'!$A44</f>
        <v>Total Liabilities &amp; Equity</v>
      </c>
      <c r="C39" s="27">
        <f>'Balance sheet'!B44/'Balance sheet'!$B$25</f>
        <v>1</v>
      </c>
      <c r="D39" s="27">
        <f>'Balance sheet'!C44/'Balance sheet'!$C$25</f>
        <v>1</v>
      </c>
      <c r="E39" s="27">
        <f>'Balance sheet'!D44/'Balance sheet'!$D$25</f>
        <v>1</v>
      </c>
      <c r="F39" s="27">
        <f>'Balance sheet'!E44/'Balance sheet'!$E$25</f>
        <v>1</v>
      </c>
      <c r="G39" s="27">
        <f>'Balance sheet'!F44/'Balance sheet'!$F$25</f>
        <v>1</v>
      </c>
      <c r="H39" s="27">
        <f>'Balance sheet'!G44/'Balance sheet'!$G$25</f>
        <v>1</v>
      </c>
      <c r="I39" s="27">
        <f>'Balance sheet'!H44/'Balance sheet'!$H$25</f>
        <v>1</v>
      </c>
      <c r="J39" s="27">
        <f>'Balance sheet'!I44/'Balance sheet'!$I$25</f>
        <v>1</v>
      </c>
      <c r="K39" s="27">
        <f>'Balance sheet'!J44/'Balance sheet'!$J$25</f>
        <v>1</v>
      </c>
      <c r="L39" s="27">
        <f>'Balance sheet'!K44/'Balance sheet'!$K$25</f>
        <v>1</v>
      </c>
    </row>
    <row r="40" spans="2:12" x14ac:dyDescent="0.25">
      <c r="B40">
        <f>'Balance sheet'!$A45</f>
        <v>0</v>
      </c>
      <c r="C40" s="27">
        <f>'Balance sheet'!B45/'Balance sheet'!$B$25</f>
        <v>0</v>
      </c>
      <c r="D40" s="27">
        <f>'Balance sheet'!C45/'Balance sheet'!$C$25</f>
        <v>0</v>
      </c>
      <c r="E40" s="27">
        <f>'Balance sheet'!D45/'Balance sheet'!$D$25</f>
        <v>0</v>
      </c>
      <c r="F40" s="27">
        <f>'Balance sheet'!E45/'Balance sheet'!$E$25</f>
        <v>0</v>
      </c>
      <c r="G40" s="27">
        <f>'Balance sheet'!F45/'Balance sheet'!$F$25</f>
        <v>0</v>
      </c>
      <c r="H40" s="27">
        <f>'Balance sheet'!G45/'Balance sheet'!$G$25</f>
        <v>0</v>
      </c>
      <c r="I40" s="27">
        <f>'Balance sheet'!H45/'Balance sheet'!$H$25</f>
        <v>0</v>
      </c>
      <c r="J40" s="27">
        <f>'Balance sheet'!I45/'Balance sheet'!$I$25</f>
        <v>0</v>
      </c>
      <c r="K40" s="27">
        <f>'Balance sheet'!J45/'Balance sheet'!$J$25</f>
        <v>0</v>
      </c>
      <c r="L40" s="27">
        <f>'Balance sheet'!K45/'Balance sheet'!$K$25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091D-9CBF-4D3C-9978-3E57443D2284}">
  <dimension ref="A3:N29"/>
  <sheetViews>
    <sheetView tabSelected="1" zoomScale="65" zoomScaleNormal="65" workbookViewId="0">
      <selection activeCell="P39" sqref="P39"/>
    </sheetView>
  </sheetViews>
  <sheetFormatPr defaultRowHeight="13.2" x14ac:dyDescent="0.25"/>
  <cols>
    <col min="1" max="1" width="20.6640625" bestFit="1" customWidth="1"/>
    <col min="3" max="3" width="11.5546875" bestFit="1" customWidth="1"/>
    <col min="4" max="12" width="10.109375" bestFit="1" customWidth="1"/>
  </cols>
  <sheetData>
    <row r="3" spans="1:12" ht="15.6" x14ac:dyDescent="0.3">
      <c r="A3" s="8" t="s">
        <v>71</v>
      </c>
    </row>
    <row r="5" spans="1:12" s="10" customFormat="1" x14ac:dyDescent="0.25">
      <c r="A5" s="10" t="s">
        <v>72</v>
      </c>
      <c r="C5" s="10" t="str">
        <f>standardized!B13</f>
        <v>01/31/2015</v>
      </c>
      <c r="D5" s="10" t="str">
        <f>standardized!C13</f>
        <v>01/31/2016</v>
      </c>
      <c r="E5" s="10" t="str">
        <f>standardized!D13</f>
        <v>01/31/2017</v>
      </c>
      <c r="F5" s="10" t="str">
        <f>standardized!E13</f>
        <v>01/31/2018</v>
      </c>
      <c r="G5" s="10" t="str">
        <f>standardized!F13</f>
        <v>01/31/2019</v>
      </c>
      <c r="H5" s="10" t="str">
        <f>standardized!G13</f>
        <v>01/31/2020</v>
      </c>
      <c r="I5" s="10" t="str">
        <f>standardized!H13</f>
        <v>01/31/2021</v>
      </c>
      <c r="J5" s="10" t="str">
        <f>standardized!I13</f>
        <v>01/31/2022</v>
      </c>
      <c r="K5" s="10" t="str">
        <f>standardized!J13</f>
        <v>01/31/2023</v>
      </c>
      <c r="L5" s="10" t="str">
        <f>standardized!K13</f>
        <v>01/31/2024</v>
      </c>
    </row>
    <row r="6" spans="1:12" x14ac:dyDescent="0.25">
      <c r="A6" s="10" t="s">
        <v>73</v>
      </c>
      <c r="C6">
        <f>standardized!B29/standardized!B17</f>
        <v>3.369291940096901E-2</v>
      </c>
      <c r="D6">
        <f>standardized!C29/standardized!C17</f>
        <v>3.0477257171302344E-2</v>
      </c>
      <c r="E6">
        <f>standardized!D29/standardized!D17</f>
        <v>2.8079354069890691E-2</v>
      </c>
      <c r="F6">
        <f>standardized!E29/standardized!E17</f>
        <v>1.9710478611672393E-2</v>
      </c>
      <c r="G6">
        <f>standardized!F29/standardized!F17</f>
        <v>1.2966436951429322E-2</v>
      </c>
      <c r="H6">
        <f>standardized!G29/standardized!G17</f>
        <v>2.8400806162255422E-2</v>
      </c>
      <c r="I6">
        <f>standardized!H29/standardized!H17</f>
        <v>2.4161630758059986E-2</v>
      </c>
      <c r="J6">
        <f>standardized!I29/standardized!I17</f>
        <v>2.3872378019184501E-2</v>
      </c>
      <c r="K6">
        <f>standardized!J29/standardized!J17</f>
        <v>1.9107165350595218E-2</v>
      </c>
      <c r="L6">
        <f>standardized!K29/standardized!K17</f>
        <v>2.3932111861137896E-2</v>
      </c>
    </row>
    <row r="7" spans="1:12" x14ac:dyDescent="0.25">
      <c r="A7" s="10" t="s">
        <v>74</v>
      </c>
      <c r="C7">
        <f>standardized!B19/standardized!B17</f>
        <v>0.24825440491216944</v>
      </c>
      <c r="D7">
        <f>standardized!C19/standardized!C17</f>
        <v>0.25127247837720118</v>
      </c>
      <c r="E7">
        <f>standardized!D19/standardized!D17</f>
        <v>0.25648060295591646</v>
      </c>
      <c r="F7">
        <f>standardized!E19/standardized!E17</f>
        <v>0.25371994811559273</v>
      </c>
      <c r="G7">
        <f>standardized!F19/standardized!F17</f>
        <v>0.25097734275522204</v>
      </c>
      <c r="H7">
        <f>standardized!G19/standardized!G17</f>
        <v>0.24688528219495995</v>
      </c>
      <c r="I7">
        <f>standardized!H19/standardized!H17</f>
        <v>0.24829786587165184</v>
      </c>
      <c r="J7">
        <f>standardized!I19/standardized!I17</f>
        <v>0.25098733487675334</v>
      </c>
      <c r="K7">
        <f>standardized!J19/standardized!J17</f>
        <v>0.24140463839525986</v>
      </c>
      <c r="L7">
        <f>standardized!K19/standardized!K17</f>
        <v>0.24375390549662487</v>
      </c>
    </row>
    <row r="8" spans="1:12" x14ac:dyDescent="0.25">
      <c r="A8" s="10" t="s">
        <v>75</v>
      </c>
      <c r="C8">
        <f>standardized!B22/standardized!B17</f>
        <v>5.5898165555100264E-2</v>
      </c>
      <c r="D8">
        <f>standardized!C22/standardized!C17</f>
        <v>4.9996888805923713E-2</v>
      </c>
      <c r="E8">
        <f>standardized!D22/standardized!D17</f>
        <v>4.6851749325441013E-2</v>
      </c>
      <c r="F8">
        <f>standardized!E22/standardized!E17</f>
        <v>4.084597965795464E-2</v>
      </c>
      <c r="G8">
        <f>standardized!F22/standardized!F17</f>
        <v>4.268426628823592E-2</v>
      </c>
      <c r="H8">
        <f>standardized!G22/standardized!G17</f>
        <v>3.9254605278225219E-2</v>
      </c>
      <c r="I8">
        <f>standardized!H22/standardized!H17</f>
        <v>4.032542193432543E-2</v>
      </c>
      <c r="J8">
        <f>standardized!I22/standardized!I17</f>
        <v>4.5293441861602016E-2</v>
      </c>
      <c r="K8">
        <f>standardized!J22/standardized!J17</f>
        <v>3.3417908714208827E-2</v>
      </c>
      <c r="L8">
        <f>standardized!K22/standardized!K17</f>
        <v>4.16771456123433E-2</v>
      </c>
    </row>
    <row r="9" spans="1:12" x14ac:dyDescent="0.25">
      <c r="A9" s="10" t="s">
        <v>76</v>
      </c>
      <c r="C9">
        <f>standardized!B29/'Balance sheet'!B25</f>
        <v>8.0326549046174395E-2</v>
      </c>
      <c r="D9">
        <f>standardized!C29/'Balance sheet'!C25</f>
        <v>7.36242427886422E-2</v>
      </c>
      <c r="E9">
        <f>standardized!D29/'Balance sheet'!D25</f>
        <v>6.8618131522695844E-2</v>
      </c>
      <c r="F9">
        <f>standardized!E29/'Balance sheet'!E25</f>
        <v>4.8219751420385093E-2</v>
      </c>
      <c r="G9">
        <f>standardized!F29/'Balance sheet'!F25</f>
        <v>3.0415650151622245E-2</v>
      </c>
      <c r="H9">
        <f>standardized!G29/'Balance sheet'!G25</f>
        <v>6.2923106196748346E-2</v>
      </c>
      <c r="I9">
        <f>standardized!H29/'Balance sheet'!H25</f>
        <v>5.3505798111653256E-2</v>
      </c>
      <c r="J9">
        <f>standardized!I29/'Balance sheet'!I25</f>
        <v>5.5840071877807727E-2</v>
      </c>
      <c r="K9">
        <f>standardized!J29/'Balance sheet'!J25</f>
        <v>4.8026908226663979E-2</v>
      </c>
      <c r="L9">
        <f>standardized!K29/'Balance sheet'!K25</f>
        <v>6.1454284684170697E-2</v>
      </c>
    </row>
    <row r="10" spans="1:12" x14ac:dyDescent="0.25">
      <c r="A10" s="10" t="s">
        <v>77</v>
      </c>
      <c r="C10">
        <f>standardized!B29/'Balance sheet'!B44</f>
        <v>8.0326549046174395E-2</v>
      </c>
      <c r="D10">
        <f>standardized!C29/'Balance sheet'!C44</f>
        <v>7.36242427886422E-2</v>
      </c>
      <c r="E10">
        <f>standardized!D29/'Balance sheet'!D44</f>
        <v>6.8618131522695844E-2</v>
      </c>
      <c r="F10">
        <f>standardized!E29/'Balance sheet'!E44</f>
        <v>4.8219751420385093E-2</v>
      </c>
      <c r="G10">
        <f>standardized!F29/'Balance sheet'!F44</f>
        <v>3.0415650151622245E-2</v>
      </c>
      <c r="H10">
        <f>standardized!G29/'Balance sheet'!G44</f>
        <v>6.2923106196748346E-2</v>
      </c>
      <c r="I10">
        <f>standardized!H29/'Balance sheet'!H44</f>
        <v>5.3505798111653256E-2</v>
      </c>
      <c r="J10">
        <f>standardized!I29/'Balance sheet'!I44</f>
        <v>5.5840071877807727E-2</v>
      </c>
      <c r="K10">
        <f>standardized!J29/'Balance sheet'!J44</f>
        <v>4.8026908226663979E-2</v>
      </c>
      <c r="L10">
        <f>standardized!K29/'Balance sheet'!K44</f>
        <v>6.1454284684170697E-2</v>
      </c>
    </row>
    <row r="11" spans="1:12" ht="13.8" x14ac:dyDescent="0.25">
      <c r="A11" s="15" t="s">
        <v>78</v>
      </c>
    </row>
    <row r="12" spans="1:12" x14ac:dyDescent="0.25">
      <c r="A12" t="str">
        <f t="shared" ref="A12:L12" si="0">A5</f>
        <v xml:space="preserve">Report Date </v>
      </c>
      <c r="B12">
        <f t="shared" si="0"/>
        <v>0</v>
      </c>
      <c r="C12" t="str">
        <f t="shared" si="0"/>
        <v>01/31/2015</v>
      </c>
      <c r="D12" t="str">
        <f t="shared" si="0"/>
        <v>01/31/2016</v>
      </c>
      <c r="E12" t="str">
        <f t="shared" si="0"/>
        <v>01/31/2017</v>
      </c>
      <c r="F12" t="str">
        <f t="shared" si="0"/>
        <v>01/31/2018</v>
      </c>
      <c r="G12" t="str">
        <f t="shared" si="0"/>
        <v>01/31/2019</v>
      </c>
      <c r="H12" t="str">
        <f t="shared" si="0"/>
        <v>01/31/2020</v>
      </c>
      <c r="I12" t="str">
        <f t="shared" si="0"/>
        <v>01/31/2021</v>
      </c>
      <c r="J12" t="str">
        <f t="shared" si="0"/>
        <v>01/31/2022</v>
      </c>
      <c r="K12" t="str">
        <f t="shared" si="0"/>
        <v>01/31/2023</v>
      </c>
      <c r="L12" t="str">
        <f t="shared" si="0"/>
        <v>01/31/2024</v>
      </c>
    </row>
    <row r="13" spans="1:12" x14ac:dyDescent="0.25">
      <c r="A13" s="10" t="s">
        <v>79</v>
      </c>
      <c r="C13">
        <f>'Balance sheet'!B19/'Balance sheet'!B32</f>
        <v>0.96945091310209586</v>
      </c>
      <c r="D13">
        <f>'Balance sheet'!C19/'Balance sheet'!C32</f>
        <v>0.93221807827419179</v>
      </c>
      <c r="E13">
        <f>'Balance sheet'!D19/'Balance sheet'!D32</f>
        <v>0.86195613196270615</v>
      </c>
      <c r="F13">
        <f>'Balance sheet'!E19/'Balance sheet'!E32</f>
        <v>0.75984768405904157</v>
      </c>
      <c r="G13">
        <f>'Balance sheet'!F19/'Balance sheet'!F32</f>
        <v>0.79890806303806294</v>
      </c>
      <c r="H13">
        <f>'Balance sheet'!G19/'Balance sheet'!G32</f>
        <v>0.7945237177015041</v>
      </c>
      <c r="I13">
        <f>'Balance sheet'!H19/'Balance sheet'!H32</f>
        <v>0.97217334988396564</v>
      </c>
      <c r="J13">
        <f>'Balance sheet'!I19/'Balance sheet'!I32</f>
        <v>0.92779729683333523</v>
      </c>
      <c r="K13">
        <f>'Balance sheet'!J19/'Balance sheet'!J32</f>
        <v>0.82057094513980777</v>
      </c>
      <c r="L13">
        <f>'Balance sheet'!K19/'Balance sheet'!K32</f>
        <v>0.83186712113834338</v>
      </c>
    </row>
    <row r="14" spans="1:12" x14ac:dyDescent="0.25">
      <c r="A14" s="10" t="s">
        <v>80</v>
      </c>
      <c r="C14">
        <f>('Balance sheet'!B19-'Balance sheet'!B16)/'Balance sheet'!B32</f>
        <v>0.2778679985292315</v>
      </c>
      <c r="D14">
        <f>('Balance sheet'!C19-'Balance sheet'!C16)/'Balance sheet'!C32</f>
        <v>0.24404586886209939</v>
      </c>
      <c r="E14">
        <f>('Balance sheet'!D19-'Balance sheet'!D16)/'Balance sheet'!D32</f>
        <v>0.21878735357398996</v>
      </c>
      <c r="F14">
        <f>('Balance sheet'!E19-'Balance sheet'!E16)/'Balance sheet'!E32</f>
        <v>0.20225162695329912</v>
      </c>
      <c r="G14">
        <f>('Balance sheet'!F19-'Balance sheet'!F16)/'Balance sheet'!F32</f>
        <v>0.2275255882390903</v>
      </c>
      <c r="H14">
        <f>('Balance sheet'!G19-'Balance sheet'!G16)/'Balance sheet'!G32</f>
        <v>0.22330633757552384</v>
      </c>
      <c r="I14">
        <f>('Balance sheet'!H19-'Balance sheet'!H16)/'Balance sheet'!H32</f>
        <v>0.48699875870257436</v>
      </c>
      <c r="J14">
        <f>('Balance sheet'!I19-'Balance sheet'!I16)/'Balance sheet'!I32</f>
        <v>0.28106295563007128</v>
      </c>
      <c r="K14">
        <f>('Balance sheet'!J19-'Balance sheet'!J16)/'Balance sheet'!J32</f>
        <v>0.20693507451354692</v>
      </c>
      <c r="L14">
        <f>('Balance sheet'!K19-'Balance sheet'!K16)/'Balance sheet'!K32</f>
        <v>0.23789428123140183</v>
      </c>
    </row>
    <row r="15" spans="1:12" x14ac:dyDescent="0.25">
      <c r="A15" s="10" t="s">
        <v>81</v>
      </c>
      <c r="C15">
        <f>'Balance sheet'!B13/'Balance sheet'!B32</f>
        <v>0.13995281284471137</v>
      </c>
      <c r="D15">
        <f>'Balance sheet'!C13/'Balance sheet'!C32</f>
        <v>0.13471270059889506</v>
      </c>
      <c r="E15">
        <f>'Balance sheet'!D13/'Balance sheet'!D32</f>
        <v>0.10260279703562036</v>
      </c>
      <c r="F15">
        <f>'Balance sheet'!E13/'Balance sheet'!E32</f>
        <v>8.6040677016339578E-2</v>
      </c>
      <c r="G15">
        <f>'Balance sheet'!F13/'Balance sheet'!F32</f>
        <v>9.9668288653406822E-2</v>
      </c>
      <c r="H15">
        <f>'Balance sheet'!G13/'Balance sheet'!G32</f>
        <v>0.12167373698418819</v>
      </c>
      <c r="I15">
        <f>'Balance sheet'!H13/'Balance sheet'!H32</f>
        <v>0.19149441416158455</v>
      </c>
      <c r="J15">
        <f>'Balance sheet'!I13/'Balance sheet'!I32</f>
        <v>0.16891930555396606</v>
      </c>
      <c r="K15">
        <f>'Balance sheet'!J13/'Balance sheet'!J32</f>
        <v>9.3548666999284144E-2</v>
      </c>
      <c r="L15">
        <f>'Balance sheet'!K13/'Balance sheet'!K32</f>
        <v>0.10676838175620841</v>
      </c>
    </row>
    <row r="16" spans="1:12" ht="15.6" x14ac:dyDescent="0.3">
      <c r="A16" s="8" t="s">
        <v>82</v>
      </c>
    </row>
    <row r="17" spans="1:14" x14ac:dyDescent="0.25">
      <c r="A17" s="10" t="s">
        <v>83</v>
      </c>
      <c r="C17">
        <f>'Balance sheet'!B36/'Balance sheet'!B43</f>
        <v>1.5027151878516845</v>
      </c>
      <c r="D17">
        <f>'Balance sheet'!C36/'Balance sheet'!C43</f>
        <v>1.4778511657934597</v>
      </c>
      <c r="E17">
        <f>'Balance sheet'!D36/'Balance sheet'!D43</f>
        <v>1.5556569577624104</v>
      </c>
      <c r="F17">
        <f>'Balance sheet'!E36/'Balance sheet'!E43</f>
        <v>1.6264880761278557</v>
      </c>
      <c r="G17">
        <f>'Balance sheet'!F36/'Balance sheet'!F43</f>
        <v>2.0249255131317589</v>
      </c>
      <c r="H17">
        <f>'Balance sheet'!G36/'Balance sheet'!G43</f>
        <v>2.1672447736008249</v>
      </c>
      <c r="I17">
        <f>'Balance sheet'!H36/'Balance sheet'!H43</f>
        <v>2.1201235712079085</v>
      </c>
      <c r="J17">
        <f>'Balance sheet'!I36/'Balance sheet'!I43</f>
        <v>1.9411552736838311</v>
      </c>
      <c r="K17">
        <f>'Balance sheet'!J36/'Balance sheet'!J43</f>
        <v>2.1710455973817688</v>
      </c>
      <c r="L17">
        <f>'Balance sheet'!K36/'Balance sheet'!K43</f>
        <v>2.0097303871883234</v>
      </c>
    </row>
    <row r="18" spans="1:14" x14ac:dyDescent="0.25">
      <c r="A18" s="10" t="s">
        <v>84</v>
      </c>
      <c r="C18" s="29">
        <f>SUM('Balance sheet'!B29,'Balance sheet'!B30,'Balance sheet'!B33)/'Balance sheet'!B19</f>
        <v>0.79618508802427379</v>
      </c>
      <c r="D18" s="29">
        <f>SUM('Balance sheet'!C29,'Balance sheet'!C30,'Balance sheet'!C33)/'Balance sheet'!C19</f>
        <v>0.83059147728215943</v>
      </c>
      <c r="E18" s="29">
        <f>SUM('Balance sheet'!D29,'Balance sheet'!D30,'Balance sheet'!D33)/'Balance sheet'!D19</f>
        <v>0.79630432144776297</v>
      </c>
      <c r="F18" s="29">
        <f>SUM('Balance sheet'!E29,'Balance sheet'!E30,'Balance sheet'!E33)/'Balance sheet'!E19</f>
        <v>0.77914655403593458</v>
      </c>
      <c r="G18" s="29">
        <f>SUM('Balance sheet'!F29,'Balance sheet'!F30,'Balance sheet'!F33)/'Balance sheet'!F19</f>
        <v>0.93757371116532306</v>
      </c>
      <c r="H18" s="29">
        <f>SUM('Balance sheet'!G29,'Balance sheet'!G30,'Balance sheet'!G33)/'Balance sheet'!G19</f>
        <v>0.88128984241012198</v>
      </c>
      <c r="I18" s="29">
        <f>SUM('Balance sheet'!H29,'Balance sheet'!H30,'Balance sheet'!H33)/'Balance sheet'!H19</f>
        <v>0.54260717021772675</v>
      </c>
      <c r="J18" s="29">
        <f>SUM('Balance sheet'!I29,'Balance sheet'!I30,'Balance sheet'!I33)/'Balance sheet'!I19</f>
        <v>0.52832120389786608</v>
      </c>
      <c r="K18" s="29">
        <f>SUM('Balance sheet'!J29,'Balance sheet'!J30,'Balance sheet'!J33)/'Balance sheet'!J19</f>
        <v>0.58980900138787917</v>
      </c>
      <c r="L18" s="29">
        <f>SUM('Balance sheet'!K29,'Balance sheet'!K30,'Balance sheet'!K33)/'Balance sheet'!K19</f>
        <v>0.60994835906708122</v>
      </c>
    </row>
    <row r="19" spans="1:14" ht="15.6" x14ac:dyDescent="0.3">
      <c r="A19" s="8" t="s">
        <v>85</v>
      </c>
    </row>
    <row r="20" spans="1:14" x14ac:dyDescent="0.25">
      <c r="A20" s="28" t="s">
        <v>87</v>
      </c>
      <c r="D20">
        <f>('Balance sheet'!B16+'Balance sheet'!C16)/2</f>
        <v>44805000</v>
      </c>
      <c r="E20">
        <f>('Balance sheet'!C16+'Balance sheet'!D16)/2</f>
        <v>43757500</v>
      </c>
      <c r="F20">
        <f>('Balance sheet'!D16+'Balance sheet'!E16)/2</f>
        <v>43414500</v>
      </c>
      <c r="G20">
        <f>('Balance sheet'!E16+'Balance sheet'!F16)/2</f>
        <v>44026000</v>
      </c>
      <c r="H20">
        <f>('Balance sheet'!F16+'Balance sheet'!G16)/2</f>
        <v>44352000</v>
      </c>
      <c r="I20">
        <f>('Balance sheet'!G16+'Balance sheet'!H16)/2</f>
        <v>44692000</v>
      </c>
      <c r="J20">
        <f>('Balance sheet'!H16+'Balance sheet'!I16)/2</f>
        <v>50730000</v>
      </c>
      <c r="K20">
        <f>('Balance sheet'!I16+'Balance sheet'!J16)/2</f>
        <v>56543500</v>
      </c>
      <c r="L20">
        <f>('Balance sheet'!J16+'Balance sheet'!K16)/2</f>
        <v>55734000</v>
      </c>
    </row>
    <row r="21" spans="1:14" ht="13.8" x14ac:dyDescent="0.25">
      <c r="A21" s="15" t="s">
        <v>86</v>
      </c>
      <c r="D21">
        <f>(standardized!B15-standardized!B19)/'financial ratios'!D20</f>
        <v>8.0719562548822683</v>
      </c>
      <c r="E21">
        <f>(standardized!C15-standardized!C19)/'financial ratios'!E20</f>
        <v>8.1692966919956582</v>
      </c>
      <c r="F21">
        <f>(standardized!D15-standardized!D19)/'financial ratios'!F20</f>
        <v>8.2161489824828102</v>
      </c>
      <c r="G21">
        <f>(standardized!E15-standardized!E19)/'financial ratios'!G20</f>
        <v>8.3771862081497304</v>
      </c>
      <c r="H21">
        <f>(standardized!F15-standardized!F19)/'financial ratios'!H20</f>
        <v>8.5954410173160181</v>
      </c>
      <c r="I21">
        <f>(standardized!G15-standardized!G19)/'financial ratios'!I20</f>
        <v>8.7390808198335268</v>
      </c>
      <c r="J21">
        <f>(standardized!H15-standardized!H19)/'financial ratios'!J20</f>
        <v>8.2081017149615612</v>
      </c>
      <c r="K21">
        <f>(standardized!I15-standardized!I19)/'financial ratios'!K20</f>
        <v>7.4987929647085876</v>
      </c>
      <c r="L21">
        <f>(standardized!J15-standardized!J19)/'financial ratios'!L20</f>
        <v>8.2232210141027018</v>
      </c>
    </row>
    <row r="22" spans="1:14" x14ac:dyDescent="0.25">
      <c r="A22" s="28" t="s">
        <v>89</v>
      </c>
      <c r="D22">
        <f>('Balance sheet'!B22+'Balance sheet'!C22)/2</f>
        <v>112225500</v>
      </c>
      <c r="E22">
        <f>('Balance sheet'!C22+'Balance sheet'!D22)/2</f>
        <v>108940500</v>
      </c>
      <c r="F22">
        <f>('Balance sheet'!D22+'Balance sheet'!E22)/2</f>
        <v>107692500</v>
      </c>
      <c r="G22">
        <f>('Balance sheet'!E22+'Balance sheet'!F22)/2</f>
        <v>105996000</v>
      </c>
      <c r="H22">
        <f>('Balance sheet'!F22+'Balance sheet'!G22)/2</f>
        <v>104762500</v>
      </c>
      <c r="I22">
        <f>('Balance sheet'!G22+'Balance sheet'!H22)/2</f>
        <v>98704500</v>
      </c>
      <c r="J22">
        <f>('Balance sheet'!H22+'Balance sheet'!I22)/2</f>
        <v>93358000</v>
      </c>
      <c r="K22">
        <f>('Balance sheet'!I22+'Balance sheet'!J22)/2</f>
        <v>97637500</v>
      </c>
      <c r="L22">
        <f>('Balance sheet'!J22+'Balance sheet'!K22)/2</f>
        <v>105785000</v>
      </c>
    </row>
    <row r="23" spans="1:14" x14ac:dyDescent="0.25">
      <c r="A23" s="10" t="s">
        <v>88</v>
      </c>
      <c r="D23">
        <f>standardized!B15/'financial ratios'!D22</f>
        <v>4.2969645936084042</v>
      </c>
      <c r="E23">
        <f>standardized!C15/'financial ratios'!E22</f>
        <v>4.3933523345312349</v>
      </c>
      <c r="F23">
        <f>standardized!D15/'financial ratios'!F22</f>
        <v>4.4693641618497111</v>
      </c>
      <c r="G23">
        <f>standardized!E15/'financial ratios'!G22</f>
        <v>4.6771670629080342</v>
      </c>
      <c r="H23">
        <f>standardized!F15/'financial ratios'!H22</f>
        <v>4.8712945949170745</v>
      </c>
      <c r="I23">
        <f>standardized!G15/'financial ratios'!I22</f>
        <v>5.2675004685703284</v>
      </c>
      <c r="J23">
        <f>standardized!H15/'financial ratios'!J22</f>
        <v>5.9473531995115581</v>
      </c>
      <c r="K23">
        <f>standardized!I15/'financial ratios'!K22</f>
        <v>5.8149993598770964</v>
      </c>
      <c r="L23">
        <f>standardized!J15/'financial ratios'!L22</f>
        <v>5.7274755400103983</v>
      </c>
    </row>
    <row r="24" spans="1:14" x14ac:dyDescent="0.25">
      <c r="A24" s="28" t="s">
        <v>90</v>
      </c>
      <c r="D24">
        <f>('Balance sheet'!B25+'Balance sheet'!C25)/2</f>
        <v>201643500</v>
      </c>
      <c r="E24">
        <f>('Balance sheet'!C25+'Balance sheet'!D25)/2</f>
        <v>199203000</v>
      </c>
      <c r="F24">
        <f>('Balance sheet'!D25+'Balance sheet'!E25)/2</f>
        <v>201673500</v>
      </c>
      <c r="G24">
        <f>('Balance sheet'!E25+'Balance sheet'!F25)/2</f>
        <v>211908500</v>
      </c>
      <c r="H24">
        <f>('Balance sheet'!F25+'Balance sheet'!G25)/2</f>
        <v>227895000</v>
      </c>
      <c r="I24">
        <f>('Balance sheet'!G25+'Balance sheet'!H25)/2</f>
        <v>244495500</v>
      </c>
      <c r="J24">
        <f>('Balance sheet'!H25+'Balance sheet'!I25)/2</f>
        <v>248678000</v>
      </c>
      <c r="K24">
        <f>('Balance sheet'!I25+'Balance sheet'!J25)/2</f>
        <v>244028500</v>
      </c>
      <c r="L24">
        <f>('Balance sheet'!J25+'Balance sheet'!K25)/2</f>
        <v>247798000</v>
      </c>
    </row>
    <row r="25" spans="1:14" x14ac:dyDescent="0.25">
      <c r="A25" s="10" t="s">
        <v>91</v>
      </c>
      <c r="D25">
        <f>standardized!B15/'financial ratios'!D24</f>
        <v>2.3914929070364281</v>
      </c>
      <c r="E25">
        <f>standardized!C15/'financial ratios'!E24</f>
        <v>2.4026445384858661</v>
      </c>
      <c r="F25">
        <f>standardized!D15/'financial ratios'!F24</f>
        <v>2.3866149989959018</v>
      </c>
      <c r="G25">
        <f>standardized!E15/'financial ratios'!G24</f>
        <v>2.3395050222147766</v>
      </c>
      <c r="H25">
        <f>standardized!F15/'financial ratios'!H24</f>
        <v>2.2393163518286929</v>
      </c>
      <c r="I25">
        <f>standardized!G15/'financial ratios'!I24</f>
        <v>2.1265258460789669</v>
      </c>
      <c r="J25">
        <f>standardized!H15/'financial ratios'!J24</f>
        <v>2.2327387223638602</v>
      </c>
      <c r="K25">
        <f>standardized!I15/'financial ratios'!K24</f>
        <v>2.3266216855818072</v>
      </c>
      <c r="L25">
        <f>standardized!J15/'financial ratios'!L24</f>
        <v>2.4450600892662573</v>
      </c>
    </row>
    <row r="26" spans="1:14" x14ac:dyDescent="0.25">
      <c r="A26" s="10" t="s">
        <v>95</v>
      </c>
    </row>
    <row r="27" spans="1:14" x14ac:dyDescent="0.25">
      <c r="A27" s="28" t="s">
        <v>92</v>
      </c>
      <c r="D27">
        <f>('Balance sheet'!B15+'Balance sheet'!C15)/2</f>
        <v>6201000</v>
      </c>
      <c r="E27">
        <f>('Balance sheet'!C15+'Balance sheet'!D15)/2</f>
        <v>5729500</v>
      </c>
      <c r="F27">
        <f>('Balance sheet'!D15+'Balance sheet'!E15)/2</f>
        <v>5724500</v>
      </c>
      <c r="G27">
        <f>('Balance sheet'!E15+'Balance sheet'!F15)/2</f>
        <v>5948500</v>
      </c>
      <c r="H27">
        <f>('Balance sheet'!F15+'Balance sheet'!G15)/2</f>
        <v>6283500</v>
      </c>
      <c r="I27">
        <f>('Balance sheet'!G15+'Balance sheet'!H15)/2</f>
        <v>6400000</v>
      </c>
      <c r="J27">
        <f>('Balance sheet'!H15+'Balance sheet'!I15)/2</f>
        <v>7398000</v>
      </c>
      <c r="K27">
        <f>('Balance sheet'!I15+'Balance sheet'!J15)/2</f>
        <v>8106500</v>
      </c>
      <c r="L27">
        <f>('Balance sheet'!J15+'Balance sheet'!K15)/2</f>
        <v>8364500</v>
      </c>
    </row>
    <row r="28" spans="1:14" ht="13.8" x14ac:dyDescent="0.25">
      <c r="A28" s="21" t="s">
        <v>93</v>
      </c>
      <c r="D28">
        <f>standardized!B15/'financial ratios'!D27</f>
        <v>77.766328011611037</v>
      </c>
      <c r="E28">
        <f>standardized!C15/'financial ratios'!E27</f>
        <v>83.535037961427705</v>
      </c>
      <c r="F28">
        <f>standardized!D15/'financial ratios'!F27</f>
        <v>84.080181675255474</v>
      </c>
      <c r="G28">
        <f>standardized!E15/'financial ratios'!G27</f>
        <v>83.342187105993105</v>
      </c>
      <c r="H28">
        <f>standardized!F15/'financial ratios'!H27</f>
        <v>81.217315190578503</v>
      </c>
      <c r="I28">
        <f>standardized!G15/'financial ratios'!I27</f>
        <v>81.238437500000003</v>
      </c>
      <c r="J28">
        <f>standardized!H15/'financial ratios'!J27</f>
        <v>75.051770748851041</v>
      </c>
      <c r="K28">
        <f>standardized!I15/'financial ratios'!K27</f>
        <v>70.03787084438413</v>
      </c>
      <c r="L28">
        <f>standardized!J15/'financial ratios'!L27</f>
        <v>72.434813796401457</v>
      </c>
      <c r="N28">
        <v>365</v>
      </c>
    </row>
    <row r="29" spans="1:14" x14ac:dyDescent="0.25">
      <c r="A29" s="28" t="s">
        <v>94</v>
      </c>
      <c r="D29">
        <f>$N$28/D28</f>
        <v>4.6935480860752872</v>
      </c>
      <c r="E29">
        <f t="shared" ref="E29:L29" si="1">$N$28/E28</f>
        <v>4.3694240034767056</v>
      </c>
      <c r="F29">
        <f t="shared" si="1"/>
        <v>4.3410943307633021</v>
      </c>
      <c r="G29">
        <f t="shared" si="1"/>
        <v>4.379534695145443</v>
      </c>
      <c r="H29">
        <f t="shared" si="1"/>
        <v>4.4941155607461063</v>
      </c>
      <c r="I29">
        <f t="shared" si="1"/>
        <v>4.4929470732373451</v>
      </c>
      <c r="J29">
        <f t="shared" si="1"/>
        <v>4.8633096375755764</v>
      </c>
      <c r="K29">
        <f t="shared" si="1"/>
        <v>5.2114662481814564</v>
      </c>
      <c r="L29">
        <f t="shared" si="1"/>
        <v>5.0390134366319463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9B2C-55A5-40BA-8875-500061FEE0CE}">
  <dimension ref="A4:M16"/>
  <sheetViews>
    <sheetView workbookViewId="0">
      <selection activeCell="C23" sqref="C23"/>
    </sheetView>
  </sheetViews>
  <sheetFormatPr defaultRowHeight="13.2" x14ac:dyDescent="0.25"/>
  <cols>
    <col min="1" max="1" width="19.33203125" bestFit="1" customWidth="1"/>
  </cols>
  <sheetData>
    <row r="4" spans="1:13" x14ac:dyDescent="0.25">
      <c r="B4" s="10" t="s">
        <v>96</v>
      </c>
      <c r="E4">
        <f>standardized!C25/'Balance sheet'!C20</f>
        <v>-1.3941161179488919E-2</v>
      </c>
      <c r="F4">
        <f>standardized!D25/'Balance sheet'!D20</f>
        <v>-1.2630089363314242E-2</v>
      </c>
      <c r="G4">
        <f>standardized!E25/'Balance sheet'!E20</f>
        <v>-2.8700433152942954E-2</v>
      </c>
      <c r="H4">
        <f>standardized!F25/'Balance sheet'!F20</f>
        <v>-5.6493191970292234E-2</v>
      </c>
      <c r="I4">
        <f>standardized!G25/'Balance sheet'!G20</f>
        <v>-2.3176159320712924E-3</v>
      </c>
      <c r="J4">
        <f>standardized!H25/'Balance sheet'!H20</f>
        <v>-1.0987367849765466E-2</v>
      </c>
      <c r="K4">
        <f>standardized!I25/'Balance sheet'!I20</f>
        <v>-3.8273013458409923E-2</v>
      </c>
      <c r="L4">
        <f>standardized!J25/'Balance sheet'!J20</f>
        <v>-1.6860206552354599E-2</v>
      </c>
      <c r="M4">
        <f>standardized!K25/'Balance sheet'!K20</f>
        <v>-2.3487780804970458E-2</v>
      </c>
    </row>
    <row r="5" spans="1:13" x14ac:dyDescent="0.25">
      <c r="B5" t="s">
        <v>97</v>
      </c>
      <c r="E5">
        <f>E10</f>
        <v>0.26378870269670401</v>
      </c>
      <c r="F5">
        <f t="shared" ref="F5:M5" si="0">F10</f>
        <v>0.30872306883867578</v>
      </c>
      <c r="G5">
        <f t="shared" si="0"/>
        <v>0.27883014154870939</v>
      </c>
      <c r="H5">
        <f t="shared" si="0"/>
        <v>0.27890006229420666</v>
      </c>
      <c r="I5">
        <f t="shared" si="0"/>
        <v>0.31329737135028685</v>
      </c>
      <c r="J5">
        <f t="shared" si="0"/>
        <v>0.28238780694326843</v>
      </c>
      <c r="K5">
        <f t="shared" si="0"/>
        <v>0.30759307040176925</v>
      </c>
      <c r="L5">
        <f t="shared" si="0"/>
        <v>0.32743164500224115</v>
      </c>
      <c r="M5">
        <f t="shared" si="0"/>
        <v>0.35989246696791166</v>
      </c>
    </row>
    <row r="6" spans="1:13" x14ac:dyDescent="0.25">
      <c r="B6" t="s">
        <v>98</v>
      </c>
      <c r="E6">
        <f>D11</f>
        <v>-1.4642444862992892E-2</v>
      </c>
      <c r="F6">
        <f t="shared" ref="F6:M6" si="1">E11</f>
        <v>2.9219983330881993E-2</v>
      </c>
      <c r="G6">
        <f t="shared" si="1"/>
        <v>9.3682089375321034E-2</v>
      </c>
      <c r="H6">
        <f t="shared" si="1"/>
        <v>8.7618442338802865E-2</v>
      </c>
      <c r="I6">
        <f t="shared" si="1"/>
        <v>0.26374633431085043</v>
      </c>
      <c r="J6">
        <f t="shared" si="1"/>
        <v>0.24559693109806499</v>
      </c>
      <c r="K6">
        <f t="shared" si="1"/>
        <v>0.29406250430802738</v>
      </c>
      <c r="L6">
        <f t="shared" si="1"/>
        <v>0.42413302145835452</v>
      </c>
      <c r="M6">
        <f t="shared" si="1"/>
        <v>-3.4195979899497485E-2</v>
      </c>
    </row>
    <row r="10" spans="1:13" x14ac:dyDescent="0.25">
      <c r="B10" s="28" t="s">
        <v>76</v>
      </c>
      <c r="D10">
        <f>'[2]income statement'!B36/'[2]balance sheet'!B30</f>
        <v>0.24237427864798022</v>
      </c>
      <c r="E10">
        <f>'[2]income statement'!C36/'[2]balance sheet'!C30</f>
        <v>0.26378870269670401</v>
      </c>
      <c r="F10">
        <f>'[2]income statement'!D36/'[2]balance sheet'!D30</f>
        <v>0.30872306883867578</v>
      </c>
      <c r="G10">
        <f>'[2]income statement'!E36/'[2]balance sheet'!E30</f>
        <v>0.27883014154870939</v>
      </c>
      <c r="H10">
        <f>'[2]income statement'!F36/'[2]balance sheet'!F30</f>
        <v>0.27890006229420666</v>
      </c>
      <c r="I10">
        <f>'[2]income statement'!G36/'[2]balance sheet'!G30</f>
        <v>0.31329737135028685</v>
      </c>
      <c r="J10">
        <f>'[2]income statement'!H36/'[2]balance sheet'!H30</f>
        <v>0.28238780694326843</v>
      </c>
      <c r="K10">
        <f>'[2]income statement'!I36/'[2]balance sheet'!I30</f>
        <v>0.30759307040176925</v>
      </c>
      <c r="L10">
        <f>'[2]income statement'!J36/'[2]balance sheet'!J30</f>
        <v>0.32743164500224115</v>
      </c>
      <c r="M10">
        <f>'[2]income statement'!K36/'[2]balance sheet'!K30</f>
        <v>0.35989246696791166</v>
      </c>
    </row>
    <row r="11" spans="1:13" x14ac:dyDescent="0.25">
      <c r="B11" s="28" t="s">
        <v>99</v>
      </c>
      <c r="D11">
        <f>'[3]income statment '!B37/'[3]balance sheet '!B29</f>
        <v>-1.4642444862992892E-2</v>
      </c>
      <c r="E11">
        <f>'[3]income statment '!C37/'[3]balance sheet '!C29</f>
        <v>2.9219983330881993E-2</v>
      </c>
      <c r="F11">
        <f>'[3]income statment '!D37/'[3]balance sheet '!D29</f>
        <v>9.3682089375321034E-2</v>
      </c>
      <c r="G11">
        <f>'[3]income statment '!E37/'[3]balance sheet '!E29</f>
        <v>8.7618442338802865E-2</v>
      </c>
      <c r="H11">
        <f>'[3]income statment '!F37/'[3]balance sheet '!F29</f>
        <v>0.26374633431085043</v>
      </c>
      <c r="I11">
        <f>'[3]income statment '!G37/'[3]balance sheet '!G29</f>
        <v>0.24559693109806499</v>
      </c>
      <c r="J11">
        <f>'[3]income statment '!H37/'[3]balance sheet '!H29</f>
        <v>0.29406250430802738</v>
      </c>
      <c r="K11">
        <f>'[3]income statment '!I37/'[3]balance sheet '!I29</f>
        <v>0.42413302145835452</v>
      </c>
      <c r="L11">
        <f>'[3]income statment '!J37/'[3]balance sheet '!J29</f>
        <v>-3.4195979899497485E-2</v>
      </c>
    </row>
    <row r="13" spans="1:13" x14ac:dyDescent="0.25">
      <c r="B13" t="str">
        <f>'financial ratios'!C5</f>
        <v>01/31/2015</v>
      </c>
      <c r="C13" t="str">
        <f>'financial ratios'!D5</f>
        <v>01/31/2016</v>
      </c>
      <c r="D13" t="str">
        <f>'financial ratios'!E5</f>
        <v>01/31/2017</v>
      </c>
      <c r="E13" t="str">
        <f>'financial ratios'!F5</f>
        <v>01/31/2018</v>
      </c>
      <c r="F13" t="str">
        <f>'financial ratios'!G5</f>
        <v>01/31/2019</v>
      </c>
      <c r="G13" t="str">
        <f>'financial ratios'!H5</f>
        <v>01/31/2020</v>
      </c>
      <c r="H13" t="str">
        <f>'financial ratios'!I5</f>
        <v>01/31/2021</v>
      </c>
      <c r="I13" t="str">
        <f>'financial ratios'!J5</f>
        <v>01/31/2022</v>
      </c>
      <c r="J13" t="str">
        <f>'financial ratios'!K5</f>
        <v>01/31/2023</v>
      </c>
    </row>
    <row r="14" spans="1:13" x14ac:dyDescent="0.25">
      <c r="A14" s="28" t="s">
        <v>100</v>
      </c>
      <c r="B14" s="28">
        <f>'[2]financial ratio'!C17</f>
        <v>1.6842233601560594</v>
      </c>
      <c r="C14" s="28">
        <f>'[2]financial ratio'!D17</f>
        <v>2.149665630592446</v>
      </c>
      <c r="D14" s="28">
        <f>'[2]financial ratio'!E17</f>
        <v>1.7455087341667357</v>
      </c>
      <c r="E14" s="28">
        <f>'[2]financial ratio'!F17</f>
        <v>2.3723325292262016</v>
      </c>
      <c r="F14" s="28">
        <f>'[2]financial ratio'!G17</f>
        <v>2.1900929760137511</v>
      </c>
      <c r="G14" s="28">
        <f>'[2]financial ratio'!H17</f>
        <v>1.9784163222462769</v>
      </c>
      <c r="H14" s="28">
        <f>'[2]financial ratio'!I17</f>
        <v>2.0385036097134108</v>
      </c>
      <c r="I14" s="28">
        <f>'[2]financial ratio'!J17</f>
        <v>2.3744021862901388</v>
      </c>
      <c r="J14" s="28">
        <f>'[2]financial ratio'!K17</f>
        <v>2.1085166166069178</v>
      </c>
      <c r="K14" s="28"/>
      <c r="L14" s="28"/>
      <c r="M14" s="28"/>
    </row>
    <row r="15" spans="1:13" x14ac:dyDescent="0.25">
      <c r="A15" s="28" t="s">
        <v>101</v>
      </c>
      <c r="B15" s="10">
        <f>'[3]Financial ratios'!C18</f>
        <v>4.0744809608043946</v>
      </c>
      <c r="C15" s="10">
        <f>'[3]Financial ratios'!D18</f>
        <v>3.8897190675433353</v>
      </c>
      <c r="D15" s="10">
        <f>'[3]Financial ratios'!E18</f>
        <v>3.3247083225304639</v>
      </c>
      <c r="E15" s="10">
        <f>'[3]Financial ratios'!F18</f>
        <v>3.7388935003067596</v>
      </c>
      <c r="F15" s="10">
        <f>'[3]Financial ratios'!G18</f>
        <v>2.734827435762015</v>
      </c>
      <c r="G15" s="10">
        <f>'[3]Financial ratios'!H18</f>
        <v>2.6295198195294875</v>
      </c>
      <c r="H15" s="10">
        <f>'[3]Financial ratios'!I18</f>
        <v>2.4387713588283155</v>
      </c>
      <c r="I15" s="10">
        <f>'[3]Financial ratios'!J18</f>
        <v>2.0420557705522802</v>
      </c>
      <c r="J15" s="10">
        <f>'[3]Financial ratios'!K18</f>
        <v>2.1680737864875415</v>
      </c>
    </row>
    <row r="16" spans="1:13" x14ac:dyDescent="0.25">
      <c r="A16" s="28" t="s">
        <v>102</v>
      </c>
      <c r="B16">
        <f>'financial ratios'!C17</f>
        <v>1.5027151878516845</v>
      </c>
      <c r="C16">
        <f>'financial ratios'!D17</f>
        <v>1.4778511657934597</v>
      </c>
      <c r="D16">
        <f>'financial ratios'!E17</f>
        <v>1.5556569577624104</v>
      </c>
      <c r="E16">
        <f>'financial ratios'!F17</f>
        <v>1.6264880761278557</v>
      </c>
      <c r="F16">
        <f>'financial ratios'!G17</f>
        <v>2.0249255131317589</v>
      </c>
      <c r="G16">
        <f>'financial ratios'!H17</f>
        <v>2.1672447736008249</v>
      </c>
      <c r="H16">
        <f>'financial ratios'!I17</f>
        <v>2.1201235712079085</v>
      </c>
      <c r="I16">
        <f>'financial ratios'!J17</f>
        <v>1.9411552736838311</v>
      </c>
      <c r="J16">
        <f>'financial ratios'!K17</f>
        <v>2.1710455973817688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standardized</vt:lpstr>
      <vt:lpstr>common size IS</vt:lpstr>
      <vt:lpstr>Balance sheet</vt:lpstr>
      <vt:lpstr>common size balance sheet </vt:lpstr>
      <vt:lpstr>financial ratios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Nikitha Reddy Chennuru</cp:lastModifiedBy>
  <dcterms:created xsi:type="dcterms:W3CDTF">2024-01-14T15:54:35Z</dcterms:created>
  <dcterms:modified xsi:type="dcterms:W3CDTF">2024-09-01T06:23:55Z</dcterms:modified>
  <cp:category/>
</cp:coreProperties>
</file>